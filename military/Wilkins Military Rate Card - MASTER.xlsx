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ettings" sheetId="2" state="visible" r:id="rId2"/>
    <sheet name="Rate Card" sheetId="3" state="visible" r:id="rId3"/>
    <sheet name="Bases" sheetId="4" state="visible" r:id="rId4"/>
    <sheet name="Change Log" sheetId="5" state="visible" r:id="rId5"/>
  </sheets>
  <definedNames/>
  <calcPr calcId="124519" fullCalcOnLoad="1"/>
</workbook>
</file>

<file path=xl/styles.xml><?xml version="1.0" encoding="utf-8"?>
<styleSheet xmlns="http://schemas.openxmlformats.org/spreadsheetml/2006/main">
  <numFmts count="1">
    <numFmt numFmtId="164" formatCode="&quot;$&quot;#,##0;[Red]-&quot;$&quot;#,##0;&quot;-&quot;"/>
  </numFmts>
  <fonts count="8">
    <font>
      <name val="Calibri"/>
      <family val="2"/>
      <color theme="1"/>
      <sz val="11"/>
      <scheme val="minor"/>
    </font>
    <font>
      <b val="1"/>
      <color rgb="001F2A44"/>
      <sz val="16"/>
    </font>
    <font>
      <i val="1"/>
      <color rgb="006B7280"/>
    </font>
    <font>
      <b val="1"/>
      <color rgb="001F2A44"/>
    </font>
    <font>
      <name val="Calibri"/>
      <b val="1"/>
      <color rgb="00FFFFFF"/>
      <sz val="11"/>
    </font>
    <font>
      <b val="1"/>
      <color rgb="000092E4"/>
    </font>
    <font>
      <color rgb="000092E4"/>
      <u val="single"/>
    </font>
    <font>
      <color rgb="00B45309"/>
    </font>
  </fonts>
  <fills count="4">
    <fill>
      <patternFill/>
    </fill>
    <fill>
      <patternFill patternType="gray125"/>
    </fill>
    <fill>
      <patternFill patternType="solid">
        <fgColor rgb="001F2A44"/>
      </patternFill>
    </fill>
    <fill>
      <patternFill patternType="solid">
        <fgColor rgb="00EEF7F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pivotButton="0" quotePrefix="0" xfId="0"/>
    <xf numFmtId="9" fontId="5" fillId="0" borderId="1" pivotButton="0" quotePrefix="0" xfId="0"/>
    <xf numFmtId="0" fontId="0" fillId="0" borderId="1" applyAlignment="1" pivotButton="0" quotePrefix="0" xfId="0">
      <alignment vertical="top" wrapText="1"/>
    </xf>
    <xf numFmtId="164" fontId="5" fillId="0" borderId="1" pivotButton="0" quotePrefix="0" xfId="0"/>
    <xf numFmtId="0" fontId="5" fillId="0" borderId="1" pivotButton="0" quotePrefix="0" xfId="0"/>
    <xf numFmtId="0" fontId="0" fillId="0" borderId="1" applyAlignment="1" pivotButton="0" quotePrefix="0" xfId="0">
      <alignment vertical="top"/>
    </xf>
    <xf numFmtId="164" fontId="0" fillId="0" borderId="1" applyAlignment="1" pivotButton="0" quotePrefix="0" xfId="0">
      <alignment vertical="top"/>
    </xf>
    <xf numFmtId="164" fontId="3" fillId="3" borderId="1" applyAlignment="1" pivotButton="0" quotePrefix="0" xfId="0">
      <alignment vertical="top"/>
    </xf>
    <xf numFmtId="3" fontId="0" fillId="0" borderId="1" applyAlignment="1" pivotButton="0" quotePrefix="0" xfId="0">
      <alignment vertical="top"/>
    </xf>
    <xf numFmtId="0" fontId="6" fillId="0" borderId="1" applyAlignment="1" pivotButton="0" quotePrefix="0" xfId="0">
      <alignment vertical="top"/>
    </xf>
    <xf numFmtId="0" fontId="7" fillId="0" borderId="1" applyAlignment="1" pivotButton="0" quotePrefix="0" xfId="0">
      <alignment vertical="top" wrapText="1"/>
    </xf>
    <xf numFmtId="3"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076450" cy="457200"/>
    <pic>
      <nvPicPr>
        <cNvPr id="1" name="Image 1" descr="Picture"/>
        <cNvPicPr/>
      </nvPicPr>
      <blipFill>
        <a:blip cstate="print" r:embed="rId1"/>
        <a:stretch>
          <a:fillRect/>
        </a:stretch>
      </blipFill>
      <spPr>
        <a:prstGeom prst="rect"/>
      </spPr>
    </pic>
    <clientData/>
  </oneCellAnchor>
</wsDr>
</file>

<file path=xl/tables/table1.xml><?xml version="1.0" encoding="utf-8"?>
<table xmlns="http://schemas.openxmlformats.org/spreadsheetml/2006/main" id="1" name="RateCard" displayName="RateCard" ref="A1:AF1535" headerRowCount="1">
  <autoFilter ref="A1:AF1535"/>
  <tableColumns count="32">
    <tableColumn id="1" name="ID"/>
    <tableColumn id="2" name="Base"/>
    <tableColumn id="3" name="Also known as"/>
    <tableColumn id="4" name="State"/>
    <tableColumn id="5" name="DMA / Metro"/>
    <tableColumn id="6" name="Zip"/>
    <tableColumn id="7" name="Branch"/>
    <tableColumn id="8" name="Category"/>
    <tableColumn id="9" name="Media Type"/>
    <tableColumn id="10" name="Ad Unit Size"/>
    <tableColumn id="11" name="Description"/>
    <tableColumn id="12" name="Min Term (mo)"/>
    <tableColumn id="13" name="Vendor Cost 1 Month"/>
    <tableColumn id="14" name="Vendor Cost 3 Months"/>
    <tableColumn id="15" name="Vendor Cost 6 Months"/>
    <tableColumn id="16" name="Vendor Cost 12 Months"/>
    <tableColumn id="17" name="Vendor Production Cost"/>
    <tableColumn id="18" name="Client Price 1 Month"/>
    <tableColumn id="19" name="Client Price 3 Months"/>
    <tableColumn id="20" name="Client Price 6 Months"/>
    <tableColumn id="21" name="Client Price 12 Months"/>
    <tableColumn id="22" name="Client Production Price"/>
    <tableColumn id="23" name="Active Duty (ref.)"/>
    <tableColumn id="24" name="Dependents (ref.)"/>
    <tableColumn id="25" name="Rate Card Year"/>
    <tableColumn id="26" name="Last Updated"/>
    <tableColumn id="27" name="Notes"/>
    <tableColumn id="28" name="Review Flag"/>
    <tableColumn id="29" name="Source"/>
    <tableColumn id="30" name="Rate card file in Box"/>
    <tableColumn id="31" name="Link to rate card file"/>
    <tableColumn id="32" name="Box folder"/>
  </tableColumns>
  <tableStyleInfo name="TableStyleLight9" showRowStripes="1"/>
</table>
</file>

<file path=xl/tables/table2.xml><?xml version="1.0" encoding="utf-8"?>
<table xmlns="http://schemas.openxmlformats.org/spreadsheetml/2006/main" id="2" name="Bases" displayName="Bases" ref="A1:P162" headerRowCount="1">
  <autoFilter ref="A1:P162"/>
  <tableColumns count="16">
    <tableColumn id="1" name="Base"/>
    <tableColumn id="2" name="Also known as"/>
    <tableColumn id="3" name="State"/>
    <tableColumn id="4" name="DMA / Metro"/>
    <tableColumn id="5" name="Zip"/>
    <tableColumn id="6" name="Branch"/>
    <tableColumn id="7" name="Media options"/>
    <tableColumn id="8" name="Digital"/>
    <tableColumn id="9" name="Standard Media"/>
    <tableColumn id="10" name="Large Format"/>
    <tableColumn id="11" name="Print &amp; Pubs"/>
    <tableColumn id="12" name="Web &amp; Email"/>
    <tableColumn id="13" name="Active Duty (ref.)"/>
    <tableColumn id="14" name="Dependents (ref.)"/>
    <tableColumn id="15" name="Rate card year(s)"/>
    <tableColumn id="16" name="Rows needing review"/>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hyperlink" Target="https://wilkinsmedia.app.box.com/file/2240956098706" TargetMode="External" Id="rId1" /><Relationship Type="http://schemas.openxmlformats.org/officeDocument/2006/relationships/hyperlink" Target="https://wilkinsmedia.app.box.com/folder/260576485750" TargetMode="External" Id="rId2" /><Relationship Type="http://schemas.openxmlformats.org/officeDocument/2006/relationships/hyperlink" Target="https://wilkinsmedia.app.box.com/file/2240956098706" TargetMode="External" Id="rId3" /><Relationship Type="http://schemas.openxmlformats.org/officeDocument/2006/relationships/hyperlink" Target="https://wilkinsmedia.app.box.com/folder/260576485750" TargetMode="External" Id="rId4" /><Relationship Type="http://schemas.openxmlformats.org/officeDocument/2006/relationships/hyperlink" Target="https://wilkinsmedia.app.box.com/file/2240956098706" TargetMode="External" Id="rId5" /><Relationship Type="http://schemas.openxmlformats.org/officeDocument/2006/relationships/hyperlink" Target="https://wilkinsmedia.app.box.com/folder/260576485750" TargetMode="External" Id="rId6" /><Relationship Type="http://schemas.openxmlformats.org/officeDocument/2006/relationships/hyperlink" Target="https://wilkinsmedia.app.box.com/file/2240956098706" TargetMode="External" Id="rId7" /><Relationship Type="http://schemas.openxmlformats.org/officeDocument/2006/relationships/hyperlink" Target="https://wilkinsmedia.app.box.com/folder/260576485750" TargetMode="External" Id="rId8" /><Relationship Type="http://schemas.openxmlformats.org/officeDocument/2006/relationships/hyperlink" Target="https://wilkinsmedia.app.box.com/file/2240956098706" TargetMode="External" Id="rId9" /><Relationship Type="http://schemas.openxmlformats.org/officeDocument/2006/relationships/hyperlink" Target="https://wilkinsmedia.app.box.com/folder/260576485750" TargetMode="External" Id="rId10" /><Relationship Type="http://schemas.openxmlformats.org/officeDocument/2006/relationships/hyperlink" Target="https://wilkinsmedia.app.box.com/file/2240956098706" TargetMode="External" Id="rId11" /><Relationship Type="http://schemas.openxmlformats.org/officeDocument/2006/relationships/hyperlink" Target="https://wilkinsmedia.app.box.com/folder/260576485750" TargetMode="External" Id="rId12" /><Relationship Type="http://schemas.openxmlformats.org/officeDocument/2006/relationships/hyperlink" Target="https://wilkinsmedia.app.box.com/file/2240956098706" TargetMode="External" Id="rId13" /><Relationship Type="http://schemas.openxmlformats.org/officeDocument/2006/relationships/hyperlink" Target="https://wilkinsmedia.app.box.com/folder/260576485750" TargetMode="External" Id="rId14" /><Relationship Type="http://schemas.openxmlformats.org/officeDocument/2006/relationships/hyperlink" Target="https://wilkinsmedia.app.box.com/file/2240956098706" TargetMode="External" Id="rId15" /><Relationship Type="http://schemas.openxmlformats.org/officeDocument/2006/relationships/hyperlink" Target="https://wilkinsmedia.app.box.com/folder/260576485750" TargetMode="External" Id="rId16" /><Relationship Type="http://schemas.openxmlformats.org/officeDocument/2006/relationships/hyperlink" Target="https://wilkinsmedia.app.box.com/file/2349585405345" TargetMode="External" Id="rId17" /><Relationship Type="http://schemas.openxmlformats.org/officeDocument/2006/relationships/hyperlink" Target="https://wilkinsmedia.app.box.com/folder/301266030347" TargetMode="External" Id="rId18" /><Relationship Type="http://schemas.openxmlformats.org/officeDocument/2006/relationships/hyperlink" Target="https://wilkinsmedia.app.box.com/file/2349585405345" TargetMode="External" Id="rId19" /><Relationship Type="http://schemas.openxmlformats.org/officeDocument/2006/relationships/hyperlink" Target="https://wilkinsmedia.app.box.com/folder/301266030347" TargetMode="External" Id="rId20" /><Relationship Type="http://schemas.openxmlformats.org/officeDocument/2006/relationships/hyperlink" Target="https://wilkinsmedia.app.box.com/file/2349585405345" TargetMode="External" Id="rId21" /><Relationship Type="http://schemas.openxmlformats.org/officeDocument/2006/relationships/hyperlink" Target="https://wilkinsmedia.app.box.com/folder/301266030347" TargetMode="External" Id="rId22" /><Relationship Type="http://schemas.openxmlformats.org/officeDocument/2006/relationships/hyperlink" Target="https://wilkinsmedia.app.box.com/file/2349585405345" TargetMode="External" Id="rId23" /><Relationship Type="http://schemas.openxmlformats.org/officeDocument/2006/relationships/hyperlink" Target="https://wilkinsmedia.app.box.com/folder/301266030347" TargetMode="External" Id="rId24" /><Relationship Type="http://schemas.openxmlformats.org/officeDocument/2006/relationships/hyperlink" Target="https://wilkinsmedia.app.box.com/file/1512339265343" TargetMode="External" Id="rId25" /><Relationship Type="http://schemas.openxmlformats.org/officeDocument/2006/relationships/hyperlink" Target="https://wilkinsmedia.app.box.com/folder/260577654505" TargetMode="External" Id="rId26" /><Relationship Type="http://schemas.openxmlformats.org/officeDocument/2006/relationships/hyperlink" Target="https://wilkinsmedia.app.box.com/file/1512339265343" TargetMode="External" Id="rId27" /><Relationship Type="http://schemas.openxmlformats.org/officeDocument/2006/relationships/hyperlink" Target="https://wilkinsmedia.app.box.com/folder/260577654505" TargetMode="External" Id="rId28" /><Relationship Type="http://schemas.openxmlformats.org/officeDocument/2006/relationships/hyperlink" Target="https://wilkinsmedia.app.box.com/file/1512339265343" TargetMode="External" Id="rId29" /><Relationship Type="http://schemas.openxmlformats.org/officeDocument/2006/relationships/hyperlink" Target="https://wilkinsmedia.app.box.com/folder/260577654505" TargetMode="External" Id="rId30" /><Relationship Type="http://schemas.openxmlformats.org/officeDocument/2006/relationships/hyperlink" Target="https://wilkinsmedia.app.box.com/file/1512339265343" TargetMode="External" Id="rId31" /><Relationship Type="http://schemas.openxmlformats.org/officeDocument/2006/relationships/hyperlink" Target="https://wilkinsmedia.app.box.com/folder/260577654505" TargetMode="External" Id="rId32" /><Relationship Type="http://schemas.openxmlformats.org/officeDocument/2006/relationships/hyperlink" Target="https://wilkinsmedia.app.box.com/file/1512339265343" TargetMode="External" Id="rId33" /><Relationship Type="http://schemas.openxmlformats.org/officeDocument/2006/relationships/hyperlink" Target="https://wilkinsmedia.app.box.com/folder/260577654505" TargetMode="External" Id="rId34" /><Relationship Type="http://schemas.openxmlformats.org/officeDocument/2006/relationships/hyperlink" Target="https://wilkinsmedia.app.box.com/file/1512339265343" TargetMode="External" Id="rId35" /><Relationship Type="http://schemas.openxmlformats.org/officeDocument/2006/relationships/hyperlink" Target="https://wilkinsmedia.app.box.com/folder/260577654505" TargetMode="External" Id="rId36" /><Relationship Type="http://schemas.openxmlformats.org/officeDocument/2006/relationships/hyperlink" Target="https://wilkinsmedia.app.box.com/file/1512339265343" TargetMode="External" Id="rId37" /><Relationship Type="http://schemas.openxmlformats.org/officeDocument/2006/relationships/hyperlink" Target="https://wilkinsmedia.app.box.com/folder/260577654505" TargetMode="External" Id="rId38" /><Relationship Type="http://schemas.openxmlformats.org/officeDocument/2006/relationships/hyperlink" Target="https://wilkinsmedia.app.box.com/file/1512339265343" TargetMode="External" Id="rId39" /><Relationship Type="http://schemas.openxmlformats.org/officeDocument/2006/relationships/hyperlink" Target="https://wilkinsmedia.app.box.com/folder/260577654505" TargetMode="External" Id="rId40" /><Relationship Type="http://schemas.openxmlformats.org/officeDocument/2006/relationships/hyperlink" Target="https://wilkinsmedia.app.box.com/file/1512339265343" TargetMode="External" Id="rId41" /><Relationship Type="http://schemas.openxmlformats.org/officeDocument/2006/relationships/hyperlink" Target="https://wilkinsmedia.app.box.com/folder/260577654505" TargetMode="External" Id="rId42" /><Relationship Type="http://schemas.openxmlformats.org/officeDocument/2006/relationships/hyperlink" Target="https://wilkinsmedia.app.box.com/file/1512339265343" TargetMode="External" Id="rId43" /><Relationship Type="http://schemas.openxmlformats.org/officeDocument/2006/relationships/hyperlink" Target="https://wilkinsmedia.app.box.com/folder/260577654505" TargetMode="External" Id="rId44" /><Relationship Type="http://schemas.openxmlformats.org/officeDocument/2006/relationships/hyperlink" Target="https://wilkinsmedia.app.box.com/file/1512339265343" TargetMode="External" Id="rId45" /><Relationship Type="http://schemas.openxmlformats.org/officeDocument/2006/relationships/hyperlink" Target="https://wilkinsmedia.app.box.com/folder/260577654505" TargetMode="External" Id="rId46" /><Relationship Type="http://schemas.openxmlformats.org/officeDocument/2006/relationships/hyperlink" Target="https://wilkinsmedia.app.box.com/file/1512339265343" TargetMode="External" Id="rId47" /><Relationship Type="http://schemas.openxmlformats.org/officeDocument/2006/relationships/hyperlink" Target="https://wilkinsmedia.app.box.com/folder/260577654505" TargetMode="External" Id="rId48" /><Relationship Type="http://schemas.openxmlformats.org/officeDocument/2006/relationships/hyperlink" Target="https://wilkinsmedia.app.box.com/file/1512339265343" TargetMode="External" Id="rId49" /><Relationship Type="http://schemas.openxmlformats.org/officeDocument/2006/relationships/hyperlink" Target="https://wilkinsmedia.app.box.com/folder/260577654505" TargetMode="External" Id="rId50" /><Relationship Type="http://schemas.openxmlformats.org/officeDocument/2006/relationships/hyperlink" Target="https://wilkinsmedia.app.box.com/file/1512339265343" TargetMode="External" Id="rId51" /><Relationship Type="http://schemas.openxmlformats.org/officeDocument/2006/relationships/hyperlink" Target="https://wilkinsmedia.app.box.com/folder/260577654505" TargetMode="External" Id="rId52" /><Relationship Type="http://schemas.openxmlformats.org/officeDocument/2006/relationships/hyperlink" Target="https://wilkinsmedia.app.box.com/file/1512339265343" TargetMode="External" Id="rId53" /><Relationship Type="http://schemas.openxmlformats.org/officeDocument/2006/relationships/hyperlink" Target="https://wilkinsmedia.app.box.com/folder/260577654505" TargetMode="External" Id="rId54" /><Relationship Type="http://schemas.openxmlformats.org/officeDocument/2006/relationships/hyperlink" Target="https://wilkinsmedia.app.box.com/file/1512339265343" TargetMode="External" Id="rId55" /><Relationship Type="http://schemas.openxmlformats.org/officeDocument/2006/relationships/hyperlink" Target="https://wilkinsmedia.app.box.com/folder/260577654505" TargetMode="External" Id="rId56" /><Relationship Type="http://schemas.openxmlformats.org/officeDocument/2006/relationships/hyperlink" Target="https://wilkinsmedia.app.box.com/file/1512339265343" TargetMode="External" Id="rId57" /><Relationship Type="http://schemas.openxmlformats.org/officeDocument/2006/relationships/hyperlink" Target="https://wilkinsmedia.app.box.com/folder/260577654505" TargetMode="External" Id="rId58" /><Relationship Type="http://schemas.openxmlformats.org/officeDocument/2006/relationships/hyperlink" Target="https://wilkinsmedia.app.box.com/file/1512339265343" TargetMode="External" Id="rId59" /><Relationship Type="http://schemas.openxmlformats.org/officeDocument/2006/relationships/hyperlink" Target="https://wilkinsmedia.app.box.com/folder/260577654505" TargetMode="External" Id="rId60" /><Relationship Type="http://schemas.openxmlformats.org/officeDocument/2006/relationships/hyperlink" Target="https://wilkinsmedia.app.box.com/file/1512339265343" TargetMode="External" Id="rId61" /><Relationship Type="http://schemas.openxmlformats.org/officeDocument/2006/relationships/hyperlink" Target="https://wilkinsmedia.app.box.com/folder/260577654505" TargetMode="External" Id="rId62" /><Relationship Type="http://schemas.openxmlformats.org/officeDocument/2006/relationships/hyperlink" Target="https://wilkinsmedia.app.box.com/file/2177923796616" TargetMode="External" Id="rId63" /><Relationship Type="http://schemas.openxmlformats.org/officeDocument/2006/relationships/hyperlink" Target="https://wilkinsmedia.app.box.com/folder/272506172929" TargetMode="External" Id="rId64" /><Relationship Type="http://schemas.openxmlformats.org/officeDocument/2006/relationships/hyperlink" Target="https://wilkinsmedia.app.box.com/file/2177923796616" TargetMode="External" Id="rId65" /><Relationship Type="http://schemas.openxmlformats.org/officeDocument/2006/relationships/hyperlink" Target="https://wilkinsmedia.app.box.com/folder/272506172929" TargetMode="External" Id="rId66" /><Relationship Type="http://schemas.openxmlformats.org/officeDocument/2006/relationships/hyperlink" Target="https://wilkinsmedia.app.box.com/file/2177923796616" TargetMode="External" Id="rId67" /><Relationship Type="http://schemas.openxmlformats.org/officeDocument/2006/relationships/hyperlink" Target="https://wilkinsmedia.app.box.com/folder/272506172929" TargetMode="External" Id="rId68" /><Relationship Type="http://schemas.openxmlformats.org/officeDocument/2006/relationships/hyperlink" Target="https://wilkinsmedia.app.box.com/file/2177923796616" TargetMode="External" Id="rId69" /><Relationship Type="http://schemas.openxmlformats.org/officeDocument/2006/relationships/hyperlink" Target="https://wilkinsmedia.app.box.com/folder/272506172929" TargetMode="External" Id="rId70" /><Relationship Type="http://schemas.openxmlformats.org/officeDocument/2006/relationships/hyperlink" Target="https://wilkinsmedia.app.box.com/file/2177923796616" TargetMode="External" Id="rId71" /><Relationship Type="http://schemas.openxmlformats.org/officeDocument/2006/relationships/hyperlink" Target="https://wilkinsmedia.app.box.com/folder/272506172929" TargetMode="External" Id="rId72" /><Relationship Type="http://schemas.openxmlformats.org/officeDocument/2006/relationships/hyperlink" Target="https://wilkinsmedia.app.box.com/file/2177923796616" TargetMode="External" Id="rId73" /><Relationship Type="http://schemas.openxmlformats.org/officeDocument/2006/relationships/hyperlink" Target="https://wilkinsmedia.app.box.com/folder/272506172929" TargetMode="External" Id="rId74" /><Relationship Type="http://schemas.openxmlformats.org/officeDocument/2006/relationships/hyperlink" Target="https://wilkinsmedia.app.box.com/file/2177923796616" TargetMode="External" Id="rId75" /><Relationship Type="http://schemas.openxmlformats.org/officeDocument/2006/relationships/hyperlink" Target="https://wilkinsmedia.app.box.com/folder/272506172929" TargetMode="External" Id="rId76" /><Relationship Type="http://schemas.openxmlformats.org/officeDocument/2006/relationships/hyperlink" Target="https://wilkinsmedia.app.box.com/file/2177923796616" TargetMode="External" Id="rId77" /><Relationship Type="http://schemas.openxmlformats.org/officeDocument/2006/relationships/hyperlink" Target="https://wilkinsmedia.app.box.com/folder/272506172929" TargetMode="External" Id="rId78" /><Relationship Type="http://schemas.openxmlformats.org/officeDocument/2006/relationships/hyperlink" Target="https://wilkinsmedia.app.box.com/file/2177923796616" TargetMode="External" Id="rId79" /><Relationship Type="http://schemas.openxmlformats.org/officeDocument/2006/relationships/hyperlink" Target="https://wilkinsmedia.app.box.com/folder/272506172929" TargetMode="External" Id="rId80" /><Relationship Type="http://schemas.openxmlformats.org/officeDocument/2006/relationships/hyperlink" Target="https://wilkinsmedia.app.box.com/file/2177923796616" TargetMode="External" Id="rId81" /><Relationship Type="http://schemas.openxmlformats.org/officeDocument/2006/relationships/hyperlink" Target="https://wilkinsmedia.app.box.com/folder/272506172929" TargetMode="External" Id="rId82" /><Relationship Type="http://schemas.openxmlformats.org/officeDocument/2006/relationships/hyperlink" Target="https://wilkinsmedia.app.box.com/file/2177923796616" TargetMode="External" Id="rId83" /><Relationship Type="http://schemas.openxmlformats.org/officeDocument/2006/relationships/hyperlink" Target="https://wilkinsmedia.app.box.com/folder/272506172929" TargetMode="External" Id="rId84" /><Relationship Type="http://schemas.openxmlformats.org/officeDocument/2006/relationships/hyperlink" Target="https://wilkinsmedia.app.box.com/file/2177923796616" TargetMode="External" Id="rId85" /><Relationship Type="http://schemas.openxmlformats.org/officeDocument/2006/relationships/hyperlink" Target="https://wilkinsmedia.app.box.com/folder/272506172929" TargetMode="External" Id="rId86" /><Relationship Type="http://schemas.openxmlformats.org/officeDocument/2006/relationships/hyperlink" Target="https://wilkinsmedia.app.box.com/file/2177923796616" TargetMode="External" Id="rId87" /><Relationship Type="http://schemas.openxmlformats.org/officeDocument/2006/relationships/hyperlink" Target="https://wilkinsmedia.app.box.com/folder/272506172929" TargetMode="External" Id="rId88" /><Relationship Type="http://schemas.openxmlformats.org/officeDocument/2006/relationships/hyperlink" Target="https://wilkinsmedia.app.box.com/file/2177923796616" TargetMode="External" Id="rId89" /><Relationship Type="http://schemas.openxmlformats.org/officeDocument/2006/relationships/hyperlink" Target="https://wilkinsmedia.app.box.com/folder/272506172929" TargetMode="External" Id="rId90" /><Relationship Type="http://schemas.openxmlformats.org/officeDocument/2006/relationships/hyperlink" Target="https://wilkinsmedia.app.box.com/file/2177923796616" TargetMode="External" Id="rId91" /><Relationship Type="http://schemas.openxmlformats.org/officeDocument/2006/relationships/hyperlink" Target="https://wilkinsmedia.app.box.com/folder/272506172929" TargetMode="External" Id="rId92" /><Relationship Type="http://schemas.openxmlformats.org/officeDocument/2006/relationships/hyperlink" Target="https://wilkinsmedia.app.box.com/file/2177923796616" TargetMode="External" Id="rId93" /><Relationship Type="http://schemas.openxmlformats.org/officeDocument/2006/relationships/hyperlink" Target="https://wilkinsmedia.app.box.com/folder/272506172929" TargetMode="External" Id="rId94" /><Relationship Type="http://schemas.openxmlformats.org/officeDocument/2006/relationships/hyperlink" Target="https://wilkinsmedia.app.box.com/file/2316145082142" TargetMode="External" Id="rId95" /><Relationship Type="http://schemas.openxmlformats.org/officeDocument/2006/relationships/hyperlink" Target="https://wilkinsmedia.app.box.com/folder/285554087050" TargetMode="External" Id="rId96" /><Relationship Type="http://schemas.openxmlformats.org/officeDocument/2006/relationships/hyperlink" Target="https://wilkinsmedia.app.box.com/file/2316145082142" TargetMode="External" Id="rId97" /><Relationship Type="http://schemas.openxmlformats.org/officeDocument/2006/relationships/hyperlink" Target="https://wilkinsmedia.app.box.com/folder/285554087050" TargetMode="External" Id="rId98" /><Relationship Type="http://schemas.openxmlformats.org/officeDocument/2006/relationships/hyperlink" Target="https://wilkinsmedia.app.box.com/file/2316145082142" TargetMode="External" Id="rId99" /><Relationship Type="http://schemas.openxmlformats.org/officeDocument/2006/relationships/hyperlink" Target="https://wilkinsmedia.app.box.com/folder/285554087050" TargetMode="External" Id="rId100" /><Relationship Type="http://schemas.openxmlformats.org/officeDocument/2006/relationships/hyperlink" Target="https://wilkinsmedia.app.box.com/file/2316145082142" TargetMode="External" Id="rId101" /><Relationship Type="http://schemas.openxmlformats.org/officeDocument/2006/relationships/hyperlink" Target="https://wilkinsmedia.app.box.com/folder/285554087050" TargetMode="External" Id="rId102" /><Relationship Type="http://schemas.openxmlformats.org/officeDocument/2006/relationships/hyperlink" Target="https://wilkinsmedia.app.box.com/file/2316145082142" TargetMode="External" Id="rId103" /><Relationship Type="http://schemas.openxmlformats.org/officeDocument/2006/relationships/hyperlink" Target="https://wilkinsmedia.app.box.com/folder/285554087050" TargetMode="External" Id="rId104" /><Relationship Type="http://schemas.openxmlformats.org/officeDocument/2006/relationships/hyperlink" Target="https://wilkinsmedia.app.box.com/file/2346860552878" TargetMode="External" Id="rId105" /><Relationship Type="http://schemas.openxmlformats.org/officeDocument/2006/relationships/hyperlink" Target="https://wilkinsmedia.app.box.com/folder/156911026376" TargetMode="External" Id="rId106" /><Relationship Type="http://schemas.openxmlformats.org/officeDocument/2006/relationships/hyperlink" Target="https://wilkinsmedia.app.box.com/file/2346860552878" TargetMode="External" Id="rId107" /><Relationship Type="http://schemas.openxmlformats.org/officeDocument/2006/relationships/hyperlink" Target="https://wilkinsmedia.app.box.com/folder/156911026376" TargetMode="External" Id="rId108" /><Relationship Type="http://schemas.openxmlformats.org/officeDocument/2006/relationships/hyperlink" Target="https://wilkinsmedia.app.box.com/file/2346860552878" TargetMode="External" Id="rId109" /><Relationship Type="http://schemas.openxmlformats.org/officeDocument/2006/relationships/hyperlink" Target="https://wilkinsmedia.app.box.com/folder/156911026376" TargetMode="External" Id="rId110" /><Relationship Type="http://schemas.openxmlformats.org/officeDocument/2006/relationships/hyperlink" Target="https://wilkinsmedia.app.box.com/file/2346860552878" TargetMode="External" Id="rId111" /><Relationship Type="http://schemas.openxmlformats.org/officeDocument/2006/relationships/hyperlink" Target="https://wilkinsmedia.app.box.com/folder/156911026376" TargetMode="External" Id="rId112" /><Relationship Type="http://schemas.openxmlformats.org/officeDocument/2006/relationships/hyperlink" Target="https://wilkinsmedia.app.box.com/file/2346860552878" TargetMode="External" Id="rId113" /><Relationship Type="http://schemas.openxmlformats.org/officeDocument/2006/relationships/hyperlink" Target="https://wilkinsmedia.app.box.com/folder/156911026376" TargetMode="External" Id="rId114" /><Relationship Type="http://schemas.openxmlformats.org/officeDocument/2006/relationships/hyperlink" Target="https://wilkinsmedia.app.box.com/file/2346860552878" TargetMode="External" Id="rId115" /><Relationship Type="http://schemas.openxmlformats.org/officeDocument/2006/relationships/hyperlink" Target="https://wilkinsmedia.app.box.com/folder/156911026376" TargetMode="External" Id="rId116" /><Relationship Type="http://schemas.openxmlformats.org/officeDocument/2006/relationships/hyperlink" Target="https://wilkinsmedia.app.box.com/file/2346860552878" TargetMode="External" Id="rId117" /><Relationship Type="http://schemas.openxmlformats.org/officeDocument/2006/relationships/hyperlink" Target="https://wilkinsmedia.app.box.com/folder/156911026376" TargetMode="External" Id="rId118" /><Relationship Type="http://schemas.openxmlformats.org/officeDocument/2006/relationships/hyperlink" Target="https://wilkinsmedia.app.box.com/file/2346860552878" TargetMode="External" Id="rId119" /><Relationship Type="http://schemas.openxmlformats.org/officeDocument/2006/relationships/hyperlink" Target="https://wilkinsmedia.app.box.com/folder/156911026376" TargetMode="External" Id="rId120" /><Relationship Type="http://schemas.openxmlformats.org/officeDocument/2006/relationships/hyperlink" Target="https://wilkinsmedia.app.box.com/file/2346860552878" TargetMode="External" Id="rId121" /><Relationship Type="http://schemas.openxmlformats.org/officeDocument/2006/relationships/hyperlink" Target="https://wilkinsmedia.app.box.com/folder/156911026376" TargetMode="External" Id="rId122" /><Relationship Type="http://schemas.openxmlformats.org/officeDocument/2006/relationships/hyperlink" Target="https://wilkinsmedia.app.box.com/file/2346860552878" TargetMode="External" Id="rId123" /><Relationship Type="http://schemas.openxmlformats.org/officeDocument/2006/relationships/hyperlink" Target="https://wilkinsmedia.app.box.com/folder/156911026376" TargetMode="External" Id="rId124" /><Relationship Type="http://schemas.openxmlformats.org/officeDocument/2006/relationships/hyperlink" Target="https://wilkinsmedia.app.box.com/file/2346860552878" TargetMode="External" Id="rId125" /><Relationship Type="http://schemas.openxmlformats.org/officeDocument/2006/relationships/hyperlink" Target="https://wilkinsmedia.app.box.com/folder/156911026376" TargetMode="External" Id="rId126" /><Relationship Type="http://schemas.openxmlformats.org/officeDocument/2006/relationships/hyperlink" Target="https://wilkinsmedia.app.box.com/file/2346860552878" TargetMode="External" Id="rId127" /><Relationship Type="http://schemas.openxmlformats.org/officeDocument/2006/relationships/hyperlink" Target="https://wilkinsmedia.app.box.com/folder/156911026376" TargetMode="External" Id="rId128" /><Relationship Type="http://schemas.openxmlformats.org/officeDocument/2006/relationships/hyperlink" Target="https://wilkinsmedia.app.box.com/file/2346860552878" TargetMode="External" Id="rId129" /><Relationship Type="http://schemas.openxmlformats.org/officeDocument/2006/relationships/hyperlink" Target="https://wilkinsmedia.app.box.com/folder/156911026376" TargetMode="External" Id="rId130" /><Relationship Type="http://schemas.openxmlformats.org/officeDocument/2006/relationships/hyperlink" Target="https://wilkinsmedia.app.box.com/file/2346860552878" TargetMode="External" Id="rId131" /><Relationship Type="http://schemas.openxmlformats.org/officeDocument/2006/relationships/hyperlink" Target="https://wilkinsmedia.app.box.com/folder/156911026376" TargetMode="External" Id="rId132" /><Relationship Type="http://schemas.openxmlformats.org/officeDocument/2006/relationships/hyperlink" Target="https://wilkinsmedia.app.box.com/file/2346860552878" TargetMode="External" Id="rId133" /><Relationship Type="http://schemas.openxmlformats.org/officeDocument/2006/relationships/hyperlink" Target="https://wilkinsmedia.app.box.com/folder/156911026376" TargetMode="External" Id="rId134" /><Relationship Type="http://schemas.openxmlformats.org/officeDocument/2006/relationships/hyperlink" Target="https://wilkinsmedia.app.box.com/file/2346860552878" TargetMode="External" Id="rId135" /><Relationship Type="http://schemas.openxmlformats.org/officeDocument/2006/relationships/hyperlink" Target="https://wilkinsmedia.app.box.com/folder/156911026376" TargetMode="External" Id="rId136" /><Relationship Type="http://schemas.openxmlformats.org/officeDocument/2006/relationships/hyperlink" Target="https://wilkinsmedia.app.box.com/file/2177923796616" TargetMode="External" Id="rId137" /><Relationship Type="http://schemas.openxmlformats.org/officeDocument/2006/relationships/hyperlink" Target="https://wilkinsmedia.app.box.com/folder/272506172929" TargetMode="External" Id="rId138" /><Relationship Type="http://schemas.openxmlformats.org/officeDocument/2006/relationships/hyperlink" Target="https://wilkinsmedia.app.box.com/file/2483824194632" TargetMode="External" Id="rId139" /><Relationship Type="http://schemas.openxmlformats.org/officeDocument/2006/relationships/hyperlink" Target="https://wilkinsmedia.app.box.com/folder/262537269037" TargetMode="External" Id="rId140" /><Relationship Type="http://schemas.openxmlformats.org/officeDocument/2006/relationships/hyperlink" Target="https://wilkinsmedia.app.box.com/file/2483824194632" TargetMode="External" Id="rId141" /><Relationship Type="http://schemas.openxmlformats.org/officeDocument/2006/relationships/hyperlink" Target="https://wilkinsmedia.app.box.com/folder/262537269037" TargetMode="External" Id="rId142" /><Relationship Type="http://schemas.openxmlformats.org/officeDocument/2006/relationships/hyperlink" Target="https://wilkinsmedia.app.box.com/file/2483824194632" TargetMode="External" Id="rId143" /><Relationship Type="http://schemas.openxmlformats.org/officeDocument/2006/relationships/hyperlink" Target="https://wilkinsmedia.app.box.com/folder/262537269037" TargetMode="External" Id="rId144" /><Relationship Type="http://schemas.openxmlformats.org/officeDocument/2006/relationships/hyperlink" Target="https://wilkinsmedia.app.box.com/file/2483824194632" TargetMode="External" Id="rId145" /><Relationship Type="http://schemas.openxmlformats.org/officeDocument/2006/relationships/hyperlink" Target="https://wilkinsmedia.app.box.com/folder/262537269037" TargetMode="External" Id="rId146" /><Relationship Type="http://schemas.openxmlformats.org/officeDocument/2006/relationships/hyperlink" Target="https://wilkinsmedia.app.box.com/file/2483824194632" TargetMode="External" Id="rId147" /><Relationship Type="http://schemas.openxmlformats.org/officeDocument/2006/relationships/hyperlink" Target="https://wilkinsmedia.app.box.com/folder/262537269037" TargetMode="External" Id="rId148" /><Relationship Type="http://schemas.openxmlformats.org/officeDocument/2006/relationships/hyperlink" Target="https://wilkinsmedia.app.box.com/file/2483824194632" TargetMode="External" Id="rId149" /><Relationship Type="http://schemas.openxmlformats.org/officeDocument/2006/relationships/hyperlink" Target="https://wilkinsmedia.app.box.com/folder/262537269037" TargetMode="External" Id="rId150" /><Relationship Type="http://schemas.openxmlformats.org/officeDocument/2006/relationships/hyperlink" Target="https://wilkinsmedia.app.box.com/file/2483824194632" TargetMode="External" Id="rId151" /><Relationship Type="http://schemas.openxmlformats.org/officeDocument/2006/relationships/hyperlink" Target="https://wilkinsmedia.app.box.com/folder/262537269037" TargetMode="External" Id="rId152" /><Relationship Type="http://schemas.openxmlformats.org/officeDocument/2006/relationships/hyperlink" Target="https://wilkinsmedia.app.box.com/file/2483824194632" TargetMode="External" Id="rId153" /><Relationship Type="http://schemas.openxmlformats.org/officeDocument/2006/relationships/hyperlink" Target="https://wilkinsmedia.app.box.com/folder/262537269037" TargetMode="External" Id="rId154" /><Relationship Type="http://schemas.openxmlformats.org/officeDocument/2006/relationships/hyperlink" Target="https://wilkinsmedia.app.box.com/file/2483824194632" TargetMode="External" Id="rId155" /><Relationship Type="http://schemas.openxmlformats.org/officeDocument/2006/relationships/hyperlink" Target="https://wilkinsmedia.app.box.com/folder/262537269037" TargetMode="External" Id="rId156" /><Relationship Type="http://schemas.openxmlformats.org/officeDocument/2006/relationships/hyperlink" Target="https://wilkinsmedia.app.box.com/file/2483824194632" TargetMode="External" Id="rId157" /><Relationship Type="http://schemas.openxmlformats.org/officeDocument/2006/relationships/hyperlink" Target="https://wilkinsmedia.app.box.com/folder/262537269037" TargetMode="External" Id="rId158" /><Relationship Type="http://schemas.openxmlformats.org/officeDocument/2006/relationships/hyperlink" Target="https://wilkinsmedia.app.box.com/file/2483824194632" TargetMode="External" Id="rId159" /><Relationship Type="http://schemas.openxmlformats.org/officeDocument/2006/relationships/hyperlink" Target="https://wilkinsmedia.app.box.com/folder/262537269037" TargetMode="External" Id="rId160" /><Relationship Type="http://schemas.openxmlformats.org/officeDocument/2006/relationships/hyperlink" Target="https://wilkinsmedia.app.box.com/file/2483824194632" TargetMode="External" Id="rId161" /><Relationship Type="http://schemas.openxmlformats.org/officeDocument/2006/relationships/hyperlink" Target="https://wilkinsmedia.app.box.com/folder/262537269037" TargetMode="External" Id="rId162" /><Relationship Type="http://schemas.openxmlformats.org/officeDocument/2006/relationships/hyperlink" Target="https://wilkinsmedia.app.box.com/file/2483824194632" TargetMode="External" Id="rId163" /><Relationship Type="http://schemas.openxmlformats.org/officeDocument/2006/relationships/hyperlink" Target="https://wilkinsmedia.app.box.com/folder/262537269037" TargetMode="External" Id="rId164" /><Relationship Type="http://schemas.openxmlformats.org/officeDocument/2006/relationships/hyperlink" Target="https://wilkinsmedia.app.box.com/file/2483824194632" TargetMode="External" Id="rId165" /><Relationship Type="http://schemas.openxmlformats.org/officeDocument/2006/relationships/hyperlink" Target="https://wilkinsmedia.app.box.com/folder/262537269037" TargetMode="External" Id="rId166" /><Relationship Type="http://schemas.openxmlformats.org/officeDocument/2006/relationships/hyperlink" Target="https://wilkinsmedia.app.box.com/file/2483824194632" TargetMode="External" Id="rId167" /><Relationship Type="http://schemas.openxmlformats.org/officeDocument/2006/relationships/hyperlink" Target="https://wilkinsmedia.app.box.com/folder/262537269037" TargetMode="External" Id="rId168" /><Relationship Type="http://schemas.openxmlformats.org/officeDocument/2006/relationships/hyperlink" Target="https://wilkinsmedia.app.box.com/file/2483824194632" TargetMode="External" Id="rId169" /><Relationship Type="http://schemas.openxmlformats.org/officeDocument/2006/relationships/hyperlink" Target="https://wilkinsmedia.app.box.com/folder/262537269037" TargetMode="External" Id="rId170" /><Relationship Type="http://schemas.openxmlformats.org/officeDocument/2006/relationships/hyperlink" Target="https://wilkinsmedia.app.box.com/file/2483824194632" TargetMode="External" Id="rId171" /><Relationship Type="http://schemas.openxmlformats.org/officeDocument/2006/relationships/hyperlink" Target="https://wilkinsmedia.app.box.com/folder/262537269037" TargetMode="External" Id="rId172" /><Relationship Type="http://schemas.openxmlformats.org/officeDocument/2006/relationships/hyperlink" Target="https://wilkinsmedia.app.box.com/file/2483824194632" TargetMode="External" Id="rId173" /><Relationship Type="http://schemas.openxmlformats.org/officeDocument/2006/relationships/hyperlink" Target="https://wilkinsmedia.app.box.com/folder/262537269037" TargetMode="External" Id="rId174" /><Relationship Type="http://schemas.openxmlformats.org/officeDocument/2006/relationships/hyperlink" Target="https://wilkinsmedia.app.box.com/file/2483824194632" TargetMode="External" Id="rId175" /><Relationship Type="http://schemas.openxmlformats.org/officeDocument/2006/relationships/hyperlink" Target="https://wilkinsmedia.app.box.com/folder/262537269037" TargetMode="External" Id="rId176" /><Relationship Type="http://schemas.openxmlformats.org/officeDocument/2006/relationships/hyperlink" Target="https://wilkinsmedia.app.box.com/file/2260660324740" TargetMode="External" Id="rId177" /><Relationship Type="http://schemas.openxmlformats.org/officeDocument/2006/relationships/hyperlink" Target="https://wilkinsmedia.app.box.com/folder/288647543754" TargetMode="External" Id="rId178" /><Relationship Type="http://schemas.openxmlformats.org/officeDocument/2006/relationships/hyperlink" Target="https://wilkinsmedia.app.box.com/file/2260660324740" TargetMode="External" Id="rId179" /><Relationship Type="http://schemas.openxmlformats.org/officeDocument/2006/relationships/hyperlink" Target="https://wilkinsmedia.app.box.com/folder/288647543754" TargetMode="External" Id="rId180" /><Relationship Type="http://schemas.openxmlformats.org/officeDocument/2006/relationships/hyperlink" Target="https://wilkinsmedia.app.box.com/file/2260660324740" TargetMode="External" Id="rId181" /><Relationship Type="http://schemas.openxmlformats.org/officeDocument/2006/relationships/hyperlink" Target="https://wilkinsmedia.app.box.com/folder/288647543754" TargetMode="External" Id="rId182" /><Relationship Type="http://schemas.openxmlformats.org/officeDocument/2006/relationships/hyperlink" Target="https://wilkinsmedia.app.box.com/file/2272105250210" TargetMode="External" Id="rId183" /><Relationship Type="http://schemas.openxmlformats.org/officeDocument/2006/relationships/hyperlink" Target="https://wilkinsmedia.app.box.com/folder/298951873504" TargetMode="External" Id="rId184" /><Relationship Type="http://schemas.openxmlformats.org/officeDocument/2006/relationships/hyperlink" Target="https://wilkinsmedia.app.box.com/file/2272105250210" TargetMode="External" Id="rId185" /><Relationship Type="http://schemas.openxmlformats.org/officeDocument/2006/relationships/hyperlink" Target="https://wilkinsmedia.app.box.com/folder/298951873504" TargetMode="External" Id="rId186" /><Relationship Type="http://schemas.openxmlformats.org/officeDocument/2006/relationships/hyperlink" Target="https://wilkinsmedia.app.box.com/file/2272105250210" TargetMode="External" Id="rId187" /><Relationship Type="http://schemas.openxmlformats.org/officeDocument/2006/relationships/hyperlink" Target="https://wilkinsmedia.app.box.com/folder/298951873504" TargetMode="External" Id="rId188" /><Relationship Type="http://schemas.openxmlformats.org/officeDocument/2006/relationships/hyperlink" Target="https://wilkinsmedia.app.box.com/file/2177923796616" TargetMode="External" Id="rId189" /><Relationship Type="http://schemas.openxmlformats.org/officeDocument/2006/relationships/hyperlink" Target="https://wilkinsmedia.app.box.com/folder/272506172929" TargetMode="External" Id="rId190" /><Relationship Type="http://schemas.openxmlformats.org/officeDocument/2006/relationships/hyperlink" Target="https://wilkinsmedia.app.box.com/file/2102845979094" TargetMode="External" Id="rId191" /><Relationship Type="http://schemas.openxmlformats.org/officeDocument/2006/relationships/hyperlink" Target="https://wilkinsmedia.app.box.com/folder/178715388205" TargetMode="External" Id="rId192" /><Relationship Type="http://schemas.openxmlformats.org/officeDocument/2006/relationships/hyperlink" Target="https://wilkinsmedia.app.box.com/file/2102845979094" TargetMode="External" Id="rId193" /><Relationship Type="http://schemas.openxmlformats.org/officeDocument/2006/relationships/hyperlink" Target="https://wilkinsmedia.app.box.com/folder/178715388205" TargetMode="External" Id="rId194" /><Relationship Type="http://schemas.openxmlformats.org/officeDocument/2006/relationships/hyperlink" Target="https://wilkinsmedia.app.box.com/file/2102845979094" TargetMode="External" Id="rId195" /><Relationship Type="http://schemas.openxmlformats.org/officeDocument/2006/relationships/hyperlink" Target="https://wilkinsmedia.app.box.com/folder/178715388205" TargetMode="External" Id="rId196" /><Relationship Type="http://schemas.openxmlformats.org/officeDocument/2006/relationships/hyperlink" Target="https://wilkinsmedia.app.box.com/file/2102845979094" TargetMode="External" Id="rId197" /><Relationship Type="http://schemas.openxmlformats.org/officeDocument/2006/relationships/hyperlink" Target="https://wilkinsmedia.app.box.com/folder/178715388205" TargetMode="External" Id="rId198" /><Relationship Type="http://schemas.openxmlformats.org/officeDocument/2006/relationships/hyperlink" Target="https://wilkinsmedia.app.box.com/file/2102845979094" TargetMode="External" Id="rId199" /><Relationship Type="http://schemas.openxmlformats.org/officeDocument/2006/relationships/hyperlink" Target="https://wilkinsmedia.app.box.com/folder/178715388205" TargetMode="External" Id="rId200" /><Relationship Type="http://schemas.openxmlformats.org/officeDocument/2006/relationships/hyperlink" Target="https://wilkinsmedia.app.box.com/file/2102845979094" TargetMode="External" Id="rId201" /><Relationship Type="http://schemas.openxmlformats.org/officeDocument/2006/relationships/hyperlink" Target="https://wilkinsmedia.app.box.com/folder/178715388205" TargetMode="External" Id="rId202" /><Relationship Type="http://schemas.openxmlformats.org/officeDocument/2006/relationships/hyperlink" Target="https://wilkinsmedia.app.box.com/file/2102845979094" TargetMode="External" Id="rId203" /><Relationship Type="http://schemas.openxmlformats.org/officeDocument/2006/relationships/hyperlink" Target="https://wilkinsmedia.app.box.com/folder/178715388205" TargetMode="External" Id="rId204" /><Relationship Type="http://schemas.openxmlformats.org/officeDocument/2006/relationships/hyperlink" Target="https://wilkinsmedia.app.box.com/file/2102845979094" TargetMode="External" Id="rId205" /><Relationship Type="http://schemas.openxmlformats.org/officeDocument/2006/relationships/hyperlink" Target="https://wilkinsmedia.app.box.com/folder/178715388205" TargetMode="External" Id="rId206" /><Relationship Type="http://schemas.openxmlformats.org/officeDocument/2006/relationships/hyperlink" Target="https://wilkinsmedia.app.box.com/file/2102845979094" TargetMode="External" Id="rId207" /><Relationship Type="http://schemas.openxmlformats.org/officeDocument/2006/relationships/hyperlink" Target="https://wilkinsmedia.app.box.com/folder/178715388205" TargetMode="External" Id="rId208" /><Relationship Type="http://schemas.openxmlformats.org/officeDocument/2006/relationships/hyperlink" Target="https://wilkinsmedia.app.box.com/file/2102845979094" TargetMode="External" Id="rId209" /><Relationship Type="http://schemas.openxmlformats.org/officeDocument/2006/relationships/hyperlink" Target="https://wilkinsmedia.app.box.com/folder/178715388205" TargetMode="External" Id="rId210" /><Relationship Type="http://schemas.openxmlformats.org/officeDocument/2006/relationships/hyperlink" Target="https://wilkinsmedia.app.box.com/file/2102845979094" TargetMode="External" Id="rId211" /><Relationship Type="http://schemas.openxmlformats.org/officeDocument/2006/relationships/hyperlink" Target="https://wilkinsmedia.app.box.com/folder/178715388205" TargetMode="External" Id="rId212" /><Relationship Type="http://schemas.openxmlformats.org/officeDocument/2006/relationships/hyperlink" Target="https://wilkinsmedia.app.box.com/file/2102845979094" TargetMode="External" Id="rId213" /><Relationship Type="http://schemas.openxmlformats.org/officeDocument/2006/relationships/hyperlink" Target="https://wilkinsmedia.app.box.com/folder/178715388205" TargetMode="External" Id="rId214" /><Relationship Type="http://schemas.openxmlformats.org/officeDocument/2006/relationships/hyperlink" Target="https://wilkinsmedia.app.box.com/file/1891919831917" TargetMode="External" Id="rId215" /><Relationship Type="http://schemas.openxmlformats.org/officeDocument/2006/relationships/hyperlink" Target="https://wilkinsmedia.app.box.com/folder/178602497237" TargetMode="External" Id="rId216" /><Relationship Type="http://schemas.openxmlformats.org/officeDocument/2006/relationships/hyperlink" Target="https://wilkinsmedia.app.box.com/file/1891919831917" TargetMode="External" Id="rId217" /><Relationship Type="http://schemas.openxmlformats.org/officeDocument/2006/relationships/hyperlink" Target="https://wilkinsmedia.app.box.com/folder/178602497237" TargetMode="External" Id="rId218" /><Relationship Type="http://schemas.openxmlformats.org/officeDocument/2006/relationships/hyperlink" Target="https://wilkinsmedia.app.box.com/file/1891919831917" TargetMode="External" Id="rId219" /><Relationship Type="http://schemas.openxmlformats.org/officeDocument/2006/relationships/hyperlink" Target="https://wilkinsmedia.app.box.com/folder/178602497237" TargetMode="External" Id="rId220" /><Relationship Type="http://schemas.openxmlformats.org/officeDocument/2006/relationships/hyperlink" Target="https://wilkinsmedia.app.box.com/file/1891919831917" TargetMode="External" Id="rId221" /><Relationship Type="http://schemas.openxmlformats.org/officeDocument/2006/relationships/hyperlink" Target="https://wilkinsmedia.app.box.com/folder/178602497237" TargetMode="External" Id="rId222" /><Relationship Type="http://schemas.openxmlformats.org/officeDocument/2006/relationships/hyperlink" Target="https://wilkinsmedia.app.box.com/file/1891919831917" TargetMode="External" Id="rId223" /><Relationship Type="http://schemas.openxmlformats.org/officeDocument/2006/relationships/hyperlink" Target="https://wilkinsmedia.app.box.com/folder/178602497237" TargetMode="External" Id="rId224" /><Relationship Type="http://schemas.openxmlformats.org/officeDocument/2006/relationships/hyperlink" Target="https://wilkinsmedia.app.box.com/file/1891919831917" TargetMode="External" Id="rId225" /><Relationship Type="http://schemas.openxmlformats.org/officeDocument/2006/relationships/hyperlink" Target="https://wilkinsmedia.app.box.com/folder/178602497237" TargetMode="External" Id="rId226" /><Relationship Type="http://schemas.openxmlformats.org/officeDocument/2006/relationships/hyperlink" Target="https://wilkinsmedia.app.box.com/file/1891919831917" TargetMode="External" Id="rId227" /><Relationship Type="http://schemas.openxmlformats.org/officeDocument/2006/relationships/hyperlink" Target="https://wilkinsmedia.app.box.com/folder/178602497237" TargetMode="External" Id="rId228" /><Relationship Type="http://schemas.openxmlformats.org/officeDocument/2006/relationships/hyperlink" Target="https://wilkinsmedia.app.box.com/file/2417201714205" TargetMode="External" Id="rId229" /><Relationship Type="http://schemas.openxmlformats.org/officeDocument/2006/relationships/hyperlink" Target="https://wilkinsmedia.app.box.com/folder/178606484286" TargetMode="External" Id="rId230" /><Relationship Type="http://schemas.openxmlformats.org/officeDocument/2006/relationships/hyperlink" Target="https://wilkinsmedia.app.box.com/file/2417201714205" TargetMode="External" Id="rId231" /><Relationship Type="http://schemas.openxmlformats.org/officeDocument/2006/relationships/hyperlink" Target="https://wilkinsmedia.app.box.com/folder/178606484286" TargetMode="External" Id="rId232" /><Relationship Type="http://schemas.openxmlformats.org/officeDocument/2006/relationships/hyperlink" Target="https://wilkinsmedia.app.box.com/file/2417201714205" TargetMode="External" Id="rId233" /><Relationship Type="http://schemas.openxmlformats.org/officeDocument/2006/relationships/hyperlink" Target="https://wilkinsmedia.app.box.com/folder/178606484286" TargetMode="External" Id="rId234" /><Relationship Type="http://schemas.openxmlformats.org/officeDocument/2006/relationships/hyperlink" Target="https://wilkinsmedia.app.box.com/file/2417201714205" TargetMode="External" Id="rId235" /><Relationship Type="http://schemas.openxmlformats.org/officeDocument/2006/relationships/hyperlink" Target="https://wilkinsmedia.app.box.com/folder/178606484286" TargetMode="External" Id="rId236" /><Relationship Type="http://schemas.openxmlformats.org/officeDocument/2006/relationships/hyperlink" Target="https://wilkinsmedia.app.box.com/file/2417201714205" TargetMode="External" Id="rId237" /><Relationship Type="http://schemas.openxmlformats.org/officeDocument/2006/relationships/hyperlink" Target="https://wilkinsmedia.app.box.com/folder/178606484286" TargetMode="External" Id="rId238" /><Relationship Type="http://schemas.openxmlformats.org/officeDocument/2006/relationships/hyperlink" Target="https://wilkinsmedia.app.box.com/file/2417201714205" TargetMode="External" Id="rId239" /><Relationship Type="http://schemas.openxmlformats.org/officeDocument/2006/relationships/hyperlink" Target="https://wilkinsmedia.app.box.com/folder/178606484286" TargetMode="External" Id="rId240" /><Relationship Type="http://schemas.openxmlformats.org/officeDocument/2006/relationships/hyperlink" Target="https://wilkinsmedia.app.box.com/file/2417201714205" TargetMode="External" Id="rId241" /><Relationship Type="http://schemas.openxmlformats.org/officeDocument/2006/relationships/hyperlink" Target="https://wilkinsmedia.app.box.com/folder/178606484286" TargetMode="External" Id="rId242" /><Relationship Type="http://schemas.openxmlformats.org/officeDocument/2006/relationships/hyperlink" Target="https://wilkinsmedia.app.box.com/file/2417201714205" TargetMode="External" Id="rId243" /><Relationship Type="http://schemas.openxmlformats.org/officeDocument/2006/relationships/hyperlink" Target="https://wilkinsmedia.app.box.com/folder/178606484286" TargetMode="External" Id="rId244" /><Relationship Type="http://schemas.openxmlformats.org/officeDocument/2006/relationships/hyperlink" Target="https://wilkinsmedia.app.box.com/file/2417201714205" TargetMode="External" Id="rId245" /><Relationship Type="http://schemas.openxmlformats.org/officeDocument/2006/relationships/hyperlink" Target="https://wilkinsmedia.app.box.com/folder/178606484286" TargetMode="External" Id="rId246" /><Relationship Type="http://schemas.openxmlformats.org/officeDocument/2006/relationships/hyperlink" Target="https://wilkinsmedia.app.box.com/file/2417201714205" TargetMode="External" Id="rId247" /><Relationship Type="http://schemas.openxmlformats.org/officeDocument/2006/relationships/hyperlink" Target="https://wilkinsmedia.app.box.com/folder/178606484286" TargetMode="External" Id="rId248" /><Relationship Type="http://schemas.openxmlformats.org/officeDocument/2006/relationships/hyperlink" Target="https://wilkinsmedia.app.box.com/file/2417201714205" TargetMode="External" Id="rId249" /><Relationship Type="http://schemas.openxmlformats.org/officeDocument/2006/relationships/hyperlink" Target="https://wilkinsmedia.app.box.com/folder/178606484286" TargetMode="External" Id="rId250" /><Relationship Type="http://schemas.openxmlformats.org/officeDocument/2006/relationships/hyperlink" Target="https://wilkinsmedia.app.box.com/file/2417201714205" TargetMode="External" Id="rId251" /><Relationship Type="http://schemas.openxmlformats.org/officeDocument/2006/relationships/hyperlink" Target="https://wilkinsmedia.app.box.com/folder/178606484286" TargetMode="External" Id="rId252" /><Relationship Type="http://schemas.openxmlformats.org/officeDocument/2006/relationships/hyperlink" Target="https://wilkinsmedia.app.box.com/file/2417201714205" TargetMode="External" Id="rId253" /><Relationship Type="http://schemas.openxmlformats.org/officeDocument/2006/relationships/hyperlink" Target="https://wilkinsmedia.app.box.com/folder/178606484286" TargetMode="External" Id="rId254" /><Relationship Type="http://schemas.openxmlformats.org/officeDocument/2006/relationships/hyperlink" Target="https://wilkinsmedia.app.box.com/file/2417201714205" TargetMode="External" Id="rId255" /><Relationship Type="http://schemas.openxmlformats.org/officeDocument/2006/relationships/hyperlink" Target="https://wilkinsmedia.app.box.com/folder/178606484286" TargetMode="External" Id="rId256" /><Relationship Type="http://schemas.openxmlformats.org/officeDocument/2006/relationships/hyperlink" Target="https://wilkinsmedia.app.box.com/file/2417201714205" TargetMode="External" Id="rId257" /><Relationship Type="http://schemas.openxmlformats.org/officeDocument/2006/relationships/hyperlink" Target="https://wilkinsmedia.app.box.com/folder/178606484286" TargetMode="External" Id="rId258" /><Relationship Type="http://schemas.openxmlformats.org/officeDocument/2006/relationships/hyperlink" Target="https://wilkinsmedia.app.box.com/file/2417201714205" TargetMode="External" Id="rId259" /><Relationship Type="http://schemas.openxmlformats.org/officeDocument/2006/relationships/hyperlink" Target="https://wilkinsmedia.app.box.com/folder/178606484286" TargetMode="External" Id="rId260" /><Relationship Type="http://schemas.openxmlformats.org/officeDocument/2006/relationships/hyperlink" Target="https://wilkinsmedia.app.box.com/file/2417201714205" TargetMode="External" Id="rId261" /><Relationship Type="http://schemas.openxmlformats.org/officeDocument/2006/relationships/hyperlink" Target="https://wilkinsmedia.app.box.com/folder/178606484286" TargetMode="External" Id="rId262" /><Relationship Type="http://schemas.openxmlformats.org/officeDocument/2006/relationships/hyperlink" Target="https://wilkinsmedia.app.box.com/file/2417201714205" TargetMode="External" Id="rId263" /><Relationship Type="http://schemas.openxmlformats.org/officeDocument/2006/relationships/hyperlink" Target="https://wilkinsmedia.app.box.com/folder/178606484286" TargetMode="External" Id="rId264" /><Relationship Type="http://schemas.openxmlformats.org/officeDocument/2006/relationships/hyperlink" Target="https://wilkinsmedia.app.box.com/file/2417201714205" TargetMode="External" Id="rId265" /><Relationship Type="http://schemas.openxmlformats.org/officeDocument/2006/relationships/hyperlink" Target="https://wilkinsmedia.app.box.com/folder/178606484286" TargetMode="External" Id="rId266" /><Relationship Type="http://schemas.openxmlformats.org/officeDocument/2006/relationships/hyperlink" Target="https://wilkinsmedia.app.box.com/file/2417201714205" TargetMode="External" Id="rId267" /><Relationship Type="http://schemas.openxmlformats.org/officeDocument/2006/relationships/hyperlink" Target="https://wilkinsmedia.app.box.com/folder/178606484286" TargetMode="External" Id="rId268" /><Relationship Type="http://schemas.openxmlformats.org/officeDocument/2006/relationships/hyperlink" Target="https://wilkinsmedia.app.box.com/file/2417201714205" TargetMode="External" Id="rId269" /><Relationship Type="http://schemas.openxmlformats.org/officeDocument/2006/relationships/hyperlink" Target="https://wilkinsmedia.app.box.com/folder/178606484286" TargetMode="External" Id="rId270" /><Relationship Type="http://schemas.openxmlformats.org/officeDocument/2006/relationships/hyperlink" Target="https://wilkinsmedia.app.box.com/file/2406222319058" TargetMode="External" Id="rId271" /><Relationship Type="http://schemas.openxmlformats.org/officeDocument/2006/relationships/hyperlink" Target="https://wilkinsmedia.app.box.com/folder/288316456395" TargetMode="External" Id="rId272" /><Relationship Type="http://schemas.openxmlformats.org/officeDocument/2006/relationships/hyperlink" Target="https://wilkinsmedia.app.box.com/file/2406222319058" TargetMode="External" Id="rId273" /><Relationship Type="http://schemas.openxmlformats.org/officeDocument/2006/relationships/hyperlink" Target="https://wilkinsmedia.app.box.com/folder/288316456395" TargetMode="External" Id="rId274" /><Relationship Type="http://schemas.openxmlformats.org/officeDocument/2006/relationships/hyperlink" Target="https://wilkinsmedia.app.box.com/file/2406222319058" TargetMode="External" Id="rId275" /><Relationship Type="http://schemas.openxmlformats.org/officeDocument/2006/relationships/hyperlink" Target="https://wilkinsmedia.app.box.com/folder/288316456395" TargetMode="External" Id="rId276" /><Relationship Type="http://schemas.openxmlformats.org/officeDocument/2006/relationships/hyperlink" Target="https://wilkinsmedia.app.box.com/file/2406222319058" TargetMode="External" Id="rId277" /><Relationship Type="http://schemas.openxmlformats.org/officeDocument/2006/relationships/hyperlink" Target="https://wilkinsmedia.app.box.com/folder/288316456395" TargetMode="External" Id="rId278" /><Relationship Type="http://schemas.openxmlformats.org/officeDocument/2006/relationships/hyperlink" Target="https://wilkinsmedia.app.box.com/file/2406222319058" TargetMode="External" Id="rId279" /><Relationship Type="http://schemas.openxmlformats.org/officeDocument/2006/relationships/hyperlink" Target="https://wilkinsmedia.app.box.com/folder/288316456395" TargetMode="External" Id="rId280" /><Relationship Type="http://schemas.openxmlformats.org/officeDocument/2006/relationships/hyperlink" Target="https://wilkinsmedia.app.box.com/file/2406222319058" TargetMode="External" Id="rId281" /><Relationship Type="http://schemas.openxmlformats.org/officeDocument/2006/relationships/hyperlink" Target="https://wilkinsmedia.app.box.com/folder/288316456395" TargetMode="External" Id="rId282" /><Relationship Type="http://schemas.openxmlformats.org/officeDocument/2006/relationships/hyperlink" Target="https://wilkinsmedia.app.box.com/file/2406222319058" TargetMode="External" Id="rId283" /><Relationship Type="http://schemas.openxmlformats.org/officeDocument/2006/relationships/hyperlink" Target="https://wilkinsmedia.app.box.com/folder/288316456395" TargetMode="External" Id="rId284" /><Relationship Type="http://schemas.openxmlformats.org/officeDocument/2006/relationships/hyperlink" Target="https://wilkinsmedia.app.box.com/file/2406222319058" TargetMode="External" Id="rId285" /><Relationship Type="http://schemas.openxmlformats.org/officeDocument/2006/relationships/hyperlink" Target="https://wilkinsmedia.app.box.com/folder/288316456395" TargetMode="External" Id="rId286" /><Relationship Type="http://schemas.openxmlformats.org/officeDocument/2006/relationships/hyperlink" Target="https://wilkinsmedia.app.box.com/file/2406222319058" TargetMode="External" Id="rId287" /><Relationship Type="http://schemas.openxmlformats.org/officeDocument/2006/relationships/hyperlink" Target="https://wilkinsmedia.app.box.com/folder/288316456395" TargetMode="External" Id="rId288" /><Relationship Type="http://schemas.openxmlformats.org/officeDocument/2006/relationships/hyperlink" Target="https://wilkinsmedia.app.box.com/file/2406222319058" TargetMode="External" Id="rId289" /><Relationship Type="http://schemas.openxmlformats.org/officeDocument/2006/relationships/hyperlink" Target="https://wilkinsmedia.app.box.com/folder/288316456395" TargetMode="External" Id="rId290" /><Relationship Type="http://schemas.openxmlformats.org/officeDocument/2006/relationships/hyperlink" Target="https://wilkinsmedia.app.box.com/file/2186971976852" TargetMode="External" Id="rId291" /><Relationship Type="http://schemas.openxmlformats.org/officeDocument/2006/relationships/hyperlink" Target="https://wilkinsmedia.app.box.com/folder/178427841949" TargetMode="External" Id="rId292" /><Relationship Type="http://schemas.openxmlformats.org/officeDocument/2006/relationships/hyperlink" Target="https://wilkinsmedia.app.box.com/file/2186971976852" TargetMode="External" Id="rId293" /><Relationship Type="http://schemas.openxmlformats.org/officeDocument/2006/relationships/hyperlink" Target="https://wilkinsmedia.app.box.com/folder/178427841949" TargetMode="External" Id="rId294" /><Relationship Type="http://schemas.openxmlformats.org/officeDocument/2006/relationships/hyperlink" Target="https://wilkinsmedia.app.box.com/file/2186971976852" TargetMode="External" Id="rId295" /><Relationship Type="http://schemas.openxmlformats.org/officeDocument/2006/relationships/hyperlink" Target="https://wilkinsmedia.app.box.com/folder/178427841949" TargetMode="External" Id="rId296" /><Relationship Type="http://schemas.openxmlformats.org/officeDocument/2006/relationships/hyperlink" Target="https://wilkinsmedia.app.box.com/file/2186971976852" TargetMode="External" Id="rId297" /><Relationship Type="http://schemas.openxmlformats.org/officeDocument/2006/relationships/hyperlink" Target="https://wilkinsmedia.app.box.com/folder/178427841949" TargetMode="External" Id="rId298" /><Relationship Type="http://schemas.openxmlformats.org/officeDocument/2006/relationships/hyperlink" Target="https://wilkinsmedia.app.box.com/file/2186971976852" TargetMode="External" Id="rId299" /><Relationship Type="http://schemas.openxmlformats.org/officeDocument/2006/relationships/hyperlink" Target="https://wilkinsmedia.app.box.com/folder/178427841949" TargetMode="External" Id="rId300" /><Relationship Type="http://schemas.openxmlformats.org/officeDocument/2006/relationships/hyperlink" Target="https://wilkinsmedia.app.box.com/file/2186971976852" TargetMode="External" Id="rId301" /><Relationship Type="http://schemas.openxmlformats.org/officeDocument/2006/relationships/hyperlink" Target="https://wilkinsmedia.app.box.com/folder/178427841949" TargetMode="External" Id="rId302" /><Relationship Type="http://schemas.openxmlformats.org/officeDocument/2006/relationships/hyperlink" Target="https://wilkinsmedia.app.box.com/file/2186971976852" TargetMode="External" Id="rId303" /><Relationship Type="http://schemas.openxmlformats.org/officeDocument/2006/relationships/hyperlink" Target="https://wilkinsmedia.app.box.com/folder/178427841949" TargetMode="External" Id="rId304" /><Relationship Type="http://schemas.openxmlformats.org/officeDocument/2006/relationships/hyperlink" Target="https://wilkinsmedia.app.box.com/file/2186971976852" TargetMode="External" Id="rId305" /><Relationship Type="http://schemas.openxmlformats.org/officeDocument/2006/relationships/hyperlink" Target="https://wilkinsmedia.app.box.com/folder/178427841949" TargetMode="External" Id="rId306" /><Relationship Type="http://schemas.openxmlformats.org/officeDocument/2006/relationships/hyperlink" Target="https://wilkinsmedia.app.box.com/file/2186971976852" TargetMode="External" Id="rId307" /><Relationship Type="http://schemas.openxmlformats.org/officeDocument/2006/relationships/hyperlink" Target="https://wilkinsmedia.app.box.com/folder/178427841949" TargetMode="External" Id="rId308" /><Relationship Type="http://schemas.openxmlformats.org/officeDocument/2006/relationships/hyperlink" Target="https://wilkinsmedia.app.box.com/file/2186971976852" TargetMode="External" Id="rId309" /><Relationship Type="http://schemas.openxmlformats.org/officeDocument/2006/relationships/hyperlink" Target="https://wilkinsmedia.app.box.com/folder/178427841949" TargetMode="External" Id="rId310" /><Relationship Type="http://schemas.openxmlformats.org/officeDocument/2006/relationships/hyperlink" Target="https://wilkinsmedia.app.box.com/file/2186971976852" TargetMode="External" Id="rId311" /><Relationship Type="http://schemas.openxmlformats.org/officeDocument/2006/relationships/hyperlink" Target="https://wilkinsmedia.app.box.com/folder/178427841949" TargetMode="External" Id="rId312" /><Relationship Type="http://schemas.openxmlformats.org/officeDocument/2006/relationships/hyperlink" Target="https://wilkinsmedia.app.box.com/file/2186971976852" TargetMode="External" Id="rId313" /><Relationship Type="http://schemas.openxmlformats.org/officeDocument/2006/relationships/hyperlink" Target="https://wilkinsmedia.app.box.com/folder/178427841949" TargetMode="External" Id="rId314" /><Relationship Type="http://schemas.openxmlformats.org/officeDocument/2006/relationships/hyperlink" Target="https://wilkinsmedia.app.box.com/file/2186971976852" TargetMode="External" Id="rId315" /><Relationship Type="http://schemas.openxmlformats.org/officeDocument/2006/relationships/hyperlink" Target="https://wilkinsmedia.app.box.com/folder/178427841949" TargetMode="External" Id="rId316" /><Relationship Type="http://schemas.openxmlformats.org/officeDocument/2006/relationships/hyperlink" Target="https://wilkinsmedia.app.box.com/file/2186971976852" TargetMode="External" Id="rId317" /><Relationship Type="http://schemas.openxmlformats.org/officeDocument/2006/relationships/hyperlink" Target="https://wilkinsmedia.app.box.com/folder/178427841949" TargetMode="External" Id="rId318" /><Relationship Type="http://schemas.openxmlformats.org/officeDocument/2006/relationships/hyperlink" Target="https://wilkinsmedia.app.box.com/file/2186971976852" TargetMode="External" Id="rId319" /><Relationship Type="http://schemas.openxmlformats.org/officeDocument/2006/relationships/hyperlink" Target="https://wilkinsmedia.app.box.com/folder/178427841949" TargetMode="External" Id="rId320" /><Relationship Type="http://schemas.openxmlformats.org/officeDocument/2006/relationships/hyperlink" Target="https://wilkinsmedia.app.box.com/file/2186971976852" TargetMode="External" Id="rId321" /><Relationship Type="http://schemas.openxmlformats.org/officeDocument/2006/relationships/hyperlink" Target="https://wilkinsmedia.app.box.com/folder/178427841949" TargetMode="External" Id="rId322" /><Relationship Type="http://schemas.openxmlformats.org/officeDocument/2006/relationships/hyperlink" Target="https://wilkinsmedia.app.box.com/file/2186971976852" TargetMode="External" Id="rId323" /><Relationship Type="http://schemas.openxmlformats.org/officeDocument/2006/relationships/hyperlink" Target="https://wilkinsmedia.app.box.com/folder/178427841949" TargetMode="External" Id="rId324" /><Relationship Type="http://schemas.openxmlformats.org/officeDocument/2006/relationships/hyperlink" Target="https://wilkinsmedia.app.box.com/file/2186971976852" TargetMode="External" Id="rId325" /><Relationship Type="http://schemas.openxmlformats.org/officeDocument/2006/relationships/hyperlink" Target="https://wilkinsmedia.app.box.com/folder/178427841949" TargetMode="External" Id="rId326" /><Relationship Type="http://schemas.openxmlformats.org/officeDocument/2006/relationships/hyperlink" Target="https://wilkinsmedia.app.box.com/file/2186971976852" TargetMode="External" Id="rId327" /><Relationship Type="http://schemas.openxmlformats.org/officeDocument/2006/relationships/hyperlink" Target="https://wilkinsmedia.app.box.com/folder/178427841949" TargetMode="External" Id="rId328" /><Relationship Type="http://schemas.openxmlformats.org/officeDocument/2006/relationships/hyperlink" Target="https://wilkinsmedia.app.box.com/file/2186971976852" TargetMode="External" Id="rId329" /><Relationship Type="http://schemas.openxmlformats.org/officeDocument/2006/relationships/hyperlink" Target="https://wilkinsmedia.app.box.com/folder/178427841949" TargetMode="External" Id="rId330" /><Relationship Type="http://schemas.openxmlformats.org/officeDocument/2006/relationships/hyperlink" Target="https://wilkinsmedia.app.box.com/file/2186971976852" TargetMode="External" Id="rId331" /><Relationship Type="http://schemas.openxmlformats.org/officeDocument/2006/relationships/hyperlink" Target="https://wilkinsmedia.app.box.com/folder/178427841949" TargetMode="External" Id="rId332" /><Relationship Type="http://schemas.openxmlformats.org/officeDocument/2006/relationships/hyperlink" Target="https://wilkinsmedia.app.box.com/file/2186971976852" TargetMode="External" Id="rId333" /><Relationship Type="http://schemas.openxmlformats.org/officeDocument/2006/relationships/hyperlink" Target="https://wilkinsmedia.app.box.com/folder/178427841949" TargetMode="External" Id="rId334" /><Relationship Type="http://schemas.openxmlformats.org/officeDocument/2006/relationships/hyperlink" Target="https://wilkinsmedia.app.box.com/file/2267445916562" TargetMode="External" Id="rId335" /><Relationship Type="http://schemas.openxmlformats.org/officeDocument/2006/relationships/hyperlink" Target="https://wilkinsmedia.app.box.com/folder/255581173630" TargetMode="External" Id="rId336" /><Relationship Type="http://schemas.openxmlformats.org/officeDocument/2006/relationships/hyperlink" Target="https://wilkinsmedia.app.box.com/file/2267445916562" TargetMode="External" Id="rId337" /><Relationship Type="http://schemas.openxmlformats.org/officeDocument/2006/relationships/hyperlink" Target="https://wilkinsmedia.app.box.com/folder/255581173630" TargetMode="External" Id="rId338" /><Relationship Type="http://schemas.openxmlformats.org/officeDocument/2006/relationships/hyperlink" Target="https://wilkinsmedia.app.box.com/file/2267445916562" TargetMode="External" Id="rId339" /><Relationship Type="http://schemas.openxmlformats.org/officeDocument/2006/relationships/hyperlink" Target="https://wilkinsmedia.app.box.com/folder/255581173630" TargetMode="External" Id="rId340" /><Relationship Type="http://schemas.openxmlformats.org/officeDocument/2006/relationships/hyperlink" Target="https://wilkinsmedia.app.box.com/file/2267445916562" TargetMode="External" Id="rId341" /><Relationship Type="http://schemas.openxmlformats.org/officeDocument/2006/relationships/hyperlink" Target="https://wilkinsmedia.app.box.com/folder/255581173630" TargetMode="External" Id="rId342" /><Relationship Type="http://schemas.openxmlformats.org/officeDocument/2006/relationships/hyperlink" Target="https://wilkinsmedia.app.box.com/file/2267445916562" TargetMode="External" Id="rId343" /><Relationship Type="http://schemas.openxmlformats.org/officeDocument/2006/relationships/hyperlink" Target="https://wilkinsmedia.app.box.com/folder/255581173630" TargetMode="External" Id="rId344" /><Relationship Type="http://schemas.openxmlformats.org/officeDocument/2006/relationships/hyperlink" Target="https://wilkinsmedia.app.box.com/file/2267445916562" TargetMode="External" Id="rId345" /><Relationship Type="http://schemas.openxmlformats.org/officeDocument/2006/relationships/hyperlink" Target="https://wilkinsmedia.app.box.com/folder/255581173630" TargetMode="External" Id="rId346" /><Relationship Type="http://schemas.openxmlformats.org/officeDocument/2006/relationships/hyperlink" Target="https://wilkinsmedia.app.box.com/file/2267445916562" TargetMode="External" Id="rId347" /><Relationship Type="http://schemas.openxmlformats.org/officeDocument/2006/relationships/hyperlink" Target="https://wilkinsmedia.app.box.com/folder/255581173630" TargetMode="External" Id="rId348" /><Relationship Type="http://schemas.openxmlformats.org/officeDocument/2006/relationships/hyperlink" Target="https://wilkinsmedia.app.box.com/file/2267445916562" TargetMode="External" Id="rId349" /><Relationship Type="http://schemas.openxmlformats.org/officeDocument/2006/relationships/hyperlink" Target="https://wilkinsmedia.app.box.com/folder/255581173630" TargetMode="External" Id="rId350" /><Relationship Type="http://schemas.openxmlformats.org/officeDocument/2006/relationships/hyperlink" Target="https://wilkinsmedia.app.box.com/file/2267445916562" TargetMode="External" Id="rId351" /><Relationship Type="http://schemas.openxmlformats.org/officeDocument/2006/relationships/hyperlink" Target="https://wilkinsmedia.app.box.com/folder/255581173630" TargetMode="External" Id="rId352" /><Relationship Type="http://schemas.openxmlformats.org/officeDocument/2006/relationships/hyperlink" Target="https://wilkinsmedia.app.box.com/file/2267445916562" TargetMode="External" Id="rId353" /><Relationship Type="http://schemas.openxmlformats.org/officeDocument/2006/relationships/hyperlink" Target="https://wilkinsmedia.app.box.com/folder/255581173630" TargetMode="External" Id="rId354" /><Relationship Type="http://schemas.openxmlformats.org/officeDocument/2006/relationships/hyperlink" Target="https://wilkinsmedia.app.box.com/file/2267445916562" TargetMode="External" Id="rId355" /><Relationship Type="http://schemas.openxmlformats.org/officeDocument/2006/relationships/hyperlink" Target="https://wilkinsmedia.app.box.com/folder/255581173630" TargetMode="External" Id="rId356" /><Relationship Type="http://schemas.openxmlformats.org/officeDocument/2006/relationships/hyperlink" Target="https://wilkinsmedia.app.box.com/file/2241001180011" TargetMode="External" Id="rId357" /><Relationship Type="http://schemas.openxmlformats.org/officeDocument/2006/relationships/hyperlink" Target="https://wilkinsmedia.app.box.com/folder/178715539310" TargetMode="External" Id="rId358" /><Relationship Type="http://schemas.openxmlformats.org/officeDocument/2006/relationships/hyperlink" Target="https://wilkinsmedia.app.box.com/file/2241001180011" TargetMode="External" Id="rId359" /><Relationship Type="http://schemas.openxmlformats.org/officeDocument/2006/relationships/hyperlink" Target="https://wilkinsmedia.app.box.com/folder/178715539310" TargetMode="External" Id="rId360" /><Relationship Type="http://schemas.openxmlformats.org/officeDocument/2006/relationships/hyperlink" Target="https://wilkinsmedia.app.box.com/file/2241001180011" TargetMode="External" Id="rId361" /><Relationship Type="http://schemas.openxmlformats.org/officeDocument/2006/relationships/hyperlink" Target="https://wilkinsmedia.app.box.com/folder/178715539310" TargetMode="External" Id="rId362" /><Relationship Type="http://schemas.openxmlformats.org/officeDocument/2006/relationships/hyperlink" Target="https://wilkinsmedia.app.box.com/file/2241001180011" TargetMode="External" Id="rId363" /><Relationship Type="http://schemas.openxmlformats.org/officeDocument/2006/relationships/hyperlink" Target="https://wilkinsmedia.app.box.com/folder/178715539310" TargetMode="External" Id="rId364" /><Relationship Type="http://schemas.openxmlformats.org/officeDocument/2006/relationships/hyperlink" Target="https://wilkinsmedia.app.box.com/file/2241001180011" TargetMode="External" Id="rId365" /><Relationship Type="http://schemas.openxmlformats.org/officeDocument/2006/relationships/hyperlink" Target="https://wilkinsmedia.app.box.com/folder/178715539310" TargetMode="External" Id="rId366" /><Relationship Type="http://schemas.openxmlformats.org/officeDocument/2006/relationships/hyperlink" Target="https://wilkinsmedia.app.box.com/file/2241001180011" TargetMode="External" Id="rId367" /><Relationship Type="http://schemas.openxmlformats.org/officeDocument/2006/relationships/hyperlink" Target="https://wilkinsmedia.app.box.com/folder/178715539310" TargetMode="External" Id="rId368" /><Relationship Type="http://schemas.openxmlformats.org/officeDocument/2006/relationships/hyperlink" Target="https://wilkinsmedia.app.box.com/file/2241001180011" TargetMode="External" Id="rId369" /><Relationship Type="http://schemas.openxmlformats.org/officeDocument/2006/relationships/hyperlink" Target="https://wilkinsmedia.app.box.com/folder/178715539310" TargetMode="External" Id="rId370" /><Relationship Type="http://schemas.openxmlformats.org/officeDocument/2006/relationships/hyperlink" Target="https://wilkinsmedia.app.box.com/file/2241001180011" TargetMode="External" Id="rId371" /><Relationship Type="http://schemas.openxmlformats.org/officeDocument/2006/relationships/hyperlink" Target="https://wilkinsmedia.app.box.com/folder/178715539310" TargetMode="External" Id="rId372" /><Relationship Type="http://schemas.openxmlformats.org/officeDocument/2006/relationships/hyperlink" Target="https://wilkinsmedia.app.box.com/file/2241001180011" TargetMode="External" Id="rId373" /><Relationship Type="http://schemas.openxmlformats.org/officeDocument/2006/relationships/hyperlink" Target="https://wilkinsmedia.app.box.com/folder/178715539310" TargetMode="External" Id="rId374" /><Relationship Type="http://schemas.openxmlformats.org/officeDocument/2006/relationships/hyperlink" Target="https://wilkinsmedia.app.box.com/file/2241001180011" TargetMode="External" Id="rId375" /><Relationship Type="http://schemas.openxmlformats.org/officeDocument/2006/relationships/hyperlink" Target="https://wilkinsmedia.app.box.com/folder/178715539310" TargetMode="External" Id="rId376" /><Relationship Type="http://schemas.openxmlformats.org/officeDocument/2006/relationships/hyperlink" Target="https://wilkinsmedia.app.box.com/file/2241001180011" TargetMode="External" Id="rId377" /><Relationship Type="http://schemas.openxmlformats.org/officeDocument/2006/relationships/hyperlink" Target="https://wilkinsmedia.app.box.com/folder/178715539310" TargetMode="External" Id="rId378" /><Relationship Type="http://schemas.openxmlformats.org/officeDocument/2006/relationships/hyperlink" Target="https://wilkinsmedia.app.box.com/file/2241001180011" TargetMode="External" Id="rId379" /><Relationship Type="http://schemas.openxmlformats.org/officeDocument/2006/relationships/hyperlink" Target="https://wilkinsmedia.app.box.com/folder/178715539310" TargetMode="External" Id="rId380" /><Relationship Type="http://schemas.openxmlformats.org/officeDocument/2006/relationships/hyperlink" Target="https://wilkinsmedia.app.box.com/file/2241001180011" TargetMode="External" Id="rId381" /><Relationship Type="http://schemas.openxmlformats.org/officeDocument/2006/relationships/hyperlink" Target="https://wilkinsmedia.app.box.com/folder/178715539310" TargetMode="External" Id="rId382" /><Relationship Type="http://schemas.openxmlformats.org/officeDocument/2006/relationships/hyperlink" Target="https://wilkinsmedia.app.box.com/file/2272108700405" TargetMode="External" Id="rId383" /><Relationship Type="http://schemas.openxmlformats.org/officeDocument/2006/relationships/hyperlink" Target="https://wilkinsmedia.app.box.com/folder/255126532510" TargetMode="External" Id="rId384" /><Relationship Type="http://schemas.openxmlformats.org/officeDocument/2006/relationships/hyperlink" Target="https://wilkinsmedia.app.box.com/file/2272108700405" TargetMode="External" Id="rId385" /><Relationship Type="http://schemas.openxmlformats.org/officeDocument/2006/relationships/hyperlink" Target="https://wilkinsmedia.app.box.com/folder/255126532510" TargetMode="External" Id="rId386" /><Relationship Type="http://schemas.openxmlformats.org/officeDocument/2006/relationships/hyperlink" Target="https://wilkinsmedia.app.box.com/file/2272108700405" TargetMode="External" Id="rId387" /><Relationship Type="http://schemas.openxmlformats.org/officeDocument/2006/relationships/hyperlink" Target="https://wilkinsmedia.app.box.com/folder/255126532510" TargetMode="External" Id="rId388" /><Relationship Type="http://schemas.openxmlformats.org/officeDocument/2006/relationships/hyperlink" Target="https://wilkinsmedia.app.box.com/file/2272108700405" TargetMode="External" Id="rId389" /><Relationship Type="http://schemas.openxmlformats.org/officeDocument/2006/relationships/hyperlink" Target="https://wilkinsmedia.app.box.com/folder/255126532510" TargetMode="External" Id="rId390" /><Relationship Type="http://schemas.openxmlformats.org/officeDocument/2006/relationships/hyperlink" Target="https://wilkinsmedia.app.box.com/file/2318457794119" TargetMode="External" Id="rId391" /><Relationship Type="http://schemas.openxmlformats.org/officeDocument/2006/relationships/hyperlink" Target="https://wilkinsmedia.app.box.com/folder/257794456463" TargetMode="External" Id="rId392" /><Relationship Type="http://schemas.openxmlformats.org/officeDocument/2006/relationships/hyperlink" Target="https://wilkinsmedia.app.box.com/file/2318457794119" TargetMode="External" Id="rId393" /><Relationship Type="http://schemas.openxmlformats.org/officeDocument/2006/relationships/hyperlink" Target="https://wilkinsmedia.app.box.com/folder/257794456463" TargetMode="External" Id="rId394" /><Relationship Type="http://schemas.openxmlformats.org/officeDocument/2006/relationships/hyperlink" Target="https://wilkinsmedia.app.box.com/file/2318457794119" TargetMode="External" Id="rId395" /><Relationship Type="http://schemas.openxmlformats.org/officeDocument/2006/relationships/hyperlink" Target="https://wilkinsmedia.app.box.com/folder/257794456463" TargetMode="External" Id="rId396" /><Relationship Type="http://schemas.openxmlformats.org/officeDocument/2006/relationships/hyperlink" Target="https://wilkinsmedia.app.box.com/file/2318457794119" TargetMode="External" Id="rId397" /><Relationship Type="http://schemas.openxmlformats.org/officeDocument/2006/relationships/hyperlink" Target="https://wilkinsmedia.app.box.com/folder/257794456463" TargetMode="External" Id="rId398" /><Relationship Type="http://schemas.openxmlformats.org/officeDocument/2006/relationships/hyperlink" Target="https://wilkinsmedia.app.box.com/file/2318457794119" TargetMode="External" Id="rId399" /><Relationship Type="http://schemas.openxmlformats.org/officeDocument/2006/relationships/hyperlink" Target="https://wilkinsmedia.app.box.com/folder/257794456463" TargetMode="External" Id="rId400" /><Relationship Type="http://schemas.openxmlformats.org/officeDocument/2006/relationships/hyperlink" Target="https://wilkinsmedia.app.box.com/file/2318457794119" TargetMode="External" Id="rId401" /><Relationship Type="http://schemas.openxmlformats.org/officeDocument/2006/relationships/hyperlink" Target="https://wilkinsmedia.app.box.com/folder/257794456463" TargetMode="External" Id="rId402" /><Relationship Type="http://schemas.openxmlformats.org/officeDocument/2006/relationships/hyperlink" Target="https://wilkinsmedia.app.box.com/file/2318457794119" TargetMode="External" Id="rId403" /><Relationship Type="http://schemas.openxmlformats.org/officeDocument/2006/relationships/hyperlink" Target="https://wilkinsmedia.app.box.com/folder/257794456463" TargetMode="External" Id="rId404" /><Relationship Type="http://schemas.openxmlformats.org/officeDocument/2006/relationships/hyperlink" Target="https://wilkinsmedia.app.box.com/file/2318457794119" TargetMode="External" Id="rId405" /><Relationship Type="http://schemas.openxmlformats.org/officeDocument/2006/relationships/hyperlink" Target="https://wilkinsmedia.app.box.com/folder/257794456463" TargetMode="External" Id="rId406" /><Relationship Type="http://schemas.openxmlformats.org/officeDocument/2006/relationships/hyperlink" Target="https://wilkinsmedia.app.box.com/file/2318457794119" TargetMode="External" Id="rId407" /><Relationship Type="http://schemas.openxmlformats.org/officeDocument/2006/relationships/hyperlink" Target="https://wilkinsmedia.app.box.com/folder/257794456463" TargetMode="External" Id="rId408" /><Relationship Type="http://schemas.openxmlformats.org/officeDocument/2006/relationships/hyperlink" Target="https://wilkinsmedia.app.box.com/file/2318457794119" TargetMode="External" Id="rId409" /><Relationship Type="http://schemas.openxmlformats.org/officeDocument/2006/relationships/hyperlink" Target="https://wilkinsmedia.app.box.com/folder/257794456463" TargetMode="External" Id="rId410" /><Relationship Type="http://schemas.openxmlformats.org/officeDocument/2006/relationships/hyperlink" Target="https://wilkinsmedia.app.box.com/file/2318457794119" TargetMode="External" Id="rId411" /><Relationship Type="http://schemas.openxmlformats.org/officeDocument/2006/relationships/hyperlink" Target="https://wilkinsmedia.app.box.com/folder/257794456463" TargetMode="External" Id="rId412" /><Relationship Type="http://schemas.openxmlformats.org/officeDocument/2006/relationships/hyperlink" Target="https://wilkinsmedia.app.box.com/file/2318457794119" TargetMode="External" Id="rId413" /><Relationship Type="http://schemas.openxmlformats.org/officeDocument/2006/relationships/hyperlink" Target="https://wilkinsmedia.app.box.com/folder/257794456463" TargetMode="External" Id="rId414" /><Relationship Type="http://schemas.openxmlformats.org/officeDocument/2006/relationships/hyperlink" Target="https://wilkinsmedia.app.box.com/file/2318457794119" TargetMode="External" Id="rId415" /><Relationship Type="http://schemas.openxmlformats.org/officeDocument/2006/relationships/hyperlink" Target="https://wilkinsmedia.app.box.com/folder/257794456463" TargetMode="External" Id="rId416" /><Relationship Type="http://schemas.openxmlformats.org/officeDocument/2006/relationships/hyperlink" Target="https://wilkinsmedia.app.box.com/file/2318457794119" TargetMode="External" Id="rId417" /><Relationship Type="http://schemas.openxmlformats.org/officeDocument/2006/relationships/hyperlink" Target="https://wilkinsmedia.app.box.com/folder/257794456463" TargetMode="External" Id="rId418" /><Relationship Type="http://schemas.openxmlformats.org/officeDocument/2006/relationships/hyperlink" Target="https://wilkinsmedia.app.box.com/file/2318457794119" TargetMode="External" Id="rId419" /><Relationship Type="http://schemas.openxmlformats.org/officeDocument/2006/relationships/hyperlink" Target="https://wilkinsmedia.app.box.com/folder/257794456463" TargetMode="External" Id="rId420" /><Relationship Type="http://schemas.openxmlformats.org/officeDocument/2006/relationships/hyperlink" Target="https://wilkinsmedia.app.box.com/file/2318457794119" TargetMode="External" Id="rId421" /><Relationship Type="http://schemas.openxmlformats.org/officeDocument/2006/relationships/hyperlink" Target="https://wilkinsmedia.app.box.com/folder/257794456463" TargetMode="External" Id="rId422" /><Relationship Type="http://schemas.openxmlformats.org/officeDocument/2006/relationships/hyperlink" Target="https://wilkinsmedia.app.box.com/file/2318457794119" TargetMode="External" Id="rId423" /><Relationship Type="http://schemas.openxmlformats.org/officeDocument/2006/relationships/hyperlink" Target="https://wilkinsmedia.app.box.com/folder/257794456463" TargetMode="External" Id="rId424" /><Relationship Type="http://schemas.openxmlformats.org/officeDocument/2006/relationships/hyperlink" Target="https://wilkinsmedia.app.box.com/file/2318457794119" TargetMode="External" Id="rId425" /><Relationship Type="http://schemas.openxmlformats.org/officeDocument/2006/relationships/hyperlink" Target="https://wilkinsmedia.app.box.com/folder/257794456463" TargetMode="External" Id="rId426" /><Relationship Type="http://schemas.openxmlformats.org/officeDocument/2006/relationships/hyperlink" Target="https://wilkinsmedia.app.box.com/file/2318457794119" TargetMode="External" Id="rId427" /><Relationship Type="http://schemas.openxmlformats.org/officeDocument/2006/relationships/hyperlink" Target="https://wilkinsmedia.app.box.com/folder/257794456463" TargetMode="External" Id="rId428" /><Relationship Type="http://schemas.openxmlformats.org/officeDocument/2006/relationships/hyperlink" Target="https://wilkinsmedia.app.box.com/file/2318457794119" TargetMode="External" Id="rId429" /><Relationship Type="http://schemas.openxmlformats.org/officeDocument/2006/relationships/hyperlink" Target="https://wilkinsmedia.app.box.com/folder/257794456463" TargetMode="External" Id="rId430" /><Relationship Type="http://schemas.openxmlformats.org/officeDocument/2006/relationships/hyperlink" Target="https://wilkinsmedia.app.box.com/file/2318457794119" TargetMode="External" Id="rId431" /><Relationship Type="http://schemas.openxmlformats.org/officeDocument/2006/relationships/hyperlink" Target="https://wilkinsmedia.app.box.com/folder/257794456463" TargetMode="External" Id="rId432" /><Relationship Type="http://schemas.openxmlformats.org/officeDocument/2006/relationships/hyperlink" Target="https://wilkinsmedia.app.box.com/file/2318457794119" TargetMode="External" Id="rId433" /><Relationship Type="http://schemas.openxmlformats.org/officeDocument/2006/relationships/hyperlink" Target="https://wilkinsmedia.app.box.com/folder/257794456463" TargetMode="External" Id="rId434" /><Relationship Type="http://schemas.openxmlformats.org/officeDocument/2006/relationships/hyperlink" Target="https://wilkinsmedia.app.box.com/file/2318457794119" TargetMode="External" Id="rId435" /><Relationship Type="http://schemas.openxmlformats.org/officeDocument/2006/relationships/hyperlink" Target="https://wilkinsmedia.app.box.com/folder/257794456463" TargetMode="External" Id="rId436" /><Relationship Type="http://schemas.openxmlformats.org/officeDocument/2006/relationships/hyperlink" Target="https://wilkinsmedia.app.box.com/file/2318457794119" TargetMode="External" Id="rId437" /><Relationship Type="http://schemas.openxmlformats.org/officeDocument/2006/relationships/hyperlink" Target="https://wilkinsmedia.app.box.com/folder/257794456463" TargetMode="External" Id="rId438" /><Relationship Type="http://schemas.openxmlformats.org/officeDocument/2006/relationships/hyperlink" Target="https://wilkinsmedia.app.box.com/file/2318457794119" TargetMode="External" Id="rId439" /><Relationship Type="http://schemas.openxmlformats.org/officeDocument/2006/relationships/hyperlink" Target="https://wilkinsmedia.app.box.com/folder/257794456463" TargetMode="External" Id="rId440" /><Relationship Type="http://schemas.openxmlformats.org/officeDocument/2006/relationships/hyperlink" Target="https://wilkinsmedia.app.box.com/file/2318457794119" TargetMode="External" Id="rId441" /><Relationship Type="http://schemas.openxmlformats.org/officeDocument/2006/relationships/hyperlink" Target="https://wilkinsmedia.app.box.com/folder/257794456463" TargetMode="External" Id="rId442" /><Relationship Type="http://schemas.openxmlformats.org/officeDocument/2006/relationships/hyperlink" Target="https://wilkinsmedia.app.box.com/file/1479766986268" TargetMode="External" Id="rId443" /><Relationship Type="http://schemas.openxmlformats.org/officeDocument/2006/relationships/hyperlink" Target="https://wilkinsmedia.app.box.com/folder/255125198124" TargetMode="External" Id="rId444" /><Relationship Type="http://schemas.openxmlformats.org/officeDocument/2006/relationships/hyperlink" Target="https://wilkinsmedia.app.box.com/file/1479766986268" TargetMode="External" Id="rId445" /><Relationship Type="http://schemas.openxmlformats.org/officeDocument/2006/relationships/hyperlink" Target="https://wilkinsmedia.app.box.com/folder/255125198124" TargetMode="External" Id="rId446" /><Relationship Type="http://schemas.openxmlformats.org/officeDocument/2006/relationships/hyperlink" Target="https://wilkinsmedia.app.box.com/file/1479766986268" TargetMode="External" Id="rId447" /><Relationship Type="http://schemas.openxmlformats.org/officeDocument/2006/relationships/hyperlink" Target="https://wilkinsmedia.app.box.com/folder/255125198124" TargetMode="External" Id="rId448" /><Relationship Type="http://schemas.openxmlformats.org/officeDocument/2006/relationships/hyperlink" Target="https://wilkinsmedia.app.box.com/file/1479766986268" TargetMode="External" Id="rId449" /><Relationship Type="http://schemas.openxmlformats.org/officeDocument/2006/relationships/hyperlink" Target="https://wilkinsmedia.app.box.com/folder/255125198124" TargetMode="External" Id="rId450" /><Relationship Type="http://schemas.openxmlformats.org/officeDocument/2006/relationships/hyperlink" Target="https://wilkinsmedia.app.box.com/file/1479766986268" TargetMode="External" Id="rId451" /><Relationship Type="http://schemas.openxmlformats.org/officeDocument/2006/relationships/hyperlink" Target="https://wilkinsmedia.app.box.com/folder/255125198124" TargetMode="External" Id="rId452" /><Relationship Type="http://schemas.openxmlformats.org/officeDocument/2006/relationships/hyperlink" Target="https://wilkinsmedia.app.box.com/file/1479766986268" TargetMode="External" Id="rId453" /><Relationship Type="http://schemas.openxmlformats.org/officeDocument/2006/relationships/hyperlink" Target="https://wilkinsmedia.app.box.com/folder/255125198124" TargetMode="External" Id="rId454" /><Relationship Type="http://schemas.openxmlformats.org/officeDocument/2006/relationships/hyperlink" Target="https://wilkinsmedia.app.box.com/file/1479766986268" TargetMode="External" Id="rId455" /><Relationship Type="http://schemas.openxmlformats.org/officeDocument/2006/relationships/hyperlink" Target="https://wilkinsmedia.app.box.com/folder/255125198124" TargetMode="External" Id="rId456" /><Relationship Type="http://schemas.openxmlformats.org/officeDocument/2006/relationships/hyperlink" Target="https://wilkinsmedia.app.box.com/file/1479766986268" TargetMode="External" Id="rId457" /><Relationship Type="http://schemas.openxmlformats.org/officeDocument/2006/relationships/hyperlink" Target="https://wilkinsmedia.app.box.com/folder/255125198124" TargetMode="External" Id="rId458" /><Relationship Type="http://schemas.openxmlformats.org/officeDocument/2006/relationships/hyperlink" Target="https://wilkinsmedia.app.box.com/file/1479766986268" TargetMode="External" Id="rId459" /><Relationship Type="http://schemas.openxmlformats.org/officeDocument/2006/relationships/hyperlink" Target="https://wilkinsmedia.app.box.com/folder/255125198124" TargetMode="External" Id="rId460" /><Relationship Type="http://schemas.openxmlformats.org/officeDocument/2006/relationships/hyperlink" Target="https://wilkinsmedia.app.box.com/file/1479766986268" TargetMode="External" Id="rId461" /><Relationship Type="http://schemas.openxmlformats.org/officeDocument/2006/relationships/hyperlink" Target="https://wilkinsmedia.app.box.com/folder/255125198124" TargetMode="External" Id="rId462" /><Relationship Type="http://schemas.openxmlformats.org/officeDocument/2006/relationships/hyperlink" Target="https://wilkinsmedia.app.box.com/file/1479766986268" TargetMode="External" Id="rId463" /><Relationship Type="http://schemas.openxmlformats.org/officeDocument/2006/relationships/hyperlink" Target="https://wilkinsmedia.app.box.com/folder/255125198124" TargetMode="External" Id="rId464" /><Relationship Type="http://schemas.openxmlformats.org/officeDocument/2006/relationships/hyperlink" Target="https://wilkinsmedia.app.box.com/file/2316374992598" TargetMode="External" Id="rId465" /><Relationship Type="http://schemas.openxmlformats.org/officeDocument/2006/relationships/hyperlink" Target="https://wilkinsmedia.app.box.com/folder/179018266370" TargetMode="External" Id="rId466" /><Relationship Type="http://schemas.openxmlformats.org/officeDocument/2006/relationships/hyperlink" Target="https://wilkinsmedia.app.box.com/file/2316374992598" TargetMode="External" Id="rId467" /><Relationship Type="http://schemas.openxmlformats.org/officeDocument/2006/relationships/hyperlink" Target="https://wilkinsmedia.app.box.com/folder/179018266370" TargetMode="External" Id="rId468" /><Relationship Type="http://schemas.openxmlformats.org/officeDocument/2006/relationships/hyperlink" Target="https://wilkinsmedia.app.box.com/file/2316374992598" TargetMode="External" Id="rId469" /><Relationship Type="http://schemas.openxmlformats.org/officeDocument/2006/relationships/hyperlink" Target="https://wilkinsmedia.app.box.com/folder/179018266370" TargetMode="External" Id="rId470" /><Relationship Type="http://schemas.openxmlformats.org/officeDocument/2006/relationships/hyperlink" Target="https://wilkinsmedia.app.box.com/file/2316374992598" TargetMode="External" Id="rId471" /><Relationship Type="http://schemas.openxmlformats.org/officeDocument/2006/relationships/hyperlink" Target="https://wilkinsmedia.app.box.com/folder/179018266370" TargetMode="External" Id="rId472" /><Relationship Type="http://schemas.openxmlformats.org/officeDocument/2006/relationships/hyperlink" Target="https://wilkinsmedia.app.box.com/file/2316374992598" TargetMode="External" Id="rId473" /><Relationship Type="http://schemas.openxmlformats.org/officeDocument/2006/relationships/hyperlink" Target="https://wilkinsmedia.app.box.com/folder/179018266370" TargetMode="External" Id="rId474" /><Relationship Type="http://schemas.openxmlformats.org/officeDocument/2006/relationships/hyperlink" Target="https://wilkinsmedia.app.box.com/file/2316374992598" TargetMode="External" Id="rId475" /><Relationship Type="http://schemas.openxmlformats.org/officeDocument/2006/relationships/hyperlink" Target="https://wilkinsmedia.app.box.com/folder/179018266370" TargetMode="External" Id="rId476" /><Relationship Type="http://schemas.openxmlformats.org/officeDocument/2006/relationships/hyperlink" Target="https://wilkinsmedia.app.box.com/file/2316374992598" TargetMode="External" Id="rId477" /><Relationship Type="http://schemas.openxmlformats.org/officeDocument/2006/relationships/hyperlink" Target="https://wilkinsmedia.app.box.com/folder/179018266370" TargetMode="External" Id="rId478" /><Relationship Type="http://schemas.openxmlformats.org/officeDocument/2006/relationships/hyperlink" Target="https://wilkinsmedia.app.box.com/file/1479751245436" TargetMode="External" Id="rId479" /><Relationship Type="http://schemas.openxmlformats.org/officeDocument/2006/relationships/hyperlink" Target="https://wilkinsmedia.app.box.com/folder/255793162910" TargetMode="External" Id="rId480" /><Relationship Type="http://schemas.openxmlformats.org/officeDocument/2006/relationships/hyperlink" Target="https://wilkinsmedia.app.box.com/file/1479751245436" TargetMode="External" Id="rId481" /><Relationship Type="http://schemas.openxmlformats.org/officeDocument/2006/relationships/hyperlink" Target="https://wilkinsmedia.app.box.com/folder/255793162910" TargetMode="External" Id="rId482" /><Relationship Type="http://schemas.openxmlformats.org/officeDocument/2006/relationships/hyperlink" Target="https://wilkinsmedia.app.box.com/file/1479751245436" TargetMode="External" Id="rId483" /><Relationship Type="http://schemas.openxmlformats.org/officeDocument/2006/relationships/hyperlink" Target="https://wilkinsmedia.app.box.com/folder/255793162910" TargetMode="External" Id="rId484" /><Relationship Type="http://schemas.openxmlformats.org/officeDocument/2006/relationships/hyperlink" Target="https://wilkinsmedia.app.box.com/file/1479751245436" TargetMode="External" Id="rId485" /><Relationship Type="http://schemas.openxmlformats.org/officeDocument/2006/relationships/hyperlink" Target="https://wilkinsmedia.app.box.com/folder/255793162910" TargetMode="External" Id="rId486" /><Relationship Type="http://schemas.openxmlformats.org/officeDocument/2006/relationships/hyperlink" Target="https://wilkinsmedia.app.box.com/file/1479751245436" TargetMode="External" Id="rId487" /><Relationship Type="http://schemas.openxmlformats.org/officeDocument/2006/relationships/hyperlink" Target="https://wilkinsmedia.app.box.com/folder/255793162910" TargetMode="External" Id="rId488" /><Relationship Type="http://schemas.openxmlformats.org/officeDocument/2006/relationships/hyperlink" Target="https://wilkinsmedia.app.box.com/file/1479751245436" TargetMode="External" Id="rId489" /><Relationship Type="http://schemas.openxmlformats.org/officeDocument/2006/relationships/hyperlink" Target="https://wilkinsmedia.app.box.com/folder/255793162910" TargetMode="External" Id="rId490" /><Relationship Type="http://schemas.openxmlformats.org/officeDocument/2006/relationships/hyperlink" Target="https://wilkinsmedia.app.box.com/file/1479751245436" TargetMode="External" Id="rId491" /><Relationship Type="http://schemas.openxmlformats.org/officeDocument/2006/relationships/hyperlink" Target="https://wilkinsmedia.app.box.com/folder/255793162910" TargetMode="External" Id="rId492" /><Relationship Type="http://schemas.openxmlformats.org/officeDocument/2006/relationships/hyperlink" Target="https://wilkinsmedia.app.box.com/file/1479751245436" TargetMode="External" Id="rId493" /><Relationship Type="http://schemas.openxmlformats.org/officeDocument/2006/relationships/hyperlink" Target="https://wilkinsmedia.app.box.com/folder/255793162910" TargetMode="External" Id="rId494" /><Relationship Type="http://schemas.openxmlformats.org/officeDocument/2006/relationships/hyperlink" Target="https://wilkinsmedia.app.box.com/file/1479751245436" TargetMode="External" Id="rId495" /><Relationship Type="http://schemas.openxmlformats.org/officeDocument/2006/relationships/hyperlink" Target="https://wilkinsmedia.app.box.com/folder/255793162910" TargetMode="External" Id="rId496" /><Relationship Type="http://schemas.openxmlformats.org/officeDocument/2006/relationships/hyperlink" Target="https://wilkinsmedia.app.box.com/file/1479751245436" TargetMode="External" Id="rId497" /><Relationship Type="http://schemas.openxmlformats.org/officeDocument/2006/relationships/hyperlink" Target="https://wilkinsmedia.app.box.com/folder/255793162910" TargetMode="External" Id="rId498" /><Relationship Type="http://schemas.openxmlformats.org/officeDocument/2006/relationships/hyperlink" Target="https://wilkinsmedia.app.box.com/file/1479751245436" TargetMode="External" Id="rId499" /><Relationship Type="http://schemas.openxmlformats.org/officeDocument/2006/relationships/hyperlink" Target="https://wilkinsmedia.app.box.com/folder/255793162910" TargetMode="External" Id="rId500" /><Relationship Type="http://schemas.openxmlformats.org/officeDocument/2006/relationships/hyperlink" Target="https://wilkinsmedia.app.box.com/file/1479751245436" TargetMode="External" Id="rId501" /><Relationship Type="http://schemas.openxmlformats.org/officeDocument/2006/relationships/hyperlink" Target="https://wilkinsmedia.app.box.com/folder/255793162910" TargetMode="External" Id="rId502" /><Relationship Type="http://schemas.openxmlformats.org/officeDocument/2006/relationships/hyperlink" Target="https://wilkinsmedia.app.box.com/file/1479751245436" TargetMode="External" Id="rId503" /><Relationship Type="http://schemas.openxmlformats.org/officeDocument/2006/relationships/hyperlink" Target="https://wilkinsmedia.app.box.com/folder/255793162910" TargetMode="External" Id="rId504" /><Relationship Type="http://schemas.openxmlformats.org/officeDocument/2006/relationships/hyperlink" Target="https://wilkinsmedia.app.box.com/file/1479751245436" TargetMode="External" Id="rId505" /><Relationship Type="http://schemas.openxmlformats.org/officeDocument/2006/relationships/hyperlink" Target="https://wilkinsmedia.app.box.com/folder/255793162910" TargetMode="External" Id="rId506" /><Relationship Type="http://schemas.openxmlformats.org/officeDocument/2006/relationships/hyperlink" Target="https://wilkinsmedia.app.box.com/file/1479751245436" TargetMode="External" Id="rId507" /><Relationship Type="http://schemas.openxmlformats.org/officeDocument/2006/relationships/hyperlink" Target="https://wilkinsmedia.app.box.com/folder/255793162910" TargetMode="External" Id="rId508" /><Relationship Type="http://schemas.openxmlformats.org/officeDocument/2006/relationships/hyperlink" Target="https://wilkinsmedia.app.box.com/file/1479751245436" TargetMode="External" Id="rId509" /><Relationship Type="http://schemas.openxmlformats.org/officeDocument/2006/relationships/hyperlink" Target="https://wilkinsmedia.app.box.com/folder/255793162910" TargetMode="External" Id="rId510" /><Relationship Type="http://schemas.openxmlformats.org/officeDocument/2006/relationships/hyperlink" Target="https://wilkinsmedia.app.box.com/file/1479751245436" TargetMode="External" Id="rId511" /><Relationship Type="http://schemas.openxmlformats.org/officeDocument/2006/relationships/hyperlink" Target="https://wilkinsmedia.app.box.com/folder/255793162910" TargetMode="External" Id="rId512" /><Relationship Type="http://schemas.openxmlformats.org/officeDocument/2006/relationships/hyperlink" Target="https://wilkinsmedia.app.box.com/file/1479751245436" TargetMode="External" Id="rId513" /><Relationship Type="http://schemas.openxmlformats.org/officeDocument/2006/relationships/hyperlink" Target="https://wilkinsmedia.app.box.com/folder/255793162910" TargetMode="External" Id="rId514" /><Relationship Type="http://schemas.openxmlformats.org/officeDocument/2006/relationships/hyperlink" Target="https://wilkinsmedia.app.box.com/file/1479751245436" TargetMode="External" Id="rId515" /><Relationship Type="http://schemas.openxmlformats.org/officeDocument/2006/relationships/hyperlink" Target="https://wilkinsmedia.app.box.com/folder/255793162910" TargetMode="External" Id="rId516" /><Relationship Type="http://schemas.openxmlformats.org/officeDocument/2006/relationships/hyperlink" Target="https://wilkinsmedia.app.box.com/file/1479751245436" TargetMode="External" Id="rId517" /><Relationship Type="http://schemas.openxmlformats.org/officeDocument/2006/relationships/hyperlink" Target="https://wilkinsmedia.app.box.com/folder/255793162910" TargetMode="External" Id="rId518" /><Relationship Type="http://schemas.openxmlformats.org/officeDocument/2006/relationships/hyperlink" Target="https://wilkinsmedia.app.box.com/file/1479751245436" TargetMode="External" Id="rId519" /><Relationship Type="http://schemas.openxmlformats.org/officeDocument/2006/relationships/hyperlink" Target="https://wilkinsmedia.app.box.com/folder/255793162910" TargetMode="External" Id="rId520" /><Relationship Type="http://schemas.openxmlformats.org/officeDocument/2006/relationships/hyperlink" Target="https://wilkinsmedia.app.box.com/file/1479751245436" TargetMode="External" Id="rId521" /><Relationship Type="http://schemas.openxmlformats.org/officeDocument/2006/relationships/hyperlink" Target="https://wilkinsmedia.app.box.com/folder/255793162910" TargetMode="External" Id="rId522" /><Relationship Type="http://schemas.openxmlformats.org/officeDocument/2006/relationships/hyperlink" Target="https://wilkinsmedia.app.box.com/file/1479751245436" TargetMode="External" Id="rId523" /><Relationship Type="http://schemas.openxmlformats.org/officeDocument/2006/relationships/hyperlink" Target="https://wilkinsmedia.app.box.com/folder/255793162910" TargetMode="External" Id="rId524" /><Relationship Type="http://schemas.openxmlformats.org/officeDocument/2006/relationships/hyperlink" Target="https://wilkinsmedia.app.box.com/file/1479751245436" TargetMode="External" Id="rId525" /><Relationship Type="http://schemas.openxmlformats.org/officeDocument/2006/relationships/hyperlink" Target="https://wilkinsmedia.app.box.com/folder/255793162910" TargetMode="External" Id="rId526" /><Relationship Type="http://schemas.openxmlformats.org/officeDocument/2006/relationships/hyperlink" Target="https://wilkinsmedia.app.box.com/file/1479751245436" TargetMode="External" Id="rId527" /><Relationship Type="http://schemas.openxmlformats.org/officeDocument/2006/relationships/hyperlink" Target="https://wilkinsmedia.app.box.com/folder/255793162910" TargetMode="External" Id="rId528" /><Relationship Type="http://schemas.openxmlformats.org/officeDocument/2006/relationships/hyperlink" Target="https://wilkinsmedia.app.box.com/file/1479751245436" TargetMode="External" Id="rId529" /><Relationship Type="http://schemas.openxmlformats.org/officeDocument/2006/relationships/hyperlink" Target="https://wilkinsmedia.app.box.com/folder/255793162910" TargetMode="External" Id="rId530" /><Relationship Type="http://schemas.openxmlformats.org/officeDocument/2006/relationships/hyperlink" Target="https://wilkinsmedia.app.box.com/file/1479751245436" TargetMode="External" Id="rId531" /><Relationship Type="http://schemas.openxmlformats.org/officeDocument/2006/relationships/hyperlink" Target="https://wilkinsmedia.app.box.com/folder/255793162910" TargetMode="External" Id="rId532" /><Relationship Type="http://schemas.openxmlformats.org/officeDocument/2006/relationships/hyperlink" Target="https://wilkinsmedia.app.box.com/file/1479751245436" TargetMode="External" Id="rId533" /><Relationship Type="http://schemas.openxmlformats.org/officeDocument/2006/relationships/hyperlink" Target="https://wilkinsmedia.app.box.com/folder/255793162910" TargetMode="External" Id="rId534" /><Relationship Type="http://schemas.openxmlformats.org/officeDocument/2006/relationships/hyperlink" Target="https://wilkinsmedia.app.box.com/file/1479751245436" TargetMode="External" Id="rId535" /><Relationship Type="http://schemas.openxmlformats.org/officeDocument/2006/relationships/hyperlink" Target="https://wilkinsmedia.app.box.com/folder/255793162910" TargetMode="External" Id="rId536" /><Relationship Type="http://schemas.openxmlformats.org/officeDocument/2006/relationships/hyperlink" Target="https://wilkinsmedia.app.box.com/file/1479751245436" TargetMode="External" Id="rId537" /><Relationship Type="http://schemas.openxmlformats.org/officeDocument/2006/relationships/hyperlink" Target="https://wilkinsmedia.app.box.com/folder/255793162910" TargetMode="External" Id="rId538" /><Relationship Type="http://schemas.openxmlformats.org/officeDocument/2006/relationships/hyperlink" Target="https://wilkinsmedia.app.box.com/file/1479751245436" TargetMode="External" Id="rId539" /><Relationship Type="http://schemas.openxmlformats.org/officeDocument/2006/relationships/hyperlink" Target="https://wilkinsmedia.app.box.com/folder/255793162910" TargetMode="External" Id="rId540" /><Relationship Type="http://schemas.openxmlformats.org/officeDocument/2006/relationships/hyperlink" Target="https://wilkinsmedia.app.box.com/file/1479751245436" TargetMode="External" Id="rId541" /><Relationship Type="http://schemas.openxmlformats.org/officeDocument/2006/relationships/hyperlink" Target="https://wilkinsmedia.app.box.com/folder/255793162910" TargetMode="External" Id="rId542" /><Relationship Type="http://schemas.openxmlformats.org/officeDocument/2006/relationships/hyperlink" Target="https://wilkinsmedia.app.box.com/file/1479751245436" TargetMode="External" Id="rId543" /><Relationship Type="http://schemas.openxmlformats.org/officeDocument/2006/relationships/hyperlink" Target="https://wilkinsmedia.app.box.com/folder/255793162910" TargetMode="External" Id="rId544" /><Relationship Type="http://schemas.openxmlformats.org/officeDocument/2006/relationships/hyperlink" Target="https://wilkinsmedia.app.box.com/file/1479751245436" TargetMode="External" Id="rId545" /><Relationship Type="http://schemas.openxmlformats.org/officeDocument/2006/relationships/hyperlink" Target="https://wilkinsmedia.app.box.com/folder/255793162910" TargetMode="External" Id="rId546" /><Relationship Type="http://schemas.openxmlformats.org/officeDocument/2006/relationships/hyperlink" Target="https://wilkinsmedia.app.box.com/file/1479751245436" TargetMode="External" Id="rId547" /><Relationship Type="http://schemas.openxmlformats.org/officeDocument/2006/relationships/hyperlink" Target="https://wilkinsmedia.app.box.com/folder/255793162910" TargetMode="External" Id="rId548" /><Relationship Type="http://schemas.openxmlformats.org/officeDocument/2006/relationships/hyperlink" Target="https://wilkinsmedia.app.box.com/file/1479751245436" TargetMode="External" Id="rId549" /><Relationship Type="http://schemas.openxmlformats.org/officeDocument/2006/relationships/hyperlink" Target="https://wilkinsmedia.app.box.com/folder/255793162910" TargetMode="External" Id="rId550" /><Relationship Type="http://schemas.openxmlformats.org/officeDocument/2006/relationships/hyperlink" Target="https://wilkinsmedia.app.box.com/file/1479751245436" TargetMode="External" Id="rId551" /><Relationship Type="http://schemas.openxmlformats.org/officeDocument/2006/relationships/hyperlink" Target="https://wilkinsmedia.app.box.com/folder/255793162910" TargetMode="External" Id="rId552" /><Relationship Type="http://schemas.openxmlformats.org/officeDocument/2006/relationships/hyperlink" Target="https://wilkinsmedia.app.box.com/file/1479751245436" TargetMode="External" Id="rId553" /><Relationship Type="http://schemas.openxmlformats.org/officeDocument/2006/relationships/hyperlink" Target="https://wilkinsmedia.app.box.com/folder/255793162910" TargetMode="External" Id="rId554" /><Relationship Type="http://schemas.openxmlformats.org/officeDocument/2006/relationships/hyperlink" Target="https://wilkinsmedia.app.box.com/file/1479751245436" TargetMode="External" Id="rId555" /><Relationship Type="http://schemas.openxmlformats.org/officeDocument/2006/relationships/hyperlink" Target="https://wilkinsmedia.app.box.com/folder/255793162910" TargetMode="External" Id="rId556" /><Relationship Type="http://schemas.openxmlformats.org/officeDocument/2006/relationships/hyperlink" Target="https://wilkinsmedia.app.box.com/file/1479751245436" TargetMode="External" Id="rId557" /><Relationship Type="http://schemas.openxmlformats.org/officeDocument/2006/relationships/hyperlink" Target="https://wilkinsmedia.app.box.com/folder/255793162910" TargetMode="External" Id="rId558" /><Relationship Type="http://schemas.openxmlformats.org/officeDocument/2006/relationships/hyperlink" Target="https://wilkinsmedia.app.box.com/file/1479751245436" TargetMode="External" Id="rId559" /><Relationship Type="http://schemas.openxmlformats.org/officeDocument/2006/relationships/hyperlink" Target="https://wilkinsmedia.app.box.com/folder/255793162910" TargetMode="External" Id="rId560" /><Relationship Type="http://schemas.openxmlformats.org/officeDocument/2006/relationships/hyperlink" Target="https://wilkinsmedia.app.box.com/file/1479751245436" TargetMode="External" Id="rId561" /><Relationship Type="http://schemas.openxmlformats.org/officeDocument/2006/relationships/hyperlink" Target="https://wilkinsmedia.app.box.com/folder/255793162910" TargetMode="External" Id="rId562" /><Relationship Type="http://schemas.openxmlformats.org/officeDocument/2006/relationships/hyperlink" Target="https://wilkinsmedia.app.box.com/file/1479751245436" TargetMode="External" Id="rId563" /><Relationship Type="http://schemas.openxmlformats.org/officeDocument/2006/relationships/hyperlink" Target="https://wilkinsmedia.app.box.com/folder/255793162910" TargetMode="External" Id="rId564" /><Relationship Type="http://schemas.openxmlformats.org/officeDocument/2006/relationships/hyperlink" Target="https://wilkinsmedia.app.box.com/file/1479751245436" TargetMode="External" Id="rId565" /><Relationship Type="http://schemas.openxmlformats.org/officeDocument/2006/relationships/hyperlink" Target="https://wilkinsmedia.app.box.com/folder/255793162910" TargetMode="External" Id="rId566" /><Relationship Type="http://schemas.openxmlformats.org/officeDocument/2006/relationships/hyperlink" Target="https://wilkinsmedia.app.box.com/file/1479751245436" TargetMode="External" Id="rId567" /><Relationship Type="http://schemas.openxmlformats.org/officeDocument/2006/relationships/hyperlink" Target="https://wilkinsmedia.app.box.com/folder/255793162910" TargetMode="External" Id="rId568" /><Relationship Type="http://schemas.openxmlformats.org/officeDocument/2006/relationships/hyperlink" Target="https://wilkinsmedia.app.box.com/file/1479751245436" TargetMode="External" Id="rId569" /><Relationship Type="http://schemas.openxmlformats.org/officeDocument/2006/relationships/hyperlink" Target="https://wilkinsmedia.app.box.com/folder/255793162910" TargetMode="External" Id="rId570" /><Relationship Type="http://schemas.openxmlformats.org/officeDocument/2006/relationships/hyperlink" Target="https://wilkinsmedia.app.box.com/file/1479751245436" TargetMode="External" Id="rId571" /><Relationship Type="http://schemas.openxmlformats.org/officeDocument/2006/relationships/hyperlink" Target="https://wilkinsmedia.app.box.com/folder/255793162910" TargetMode="External" Id="rId572" /><Relationship Type="http://schemas.openxmlformats.org/officeDocument/2006/relationships/hyperlink" Target="https://wilkinsmedia.app.box.com/file/1479751245436" TargetMode="External" Id="rId573" /><Relationship Type="http://schemas.openxmlformats.org/officeDocument/2006/relationships/hyperlink" Target="https://wilkinsmedia.app.box.com/folder/255793162910" TargetMode="External" Id="rId574" /><Relationship Type="http://schemas.openxmlformats.org/officeDocument/2006/relationships/hyperlink" Target="https://wilkinsmedia.app.box.com/file/1479751245436" TargetMode="External" Id="rId575" /><Relationship Type="http://schemas.openxmlformats.org/officeDocument/2006/relationships/hyperlink" Target="https://wilkinsmedia.app.box.com/folder/255793162910" TargetMode="External" Id="rId576" /><Relationship Type="http://schemas.openxmlformats.org/officeDocument/2006/relationships/hyperlink" Target="https://wilkinsmedia.app.box.com/file/1479751245436" TargetMode="External" Id="rId577" /><Relationship Type="http://schemas.openxmlformats.org/officeDocument/2006/relationships/hyperlink" Target="https://wilkinsmedia.app.box.com/folder/255793162910" TargetMode="External" Id="rId578" /><Relationship Type="http://schemas.openxmlformats.org/officeDocument/2006/relationships/hyperlink" Target="https://wilkinsmedia.app.box.com/file/1479751245436" TargetMode="External" Id="rId579" /><Relationship Type="http://schemas.openxmlformats.org/officeDocument/2006/relationships/hyperlink" Target="https://wilkinsmedia.app.box.com/folder/255793162910" TargetMode="External" Id="rId580" /><Relationship Type="http://schemas.openxmlformats.org/officeDocument/2006/relationships/hyperlink" Target="https://wilkinsmedia.app.box.com/file/1479751245436" TargetMode="External" Id="rId581" /><Relationship Type="http://schemas.openxmlformats.org/officeDocument/2006/relationships/hyperlink" Target="https://wilkinsmedia.app.box.com/folder/255793162910" TargetMode="External" Id="rId582" /><Relationship Type="http://schemas.openxmlformats.org/officeDocument/2006/relationships/hyperlink" Target="https://wilkinsmedia.app.box.com/file/1479751245436" TargetMode="External" Id="rId583" /><Relationship Type="http://schemas.openxmlformats.org/officeDocument/2006/relationships/hyperlink" Target="https://wilkinsmedia.app.box.com/folder/255793162910" TargetMode="External" Id="rId584" /><Relationship Type="http://schemas.openxmlformats.org/officeDocument/2006/relationships/hyperlink" Target="https://wilkinsmedia.app.box.com/file/1479751245436" TargetMode="External" Id="rId585" /><Relationship Type="http://schemas.openxmlformats.org/officeDocument/2006/relationships/hyperlink" Target="https://wilkinsmedia.app.box.com/folder/255793162910" TargetMode="External" Id="rId586" /><Relationship Type="http://schemas.openxmlformats.org/officeDocument/2006/relationships/hyperlink" Target="https://wilkinsmedia.app.box.com/file/1479751245436" TargetMode="External" Id="rId587" /><Relationship Type="http://schemas.openxmlformats.org/officeDocument/2006/relationships/hyperlink" Target="https://wilkinsmedia.app.box.com/folder/255793162910" TargetMode="External" Id="rId588" /><Relationship Type="http://schemas.openxmlformats.org/officeDocument/2006/relationships/hyperlink" Target="https://wilkinsmedia.app.box.com/file/1479751245436" TargetMode="External" Id="rId589" /><Relationship Type="http://schemas.openxmlformats.org/officeDocument/2006/relationships/hyperlink" Target="https://wilkinsmedia.app.box.com/folder/255793162910" TargetMode="External" Id="rId590" /><Relationship Type="http://schemas.openxmlformats.org/officeDocument/2006/relationships/hyperlink" Target="https://wilkinsmedia.app.box.com/file/1479751245436" TargetMode="External" Id="rId591" /><Relationship Type="http://schemas.openxmlformats.org/officeDocument/2006/relationships/hyperlink" Target="https://wilkinsmedia.app.box.com/folder/255793162910" TargetMode="External" Id="rId592" /><Relationship Type="http://schemas.openxmlformats.org/officeDocument/2006/relationships/hyperlink" Target="https://wilkinsmedia.app.box.com/file/1479751245436" TargetMode="External" Id="rId593" /><Relationship Type="http://schemas.openxmlformats.org/officeDocument/2006/relationships/hyperlink" Target="https://wilkinsmedia.app.box.com/folder/255793162910" TargetMode="External" Id="rId594" /><Relationship Type="http://schemas.openxmlformats.org/officeDocument/2006/relationships/hyperlink" Target="https://wilkinsmedia.app.box.com/file/1479751245436" TargetMode="External" Id="rId595" /><Relationship Type="http://schemas.openxmlformats.org/officeDocument/2006/relationships/hyperlink" Target="https://wilkinsmedia.app.box.com/folder/255793162910" TargetMode="External" Id="rId596" /><Relationship Type="http://schemas.openxmlformats.org/officeDocument/2006/relationships/hyperlink" Target="https://wilkinsmedia.app.box.com/file/1479751245436" TargetMode="External" Id="rId597" /><Relationship Type="http://schemas.openxmlformats.org/officeDocument/2006/relationships/hyperlink" Target="https://wilkinsmedia.app.box.com/folder/255793162910" TargetMode="External" Id="rId598" /><Relationship Type="http://schemas.openxmlformats.org/officeDocument/2006/relationships/hyperlink" Target="https://wilkinsmedia.app.box.com/file/1479751245436" TargetMode="External" Id="rId599" /><Relationship Type="http://schemas.openxmlformats.org/officeDocument/2006/relationships/hyperlink" Target="https://wilkinsmedia.app.box.com/folder/255793162910" TargetMode="External" Id="rId600" /><Relationship Type="http://schemas.openxmlformats.org/officeDocument/2006/relationships/hyperlink" Target="https://wilkinsmedia.app.box.com/file/1479751245436" TargetMode="External" Id="rId601" /><Relationship Type="http://schemas.openxmlformats.org/officeDocument/2006/relationships/hyperlink" Target="https://wilkinsmedia.app.box.com/folder/255793162910" TargetMode="External" Id="rId602" /><Relationship Type="http://schemas.openxmlformats.org/officeDocument/2006/relationships/hyperlink" Target="https://wilkinsmedia.app.box.com/file/2306246733047" TargetMode="External" Id="rId603" /><Relationship Type="http://schemas.openxmlformats.org/officeDocument/2006/relationships/hyperlink" Target="https://wilkinsmedia.app.box.com/folder/179620922519" TargetMode="External" Id="rId604" /><Relationship Type="http://schemas.openxmlformats.org/officeDocument/2006/relationships/hyperlink" Target="https://wilkinsmedia.app.box.com/file/2306246733047" TargetMode="External" Id="rId605" /><Relationship Type="http://schemas.openxmlformats.org/officeDocument/2006/relationships/hyperlink" Target="https://wilkinsmedia.app.box.com/folder/179620922519" TargetMode="External" Id="rId606" /><Relationship Type="http://schemas.openxmlformats.org/officeDocument/2006/relationships/hyperlink" Target="https://wilkinsmedia.app.box.com/file/2306246733047" TargetMode="External" Id="rId607" /><Relationship Type="http://schemas.openxmlformats.org/officeDocument/2006/relationships/hyperlink" Target="https://wilkinsmedia.app.box.com/folder/179620922519" TargetMode="External" Id="rId608" /><Relationship Type="http://schemas.openxmlformats.org/officeDocument/2006/relationships/hyperlink" Target="https://wilkinsmedia.app.box.com/file/2306246733047" TargetMode="External" Id="rId609" /><Relationship Type="http://schemas.openxmlformats.org/officeDocument/2006/relationships/hyperlink" Target="https://wilkinsmedia.app.box.com/folder/179620922519" TargetMode="External" Id="rId610" /><Relationship Type="http://schemas.openxmlformats.org/officeDocument/2006/relationships/hyperlink" Target="https://wilkinsmedia.app.box.com/file/2306246733047" TargetMode="External" Id="rId611" /><Relationship Type="http://schemas.openxmlformats.org/officeDocument/2006/relationships/hyperlink" Target="https://wilkinsmedia.app.box.com/folder/179620922519" TargetMode="External" Id="rId612" /><Relationship Type="http://schemas.openxmlformats.org/officeDocument/2006/relationships/hyperlink" Target="https://wilkinsmedia.app.box.com/file/2306246733047" TargetMode="External" Id="rId613" /><Relationship Type="http://schemas.openxmlformats.org/officeDocument/2006/relationships/hyperlink" Target="https://wilkinsmedia.app.box.com/folder/179620922519" TargetMode="External" Id="rId614" /><Relationship Type="http://schemas.openxmlformats.org/officeDocument/2006/relationships/hyperlink" Target="https://wilkinsmedia.app.box.com/file/2424774316141" TargetMode="External" Id="rId615" /><Relationship Type="http://schemas.openxmlformats.org/officeDocument/2006/relationships/hyperlink" Target="https://wilkinsmedia.app.box.com/folder/178715042883" TargetMode="External" Id="rId616" /><Relationship Type="http://schemas.openxmlformats.org/officeDocument/2006/relationships/hyperlink" Target="https://wilkinsmedia.app.box.com/file/2424774316141" TargetMode="External" Id="rId617" /><Relationship Type="http://schemas.openxmlformats.org/officeDocument/2006/relationships/hyperlink" Target="https://wilkinsmedia.app.box.com/folder/178715042883" TargetMode="External" Id="rId618" /><Relationship Type="http://schemas.openxmlformats.org/officeDocument/2006/relationships/hyperlink" Target="https://wilkinsmedia.app.box.com/file/2424774316141" TargetMode="External" Id="rId619" /><Relationship Type="http://schemas.openxmlformats.org/officeDocument/2006/relationships/hyperlink" Target="https://wilkinsmedia.app.box.com/folder/178715042883" TargetMode="External" Id="rId620" /><Relationship Type="http://schemas.openxmlformats.org/officeDocument/2006/relationships/hyperlink" Target="https://wilkinsmedia.app.box.com/file/2424774316141" TargetMode="External" Id="rId621" /><Relationship Type="http://schemas.openxmlformats.org/officeDocument/2006/relationships/hyperlink" Target="https://wilkinsmedia.app.box.com/folder/178715042883" TargetMode="External" Id="rId622" /><Relationship Type="http://schemas.openxmlformats.org/officeDocument/2006/relationships/hyperlink" Target="https://wilkinsmedia.app.box.com/file/2424774316141" TargetMode="External" Id="rId623" /><Relationship Type="http://schemas.openxmlformats.org/officeDocument/2006/relationships/hyperlink" Target="https://wilkinsmedia.app.box.com/folder/178715042883" TargetMode="External" Id="rId624" /><Relationship Type="http://schemas.openxmlformats.org/officeDocument/2006/relationships/hyperlink" Target="https://wilkinsmedia.app.box.com/file/2424774316141" TargetMode="External" Id="rId625" /><Relationship Type="http://schemas.openxmlformats.org/officeDocument/2006/relationships/hyperlink" Target="https://wilkinsmedia.app.box.com/folder/178715042883" TargetMode="External" Id="rId626" /><Relationship Type="http://schemas.openxmlformats.org/officeDocument/2006/relationships/hyperlink" Target="https://wilkinsmedia.app.box.com/file/2424774316141" TargetMode="External" Id="rId627" /><Relationship Type="http://schemas.openxmlformats.org/officeDocument/2006/relationships/hyperlink" Target="https://wilkinsmedia.app.box.com/folder/178715042883" TargetMode="External" Id="rId628" /><Relationship Type="http://schemas.openxmlformats.org/officeDocument/2006/relationships/hyperlink" Target="https://wilkinsmedia.app.box.com/file/2424774316141" TargetMode="External" Id="rId629" /><Relationship Type="http://schemas.openxmlformats.org/officeDocument/2006/relationships/hyperlink" Target="https://wilkinsmedia.app.box.com/folder/178715042883" TargetMode="External" Id="rId630" /><Relationship Type="http://schemas.openxmlformats.org/officeDocument/2006/relationships/hyperlink" Target="https://wilkinsmedia.app.box.com/file/2424774316141" TargetMode="External" Id="rId631" /><Relationship Type="http://schemas.openxmlformats.org/officeDocument/2006/relationships/hyperlink" Target="https://wilkinsmedia.app.box.com/folder/178715042883" TargetMode="External" Id="rId632" /><Relationship Type="http://schemas.openxmlformats.org/officeDocument/2006/relationships/hyperlink" Target="https://wilkinsmedia.app.box.com/file/2424774316141" TargetMode="External" Id="rId633" /><Relationship Type="http://schemas.openxmlformats.org/officeDocument/2006/relationships/hyperlink" Target="https://wilkinsmedia.app.box.com/folder/178715042883" TargetMode="External" Id="rId634" /><Relationship Type="http://schemas.openxmlformats.org/officeDocument/2006/relationships/hyperlink" Target="https://wilkinsmedia.app.box.com/file/2424774316141" TargetMode="External" Id="rId635" /><Relationship Type="http://schemas.openxmlformats.org/officeDocument/2006/relationships/hyperlink" Target="https://wilkinsmedia.app.box.com/folder/178715042883" TargetMode="External" Id="rId636" /><Relationship Type="http://schemas.openxmlformats.org/officeDocument/2006/relationships/hyperlink" Target="https://wilkinsmedia.app.box.com/file/2424774316141" TargetMode="External" Id="rId637" /><Relationship Type="http://schemas.openxmlformats.org/officeDocument/2006/relationships/hyperlink" Target="https://wilkinsmedia.app.box.com/folder/178715042883" TargetMode="External" Id="rId638" /><Relationship Type="http://schemas.openxmlformats.org/officeDocument/2006/relationships/hyperlink" Target="https://wilkinsmedia.app.box.com/file/2238871864267" TargetMode="External" Id="rId639" /><Relationship Type="http://schemas.openxmlformats.org/officeDocument/2006/relationships/hyperlink" Target="https://wilkinsmedia.app.box.com/folder/251983375065" TargetMode="External" Id="rId640" /><Relationship Type="http://schemas.openxmlformats.org/officeDocument/2006/relationships/hyperlink" Target="https://wilkinsmedia.app.box.com/file/2238871864267" TargetMode="External" Id="rId641" /><Relationship Type="http://schemas.openxmlformats.org/officeDocument/2006/relationships/hyperlink" Target="https://wilkinsmedia.app.box.com/folder/251983375065" TargetMode="External" Id="rId642" /><Relationship Type="http://schemas.openxmlformats.org/officeDocument/2006/relationships/hyperlink" Target="https://wilkinsmedia.app.box.com/file/2238871864267" TargetMode="External" Id="rId643" /><Relationship Type="http://schemas.openxmlformats.org/officeDocument/2006/relationships/hyperlink" Target="https://wilkinsmedia.app.box.com/folder/251983375065" TargetMode="External" Id="rId644" /><Relationship Type="http://schemas.openxmlformats.org/officeDocument/2006/relationships/hyperlink" Target="https://wilkinsmedia.app.box.com/file/2238871864267" TargetMode="External" Id="rId645" /><Relationship Type="http://schemas.openxmlformats.org/officeDocument/2006/relationships/hyperlink" Target="https://wilkinsmedia.app.box.com/folder/251983375065" TargetMode="External" Id="rId646" /><Relationship Type="http://schemas.openxmlformats.org/officeDocument/2006/relationships/hyperlink" Target="https://wilkinsmedia.app.box.com/file/2238871864267" TargetMode="External" Id="rId647" /><Relationship Type="http://schemas.openxmlformats.org/officeDocument/2006/relationships/hyperlink" Target="https://wilkinsmedia.app.box.com/folder/251983375065" TargetMode="External" Id="rId648" /><Relationship Type="http://schemas.openxmlformats.org/officeDocument/2006/relationships/hyperlink" Target="https://wilkinsmedia.app.box.com/file/2197642622262" TargetMode="External" Id="rId649" /><Relationship Type="http://schemas.openxmlformats.org/officeDocument/2006/relationships/hyperlink" Target="https://wilkinsmedia.app.box.com/folder/180807487382" TargetMode="External" Id="rId650" /><Relationship Type="http://schemas.openxmlformats.org/officeDocument/2006/relationships/hyperlink" Target="https://wilkinsmedia.app.box.com/file/2197642622262" TargetMode="External" Id="rId651" /><Relationship Type="http://schemas.openxmlformats.org/officeDocument/2006/relationships/hyperlink" Target="https://wilkinsmedia.app.box.com/folder/180807487382" TargetMode="External" Id="rId652" /><Relationship Type="http://schemas.openxmlformats.org/officeDocument/2006/relationships/hyperlink" Target="https://wilkinsmedia.app.box.com/file/2197642622262" TargetMode="External" Id="rId653" /><Relationship Type="http://schemas.openxmlformats.org/officeDocument/2006/relationships/hyperlink" Target="https://wilkinsmedia.app.box.com/folder/180807487382" TargetMode="External" Id="rId654" /><Relationship Type="http://schemas.openxmlformats.org/officeDocument/2006/relationships/hyperlink" Target="https://wilkinsmedia.app.box.com/file/2197642622262" TargetMode="External" Id="rId655" /><Relationship Type="http://schemas.openxmlformats.org/officeDocument/2006/relationships/hyperlink" Target="https://wilkinsmedia.app.box.com/folder/180807487382" TargetMode="External" Id="rId656" /><Relationship Type="http://schemas.openxmlformats.org/officeDocument/2006/relationships/hyperlink" Target="https://wilkinsmedia.app.box.com/file/2197642622262" TargetMode="External" Id="rId657" /><Relationship Type="http://schemas.openxmlformats.org/officeDocument/2006/relationships/hyperlink" Target="https://wilkinsmedia.app.box.com/folder/180807487382" TargetMode="External" Id="rId658" /><Relationship Type="http://schemas.openxmlformats.org/officeDocument/2006/relationships/hyperlink" Target="https://wilkinsmedia.app.box.com/file/2197642622262" TargetMode="External" Id="rId659" /><Relationship Type="http://schemas.openxmlformats.org/officeDocument/2006/relationships/hyperlink" Target="https://wilkinsmedia.app.box.com/folder/180807487382" TargetMode="External" Id="rId660" /><Relationship Type="http://schemas.openxmlformats.org/officeDocument/2006/relationships/hyperlink" Target="https://wilkinsmedia.app.box.com/file/2197642622262" TargetMode="External" Id="rId661" /><Relationship Type="http://schemas.openxmlformats.org/officeDocument/2006/relationships/hyperlink" Target="https://wilkinsmedia.app.box.com/folder/180807487382" TargetMode="External" Id="rId662" /><Relationship Type="http://schemas.openxmlformats.org/officeDocument/2006/relationships/hyperlink" Target="https://wilkinsmedia.app.box.com/file/2197642622262" TargetMode="External" Id="rId663" /><Relationship Type="http://schemas.openxmlformats.org/officeDocument/2006/relationships/hyperlink" Target="https://wilkinsmedia.app.box.com/folder/180807487382" TargetMode="External" Id="rId664" /><Relationship Type="http://schemas.openxmlformats.org/officeDocument/2006/relationships/hyperlink" Target="https://wilkinsmedia.app.box.com/file/2197642622262" TargetMode="External" Id="rId665" /><Relationship Type="http://schemas.openxmlformats.org/officeDocument/2006/relationships/hyperlink" Target="https://wilkinsmedia.app.box.com/folder/180807487382" TargetMode="External" Id="rId666" /><Relationship Type="http://schemas.openxmlformats.org/officeDocument/2006/relationships/hyperlink" Target="https://wilkinsmedia.app.box.com/file/2197642622262" TargetMode="External" Id="rId667" /><Relationship Type="http://schemas.openxmlformats.org/officeDocument/2006/relationships/hyperlink" Target="https://wilkinsmedia.app.box.com/folder/180807487382" TargetMode="External" Id="rId668" /><Relationship Type="http://schemas.openxmlformats.org/officeDocument/2006/relationships/hyperlink" Target="https://wilkinsmedia.app.box.com/file/2197642622262" TargetMode="External" Id="rId669" /><Relationship Type="http://schemas.openxmlformats.org/officeDocument/2006/relationships/hyperlink" Target="https://wilkinsmedia.app.box.com/folder/180807487382" TargetMode="External" Id="rId670" /><Relationship Type="http://schemas.openxmlformats.org/officeDocument/2006/relationships/hyperlink" Target="https://wilkinsmedia.app.box.com/file/2197642622262" TargetMode="External" Id="rId671" /><Relationship Type="http://schemas.openxmlformats.org/officeDocument/2006/relationships/hyperlink" Target="https://wilkinsmedia.app.box.com/folder/180807487382" TargetMode="External" Id="rId672" /><Relationship Type="http://schemas.openxmlformats.org/officeDocument/2006/relationships/hyperlink" Target="https://wilkinsmedia.app.box.com/file/2197642622262" TargetMode="External" Id="rId673" /><Relationship Type="http://schemas.openxmlformats.org/officeDocument/2006/relationships/hyperlink" Target="https://wilkinsmedia.app.box.com/folder/180807487382" TargetMode="External" Id="rId674" /><Relationship Type="http://schemas.openxmlformats.org/officeDocument/2006/relationships/hyperlink" Target="https://wilkinsmedia.app.box.com/file/2197642622262" TargetMode="External" Id="rId675" /><Relationship Type="http://schemas.openxmlformats.org/officeDocument/2006/relationships/hyperlink" Target="https://wilkinsmedia.app.box.com/folder/180807487382" TargetMode="External" Id="rId676" /><Relationship Type="http://schemas.openxmlformats.org/officeDocument/2006/relationships/hyperlink" Target="https://wilkinsmedia.app.box.com/file/2197642622262" TargetMode="External" Id="rId677" /><Relationship Type="http://schemas.openxmlformats.org/officeDocument/2006/relationships/hyperlink" Target="https://wilkinsmedia.app.box.com/folder/180807487382" TargetMode="External" Id="rId678" /><Relationship Type="http://schemas.openxmlformats.org/officeDocument/2006/relationships/hyperlink" Target="https://wilkinsmedia.app.box.com/file/2197642622262" TargetMode="External" Id="rId679" /><Relationship Type="http://schemas.openxmlformats.org/officeDocument/2006/relationships/hyperlink" Target="https://wilkinsmedia.app.box.com/folder/180807487382" TargetMode="External" Id="rId680" /><Relationship Type="http://schemas.openxmlformats.org/officeDocument/2006/relationships/hyperlink" Target="https://wilkinsmedia.app.box.com/file/2197642622262" TargetMode="External" Id="rId681" /><Relationship Type="http://schemas.openxmlformats.org/officeDocument/2006/relationships/hyperlink" Target="https://wilkinsmedia.app.box.com/folder/180807487382" TargetMode="External" Id="rId682" /><Relationship Type="http://schemas.openxmlformats.org/officeDocument/2006/relationships/hyperlink" Target="https://wilkinsmedia.app.box.com/file/2197642622262" TargetMode="External" Id="rId683" /><Relationship Type="http://schemas.openxmlformats.org/officeDocument/2006/relationships/hyperlink" Target="https://wilkinsmedia.app.box.com/folder/180807487382" TargetMode="External" Id="rId684" /><Relationship Type="http://schemas.openxmlformats.org/officeDocument/2006/relationships/hyperlink" Target="https://wilkinsmedia.app.box.com/file/2197642622262" TargetMode="External" Id="rId685" /><Relationship Type="http://schemas.openxmlformats.org/officeDocument/2006/relationships/hyperlink" Target="https://wilkinsmedia.app.box.com/folder/180807487382" TargetMode="External" Id="rId686" /><Relationship Type="http://schemas.openxmlformats.org/officeDocument/2006/relationships/hyperlink" Target="https://wilkinsmedia.app.box.com/file/2197642622262" TargetMode="External" Id="rId687" /><Relationship Type="http://schemas.openxmlformats.org/officeDocument/2006/relationships/hyperlink" Target="https://wilkinsmedia.app.box.com/folder/180807487382" TargetMode="External" Id="rId688" /><Relationship Type="http://schemas.openxmlformats.org/officeDocument/2006/relationships/hyperlink" Target="https://wilkinsmedia.app.box.com/file/2197642622262" TargetMode="External" Id="rId689" /><Relationship Type="http://schemas.openxmlformats.org/officeDocument/2006/relationships/hyperlink" Target="https://wilkinsmedia.app.box.com/folder/180807487382" TargetMode="External" Id="rId690" /><Relationship Type="http://schemas.openxmlformats.org/officeDocument/2006/relationships/hyperlink" Target="https://wilkinsmedia.app.box.com/file/2197642622262" TargetMode="External" Id="rId691" /><Relationship Type="http://schemas.openxmlformats.org/officeDocument/2006/relationships/hyperlink" Target="https://wilkinsmedia.app.box.com/folder/180807487382" TargetMode="External" Id="rId692" /><Relationship Type="http://schemas.openxmlformats.org/officeDocument/2006/relationships/hyperlink" Target="https://wilkinsmedia.app.box.com/file/2197642622262" TargetMode="External" Id="rId693" /><Relationship Type="http://schemas.openxmlformats.org/officeDocument/2006/relationships/hyperlink" Target="https://wilkinsmedia.app.box.com/folder/180807487382" TargetMode="External" Id="rId694" /><Relationship Type="http://schemas.openxmlformats.org/officeDocument/2006/relationships/hyperlink" Target="https://wilkinsmedia.app.box.com/file/2197642622262" TargetMode="External" Id="rId695" /><Relationship Type="http://schemas.openxmlformats.org/officeDocument/2006/relationships/hyperlink" Target="https://wilkinsmedia.app.box.com/folder/180807487382" TargetMode="External" Id="rId696" /><Relationship Type="http://schemas.openxmlformats.org/officeDocument/2006/relationships/hyperlink" Target="https://wilkinsmedia.app.box.com/file/2197642622262" TargetMode="External" Id="rId697" /><Relationship Type="http://schemas.openxmlformats.org/officeDocument/2006/relationships/hyperlink" Target="https://wilkinsmedia.app.box.com/folder/180807487382" TargetMode="External" Id="rId698" /><Relationship Type="http://schemas.openxmlformats.org/officeDocument/2006/relationships/hyperlink" Target="https://wilkinsmedia.app.box.com/file/2197642622262" TargetMode="External" Id="rId699" /><Relationship Type="http://schemas.openxmlformats.org/officeDocument/2006/relationships/hyperlink" Target="https://wilkinsmedia.app.box.com/folder/180807487382" TargetMode="External" Id="rId700" /><Relationship Type="http://schemas.openxmlformats.org/officeDocument/2006/relationships/hyperlink" Target="https://wilkinsmedia.app.box.com/file/2197642622262" TargetMode="External" Id="rId701" /><Relationship Type="http://schemas.openxmlformats.org/officeDocument/2006/relationships/hyperlink" Target="https://wilkinsmedia.app.box.com/folder/180807487382" TargetMode="External" Id="rId702" /><Relationship Type="http://schemas.openxmlformats.org/officeDocument/2006/relationships/hyperlink" Target="https://wilkinsmedia.app.box.com/file/2197642622262" TargetMode="External" Id="rId703" /><Relationship Type="http://schemas.openxmlformats.org/officeDocument/2006/relationships/hyperlink" Target="https://wilkinsmedia.app.box.com/folder/180807487382" TargetMode="External" Id="rId704" /><Relationship Type="http://schemas.openxmlformats.org/officeDocument/2006/relationships/hyperlink" Target="https://wilkinsmedia.app.box.com/file/2197642622262" TargetMode="External" Id="rId705" /><Relationship Type="http://schemas.openxmlformats.org/officeDocument/2006/relationships/hyperlink" Target="https://wilkinsmedia.app.box.com/folder/180807487382" TargetMode="External" Id="rId706" /><Relationship Type="http://schemas.openxmlformats.org/officeDocument/2006/relationships/hyperlink" Target="https://wilkinsmedia.app.box.com/file/2197642622262" TargetMode="External" Id="rId707" /><Relationship Type="http://schemas.openxmlformats.org/officeDocument/2006/relationships/hyperlink" Target="https://wilkinsmedia.app.box.com/folder/180807487382" TargetMode="External" Id="rId708" /><Relationship Type="http://schemas.openxmlformats.org/officeDocument/2006/relationships/hyperlink" Target="https://wilkinsmedia.app.box.com/file/2197642622262" TargetMode="External" Id="rId709" /><Relationship Type="http://schemas.openxmlformats.org/officeDocument/2006/relationships/hyperlink" Target="https://wilkinsmedia.app.box.com/folder/180807487382" TargetMode="External" Id="rId710" /><Relationship Type="http://schemas.openxmlformats.org/officeDocument/2006/relationships/hyperlink" Target="https://wilkinsmedia.app.box.com/file/2197642622262" TargetMode="External" Id="rId711" /><Relationship Type="http://schemas.openxmlformats.org/officeDocument/2006/relationships/hyperlink" Target="https://wilkinsmedia.app.box.com/folder/180807487382" TargetMode="External" Id="rId712" /><Relationship Type="http://schemas.openxmlformats.org/officeDocument/2006/relationships/hyperlink" Target="https://wilkinsmedia.app.box.com/file/2197642622262" TargetMode="External" Id="rId713" /><Relationship Type="http://schemas.openxmlformats.org/officeDocument/2006/relationships/hyperlink" Target="https://wilkinsmedia.app.box.com/folder/180807487382" TargetMode="External" Id="rId714" /><Relationship Type="http://schemas.openxmlformats.org/officeDocument/2006/relationships/hyperlink" Target="https://wilkinsmedia.app.box.com/file/2197642622262" TargetMode="External" Id="rId715" /><Relationship Type="http://schemas.openxmlformats.org/officeDocument/2006/relationships/hyperlink" Target="https://wilkinsmedia.app.box.com/folder/180807487382" TargetMode="External" Id="rId716" /><Relationship Type="http://schemas.openxmlformats.org/officeDocument/2006/relationships/hyperlink" Target="https://wilkinsmedia.app.box.com/file/2197642622262" TargetMode="External" Id="rId717" /><Relationship Type="http://schemas.openxmlformats.org/officeDocument/2006/relationships/hyperlink" Target="https://wilkinsmedia.app.box.com/folder/180807487382" TargetMode="External" Id="rId718" /><Relationship Type="http://schemas.openxmlformats.org/officeDocument/2006/relationships/hyperlink" Target="https://wilkinsmedia.app.box.com/file/2197642622262" TargetMode="External" Id="rId719" /><Relationship Type="http://schemas.openxmlformats.org/officeDocument/2006/relationships/hyperlink" Target="https://wilkinsmedia.app.box.com/folder/180807487382" TargetMode="External" Id="rId720" /><Relationship Type="http://schemas.openxmlformats.org/officeDocument/2006/relationships/hyperlink" Target="https://wilkinsmedia.app.box.com/file/2197642622262" TargetMode="External" Id="rId721" /><Relationship Type="http://schemas.openxmlformats.org/officeDocument/2006/relationships/hyperlink" Target="https://wilkinsmedia.app.box.com/folder/180807487382" TargetMode="External" Id="rId722" /><Relationship Type="http://schemas.openxmlformats.org/officeDocument/2006/relationships/hyperlink" Target="https://wilkinsmedia.app.box.com/file/2197642622262" TargetMode="External" Id="rId723" /><Relationship Type="http://schemas.openxmlformats.org/officeDocument/2006/relationships/hyperlink" Target="https://wilkinsmedia.app.box.com/folder/180807487382" TargetMode="External" Id="rId724" /><Relationship Type="http://schemas.openxmlformats.org/officeDocument/2006/relationships/hyperlink" Target="https://wilkinsmedia.app.box.com/file/2197642622262" TargetMode="External" Id="rId725" /><Relationship Type="http://schemas.openxmlformats.org/officeDocument/2006/relationships/hyperlink" Target="https://wilkinsmedia.app.box.com/folder/180807487382" TargetMode="External" Id="rId726" /><Relationship Type="http://schemas.openxmlformats.org/officeDocument/2006/relationships/hyperlink" Target="https://wilkinsmedia.app.box.com/file/2108463150872" TargetMode="External" Id="rId727" /><Relationship Type="http://schemas.openxmlformats.org/officeDocument/2006/relationships/hyperlink" Target="https://wilkinsmedia.app.box.com/folder/176988617938" TargetMode="External" Id="rId728" /><Relationship Type="http://schemas.openxmlformats.org/officeDocument/2006/relationships/hyperlink" Target="https://wilkinsmedia.app.box.com/file/2108463150872" TargetMode="External" Id="rId729" /><Relationship Type="http://schemas.openxmlformats.org/officeDocument/2006/relationships/hyperlink" Target="https://wilkinsmedia.app.box.com/folder/176988617938" TargetMode="External" Id="rId730" /><Relationship Type="http://schemas.openxmlformats.org/officeDocument/2006/relationships/hyperlink" Target="https://wilkinsmedia.app.box.com/file/2108463150872" TargetMode="External" Id="rId731" /><Relationship Type="http://schemas.openxmlformats.org/officeDocument/2006/relationships/hyperlink" Target="https://wilkinsmedia.app.box.com/folder/176988617938" TargetMode="External" Id="rId732" /><Relationship Type="http://schemas.openxmlformats.org/officeDocument/2006/relationships/hyperlink" Target="https://wilkinsmedia.app.box.com/file/2108463150872" TargetMode="External" Id="rId733" /><Relationship Type="http://schemas.openxmlformats.org/officeDocument/2006/relationships/hyperlink" Target="https://wilkinsmedia.app.box.com/folder/176988617938" TargetMode="External" Id="rId734" /><Relationship Type="http://schemas.openxmlformats.org/officeDocument/2006/relationships/hyperlink" Target="https://wilkinsmedia.app.box.com/file/2108463150872" TargetMode="External" Id="rId735" /><Relationship Type="http://schemas.openxmlformats.org/officeDocument/2006/relationships/hyperlink" Target="https://wilkinsmedia.app.box.com/folder/176988617938" TargetMode="External" Id="rId736" /><Relationship Type="http://schemas.openxmlformats.org/officeDocument/2006/relationships/hyperlink" Target="https://wilkinsmedia.app.box.com/file/2108463150872" TargetMode="External" Id="rId737" /><Relationship Type="http://schemas.openxmlformats.org/officeDocument/2006/relationships/hyperlink" Target="https://wilkinsmedia.app.box.com/folder/176988617938" TargetMode="External" Id="rId738" /><Relationship Type="http://schemas.openxmlformats.org/officeDocument/2006/relationships/hyperlink" Target="https://wilkinsmedia.app.box.com/file/2108463150872" TargetMode="External" Id="rId739" /><Relationship Type="http://schemas.openxmlformats.org/officeDocument/2006/relationships/hyperlink" Target="https://wilkinsmedia.app.box.com/folder/176988617938" TargetMode="External" Id="rId740" /><Relationship Type="http://schemas.openxmlformats.org/officeDocument/2006/relationships/hyperlink" Target="https://wilkinsmedia.app.box.com/file/2108463150872" TargetMode="External" Id="rId741" /><Relationship Type="http://schemas.openxmlformats.org/officeDocument/2006/relationships/hyperlink" Target="https://wilkinsmedia.app.box.com/folder/176988617938" TargetMode="External" Id="rId742" /><Relationship Type="http://schemas.openxmlformats.org/officeDocument/2006/relationships/hyperlink" Target="https://wilkinsmedia.app.box.com/file/2323764861317" TargetMode="External" Id="rId743" /><Relationship Type="http://schemas.openxmlformats.org/officeDocument/2006/relationships/hyperlink" Target="https://wilkinsmedia.app.box.com/folder/176990774432" TargetMode="External" Id="rId744" /><Relationship Type="http://schemas.openxmlformats.org/officeDocument/2006/relationships/hyperlink" Target="https://wilkinsmedia.app.box.com/file/2323764861317" TargetMode="External" Id="rId745" /><Relationship Type="http://schemas.openxmlformats.org/officeDocument/2006/relationships/hyperlink" Target="https://wilkinsmedia.app.box.com/folder/176990774432" TargetMode="External" Id="rId746" /><Relationship Type="http://schemas.openxmlformats.org/officeDocument/2006/relationships/hyperlink" Target="https://wilkinsmedia.app.box.com/file/2323764861317" TargetMode="External" Id="rId747" /><Relationship Type="http://schemas.openxmlformats.org/officeDocument/2006/relationships/hyperlink" Target="https://wilkinsmedia.app.box.com/folder/176990774432" TargetMode="External" Id="rId748" /><Relationship Type="http://schemas.openxmlformats.org/officeDocument/2006/relationships/hyperlink" Target="https://wilkinsmedia.app.box.com/file/2323764861317" TargetMode="External" Id="rId749" /><Relationship Type="http://schemas.openxmlformats.org/officeDocument/2006/relationships/hyperlink" Target="https://wilkinsmedia.app.box.com/folder/176990774432" TargetMode="External" Id="rId750" /><Relationship Type="http://schemas.openxmlformats.org/officeDocument/2006/relationships/hyperlink" Target="https://wilkinsmedia.app.box.com/file/2323764861317" TargetMode="External" Id="rId751" /><Relationship Type="http://schemas.openxmlformats.org/officeDocument/2006/relationships/hyperlink" Target="https://wilkinsmedia.app.box.com/folder/176990774432" TargetMode="External" Id="rId752" /><Relationship Type="http://schemas.openxmlformats.org/officeDocument/2006/relationships/hyperlink" Target="https://wilkinsmedia.app.box.com/file/2213662566865" TargetMode="External" Id="rId753" /><Relationship Type="http://schemas.openxmlformats.org/officeDocument/2006/relationships/hyperlink" Target="https://wilkinsmedia.app.box.com/folder/178716977263" TargetMode="External" Id="rId754" /><Relationship Type="http://schemas.openxmlformats.org/officeDocument/2006/relationships/hyperlink" Target="https://wilkinsmedia.app.box.com/file/2213662566865" TargetMode="External" Id="rId755" /><Relationship Type="http://schemas.openxmlformats.org/officeDocument/2006/relationships/hyperlink" Target="https://wilkinsmedia.app.box.com/folder/178716977263" TargetMode="External" Id="rId756" /><Relationship Type="http://schemas.openxmlformats.org/officeDocument/2006/relationships/hyperlink" Target="https://wilkinsmedia.app.box.com/file/2213662566865" TargetMode="External" Id="rId757" /><Relationship Type="http://schemas.openxmlformats.org/officeDocument/2006/relationships/hyperlink" Target="https://wilkinsmedia.app.box.com/folder/178716977263" TargetMode="External" Id="rId758" /><Relationship Type="http://schemas.openxmlformats.org/officeDocument/2006/relationships/hyperlink" Target="https://wilkinsmedia.app.box.com/file/2213662566865" TargetMode="External" Id="rId759" /><Relationship Type="http://schemas.openxmlformats.org/officeDocument/2006/relationships/hyperlink" Target="https://wilkinsmedia.app.box.com/folder/178716977263" TargetMode="External" Id="rId760" /><Relationship Type="http://schemas.openxmlformats.org/officeDocument/2006/relationships/hyperlink" Target="https://wilkinsmedia.app.box.com/file/2213662566865" TargetMode="External" Id="rId761" /><Relationship Type="http://schemas.openxmlformats.org/officeDocument/2006/relationships/hyperlink" Target="https://wilkinsmedia.app.box.com/folder/178716977263" TargetMode="External" Id="rId762" /><Relationship Type="http://schemas.openxmlformats.org/officeDocument/2006/relationships/hyperlink" Target="https://wilkinsmedia.app.box.com/file/2213662566865" TargetMode="External" Id="rId763" /><Relationship Type="http://schemas.openxmlformats.org/officeDocument/2006/relationships/hyperlink" Target="https://wilkinsmedia.app.box.com/folder/178716977263" TargetMode="External" Id="rId764" /><Relationship Type="http://schemas.openxmlformats.org/officeDocument/2006/relationships/hyperlink" Target="https://wilkinsmedia.app.box.com/file/2213662566865" TargetMode="External" Id="rId765" /><Relationship Type="http://schemas.openxmlformats.org/officeDocument/2006/relationships/hyperlink" Target="https://wilkinsmedia.app.box.com/folder/178716977263" TargetMode="External" Id="rId766" /><Relationship Type="http://schemas.openxmlformats.org/officeDocument/2006/relationships/hyperlink" Target="https://wilkinsmedia.app.box.com/file/2213662566865" TargetMode="External" Id="rId767" /><Relationship Type="http://schemas.openxmlformats.org/officeDocument/2006/relationships/hyperlink" Target="https://wilkinsmedia.app.box.com/folder/178716977263" TargetMode="External" Id="rId768" /><Relationship Type="http://schemas.openxmlformats.org/officeDocument/2006/relationships/hyperlink" Target="https://wilkinsmedia.app.box.com/file/2213662566865" TargetMode="External" Id="rId769" /><Relationship Type="http://schemas.openxmlformats.org/officeDocument/2006/relationships/hyperlink" Target="https://wilkinsmedia.app.box.com/folder/178716977263" TargetMode="External" Id="rId770" /><Relationship Type="http://schemas.openxmlformats.org/officeDocument/2006/relationships/hyperlink" Target="https://wilkinsmedia.app.box.com/file/2213662566865" TargetMode="External" Id="rId771" /><Relationship Type="http://schemas.openxmlformats.org/officeDocument/2006/relationships/hyperlink" Target="https://wilkinsmedia.app.box.com/folder/178716977263" TargetMode="External" Id="rId772" /><Relationship Type="http://schemas.openxmlformats.org/officeDocument/2006/relationships/hyperlink" Target="https://wilkinsmedia.app.box.com/file/2213662566865" TargetMode="External" Id="rId773" /><Relationship Type="http://schemas.openxmlformats.org/officeDocument/2006/relationships/hyperlink" Target="https://wilkinsmedia.app.box.com/folder/178716977263" TargetMode="External" Id="rId774" /><Relationship Type="http://schemas.openxmlformats.org/officeDocument/2006/relationships/hyperlink" Target="https://wilkinsmedia.app.box.com/file/2213662566865" TargetMode="External" Id="rId775" /><Relationship Type="http://schemas.openxmlformats.org/officeDocument/2006/relationships/hyperlink" Target="https://wilkinsmedia.app.box.com/folder/178716977263" TargetMode="External" Id="rId776" /><Relationship Type="http://schemas.openxmlformats.org/officeDocument/2006/relationships/hyperlink" Target="https://wilkinsmedia.app.box.com/file/2289709585690" TargetMode="External" Id="rId777" /><Relationship Type="http://schemas.openxmlformats.org/officeDocument/2006/relationships/hyperlink" Target="https://wilkinsmedia.app.box.com/folder/390842154419" TargetMode="External" Id="rId778" /><Relationship Type="http://schemas.openxmlformats.org/officeDocument/2006/relationships/hyperlink" Target="https://wilkinsmedia.app.box.com/file/2289709585690" TargetMode="External" Id="rId779" /><Relationship Type="http://schemas.openxmlformats.org/officeDocument/2006/relationships/hyperlink" Target="https://wilkinsmedia.app.box.com/folder/390842154419" TargetMode="External" Id="rId780" /><Relationship Type="http://schemas.openxmlformats.org/officeDocument/2006/relationships/hyperlink" Target="https://wilkinsmedia.app.box.com/file/2289709585690" TargetMode="External" Id="rId781" /><Relationship Type="http://schemas.openxmlformats.org/officeDocument/2006/relationships/hyperlink" Target="https://wilkinsmedia.app.box.com/folder/390842154419" TargetMode="External" Id="rId782" /><Relationship Type="http://schemas.openxmlformats.org/officeDocument/2006/relationships/hyperlink" Target="https://wilkinsmedia.app.box.com/file/2432477955765" TargetMode="External" Id="rId783" /><Relationship Type="http://schemas.openxmlformats.org/officeDocument/2006/relationships/hyperlink" Target="https://wilkinsmedia.app.box.com/folder/255760115017" TargetMode="External" Id="rId784" /><Relationship Type="http://schemas.openxmlformats.org/officeDocument/2006/relationships/hyperlink" Target="https://wilkinsmedia.app.box.com/file/2432477955765" TargetMode="External" Id="rId785" /><Relationship Type="http://schemas.openxmlformats.org/officeDocument/2006/relationships/hyperlink" Target="https://wilkinsmedia.app.box.com/folder/255760115017" TargetMode="External" Id="rId786" /><Relationship Type="http://schemas.openxmlformats.org/officeDocument/2006/relationships/hyperlink" Target="https://wilkinsmedia.app.box.com/file/2432477955765" TargetMode="External" Id="rId787" /><Relationship Type="http://schemas.openxmlformats.org/officeDocument/2006/relationships/hyperlink" Target="https://wilkinsmedia.app.box.com/folder/255760115017" TargetMode="External" Id="rId788" /><Relationship Type="http://schemas.openxmlformats.org/officeDocument/2006/relationships/hyperlink" Target="https://wilkinsmedia.app.box.com/file/2432477955765" TargetMode="External" Id="rId789" /><Relationship Type="http://schemas.openxmlformats.org/officeDocument/2006/relationships/hyperlink" Target="https://wilkinsmedia.app.box.com/folder/255760115017" TargetMode="External" Id="rId790" /><Relationship Type="http://schemas.openxmlformats.org/officeDocument/2006/relationships/hyperlink" Target="https://wilkinsmedia.app.box.com/file/2432477955765" TargetMode="External" Id="rId791" /><Relationship Type="http://schemas.openxmlformats.org/officeDocument/2006/relationships/hyperlink" Target="https://wilkinsmedia.app.box.com/folder/255760115017" TargetMode="External" Id="rId792" /><Relationship Type="http://schemas.openxmlformats.org/officeDocument/2006/relationships/hyperlink" Target="https://wilkinsmedia.app.box.com/file/2432477955765" TargetMode="External" Id="rId793" /><Relationship Type="http://schemas.openxmlformats.org/officeDocument/2006/relationships/hyperlink" Target="https://wilkinsmedia.app.box.com/folder/255760115017" TargetMode="External" Id="rId794" /><Relationship Type="http://schemas.openxmlformats.org/officeDocument/2006/relationships/hyperlink" Target="https://wilkinsmedia.app.box.com/file/2432477955765" TargetMode="External" Id="rId795" /><Relationship Type="http://schemas.openxmlformats.org/officeDocument/2006/relationships/hyperlink" Target="https://wilkinsmedia.app.box.com/folder/255760115017" TargetMode="External" Id="rId796" /><Relationship Type="http://schemas.openxmlformats.org/officeDocument/2006/relationships/hyperlink" Target="https://wilkinsmedia.app.box.com/file/2432477955765" TargetMode="External" Id="rId797" /><Relationship Type="http://schemas.openxmlformats.org/officeDocument/2006/relationships/hyperlink" Target="https://wilkinsmedia.app.box.com/folder/255760115017" TargetMode="External" Id="rId798" /><Relationship Type="http://schemas.openxmlformats.org/officeDocument/2006/relationships/hyperlink" Target="https://wilkinsmedia.app.box.com/file/2332927144598" TargetMode="External" Id="rId799" /><Relationship Type="http://schemas.openxmlformats.org/officeDocument/2006/relationships/hyperlink" Target="https://wilkinsmedia.app.box.com/folder/261819923601" TargetMode="External" Id="rId800" /><Relationship Type="http://schemas.openxmlformats.org/officeDocument/2006/relationships/hyperlink" Target="https://wilkinsmedia.app.box.com/file/2332927144598" TargetMode="External" Id="rId801" /><Relationship Type="http://schemas.openxmlformats.org/officeDocument/2006/relationships/hyperlink" Target="https://wilkinsmedia.app.box.com/folder/261819923601" TargetMode="External" Id="rId802" /><Relationship Type="http://schemas.openxmlformats.org/officeDocument/2006/relationships/hyperlink" Target="https://wilkinsmedia.app.box.com/file/2332927144598" TargetMode="External" Id="rId803" /><Relationship Type="http://schemas.openxmlformats.org/officeDocument/2006/relationships/hyperlink" Target="https://wilkinsmedia.app.box.com/folder/261819923601" TargetMode="External" Id="rId804" /><Relationship Type="http://schemas.openxmlformats.org/officeDocument/2006/relationships/hyperlink" Target="https://wilkinsmedia.app.box.com/file/2332927144598" TargetMode="External" Id="rId805" /><Relationship Type="http://schemas.openxmlformats.org/officeDocument/2006/relationships/hyperlink" Target="https://wilkinsmedia.app.box.com/folder/261819923601" TargetMode="External" Id="rId806" /><Relationship Type="http://schemas.openxmlformats.org/officeDocument/2006/relationships/hyperlink" Target="https://wilkinsmedia.app.box.com/file/2332927144598" TargetMode="External" Id="rId807" /><Relationship Type="http://schemas.openxmlformats.org/officeDocument/2006/relationships/hyperlink" Target="https://wilkinsmedia.app.box.com/folder/261819923601" TargetMode="External" Id="rId808" /><Relationship Type="http://schemas.openxmlformats.org/officeDocument/2006/relationships/hyperlink" Target="https://wilkinsmedia.app.box.com/file/2332927144598" TargetMode="External" Id="rId809" /><Relationship Type="http://schemas.openxmlformats.org/officeDocument/2006/relationships/hyperlink" Target="https://wilkinsmedia.app.box.com/folder/261819923601" TargetMode="External" Id="rId810" /><Relationship Type="http://schemas.openxmlformats.org/officeDocument/2006/relationships/hyperlink" Target="https://wilkinsmedia.app.box.com/file/2332927144598" TargetMode="External" Id="rId811" /><Relationship Type="http://schemas.openxmlformats.org/officeDocument/2006/relationships/hyperlink" Target="https://wilkinsmedia.app.box.com/folder/261819923601" TargetMode="External" Id="rId812" /><Relationship Type="http://schemas.openxmlformats.org/officeDocument/2006/relationships/hyperlink" Target="https://wilkinsmedia.app.box.com/file/2332927144598" TargetMode="External" Id="rId813" /><Relationship Type="http://schemas.openxmlformats.org/officeDocument/2006/relationships/hyperlink" Target="https://wilkinsmedia.app.box.com/folder/261819923601" TargetMode="External" Id="rId814" /><Relationship Type="http://schemas.openxmlformats.org/officeDocument/2006/relationships/hyperlink" Target="https://wilkinsmedia.app.box.com/file/2332927144598" TargetMode="External" Id="rId815" /><Relationship Type="http://schemas.openxmlformats.org/officeDocument/2006/relationships/hyperlink" Target="https://wilkinsmedia.app.box.com/folder/261819923601" TargetMode="External" Id="rId816" /><Relationship Type="http://schemas.openxmlformats.org/officeDocument/2006/relationships/hyperlink" Target="https://wilkinsmedia.app.box.com/file/2332927144598" TargetMode="External" Id="rId817" /><Relationship Type="http://schemas.openxmlformats.org/officeDocument/2006/relationships/hyperlink" Target="https://wilkinsmedia.app.box.com/folder/261819923601" TargetMode="External" Id="rId818" /><Relationship Type="http://schemas.openxmlformats.org/officeDocument/2006/relationships/hyperlink" Target="https://wilkinsmedia.app.box.com/file/2332927144598" TargetMode="External" Id="rId819" /><Relationship Type="http://schemas.openxmlformats.org/officeDocument/2006/relationships/hyperlink" Target="https://wilkinsmedia.app.box.com/folder/261819923601" TargetMode="External" Id="rId820" /><Relationship Type="http://schemas.openxmlformats.org/officeDocument/2006/relationships/hyperlink" Target="https://wilkinsmedia.app.box.com/file/2152642669534" TargetMode="External" Id="rId821" /><Relationship Type="http://schemas.openxmlformats.org/officeDocument/2006/relationships/hyperlink" Target="https://wilkinsmedia.app.box.com/folder/254834673303" TargetMode="External" Id="rId822" /><Relationship Type="http://schemas.openxmlformats.org/officeDocument/2006/relationships/hyperlink" Target="https://wilkinsmedia.app.box.com/file/2152642669534" TargetMode="External" Id="rId823" /><Relationship Type="http://schemas.openxmlformats.org/officeDocument/2006/relationships/hyperlink" Target="https://wilkinsmedia.app.box.com/folder/254834673303" TargetMode="External" Id="rId824" /><Relationship Type="http://schemas.openxmlformats.org/officeDocument/2006/relationships/hyperlink" Target="https://wilkinsmedia.app.box.com/file/2152642669534" TargetMode="External" Id="rId825" /><Relationship Type="http://schemas.openxmlformats.org/officeDocument/2006/relationships/hyperlink" Target="https://wilkinsmedia.app.box.com/folder/254834673303" TargetMode="External" Id="rId826" /><Relationship Type="http://schemas.openxmlformats.org/officeDocument/2006/relationships/hyperlink" Target="https://wilkinsmedia.app.box.com/file/2152642669534" TargetMode="External" Id="rId827" /><Relationship Type="http://schemas.openxmlformats.org/officeDocument/2006/relationships/hyperlink" Target="https://wilkinsmedia.app.box.com/folder/254834673303" TargetMode="External" Id="rId828" /><Relationship Type="http://schemas.openxmlformats.org/officeDocument/2006/relationships/hyperlink" Target="https://wilkinsmedia.app.box.com/file/2152642669534" TargetMode="External" Id="rId829" /><Relationship Type="http://schemas.openxmlformats.org/officeDocument/2006/relationships/hyperlink" Target="https://wilkinsmedia.app.box.com/folder/254834673303" TargetMode="External" Id="rId830" /><Relationship Type="http://schemas.openxmlformats.org/officeDocument/2006/relationships/hyperlink" Target="https://wilkinsmedia.app.box.com/file/2152642669534" TargetMode="External" Id="rId831" /><Relationship Type="http://schemas.openxmlformats.org/officeDocument/2006/relationships/hyperlink" Target="https://wilkinsmedia.app.box.com/folder/254834673303" TargetMode="External" Id="rId832" /><Relationship Type="http://schemas.openxmlformats.org/officeDocument/2006/relationships/hyperlink" Target="https://wilkinsmedia.app.box.com/file/2152642669534" TargetMode="External" Id="rId833" /><Relationship Type="http://schemas.openxmlformats.org/officeDocument/2006/relationships/hyperlink" Target="https://wilkinsmedia.app.box.com/folder/254834673303" TargetMode="External" Id="rId834" /><Relationship Type="http://schemas.openxmlformats.org/officeDocument/2006/relationships/hyperlink" Target="https://wilkinsmedia.app.box.com/file/2152642669534" TargetMode="External" Id="rId835" /><Relationship Type="http://schemas.openxmlformats.org/officeDocument/2006/relationships/hyperlink" Target="https://wilkinsmedia.app.box.com/folder/254834673303" TargetMode="External" Id="rId836" /><Relationship Type="http://schemas.openxmlformats.org/officeDocument/2006/relationships/hyperlink" Target="https://wilkinsmedia.app.box.com/file/2152642669534" TargetMode="External" Id="rId837" /><Relationship Type="http://schemas.openxmlformats.org/officeDocument/2006/relationships/hyperlink" Target="https://wilkinsmedia.app.box.com/folder/254834673303" TargetMode="External" Id="rId838" /><Relationship Type="http://schemas.openxmlformats.org/officeDocument/2006/relationships/hyperlink" Target="https://wilkinsmedia.app.box.com/file/2152642669534" TargetMode="External" Id="rId839" /><Relationship Type="http://schemas.openxmlformats.org/officeDocument/2006/relationships/hyperlink" Target="https://wilkinsmedia.app.box.com/folder/254834673303" TargetMode="External" Id="rId840" /><Relationship Type="http://schemas.openxmlformats.org/officeDocument/2006/relationships/hyperlink" Target="https://wilkinsmedia.app.box.com/file/2152642669534" TargetMode="External" Id="rId841" /><Relationship Type="http://schemas.openxmlformats.org/officeDocument/2006/relationships/hyperlink" Target="https://wilkinsmedia.app.box.com/folder/254834673303" TargetMode="External" Id="rId842" /><Relationship Type="http://schemas.openxmlformats.org/officeDocument/2006/relationships/hyperlink" Target="https://wilkinsmedia.app.box.com/file/2152642669534" TargetMode="External" Id="rId843" /><Relationship Type="http://schemas.openxmlformats.org/officeDocument/2006/relationships/hyperlink" Target="https://wilkinsmedia.app.box.com/folder/254834673303" TargetMode="External" Id="rId844" /><Relationship Type="http://schemas.openxmlformats.org/officeDocument/2006/relationships/hyperlink" Target="https://wilkinsmedia.app.box.com/file/2155273058240" TargetMode="External" Id="rId845" /><Relationship Type="http://schemas.openxmlformats.org/officeDocument/2006/relationships/hyperlink" Target="https://wilkinsmedia.app.box.com/folder/179254301543" TargetMode="External" Id="rId846" /><Relationship Type="http://schemas.openxmlformats.org/officeDocument/2006/relationships/hyperlink" Target="https://wilkinsmedia.app.box.com/file/2155273058240" TargetMode="External" Id="rId847" /><Relationship Type="http://schemas.openxmlformats.org/officeDocument/2006/relationships/hyperlink" Target="https://wilkinsmedia.app.box.com/folder/179254301543" TargetMode="External" Id="rId848" /><Relationship Type="http://schemas.openxmlformats.org/officeDocument/2006/relationships/hyperlink" Target="https://wilkinsmedia.app.box.com/file/2155273058240" TargetMode="External" Id="rId849" /><Relationship Type="http://schemas.openxmlformats.org/officeDocument/2006/relationships/hyperlink" Target="https://wilkinsmedia.app.box.com/folder/179254301543" TargetMode="External" Id="rId850" /><Relationship Type="http://schemas.openxmlformats.org/officeDocument/2006/relationships/hyperlink" Target="https://wilkinsmedia.app.box.com/file/2155273058240" TargetMode="External" Id="rId851" /><Relationship Type="http://schemas.openxmlformats.org/officeDocument/2006/relationships/hyperlink" Target="https://wilkinsmedia.app.box.com/folder/179254301543" TargetMode="External" Id="rId852" /><Relationship Type="http://schemas.openxmlformats.org/officeDocument/2006/relationships/hyperlink" Target="https://wilkinsmedia.app.box.com/file/2155273058240" TargetMode="External" Id="rId853" /><Relationship Type="http://schemas.openxmlformats.org/officeDocument/2006/relationships/hyperlink" Target="https://wilkinsmedia.app.box.com/folder/179254301543" TargetMode="External" Id="rId854" /><Relationship Type="http://schemas.openxmlformats.org/officeDocument/2006/relationships/hyperlink" Target="https://wilkinsmedia.app.box.com/file/2155273058240" TargetMode="External" Id="rId855" /><Relationship Type="http://schemas.openxmlformats.org/officeDocument/2006/relationships/hyperlink" Target="https://wilkinsmedia.app.box.com/folder/179254301543" TargetMode="External" Id="rId856" /><Relationship Type="http://schemas.openxmlformats.org/officeDocument/2006/relationships/hyperlink" Target="https://wilkinsmedia.app.box.com/file/2155273058240" TargetMode="External" Id="rId857" /><Relationship Type="http://schemas.openxmlformats.org/officeDocument/2006/relationships/hyperlink" Target="https://wilkinsmedia.app.box.com/folder/179254301543" TargetMode="External" Id="rId858" /><Relationship Type="http://schemas.openxmlformats.org/officeDocument/2006/relationships/hyperlink" Target="https://wilkinsmedia.app.box.com/file/2155273058240" TargetMode="External" Id="rId859" /><Relationship Type="http://schemas.openxmlformats.org/officeDocument/2006/relationships/hyperlink" Target="https://wilkinsmedia.app.box.com/folder/179254301543" TargetMode="External" Id="rId860" /><Relationship Type="http://schemas.openxmlformats.org/officeDocument/2006/relationships/hyperlink" Target="https://wilkinsmedia.app.box.com/file/2155273058240" TargetMode="External" Id="rId861" /><Relationship Type="http://schemas.openxmlformats.org/officeDocument/2006/relationships/hyperlink" Target="https://wilkinsmedia.app.box.com/folder/179254301543" TargetMode="External" Id="rId862" /><Relationship Type="http://schemas.openxmlformats.org/officeDocument/2006/relationships/hyperlink" Target="https://wilkinsmedia.app.box.com/file/2155273058240" TargetMode="External" Id="rId863" /><Relationship Type="http://schemas.openxmlformats.org/officeDocument/2006/relationships/hyperlink" Target="https://wilkinsmedia.app.box.com/folder/179254301543" TargetMode="External" Id="rId864" /><Relationship Type="http://schemas.openxmlformats.org/officeDocument/2006/relationships/hyperlink" Target="https://wilkinsmedia.app.box.com/file/2155273058240" TargetMode="External" Id="rId865" /><Relationship Type="http://schemas.openxmlformats.org/officeDocument/2006/relationships/hyperlink" Target="https://wilkinsmedia.app.box.com/folder/179254301543" TargetMode="External" Id="rId866" /><Relationship Type="http://schemas.openxmlformats.org/officeDocument/2006/relationships/hyperlink" Target="https://wilkinsmedia.app.box.com/file/2155273058240" TargetMode="External" Id="rId867" /><Relationship Type="http://schemas.openxmlformats.org/officeDocument/2006/relationships/hyperlink" Target="https://wilkinsmedia.app.box.com/folder/179254301543" TargetMode="External" Id="rId868" /><Relationship Type="http://schemas.openxmlformats.org/officeDocument/2006/relationships/hyperlink" Target="https://wilkinsmedia.app.box.com/file/2155273058240" TargetMode="External" Id="rId869" /><Relationship Type="http://schemas.openxmlformats.org/officeDocument/2006/relationships/hyperlink" Target="https://wilkinsmedia.app.box.com/folder/179254301543" TargetMode="External" Id="rId870" /><Relationship Type="http://schemas.openxmlformats.org/officeDocument/2006/relationships/hyperlink" Target="https://wilkinsmedia.app.box.com/file/2155273058240" TargetMode="External" Id="rId871" /><Relationship Type="http://schemas.openxmlformats.org/officeDocument/2006/relationships/hyperlink" Target="https://wilkinsmedia.app.box.com/folder/179254301543" TargetMode="External" Id="rId872" /><Relationship Type="http://schemas.openxmlformats.org/officeDocument/2006/relationships/hyperlink" Target="https://wilkinsmedia.app.box.com/file/2155273058240" TargetMode="External" Id="rId873" /><Relationship Type="http://schemas.openxmlformats.org/officeDocument/2006/relationships/hyperlink" Target="https://wilkinsmedia.app.box.com/folder/179254301543" TargetMode="External" Id="rId874" /><Relationship Type="http://schemas.openxmlformats.org/officeDocument/2006/relationships/hyperlink" Target="https://wilkinsmedia.app.box.com/file/2155273058240" TargetMode="External" Id="rId875" /><Relationship Type="http://schemas.openxmlformats.org/officeDocument/2006/relationships/hyperlink" Target="https://wilkinsmedia.app.box.com/folder/179254301543" TargetMode="External" Id="rId876" /><Relationship Type="http://schemas.openxmlformats.org/officeDocument/2006/relationships/hyperlink" Target="https://wilkinsmedia.app.box.com/file/2155273058240" TargetMode="External" Id="rId877" /><Relationship Type="http://schemas.openxmlformats.org/officeDocument/2006/relationships/hyperlink" Target="https://wilkinsmedia.app.box.com/folder/179254301543" TargetMode="External" Id="rId878" /><Relationship Type="http://schemas.openxmlformats.org/officeDocument/2006/relationships/hyperlink" Target="https://wilkinsmedia.app.box.com/file/2155273058240" TargetMode="External" Id="rId879" /><Relationship Type="http://schemas.openxmlformats.org/officeDocument/2006/relationships/hyperlink" Target="https://wilkinsmedia.app.box.com/folder/179254301543" TargetMode="External" Id="rId880" /><Relationship Type="http://schemas.openxmlformats.org/officeDocument/2006/relationships/hyperlink" Target="https://wilkinsmedia.app.box.com/file/2311303135035" TargetMode="External" Id="rId881" /><Relationship Type="http://schemas.openxmlformats.org/officeDocument/2006/relationships/hyperlink" Target="https://wilkinsmedia.app.box.com/folder/154075538279" TargetMode="External" Id="rId882" /><Relationship Type="http://schemas.openxmlformats.org/officeDocument/2006/relationships/hyperlink" Target="https://wilkinsmedia.app.box.com/file/2458848743140" TargetMode="External" Id="rId883" /><Relationship Type="http://schemas.openxmlformats.org/officeDocument/2006/relationships/hyperlink" Target="https://wilkinsmedia.app.box.com/folder/273122502249" TargetMode="External" Id="rId884" /><Relationship Type="http://schemas.openxmlformats.org/officeDocument/2006/relationships/hyperlink" Target="https://wilkinsmedia.app.box.com/file/2458848743140" TargetMode="External" Id="rId885" /><Relationship Type="http://schemas.openxmlformats.org/officeDocument/2006/relationships/hyperlink" Target="https://wilkinsmedia.app.box.com/folder/273122502249" TargetMode="External" Id="rId886" /><Relationship Type="http://schemas.openxmlformats.org/officeDocument/2006/relationships/hyperlink" Target="https://wilkinsmedia.app.box.com/file/2458848743140" TargetMode="External" Id="rId887" /><Relationship Type="http://schemas.openxmlformats.org/officeDocument/2006/relationships/hyperlink" Target="https://wilkinsmedia.app.box.com/folder/273122502249" TargetMode="External" Id="rId888" /><Relationship Type="http://schemas.openxmlformats.org/officeDocument/2006/relationships/hyperlink" Target="https://wilkinsmedia.app.box.com/file/2458848743140" TargetMode="External" Id="rId889" /><Relationship Type="http://schemas.openxmlformats.org/officeDocument/2006/relationships/hyperlink" Target="https://wilkinsmedia.app.box.com/folder/273122502249" TargetMode="External" Id="rId890" /><Relationship Type="http://schemas.openxmlformats.org/officeDocument/2006/relationships/hyperlink" Target="https://wilkinsmedia.app.box.com/file/2458848743140" TargetMode="External" Id="rId891" /><Relationship Type="http://schemas.openxmlformats.org/officeDocument/2006/relationships/hyperlink" Target="https://wilkinsmedia.app.box.com/folder/273122502249" TargetMode="External" Id="rId892" /><Relationship Type="http://schemas.openxmlformats.org/officeDocument/2006/relationships/hyperlink" Target="https://wilkinsmedia.app.box.com/file/2458848743140" TargetMode="External" Id="rId893" /><Relationship Type="http://schemas.openxmlformats.org/officeDocument/2006/relationships/hyperlink" Target="https://wilkinsmedia.app.box.com/folder/273122502249" TargetMode="External" Id="rId894" /><Relationship Type="http://schemas.openxmlformats.org/officeDocument/2006/relationships/hyperlink" Target="https://wilkinsmedia.app.box.com/file/2458848743140" TargetMode="External" Id="rId895" /><Relationship Type="http://schemas.openxmlformats.org/officeDocument/2006/relationships/hyperlink" Target="https://wilkinsmedia.app.box.com/folder/273122502249" TargetMode="External" Id="rId896" /><Relationship Type="http://schemas.openxmlformats.org/officeDocument/2006/relationships/hyperlink" Target="https://wilkinsmedia.app.box.com/file/2458848743140" TargetMode="External" Id="rId897" /><Relationship Type="http://schemas.openxmlformats.org/officeDocument/2006/relationships/hyperlink" Target="https://wilkinsmedia.app.box.com/folder/273122502249" TargetMode="External" Id="rId898" /><Relationship Type="http://schemas.openxmlformats.org/officeDocument/2006/relationships/hyperlink" Target="https://wilkinsmedia.app.box.com/file/2458848743140" TargetMode="External" Id="rId899" /><Relationship Type="http://schemas.openxmlformats.org/officeDocument/2006/relationships/hyperlink" Target="https://wilkinsmedia.app.box.com/folder/273122502249" TargetMode="External" Id="rId900" /><Relationship Type="http://schemas.openxmlformats.org/officeDocument/2006/relationships/hyperlink" Target="https://wilkinsmedia.app.box.com/file/2458848743140" TargetMode="External" Id="rId901" /><Relationship Type="http://schemas.openxmlformats.org/officeDocument/2006/relationships/hyperlink" Target="https://wilkinsmedia.app.box.com/folder/273122502249" TargetMode="External" Id="rId902" /><Relationship Type="http://schemas.openxmlformats.org/officeDocument/2006/relationships/hyperlink" Target="https://wilkinsmedia.app.box.com/file/2311303135035" TargetMode="External" Id="rId903" /><Relationship Type="http://schemas.openxmlformats.org/officeDocument/2006/relationships/hyperlink" Target="https://wilkinsmedia.app.box.com/folder/154075538279" TargetMode="External" Id="rId904" /><Relationship Type="http://schemas.openxmlformats.org/officeDocument/2006/relationships/hyperlink" Target="https://wilkinsmedia.app.box.com/file/2311303135035" TargetMode="External" Id="rId905" /><Relationship Type="http://schemas.openxmlformats.org/officeDocument/2006/relationships/hyperlink" Target="https://wilkinsmedia.app.box.com/folder/154075538279" TargetMode="External" Id="rId906" /><Relationship Type="http://schemas.openxmlformats.org/officeDocument/2006/relationships/hyperlink" Target="https://wilkinsmedia.app.box.com/file/2311303135035" TargetMode="External" Id="rId907" /><Relationship Type="http://schemas.openxmlformats.org/officeDocument/2006/relationships/hyperlink" Target="https://wilkinsmedia.app.box.com/folder/154075538279" TargetMode="External" Id="rId908" /><Relationship Type="http://schemas.openxmlformats.org/officeDocument/2006/relationships/hyperlink" Target="https://wilkinsmedia.app.box.com/file/2311303135035" TargetMode="External" Id="rId909" /><Relationship Type="http://schemas.openxmlformats.org/officeDocument/2006/relationships/hyperlink" Target="https://wilkinsmedia.app.box.com/folder/154075538279" TargetMode="External" Id="rId910" /><Relationship Type="http://schemas.openxmlformats.org/officeDocument/2006/relationships/hyperlink" Target="https://wilkinsmedia.app.box.com/file/2311303135035" TargetMode="External" Id="rId911" /><Relationship Type="http://schemas.openxmlformats.org/officeDocument/2006/relationships/hyperlink" Target="https://wilkinsmedia.app.box.com/folder/154075538279" TargetMode="External" Id="rId912" /><Relationship Type="http://schemas.openxmlformats.org/officeDocument/2006/relationships/hyperlink" Target="https://wilkinsmedia.app.box.com/file/2311303135035" TargetMode="External" Id="rId913" /><Relationship Type="http://schemas.openxmlformats.org/officeDocument/2006/relationships/hyperlink" Target="https://wilkinsmedia.app.box.com/folder/154075538279" TargetMode="External" Id="rId914" /><Relationship Type="http://schemas.openxmlformats.org/officeDocument/2006/relationships/hyperlink" Target="https://wilkinsmedia.app.box.com/file/2311303135035" TargetMode="External" Id="rId915" /><Relationship Type="http://schemas.openxmlformats.org/officeDocument/2006/relationships/hyperlink" Target="https://wilkinsmedia.app.box.com/folder/154075538279" TargetMode="External" Id="rId916" /><Relationship Type="http://schemas.openxmlformats.org/officeDocument/2006/relationships/hyperlink" Target="https://wilkinsmedia.app.box.com/file/2311303135035" TargetMode="External" Id="rId917" /><Relationship Type="http://schemas.openxmlformats.org/officeDocument/2006/relationships/hyperlink" Target="https://wilkinsmedia.app.box.com/folder/154075538279" TargetMode="External" Id="rId918" /><Relationship Type="http://schemas.openxmlformats.org/officeDocument/2006/relationships/hyperlink" Target="https://wilkinsmedia.app.box.com/file/2311303135035" TargetMode="External" Id="rId919" /><Relationship Type="http://schemas.openxmlformats.org/officeDocument/2006/relationships/hyperlink" Target="https://wilkinsmedia.app.box.com/folder/154075538279" TargetMode="External" Id="rId920" /><Relationship Type="http://schemas.openxmlformats.org/officeDocument/2006/relationships/hyperlink" Target="https://wilkinsmedia.app.box.com/file/2311303135035" TargetMode="External" Id="rId921" /><Relationship Type="http://schemas.openxmlformats.org/officeDocument/2006/relationships/hyperlink" Target="https://wilkinsmedia.app.box.com/folder/154075538279" TargetMode="External" Id="rId922" /><Relationship Type="http://schemas.openxmlformats.org/officeDocument/2006/relationships/hyperlink" Target="https://wilkinsmedia.app.box.com/file/2311303135035" TargetMode="External" Id="rId923" /><Relationship Type="http://schemas.openxmlformats.org/officeDocument/2006/relationships/hyperlink" Target="https://wilkinsmedia.app.box.com/folder/154075538279" TargetMode="External" Id="rId924" /><Relationship Type="http://schemas.openxmlformats.org/officeDocument/2006/relationships/hyperlink" Target="https://wilkinsmedia.app.box.com/file/2311303135035" TargetMode="External" Id="rId925" /><Relationship Type="http://schemas.openxmlformats.org/officeDocument/2006/relationships/hyperlink" Target="https://wilkinsmedia.app.box.com/folder/154075538279" TargetMode="External" Id="rId926" /><Relationship Type="http://schemas.openxmlformats.org/officeDocument/2006/relationships/hyperlink" Target="https://wilkinsmedia.app.box.com/file/2311303135035" TargetMode="External" Id="rId927" /><Relationship Type="http://schemas.openxmlformats.org/officeDocument/2006/relationships/hyperlink" Target="https://wilkinsmedia.app.box.com/folder/154075538279" TargetMode="External" Id="rId928" /><Relationship Type="http://schemas.openxmlformats.org/officeDocument/2006/relationships/hyperlink" Target="https://wilkinsmedia.app.box.com/file/2311303135035" TargetMode="External" Id="rId929" /><Relationship Type="http://schemas.openxmlformats.org/officeDocument/2006/relationships/hyperlink" Target="https://wilkinsmedia.app.box.com/folder/154075538279" TargetMode="External" Id="rId930" /><Relationship Type="http://schemas.openxmlformats.org/officeDocument/2006/relationships/hyperlink" Target="https://wilkinsmedia.app.box.com/file/2311303135035" TargetMode="External" Id="rId931" /><Relationship Type="http://schemas.openxmlformats.org/officeDocument/2006/relationships/hyperlink" Target="https://wilkinsmedia.app.box.com/folder/154075538279" TargetMode="External" Id="rId932" /><Relationship Type="http://schemas.openxmlformats.org/officeDocument/2006/relationships/hyperlink" Target="https://wilkinsmedia.app.box.com/file/2311303135035" TargetMode="External" Id="rId933" /><Relationship Type="http://schemas.openxmlformats.org/officeDocument/2006/relationships/hyperlink" Target="https://wilkinsmedia.app.box.com/folder/154075538279" TargetMode="External" Id="rId934" /><Relationship Type="http://schemas.openxmlformats.org/officeDocument/2006/relationships/hyperlink" Target="https://wilkinsmedia.app.box.com/file/2311303135035" TargetMode="External" Id="rId935" /><Relationship Type="http://schemas.openxmlformats.org/officeDocument/2006/relationships/hyperlink" Target="https://wilkinsmedia.app.box.com/folder/154075538279" TargetMode="External" Id="rId936" /><Relationship Type="http://schemas.openxmlformats.org/officeDocument/2006/relationships/hyperlink" Target="https://wilkinsmedia.app.box.com/file/2311303135035" TargetMode="External" Id="rId937" /><Relationship Type="http://schemas.openxmlformats.org/officeDocument/2006/relationships/hyperlink" Target="https://wilkinsmedia.app.box.com/folder/154075538279" TargetMode="External" Id="rId938" /><Relationship Type="http://schemas.openxmlformats.org/officeDocument/2006/relationships/hyperlink" Target="https://wilkinsmedia.app.box.com/file/2311303135035" TargetMode="External" Id="rId939" /><Relationship Type="http://schemas.openxmlformats.org/officeDocument/2006/relationships/hyperlink" Target="https://wilkinsmedia.app.box.com/folder/154075538279" TargetMode="External" Id="rId940" /><Relationship Type="http://schemas.openxmlformats.org/officeDocument/2006/relationships/hyperlink" Target="https://wilkinsmedia.app.box.com/file/2311303135035" TargetMode="External" Id="rId941" /><Relationship Type="http://schemas.openxmlformats.org/officeDocument/2006/relationships/hyperlink" Target="https://wilkinsmedia.app.box.com/folder/154075538279" TargetMode="External" Id="rId942" /><Relationship Type="http://schemas.openxmlformats.org/officeDocument/2006/relationships/hyperlink" Target="https://wilkinsmedia.app.box.com/file/2311303135035" TargetMode="External" Id="rId943" /><Relationship Type="http://schemas.openxmlformats.org/officeDocument/2006/relationships/hyperlink" Target="https://wilkinsmedia.app.box.com/folder/154075538279" TargetMode="External" Id="rId944" /><Relationship Type="http://schemas.openxmlformats.org/officeDocument/2006/relationships/hyperlink" Target="https://wilkinsmedia.app.box.com/file/2311303135035" TargetMode="External" Id="rId945" /><Relationship Type="http://schemas.openxmlformats.org/officeDocument/2006/relationships/hyperlink" Target="https://wilkinsmedia.app.box.com/folder/154075538279" TargetMode="External" Id="rId946" /><Relationship Type="http://schemas.openxmlformats.org/officeDocument/2006/relationships/hyperlink" Target="https://wilkinsmedia.app.box.com/file/2311303135035" TargetMode="External" Id="rId947" /><Relationship Type="http://schemas.openxmlformats.org/officeDocument/2006/relationships/hyperlink" Target="https://wilkinsmedia.app.box.com/folder/154075538279" TargetMode="External" Id="rId948" /><Relationship Type="http://schemas.openxmlformats.org/officeDocument/2006/relationships/hyperlink" Target="https://wilkinsmedia.app.box.com/file/2311303135035" TargetMode="External" Id="rId949" /><Relationship Type="http://schemas.openxmlformats.org/officeDocument/2006/relationships/hyperlink" Target="https://wilkinsmedia.app.box.com/folder/154075538279" TargetMode="External" Id="rId950" /><Relationship Type="http://schemas.openxmlformats.org/officeDocument/2006/relationships/hyperlink" Target="https://wilkinsmedia.app.box.com/file/2311303135035" TargetMode="External" Id="rId951" /><Relationship Type="http://schemas.openxmlformats.org/officeDocument/2006/relationships/hyperlink" Target="https://wilkinsmedia.app.box.com/folder/154075538279" TargetMode="External" Id="rId952" /><Relationship Type="http://schemas.openxmlformats.org/officeDocument/2006/relationships/hyperlink" Target="https://wilkinsmedia.app.box.com/file/2339454443357" TargetMode="External" Id="rId953" /><Relationship Type="http://schemas.openxmlformats.org/officeDocument/2006/relationships/hyperlink" Target="https://wilkinsmedia.app.box.com/folder/178716665685" TargetMode="External" Id="rId954" /><Relationship Type="http://schemas.openxmlformats.org/officeDocument/2006/relationships/hyperlink" Target="https://wilkinsmedia.app.box.com/file/2339454443357" TargetMode="External" Id="rId955" /><Relationship Type="http://schemas.openxmlformats.org/officeDocument/2006/relationships/hyperlink" Target="https://wilkinsmedia.app.box.com/folder/178716665685" TargetMode="External" Id="rId956" /><Relationship Type="http://schemas.openxmlformats.org/officeDocument/2006/relationships/hyperlink" Target="https://wilkinsmedia.app.box.com/file/2339454443357" TargetMode="External" Id="rId957" /><Relationship Type="http://schemas.openxmlformats.org/officeDocument/2006/relationships/hyperlink" Target="https://wilkinsmedia.app.box.com/folder/178716665685" TargetMode="External" Id="rId958" /><Relationship Type="http://schemas.openxmlformats.org/officeDocument/2006/relationships/hyperlink" Target="https://wilkinsmedia.app.box.com/file/2339454443357" TargetMode="External" Id="rId959" /><Relationship Type="http://schemas.openxmlformats.org/officeDocument/2006/relationships/hyperlink" Target="https://wilkinsmedia.app.box.com/folder/178716665685" TargetMode="External" Id="rId960" /><Relationship Type="http://schemas.openxmlformats.org/officeDocument/2006/relationships/hyperlink" Target="https://wilkinsmedia.app.box.com/file/2339454443357" TargetMode="External" Id="rId961" /><Relationship Type="http://schemas.openxmlformats.org/officeDocument/2006/relationships/hyperlink" Target="https://wilkinsmedia.app.box.com/folder/178716665685" TargetMode="External" Id="rId962" /><Relationship Type="http://schemas.openxmlformats.org/officeDocument/2006/relationships/hyperlink" Target="https://wilkinsmedia.app.box.com/file/2339454443357" TargetMode="External" Id="rId963" /><Relationship Type="http://schemas.openxmlformats.org/officeDocument/2006/relationships/hyperlink" Target="https://wilkinsmedia.app.box.com/folder/178716665685" TargetMode="External" Id="rId964" /><Relationship Type="http://schemas.openxmlformats.org/officeDocument/2006/relationships/hyperlink" Target="https://wilkinsmedia.app.box.com/file/2311303135035" TargetMode="External" Id="rId965" /><Relationship Type="http://schemas.openxmlformats.org/officeDocument/2006/relationships/hyperlink" Target="https://wilkinsmedia.app.box.com/folder/154075538279" TargetMode="External" Id="rId966" /><Relationship Type="http://schemas.openxmlformats.org/officeDocument/2006/relationships/hyperlink" Target="https://wilkinsmedia.app.box.com/file/2311303135035" TargetMode="External" Id="rId967" /><Relationship Type="http://schemas.openxmlformats.org/officeDocument/2006/relationships/hyperlink" Target="https://wilkinsmedia.app.box.com/folder/154075538279" TargetMode="External" Id="rId968" /><Relationship Type="http://schemas.openxmlformats.org/officeDocument/2006/relationships/hyperlink" Target="https://wilkinsmedia.app.box.com/file/2311303135035" TargetMode="External" Id="rId969" /><Relationship Type="http://schemas.openxmlformats.org/officeDocument/2006/relationships/hyperlink" Target="https://wilkinsmedia.app.box.com/folder/154075538279" TargetMode="External" Id="rId970" /><Relationship Type="http://schemas.openxmlformats.org/officeDocument/2006/relationships/hyperlink" Target="https://wilkinsmedia.app.box.com/file/2311303135035" TargetMode="External" Id="rId971" /><Relationship Type="http://schemas.openxmlformats.org/officeDocument/2006/relationships/hyperlink" Target="https://wilkinsmedia.app.box.com/folder/154075538279" TargetMode="External" Id="rId972" /><Relationship Type="http://schemas.openxmlformats.org/officeDocument/2006/relationships/hyperlink" Target="https://wilkinsmedia.app.box.com/file/2311303135035" TargetMode="External" Id="rId973" /><Relationship Type="http://schemas.openxmlformats.org/officeDocument/2006/relationships/hyperlink" Target="https://wilkinsmedia.app.box.com/folder/154075538279" TargetMode="External" Id="rId974" /><Relationship Type="http://schemas.openxmlformats.org/officeDocument/2006/relationships/hyperlink" Target="https://wilkinsmedia.app.box.com/file/2311303135035" TargetMode="External" Id="rId975" /><Relationship Type="http://schemas.openxmlformats.org/officeDocument/2006/relationships/hyperlink" Target="https://wilkinsmedia.app.box.com/folder/154075538279" TargetMode="External" Id="rId976" /><Relationship Type="http://schemas.openxmlformats.org/officeDocument/2006/relationships/hyperlink" Target="https://wilkinsmedia.app.box.com/file/2311303135035" TargetMode="External" Id="rId977" /><Relationship Type="http://schemas.openxmlformats.org/officeDocument/2006/relationships/hyperlink" Target="https://wilkinsmedia.app.box.com/folder/154075538279" TargetMode="External" Id="rId978" /><Relationship Type="http://schemas.openxmlformats.org/officeDocument/2006/relationships/hyperlink" Target="https://wilkinsmedia.app.box.com/file/2311303135035" TargetMode="External" Id="rId979" /><Relationship Type="http://schemas.openxmlformats.org/officeDocument/2006/relationships/hyperlink" Target="https://wilkinsmedia.app.box.com/folder/154075538279" TargetMode="External" Id="rId980" /><Relationship Type="http://schemas.openxmlformats.org/officeDocument/2006/relationships/hyperlink" Target="https://wilkinsmedia.app.box.com/file/2311303135035" TargetMode="External" Id="rId981" /><Relationship Type="http://schemas.openxmlformats.org/officeDocument/2006/relationships/hyperlink" Target="https://wilkinsmedia.app.box.com/folder/154075538279" TargetMode="External" Id="rId982" /><Relationship Type="http://schemas.openxmlformats.org/officeDocument/2006/relationships/hyperlink" Target="https://wilkinsmedia.app.box.com/file/2311303135035" TargetMode="External" Id="rId983" /><Relationship Type="http://schemas.openxmlformats.org/officeDocument/2006/relationships/hyperlink" Target="https://wilkinsmedia.app.box.com/folder/154075538279" TargetMode="External" Id="rId984" /><Relationship Type="http://schemas.openxmlformats.org/officeDocument/2006/relationships/hyperlink" Target="https://wilkinsmedia.app.box.com/file/2311303135035" TargetMode="External" Id="rId985" /><Relationship Type="http://schemas.openxmlformats.org/officeDocument/2006/relationships/hyperlink" Target="https://wilkinsmedia.app.box.com/folder/154075538279" TargetMode="External" Id="rId986" /><Relationship Type="http://schemas.openxmlformats.org/officeDocument/2006/relationships/hyperlink" Target="https://wilkinsmedia.app.box.com/file/2311303135035" TargetMode="External" Id="rId987" /><Relationship Type="http://schemas.openxmlformats.org/officeDocument/2006/relationships/hyperlink" Target="https://wilkinsmedia.app.box.com/folder/154075538279" TargetMode="External" Id="rId988" /><Relationship Type="http://schemas.openxmlformats.org/officeDocument/2006/relationships/hyperlink" Target="https://wilkinsmedia.app.box.com/file/2311303135035" TargetMode="External" Id="rId989" /><Relationship Type="http://schemas.openxmlformats.org/officeDocument/2006/relationships/hyperlink" Target="https://wilkinsmedia.app.box.com/folder/154075538279" TargetMode="External" Id="rId990" /><Relationship Type="http://schemas.openxmlformats.org/officeDocument/2006/relationships/hyperlink" Target="https://wilkinsmedia.app.box.com/file/2311303135035" TargetMode="External" Id="rId991" /><Relationship Type="http://schemas.openxmlformats.org/officeDocument/2006/relationships/hyperlink" Target="https://wilkinsmedia.app.box.com/folder/154075538279" TargetMode="External" Id="rId992" /><Relationship Type="http://schemas.openxmlformats.org/officeDocument/2006/relationships/hyperlink" Target="https://wilkinsmedia.app.box.com/file/2311303135035" TargetMode="External" Id="rId993" /><Relationship Type="http://schemas.openxmlformats.org/officeDocument/2006/relationships/hyperlink" Target="https://wilkinsmedia.app.box.com/folder/154075538279" TargetMode="External" Id="rId994" /><Relationship Type="http://schemas.openxmlformats.org/officeDocument/2006/relationships/hyperlink" Target="https://wilkinsmedia.app.box.com/file/2311303135035" TargetMode="External" Id="rId995" /><Relationship Type="http://schemas.openxmlformats.org/officeDocument/2006/relationships/hyperlink" Target="https://wilkinsmedia.app.box.com/folder/154075538279" TargetMode="External" Id="rId996" /><Relationship Type="http://schemas.openxmlformats.org/officeDocument/2006/relationships/hyperlink" Target="https://wilkinsmedia.app.box.com/file/2311303135035" TargetMode="External" Id="rId997" /><Relationship Type="http://schemas.openxmlformats.org/officeDocument/2006/relationships/hyperlink" Target="https://wilkinsmedia.app.box.com/folder/154075538279" TargetMode="External" Id="rId998" /><Relationship Type="http://schemas.openxmlformats.org/officeDocument/2006/relationships/hyperlink" Target="https://wilkinsmedia.app.box.com/file/2311303135035" TargetMode="External" Id="rId999" /><Relationship Type="http://schemas.openxmlformats.org/officeDocument/2006/relationships/hyperlink" Target="https://wilkinsmedia.app.box.com/folder/154075538279" TargetMode="External" Id="rId1000" /><Relationship Type="http://schemas.openxmlformats.org/officeDocument/2006/relationships/hyperlink" Target="https://wilkinsmedia.app.box.com/file/2311303135035" TargetMode="External" Id="rId1001" /><Relationship Type="http://schemas.openxmlformats.org/officeDocument/2006/relationships/hyperlink" Target="https://wilkinsmedia.app.box.com/folder/154075538279" TargetMode="External" Id="rId1002" /><Relationship Type="http://schemas.openxmlformats.org/officeDocument/2006/relationships/hyperlink" Target="https://wilkinsmedia.app.box.com/file/2311303135035" TargetMode="External" Id="rId1003" /><Relationship Type="http://schemas.openxmlformats.org/officeDocument/2006/relationships/hyperlink" Target="https://wilkinsmedia.app.box.com/folder/154075538279" TargetMode="External" Id="rId1004" /><Relationship Type="http://schemas.openxmlformats.org/officeDocument/2006/relationships/hyperlink" Target="https://wilkinsmedia.app.box.com/file/2311303135035" TargetMode="External" Id="rId1005" /><Relationship Type="http://schemas.openxmlformats.org/officeDocument/2006/relationships/hyperlink" Target="https://wilkinsmedia.app.box.com/folder/154075538279" TargetMode="External" Id="rId1006" /><Relationship Type="http://schemas.openxmlformats.org/officeDocument/2006/relationships/hyperlink" Target="https://wilkinsmedia.app.box.com/file/2311303135035" TargetMode="External" Id="rId1007" /><Relationship Type="http://schemas.openxmlformats.org/officeDocument/2006/relationships/hyperlink" Target="https://wilkinsmedia.app.box.com/folder/154075538279" TargetMode="External" Id="rId1008" /><Relationship Type="http://schemas.openxmlformats.org/officeDocument/2006/relationships/hyperlink" Target="https://wilkinsmedia.app.box.com/file/2311303135035" TargetMode="External" Id="rId1009" /><Relationship Type="http://schemas.openxmlformats.org/officeDocument/2006/relationships/hyperlink" Target="https://wilkinsmedia.app.box.com/folder/154075538279" TargetMode="External" Id="rId1010" /><Relationship Type="http://schemas.openxmlformats.org/officeDocument/2006/relationships/hyperlink" Target="https://wilkinsmedia.app.box.com/file/2311303135035" TargetMode="External" Id="rId1011" /><Relationship Type="http://schemas.openxmlformats.org/officeDocument/2006/relationships/hyperlink" Target="https://wilkinsmedia.app.box.com/folder/154075538279" TargetMode="External" Id="rId1012" /><Relationship Type="http://schemas.openxmlformats.org/officeDocument/2006/relationships/hyperlink" Target="https://wilkinsmedia.app.box.com/file/2311303135035" TargetMode="External" Id="rId1013" /><Relationship Type="http://schemas.openxmlformats.org/officeDocument/2006/relationships/hyperlink" Target="https://wilkinsmedia.app.box.com/folder/154075538279" TargetMode="External" Id="rId1014" /><Relationship Type="http://schemas.openxmlformats.org/officeDocument/2006/relationships/hyperlink" Target="https://wilkinsmedia.app.box.com/file/2311303135035" TargetMode="External" Id="rId1015" /><Relationship Type="http://schemas.openxmlformats.org/officeDocument/2006/relationships/hyperlink" Target="https://wilkinsmedia.app.box.com/folder/154075538279" TargetMode="External" Id="rId1016" /><Relationship Type="http://schemas.openxmlformats.org/officeDocument/2006/relationships/hyperlink" Target="https://wilkinsmedia.app.box.com/file/2311303135035" TargetMode="External" Id="rId1017" /><Relationship Type="http://schemas.openxmlformats.org/officeDocument/2006/relationships/hyperlink" Target="https://wilkinsmedia.app.box.com/folder/154075538279" TargetMode="External" Id="rId1018" /><Relationship Type="http://schemas.openxmlformats.org/officeDocument/2006/relationships/hyperlink" Target="https://wilkinsmedia.app.box.com/file/2311303135035" TargetMode="External" Id="rId1019" /><Relationship Type="http://schemas.openxmlformats.org/officeDocument/2006/relationships/hyperlink" Target="https://wilkinsmedia.app.box.com/folder/154075538279" TargetMode="External" Id="rId1020" /><Relationship Type="http://schemas.openxmlformats.org/officeDocument/2006/relationships/hyperlink" Target="https://wilkinsmedia.app.box.com/file/2311303135035" TargetMode="External" Id="rId1021" /><Relationship Type="http://schemas.openxmlformats.org/officeDocument/2006/relationships/hyperlink" Target="https://wilkinsmedia.app.box.com/folder/154075538279" TargetMode="External" Id="rId1022" /><Relationship Type="http://schemas.openxmlformats.org/officeDocument/2006/relationships/hyperlink" Target="https://wilkinsmedia.app.box.com/file/2311303135035" TargetMode="External" Id="rId1023" /><Relationship Type="http://schemas.openxmlformats.org/officeDocument/2006/relationships/hyperlink" Target="https://wilkinsmedia.app.box.com/folder/154075538279" TargetMode="External" Id="rId1024" /><Relationship Type="http://schemas.openxmlformats.org/officeDocument/2006/relationships/hyperlink" Target="https://wilkinsmedia.app.box.com/file/2311303135035" TargetMode="External" Id="rId1025" /><Relationship Type="http://schemas.openxmlformats.org/officeDocument/2006/relationships/hyperlink" Target="https://wilkinsmedia.app.box.com/folder/154075538279" TargetMode="External" Id="rId1026" /><Relationship Type="http://schemas.openxmlformats.org/officeDocument/2006/relationships/hyperlink" Target="https://wilkinsmedia.app.box.com/file/2311303135035" TargetMode="External" Id="rId1027" /><Relationship Type="http://schemas.openxmlformats.org/officeDocument/2006/relationships/hyperlink" Target="https://wilkinsmedia.app.box.com/folder/154075538279" TargetMode="External" Id="rId1028" /><Relationship Type="http://schemas.openxmlformats.org/officeDocument/2006/relationships/hyperlink" Target="https://wilkinsmedia.app.box.com/file/2311303135035" TargetMode="External" Id="rId1029" /><Relationship Type="http://schemas.openxmlformats.org/officeDocument/2006/relationships/hyperlink" Target="https://wilkinsmedia.app.box.com/folder/154075538279" TargetMode="External" Id="rId1030" /><Relationship Type="http://schemas.openxmlformats.org/officeDocument/2006/relationships/hyperlink" Target="https://wilkinsmedia.app.box.com/file/2311303135035" TargetMode="External" Id="rId1031" /><Relationship Type="http://schemas.openxmlformats.org/officeDocument/2006/relationships/hyperlink" Target="https://wilkinsmedia.app.box.com/folder/154075538279" TargetMode="External" Id="rId1032" /><Relationship Type="http://schemas.openxmlformats.org/officeDocument/2006/relationships/hyperlink" Target="https://wilkinsmedia.app.box.com/file/2277506956654" TargetMode="External" Id="rId1033" /><Relationship Type="http://schemas.openxmlformats.org/officeDocument/2006/relationships/hyperlink" Target="https://wilkinsmedia.app.box.com/folder/179025075277" TargetMode="External" Id="rId1034" /><Relationship Type="http://schemas.openxmlformats.org/officeDocument/2006/relationships/hyperlink" Target="https://wilkinsmedia.app.box.com/file/2277506956654" TargetMode="External" Id="rId1035" /><Relationship Type="http://schemas.openxmlformats.org/officeDocument/2006/relationships/hyperlink" Target="https://wilkinsmedia.app.box.com/folder/179025075277" TargetMode="External" Id="rId1036" /><Relationship Type="http://schemas.openxmlformats.org/officeDocument/2006/relationships/hyperlink" Target="https://wilkinsmedia.app.box.com/file/2277506956654" TargetMode="External" Id="rId1037" /><Relationship Type="http://schemas.openxmlformats.org/officeDocument/2006/relationships/hyperlink" Target="https://wilkinsmedia.app.box.com/folder/179025075277" TargetMode="External" Id="rId1038" /><Relationship Type="http://schemas.openxmlformats.org/officeDocument/2006/relationships/hyperlink" Target="https://wilkinsmedia.app.box.com/file/2277506956654" TargetMode="External" Id="rId1039" /><Relationship Type="http://schemas.openxmlformats.org/officeDocument/2006/relationships/hyperlink" Target="https://wilkinsmedia.app.box.com/folder/179025075277" TargetMode="External" Id="rId1040" /><Relationship Type="http://schemas.openxmlformats.org/officeDocument/2006/relationships/hyperlink" Target="https://wilkinsmedia.app.box.com/file/2277506956654" TargetMode="External" Id="rId1041" /><Relationship Type="http://schemas.openxmlformats.org/officeDocument/2006/relationships/hyperlink" Target="https://wilkinsmedia.app.box.com/folder/179025075277" TargetMode="External" Id="rId1042" /><Relationship Type="http://schemas.openxmlformats.org/officeDocument/2006/relationships/hyperlink" Target="https://wilkinsmedia.app.box.com/file/2277506956654" TargetMode="External" Id="rId1043" /><Relationship Type="http://schemas.openxmlformats.org/officeDocument/2006/relationships/hyperlink" Target="https://wilkinsmedia.app.box.com/folder/179025075277" TargetMode="External" Id="rId1044" /><Relationship Type="http://schemas.openxmlformats.org/officeDocument/2006/relationships/hyperlink" Target="https://wilkinsmedia.app.box.com/file/2277506956654" TargetMode="External" Id="rId1045" /><Relationship Type="http://schemas.openxmlformats.org/officeDocument/2006/relationships/hyperlink" Target="https://wilkinsmedia.app.box.com/folder/179025075277" TargetMode="External" Id="rId1046" /><Relationship Type="http://schemas.openxmlformats.org/officeDocument/2006/relationships/hyperlink" Target="https://wilkinsmedia.app.box.com/file/2277506956654" TargetMode="External" Id="rId1047" /><Relationship Type="http://schemas.openxmlformats.org/officeDocument/2006/relationships/hyperlink" Target="https://wilkinsmedia.app.box.com/folder/179025075277" TargetMode="External" Id="rId1048" /><Relationship Type="http://schemas.openxmlformats.org/officeDocument/2006/relationships/hyperlink" Target="https://wilkinsmedia.app.box.com/file/2277506956654" TargetMode="External" Id="rId1049" /><Relationship Type="http://schemas.openxmlformats.org/officeDocument/2006/relationships/hyperlink" Target="https://wilkinsmedia.app.box.com/folder/179025075277" TargetMode="External" Id="rId1050" /><Relationship Type="http://schemas.openxmlformats.org/officeDocument/2006/relationships/hyperlink" Target="https://wilkinsmedia.app.box.com/file/2277506956654" TargetMode="External" Id="rId1051" /><Relationship Type="http://schemas.openxmlformats.org/officeDocument/2006/relationships/hyperlink" Target="https://wilkinsmedia.app.box.com/folder/179025075277" TargetMode="External" Id="rId1052" /><Relationship Type="http://schemas.openxmlformats.org/officeDocument/2006/relationships/hyperlink" Target="https://wilkinsmedia.app.box.com/file/2277506956654" TargetMode="External" Id="rId1053" /><Relationship Type="http://schemas.openxmlformats.org/officeDocument/2006/relationships/hyperlink" Target="https://wilkinsmedia.app.box.com/folder/179025075277" TargetMode="External" Id="rId1054" /><Relationship Type="http://schemas.openxmlformats.org/officeDocument/2006/relationships/hyperlink" Target="https://wilkinsmedia.app.box.com/file/2311303135035" TargetMode="External" Id="rId1055" /><Relationship Type="http://schemas.openxmlformats.org/officeDocument/2006/relationships/hyperlink" Target="https://wilkinsmedia.app.box.com/folder/154075538279" TargetMode="External" Id="rId1056" /><Relationship Type="http://schemas.openxmlformats.org/officeDocument/2006/relationships/hyperlink" Target="https://wilkinsmedia.app.box.com/file/2311303135035" TargetMode="External" Id="rId1057" /><Relationship Type="http://schemas.openxmlformats.org/officeDocument/2006/relationships/hyperlink" Target="https://wilkinsmedia.app.box.com/folder/154075538279" TargetMode="External" Id="rId1058" /><Relationship Type="http://schemas.openxmlformats.org/officeDocument/2006/relationships/hyperlink" Target="https://wilkinsmedia.app.box.com/file/2311303135035" TargetMode="External" Id="rId1059" /><Relationship Type="http://schemas.openxmlformats.org/officeDocument/2006/relationships/hyperlink" Target="https://wilkinsmedia.app.box.com/folder/154075538279" TargetMode="External" Id="rId1060" /><Relationship Type="http://schemas.openxmlformats.org/officeDocument/2006/relationships/hyperlink" Target="https://wilkinsmedia.app.box.com/file/2311303135035" TargetMode="External" Id="rId1061" /><Relationship Type="http://schemas.openxmlformats.org/officeDocument/2006/relationships/hyperlink" Target="https://wilkinsmedia.app.box.com/folder/154075538279" TargetMode="External" Id="rId1062" /><Relationship Type="http://schemas.openxmlformats.org/officeDocument/2006/relationships/hyperlink" Target="https://wilkinsmedia.app.box.com/file/2311303135035" TargetMode="External" Id="rId1063" /><Relationship Type="http://schemas.openxmlformats.org/officeDocument/2006/relationships/hyperlink" Target="https://wilkinsmedia.app.box.com/folder/154075538279" TargetMode="External" Id="rId1064" /><Relationship Type="http://schemas.openxmlformats.org/officeDocument/2006/relationships/hyperlink" Target="https://wilkinsmedia.app.box.com/file/2311303135035" TargetMode="External" Id="rId1065" /><Relationship Type="http://schemas.openxmlformats.org/officeDocument/2006/relationships/hyperlink" Target="https://wilkinsmedia.app.box.com/folder/154075538279" TargetMode="External" Id="rId1066" /><Relationship Type="http://schemas.openxmlformats.org/officeDocument/2006/relationships/hyperlink" Target="https://wilkinsmedia.app.box.com/file/2311303135035" TargetMode="External" Id="rId1067" /><Relationship Type="http://schemas.openxmlformats.org/officeDocument/2006/relationships/hyperlink" Target="https://wilkinsmedia.app.box.com/folder/154075538279" TargetMode="External" Id="rId1068" /><Relationship Type="http://schemas.openxmlformats.org/officeDocument/2006/relationships/hyperlink" Target="https://wilkinsmedia.app.box.com/file/2311303135035" TargetMode="External" Id="rId1069" /><Relationship Type="http://schemas.openxmlformats.org/officeDocument/2006/relationships/hyperlink" Target="https://wilkinsmedia.app.box.com/folder/154075538279" TargetMode="External" Id="rId1070" /><Relationship Type="http://schemas.openxmlformats.org/officeDocument/2006/relationships/hyperlink" Target="https://wilkinsmedia.app.box.com/file/2311303135035" TargetMode="External" Id="rId1071" /><Relationship Type="http://schemas.openxmlformats.org/officeDocument/2006/relationships/hyperlink" Target="https://wilkinsmedia.app.box.com/folder/154075538279" TargetMode="External" Id="rId1072" /><Relationship Type="http://schemas.openxmlformats.org/officeDocument/2006/relationships/hyperlink" Target="https://wilkinsmedia.app.box.com/file/2311303135035" TargetMode="External" Id="rId1073" /><Relationship Type="http://schemas.openxmlformats.org/officeDocument/2006/relationships/hyperlink" Target="https://wilkinsmedia.app.box.com/folder/154075538279" TargetMode="External" Id="rId1074" /><Relationship Type="http://schemas.openxmlformats.org/officeDocument/2006/relationships/hyperlink" Target="https://wilkinsmedia.app.box.com/file/2311303135035" TargetMode="External" Id="rId1075" /><Relationship Type="http://schemas.openxmlformats.org/officeDocument/2006/relationships/hyperlink" Target="https://wilkinsmedia.app.box.com/folder/154075538279" TargetMode="External" Id="rId1076" /><Relationship Type="http://schemas.openxmlformats.org/officeDocument/2006/relationships/hyperlink" Target="https://wilkinsmedia.app.box.com/file/2311303135035" TargetMode="External" Id="rId1077" /><Relationship Type="http://schemas.openxmlformats.org/officeDocument/2006/relationships/hyperlink" Target="https://wilkinsmedia.app.box.com/folder/154075538279" TargetMode="External" Id="rId1078" /><Relationship Type="http://schemas.openxmlformats.org/officeDocument/2006/relationships/hyperlink" Target="https://wilkinsmedia.app.box.com/file/2311303135035" TargetMode="External" Id="rId1079" /><Relationship Type="http://schemas.openxmlformats.org/officeDocument/2006/relationships/hyperlink" Target="https://wilkinsmedia.app.box.com/folder/154075538279" TargetMode="External" Id="rId1080" /><Relationship Type="http://schemas.openxmlformats.org/officeDocument/2006/relationships/hyperlink" Target="https://wilkinsmedia.app.box.com/file/2311303135035" TargetMode="External" Id="rId1081" /><Relationship Type="http://schemas.openxmlformats.org/officeDocument/2006/relationships/hyperlink" Target="https://wilkinsmedia.app.box.com/folder/154075538279" TargetMode="External" Id="rId1082" /><Relationship Type="http://schemas.openxmlformats.org/officeDocument/2006/relationships/hyperlink" Target="https://wilkinsmedia.app.box.com/file/2311303135035" TargetMode="External" Id="rId1083" /><Relationship Type="http://schemas.openxmlformats.org/officeDocument/2006/relationships/hyperlink" Target="https://wilkinsmedia.app.box.com/folder/154075538279" TargetMode="External" Id="rId1084" /><Relationship Type="http://schemas.openxmlformats.org/officeDocument/2006/relationships/hyperlink" Target="https://wilkinsmedia.app.box.com/file/2281507544517" TargetMode="External" Id="rId1085" /><Relationship Type="http://schemas.openxmlformats.org/officeDocument/2006/relationships/hyperlink" Target="https://wilkinsmedia.app.box.com/folder/266964471604" TargetMode="External" Id="rId1086" /><Relationship Type="http://schemas.openxmlformats.org/officeDocument/2006/relationships/hyperlink" Target="https://wilkinsmedia.app.box.com/file/2281507544517" TargetMode="External" Id="rId1087" /><Relationship Type="http://schemas.openxmlformats.org/officeDocument/2006/relationships/hyperlink" Target="https://wilkinsmedia.app.box.com/folder/266964471604" TargetMode="External" Id="rId1088" /><Relationship Type="http://schemas.openxmlformats.org/officeDocument/2006/relationships/hyperlink" Target="https://wilkinsmedia.app.box.com/file/2281507544517" TargetMode="External" Id="rId1089" /><Relationship Type="http://schemas.openxmlformats.org/officeDocument/2006/relationships/hyperlink" Target="https://wilkinsmedia.app.box.com/folder/266964471604" TargetMode="External" Id="rId1090" /><Relationship Type="http://schemas.openxmlformats.org/officeDocument/2006/relationships/hyperlink" Target="https://wilkinsmedia.app.box.com/file/2281507544517" TargetMode="External" Id="rId1091" /><Relationship Type="http://schemas.openxmlformats.org/officeDocument/2006/relationships/hyperlink" Target="https://wilkinsmedia.app.box.com/folder/266964471604" TargetMode="External" Id="rId1092" /><Relationship Type="http://schemas.openxmlformats.org/officeDocument/2006/relationships/hyperlink" Target="https://wilkinsmedia.app.box.com/file/2392870118186" TargetMode="External" Id="rId1093" /><Relationship Type="http://schemas.openxmlformats.org/officeDocument/2006/relationships/hyperlink" Target="https://wilkinsmedia.app.box.com/folder/289261012207" TargetMode="External" Id="rId1094" /><Relationship Type="http://schemas.openxmlformats.org/officeDocument/2006/relationships/hyperlink" Target="https://wilkinsmedia.app.box.com/file/2392870118186" TargetMode="External" Id="rId1095" /><Relationship Type="http://schemas.openxmlformats.org/officeDocument/2006/relationships/hyperlink" Target="https://wilkinsmedia.app.box.com/folder/289261012207" TargetMode="External" Id="rId1096" /><Relationship Type="http://schemas.openxmlformats.org/officeDocument/2006/relationships/hyperlink" Target="https://wilkinsmedia.app.box.com/file/2311303135035" TargetMode="External" Id="rId1097" /><Relationship Type="http://schemas.openxmlformats.org/officeDocument/2006/relationships/hyperlink" Target="https://wilkinsmedia.app.box.com/folder/154075538279" TargetMode="External" Id="rId1098" /><Relationship Type="http://schemas.openxmlformats.org/officeDocument/2006/relationships/hyperlink" Target="https://wilkinsmedia.app.box.com/file/2311303135035" TargetMode="External" Id="rId1099" /><Relationship Type="http://schemas.openxmlformats.org/officeDocument/2006/relationships/hyperlink" Target="https://wilkinsmedia.app.box.com/folder/154075538279" TargetMode="External" Id="rId1100" /><Relationship Type="http://schemas.openxmlformats.org/officeDocument/2006/relationships/hyperlink" Target="https://wilkinsmedia.app.box.com/file/2311303135035" TargetMode="External" Id="rId1101" /><Relationship Type="http://schemas.openxmlformats.org/officeDocument/2006/relationships/hyperlink" Target="https://wilkinsmedia.app.box.com/folder/154075538279" TargetMode="External" Id="rId1102" /><Relationship Type="http://schemas.openxmlformats.org/officeDocument/2006/relationships/hyperlink" Target="https://wilkinsmedia.app.box.com/file/2311303135035" TargetMode="External" Id="rId1103" /><Relationship Type="http://schemas.openxmlformats.org/officeDocument/2006/relationships/hyperlink" Target="https://wilkinsmedia.app.box.com/folder/154075538279" TargetMode="External" Id="rId1104" /><Relationship Type="http://schemas.openxmlformats.org/officeDocument/2006/relationships/hyperlink" Target="https://wilkinsmedia.app.box.com/file/2311303135035" TargetMode="External" Id="rId1105" /><Relationship Type="http://schemas.openxmlformats.org/officeDocument/2006/relationships/hyperlink" Target="https://wilkinsmedia.app.box.com/folder/154075538279" TargetMode="External" Id="rId1106" /><Relationship Type="http://schemas.openxmlformats.org/officeDocument/2006/relationships/hyperlink" Target="https://wilkinsmedia.app.box.com/file/2311303135035" TargetMode="External" Id="rId1107" /><Relationship Type="http://schemas.openxmlformats.org/officeDocument/2006/relationships/hyperlink" Target="https://wilkinsmedia.app.box.com/folder/154075538279" TargetMode="External" Id="rId1108" /><Relationship Type="http://schemas.openxmlformats.org/officeDocument/2006/relationships/hyperlink" Target="https://wilkinsmedia.app.box.com/file/2311303135035" TargetMode="External" Id="rId1109" /><Relationship Type="http://schemas.openxmlformats.org/officeDocument/2006/relationships/hyperlink" Target="https://wilkinsmedia.app.box.com/folder/154075538279" TargetMode="External" Id="rId1110" /><Relationship Type="http://schemas.openxmlformats.org/officeDocument/2006/relationships/hyperlink" Target="https://wilkinsmedia.app.box.com/file/2311303135035" TargetMode="External" Id="rId1111" /><Relationship Type="http://schemas.openxmlformats.org/officeDocument/2006/relationships/hyperlink" Target="https://wilkinsmedia.app.box.com/folder/154075538279" TargetMode="External" Id="rId1112" /><Relationship Type="http://schemas.openxmlformats.org/officeDocument/2006/relationships/hyperlink" Target="https://wilkinsmedia.app.box.com/file/2311303135035" TargetMode="External" Id="rId1113" /><Relationship Type="http://schemas.openxmlformats.org/officeDocument/2006/relationships/hyperlink" Target="https://wilkinsmedia.app.box.com/folder/154075538279" TargetMode="External" Id="rId1114" /><Relationship Type="http://schemas.openxmlformats.org/officeDocument/2006/relationships/hyperlink" Target="https://wilkinsmedia.app.box.com/file/2311303135035" TargetMode="External" Id="rId1115" /><Relationship Type="http://schemas.openxmlformats.org/officeDocument/2006/relationships/hyperlink" Target="https://wilkinsmedia.app.box.com/folder/154075538279" TargetMode="External" Id="rId1116" /><Relationship Type="http://schemas.openxmlformats.org/officeDocument/2006/relationships/hyperlink" Target="https://wilkinsmedia.app.box.com/file/2237562753156" TargetMode="External" Id="rId1117" /><Relationship Type="http://schemas.openxmlformats.org/officeDocument/2006/relationships/hyperlink" Target="https://wilkinsmedia.app.box.com/folder/325983657345" TargetMode="External" Id="rId1118" /><Relationship Type="http://schemas.openxmlformats.org/officeDocument/2006/relationships/hyperlink" Target="https://wilkinsmedia.app.box.com/file/2237562753156" TargetMode="External" Id="rId1119" /><Relationship Type="http://schemas.openxmlformats.org/officeDocument/2006/relationships/hyperlink" Target="https://wilkinsmedia.app.box.com/folder/325983657345" TargetMode="External" Id="rId1120" /><Relationship Type="http://schemas.openxmlformats.org/officeDocument/2006/relationships/hyperlink" Target="https://wilkinsmedia.app.box.com/file/2237562753156" TargetMode="External" Id="rId1121" /><Relationship Type="http://schemas.openxmlformats.org/officeDocument/2006/relationships/hyperlink" Target="https://wilkinsmedia.app.box.com/folder/325983657345" TargetMode="External" Id="rId1122" /><Relationship Type="http://schemas.openxmlformats.org/officeDocument/2006/relationships/hyperlink" Target="https://wilkinsmedia.app.box.com/file/1877398763550" TargetMode="External" Id="rId1123" /><Relationship Type="http://schemas.openxmlformats.org/officeDocument/2006/relationships/hyperlink" Target="https://wilkinsmedia.app.box.com/folder/323616241467" TargetMode="External" Id="rId1124" /><Relationship Type="http://schemas.openxmlformats.org/officeDocument/2006/relationships/hyperlink" Target="https://wilkinsmedia.app.box.com/file/1877398763550" TargetMode="External" Id="rId1125" /><Relationship Type="http://schemas.openxmlformats.org/officeDocument/2006/relationships/hyperlink" Target="https://wilkinsmedia.app.box.com/folder/323616241467" TargetMode="External" Id="rId1126" /><Relationship Type="http://schemas.openxmlformats.org/officeDocument/2006/relationships/hyperlink" Target="https://wilkinsmedia.app.box.com/file/2364503157328" TargetMode="External" Id="rId1127" /><Relationship Type="http://schemas.openxmlformats.org/officeDocument/2006/relationships/hyperlink" Target="https://wilkinsmedia.app.box.com/folder/177358320737" TargetMode="External" Id="rId1128" /><Relationship Type="http://schemas.openxmlformats.org/officeDocument/2006/relationships/hyperlink" Target="https://wilkinsmedia.app.box.com/file/2364503157328" TargetMode="External" Id="rId1129" /><Relationship Type="http://schemas.openxmlformats.org/officeDocument/2006/relationships/hyperlink" Target="https://wilkinsmedia.app.box.com/folder/177358320737" TargetMode="External" Id="rId1130" /><Relationship Type="http://schemas.openxmlformats.org/officeDocument/2006/relationships/hyperlink" Target="https://wilkinsmedia.app.box.com/file/2364503157328" TargetMode="External" Id="rId1131" /><Relationship Type="http://schemas.openxmlformats.org/officeDocument/2006/relationships/hyperlink" Target="https://wilkinsmedia.app.box.com/folder/177358320737" TargetMode="External" Id="rId1132" /><Relationship Type="http://schemas.openxmlformats.org/officeDocument/2006/relationships/hyperlink" Target="https://wilkinsmedia.app.box.com/file/2411791086833" TargetMode="External" Id="rId1133" /><Relationship Type="http://schemas.openxmlformats.org/officeDocument/2006/relationships/hyperlink" Target="https://wilkinsmedia.app.box.com/folder/176991262492" TargetMode="External" Id="rId1134" /><Relationship Type="http://schemas.openxmlformats.org/officeDocument/2006/relationships/hyperlink" Target="https://wilkinsmedia.app.box.com/file/2411791086833" TargetMode="External" Id="rId1135" /><Relationship Type="http://schemas.openxmlformats.org/officeDocument/2006/relationships/hyperlink" Target="https://wilkinsmedia.app.box.com/folder/176991262492" TargetMode="External" Id="rId1136" /><Relationship Type="http://schemas.openxmlformats.org/officeDocument/2006/relationships/hyperlink" Target="https://wilkinsmedia.app.box.com/file/2411791086833" TargetMode="External" Id="rId1137" /><Relationship Type="http://schemas.openxmlformats.org/officeDocument/2006/relationships/hyperlink" Target="https://wilkinsmedia.app.box.com/folder/176991262492" TargetMode="External" Id="rId1138" /><Relationship Type="http://schemas.openxmlformats.org/officeDocument/2006/relationships/hyperlink" Target="https://wilkinsmedia.app.box.com/file/2411791086833" TargetMode="External" Id="rId1139" /><Relationship Type="http://schemas.openxmlformats.org/officeDocument/2006/relationships/hyperlink" Target="https://wilkinsmedia.app.box.com/folder/176991262492" TargetMode="External" Id="rId1140" /><Relationship Type="http://schemas.openxmlformats.org/officeDocument/2006/relationships/hyperlink" Target="https://wilkinsmedia.app.box.com/file/2411791086833" TargetMode="External" Id="rId1141" /><Relationship Type="http://schemas.openxmlformats.org/officeDocument/2006/relationships/hyperlink" Target="https://wilkinsmedia.app.box.com/folder/176991262492" TargetMode="External" Id="rId1142" /><Relationship Type="http://schemas.openxmlformats.org/officeDocument/2006/relationships/hyperlink" Target="https://wilkinsmedia.app.box.com/file/2411791086833" TargetMode="External" Id="rId1143" /><Relationship Type="http://schemas.openxmlformats.org/officeDocument/2006/relationships/hyperlink" Target="https://wilkinsmedia.app.box.com/folder/176991262492" TargetMode="External" Id="rId1144" /><Relationship Type="http://schemas.openxmlformats.org/officeDocument/2006/relationships/hyperlink" Target="https://wilkinsmedia.app.box.com/file/2411791086833" TargetMode="External" Id="rId1145" /><Relationship Type="http://schemas.openxmlformats.org/officeDocument/2006/relationships/hyperlink" Target="https://wilkinsmedia.app.box.com/folder/176991262492" TargetMode="External" Id="rId1146" /><Relationship Type="http://schemas.openxmlformats.org/officeDocument/2006/relationships/hyperlink" Target="https://wilkinsmedia.app.box.com/file/2411791086833" TargetMode="External" Id="rId1147" /><Relationship Type="http://schemas.openxmlformats.org/officeDocument/2006/relationships/hyperlink" Target="https://wilkinsmedia.app.box.com/folder/176991262492" TargetMode="External" Id="rId1148" /><Relationship Type="http://schemas.openxmlformats.org/officeDocument/2006/relationships/hyperlink" Target="https://wilkinsmedia.app.box.com/file/2411791086833" TargetMode="External" Id="rId1149" /><Relationship Type="http://schemas.openxmlformats.org/officeDocument/2006/relationships/hyperlink" Target="https://wilkinsmedia.app.box.com/folder/176991262492" TargetMode="External" Id="rId1150" /><Relationship Type="http://schemas.openxmlformats.org/officeDocument/2006/relationships/hyperlink" Target="https://wilkinsmedia.app.box.com/file/2411791086833" TargetMode="External" Id="rId1151" /><Relationship Type="http://schemas.openxmlformats.org/officeDocument/2006/relationships/hyperlink" Target="https://wilkinsmedia.app.box.com/folder/176991262492" TargetMode="External" Id="rId1152" /><Relationship Type="http://schemas.openxmlformats.org/officeDocument/2006/relationships/hyperlink" Target="https://wilkinsmedia.app.box.com/file/2411791086833" TargetMode="External" Id="rId1153" /><Relationship Type="http://schemas.openxmlformats.org/officeDocument/2006/relationships/hyperlink" Target="https://wilkinsmedia.app.box.com/folder/176991262492" TargetMode="External" Id="rId1154" /><Relationship Type="http://schemas.openxmlformats.org/officeDocument/2006/relationships/hyperlink" Target="https://wilkinsmedia.app.box.com/file/2411791086833" TargetMode="External" Id="rId1155" /><Relationship Type="http://schemas.openxmlformats.org/officeDocument/2006/relationships/hyperlink" Target="https://wilkinsmedia.app.box.com/folder/176991262492" TargetMode="External" Id="rId1156" /><Relationship Type="http://schemas.openxmlformats.org/officeDocument/2006/relationships/hyperlink" Target="https://wilkinsmedia.app.box.com/file/2411791086833" TargetMode="External" Id="rId1157" /><Relationship Type="http://schemas.openxmlformats.org/officeDocument/2006/relationships/hyperlink" Target="https://wilkinsmedia.app.box.com/folder/176991262492" TargetMode="External" Id="rId1158" /><Relationship Type="http://schemas.openxmlformats.org/officeDocument/2006/relationships/hyperlink" Target="https://wilkinsmedia.app.box.com/file/2411791086833" TargetMode="External" Id="rId1159" /><Relationship Type="http://schemas.openxmlformats.org/officeDocument/2006/relationships/hyperlink" Target="https://wilkinsmedia.app.box.com/folder/176991262492" TargetMode="External" Id="rId1160" /><Relationship Type="http://schemas.openxmlformats.org/officeDocument/2006/relationships/hyperlink" Target="https://wilkinsmedia.app.box.com/file/2411791086833" TargetMode="External" Id="rId1161" /><Relationship Type="http://schemas.openxmlformats.org/officeDocument/2006/relationships/hyperlink" Target="https://wilkinsmedia.app.box.com/folder/176991262492" TargetMode="External" Id="rId1162" /><Relationship Type="http://schemas.openxmlformats.org/officeDocument/2006/relationships/hyperlink" Target="https://wilkinsmedia.app.box.com/file/2411791086833" TargetMode="External" Id="rId1163" /><Relationship Type="http://schemas.openxmlformats.org/officeDocument/2006/relationships/hyperlink" Target="https://wilkinsmedia.app.box.com/folder/176991262492" TargetMode="External" Id="rId1164" /><Relationship Type="http://schemas.openxmlformats.org/officeDocument/2006/relationships/hyperlink" Target="https://wilkinsmedia.app.box.com/file/2411791086833" TargetMode="External" Id="rId1165" /><Relationship Type="http://schemas.openxmlformats.org/officeDocument/2006/relationships/hyperlink" Target="https://wilkinsmedia.app.box.com/folder/176991262492" TargetMode="External" Id="rId1166" /><Relationship Type="http://schemas.openxmlformats.org/officeDocument/2006/relationships/hyperlink" Target="https://wilkinsmedia.app.box.com/file/2411791086833" TargetMode="External" Id="rId1167" /><Relationship Type="http://schemas.openxmlformats.org/officeDocument/2006/relationships/hyperlink" Target="https://wilkinsmedia.app.box.com/folder/176991262492" TargetMode="External" Id="rId1168" /><Relationship Type="http://schemas.openxmlformats.org/officeDocument/2006/relationships/hyperlink" Target="https://wilkinsmedia.app.box.com/file/2411791086833" TargetMode="External" Id="rId1169" /><Relationship Type="http://schemas.openxmlformats.org/officeDocument/2006/relationships/hyperlink" Target="https://wilkinsmedia.app.box.com/folder/176991262492" TargetMode="External" Id="rId1170" /><Relationship Type="http://schemas.openxmlformats.org/officeDocument/2006/relationships/hyperlink" Target="https://wilkinsmedia.app.box.com/file/2411791086833" TargetMode="External" Id="rId1171" /><Relationship Type="http://schemas.openxmlformats.org/officeDocument/2006/relationships/hyperlink" Target="https://wilkinsmedia.app.box.com/folder/176991262492" TargetMode="External" Id="rId1172" /><Relationship Type="http://schemas.openxmlformats.org/officeDocument/2006/relationships/hyperlink" Target="https://wilkinsmedia.app.box.com/file/2411791086833" TargetMode="External" Id="rId1173" /><Relationship Type="http://schemas.openxmlformats.org/officeDocument/2006/relationships/hyperlink" Target="https://wilkinsmedia.app.box.com/folder/176991262492" TargetMode="External" Id="rId1174" /><Relationship Type="http://schemas.openxmlformats.org/officeDocument/2006/relationships/hyperlink" Target="https://wilkinsmedia.app.box.com/file/2411791086833" TargetMode="External" Id="rId1175" /><Relationship Type="http://schemas.openxmlformats.org/officeDocument/2006/relationships/hyperlink" Target="https://wilkinsmedia.app.box.com/folder/176991262492" TargetMode="External" Id="rId1176" /><Relationship Type="http://schemas.openxmlformats.org/officeDocument/2006/relationships/hyperlink" Target="https://wilkinsmedia.app.box.com/file/2411791086833" TargetMode="External" Id="rId1177" /><Relationship Type="http://schemas.openxmlformats.org/officeDocument/2006/relationships/hyperlink" Target="https://wilkinsmedia.app.box.com/folder/176991262492" TargetMode="External" Id="rId1178" /><Relationship Type="http://schemas.openxmlformats.org/officeDocument/2006/relationships/hyperlink" Target="https://wilkinsmedia.app.box.com/file/2411791086833" TargetMode="External" Id="rId1179" /><Relationship Type="http://schemas.openxmlformats.org/officeDocument/2006/relationships/hyperlink" Target="https://wilkinsmedia.app.box.com/folder/176991262492" TargetMode="External" Id="rId1180" /><Relationship Type="http://schemas.openxmlformats.org/officeDocument/2006/relationships/hyperlink" Target="https://wilkinsmedia.app.box.com/file/2411791086833" TargetMode="External" Id="rId1181" /><Relationship Type="http://schemas.openxmlformats.org/officeDocument/2006/relationships/hyperlink" Target="https://wilkinsmedia.app.box.com/folder/176991262492" TargetMode="External" Id="rId1182" /><Relationship Type="http://schemas.openxmlformats.org/officeDocument/2006/relationships/hyperlink" Target="https://wilkinsmedia.app.box.com/file/2411791086833" TargetMode="External" Id="rId1183" /><Relationship Type="http://schemas.openxmlformats.org/officeDocument/2006/relationships/hyperlink" Target="https://wilkinsmedia.app.box.com/folder/176991262492" TargetMode="External" Id="rId1184" /><Relationship Type="http://schemas.openxmlformats.org/officeDocument/2006/relationships/hyperlink" Target="https://wilkinsmedia.app.box.com/file/2411791086833" TargetMode="External" Id="rId1185" /><Relationship Type="http://schemas.openxmlformats.org/officeDocument/2006/relationships/hyperlink" Target="https://wilkinsmedia.app.box.com/folder/176991262492" TargetMode="External" Id="rId1186" /><Relationship Type="http://schemas.openxmlformats.org/officeDocument/2006/relationships/hyperlink" Target="https://wilkinsmedia.app.box.com/file/2411791086833" TargetMode="External" Id="rId1187" /><Relationship Type="http://schemas.openxmlformats.org/officeDocument/2006/relationships/hyperlink" Target="https://wilkinsmedia.app.box.com/folder/176991262492" TargetMode="External" Id="rId1188" /><Relationship Type="http://schemas.openxmlformats.org/officeDocument/2006/relationships/hyperlink" Target="https://wilkinsmedia.app.box.com/file/2411791086833" TargetMode="External" Id="rId1189" /><Relationship Type="http://schemas.openxmlformats.org/officeDocument/2006/relationships/hyperlink" Target="https://wilkinsmedia.app.box.com/folder/176991262492" TargetMode="External" Id="rId1190" /><Relationship Type="http://schemas.openxmlformats.org/officeDocument/2006/relationships/hyperlink" Target="https://wilkinsmedia.app.box.com/file/2027581259310" TargetMode="External" Id="rId1191" /><Relationship Type="http://schemas.openxmlformats.org/officeDocument/2006/relationships/hyperlink" Target="https://wilkinsmedia.app.box.com/folder/103934277141" TargetMode="External" Id="rId1192" /><Relationship Type="http://schemas.openxmlformats.org/officeDocument/2006/relationships/hyperlink" Target="https://wilkinsmedia.app.box.com/file/2027581259310" TargetMode="External" Id="rId1193" /><Relationship Type="http://schemas.openxmlformats.org/officeDocument/2006/relationships/hyperlink" Target="https://wilkinsmedia.app.box.com/folder/103934277141" TargetMode="External" Id="rId1194" /><Relationship Type="http://schemas.openxmlformats.org/officeDocument/2006/relationships/hyperlink" Target="https://wilkinsmedia.app.box.com/file/2027581259310" TargetMode="External" Id="rId1195" /><Relationship Type="http://schemas.openxmlformats.org/officeDocument/2006/relationships/hyperlink" Target="https://wilkinsmedia.app.box.com/folder/103934277141" TargetMode="External" Id="rId1196" /><Relationship Type="http://schemas.openxmlformats.org/officeDocument/2006/relationships/hyperlink" Target="https://wilkinsmedia.app.box.com/file/2027581259310" TargetMode="External" Id="rId1197" /><Relationship Type="http://schemas.openxmlformats.org/officeDocument/2006/relationships/hyperlink" Target="https://wilkinsmedia.app.box.com/folder/103934277141" TargetMode="External" Id="rId1198" /><Relationship Type="http://schemas.openxmlformats.org/officeDocument/2006/relationships/hyperlink" Target="https://wilkinsmedia.app.box.com/file/2027581259310" TargetMode="External" Id="rId1199" /><Relationship Type="http://schemas.openxmlformats.org/officeDocument/2006/relationships/hyperlink" Target="https://wilkinsmedia.app.box.com/folder/103934277141" TargetMode="External" Id="rId1200" /><Relationship Type="http://schemas.openxmlformats.org/officeDocument/2006/relationships/hyperlink" Target="https://wilkinsmedia.app.box.com/file/2027581259310" TargetMode="External" Id="rId1201" /><Relationship Type="http://schemas.openxmlformats.org/officeDocument/2006/relationships/hyperlink" Target="https://wilkinsmedia.app.box.com/folder/103934277141" TargetMode="External" Id="rId1202" /><Relationship Type="http://schemas.openxmlformats.org/officeDocument/2006/relationships/hyperlink" Target="https://wilkinsmedia.app.box.com/file/2027581259310" TargetMode="External" Id="rId1203" /><Relationship Type="http://schemas.openxmlformats.org/officeDocument/2006/relationships/hyperlink" Target="https://wilkinsmedia.app.box.com/folder/103934277141" TargetMode="External" Id="rId1204" /><Relationship Type="http://schemas.openxmlformats.org/officeDocument/2006/relationships/hyperlink" Target="https://wilkinsmedia.app.box.com/file/2027581259310" TargetMode="External" Id="rId1205" /><Relationship Type="http://schemas.openxmlformats.org/officeDocument/2006/relationships/hyperlink" Target="https://wilkinsmedia.app.box.com/folder/103934277141" TargetMode="External" Id="rId1206" /><Relationship Type="http://schemas.openxmlformats.org/officeDocument/2006/relationships/hyperlink" Target="https://wilkinsmedia.app.box.com/file/2027581259310" TargetMode="External" Id="rId1207" /><Relationship Type="http://schemas.openxmlformats.org/officeDocument/2006/relationships/hyperlink" Target="https://wilkinsmedia.app.box.com/folder/103934277141" TargetMode="External" Id="rId1208" /><Relationship Type="http://schemas.openxmlformats.org/officeDocument/2006/relationships/hyperlink" Target="https://wilkinsmedia.app.box.com/file/2027581259310" TargetMode="External" Id="rId1209" /><Relationship Type="http://schemas.openxmlformats.org/officeDocument/2006/relationships/hyperlink" Target="https://wilkinsmedia.app.box.com/folder/103934277141" TargetMode="External" Id="rId1210" /><Relationship Type="http://schemas.openxmlformats.org/officeDocument/2006/relationships/hyperlink" Target="https://wilkinsmedia.app.box.com/file/2027581259310" TargetMode="External" Id="rId1211" /><Relationship Type="http://schemas.openxmlformats.org/officeDocument/2006/relationships/hyperlink" Target="https://wilkinsmedia.app.box.com/folder/103934277141" TargetMode="External" Id="rId1212" /><Relationship Type="http://schemas.openxmlformats.org/officeDocument/2006/relationships/hyperlink" Target="https://wilkinsmedia.app.box.com/file/2311303135035" TargetMode="External" Id="rId1213" /><Relationship Type="http://schemas.openxmlformats.org/officeDocument/2006/relationships/hyperlink" Target="https://wilkinsmedia.app.box.com/folder/154075538279" TargetMode="External" Id="rId1214" /><Relationship Type="http://schemas.openxmlformats.org/officeDocument/2006/relationships/hyperlink" Target="https://wilkinsmedia.app.box.com/file/2311303135035" TargetMode="External" Id="rId1215" /><Relationship Type="http://schemas.openxmlformats.org/officeDocument/2006/relationships/hyperlink" Target="https://wilkinsmedia.app.box.com/folder/154075538279" TargetMode="External" Id="rId1216" /><Relationship Type="http://schemas.openxmlformats.org/officeDocument/2006/relationships/hyperlink" Target="https://wilkinsmedia.app.box.com/file/2311303135035" TargetMode="External" Id="rId1217" /><Relationship Type="http://schemas.openxmlformats.org/officeDocument/2006/relationships/hyperlink" Target="https://wilkinsmedia.app.box.com/folder/154075538279" TargetMode="External" Id="rId1218" /><Relationship Type="http://schemas.openxmlformats.org/officeDocument/2006/relationships/hyperlink" Target="https://wilkinsmedia.app.box.com/file/2311303135035" TargetMode="External" Id="rId1219" /><Relationship Type="http://schemas.openxmlformats.org/officeDocument/2006/relationships/hyperlink" Target="https://wilkinsmedia.app.box.com/folder/154075538279" TargetMode="External" Id="rId1220" /><Relationship Type="http://schemas.openxmlformats.org/officeDocument/2006/relationships/hyperlink" Target="https://wilkinsmedia.app.box.com/file/2311303135035" TargetMode="External" Id="rId1221" /><Relationship Type="http://schemas.openxmlformats.org/officeDocument/2006/relationships/hyperlink" Target="https://wilkinsmedia.app.box.com/folder/154075538279" TargetMode="External" Id="rId1222" /><Relationship Type="http://schemas.openxmlformats.org/officeDocument/2006/relationships/hyperlink" Target="https://wilkinsmedia.app.box.com/file/2311303135035" TargetMode="External" Id="rId1223" /><Relationship Type="http://schemas.openxmlformats.org/officeDocument/2006/relationships/hyperlink" Target="https://wilkinsmedia.app.box.com/folder/154075538279" TargetMode="External" Id="rId1224" /><Relationship Type="http://schemas.openxmlformats.org/officeDocument/2006/relationships/hyperlink" Target="https://wilkinsmedia.app.box.com/file/2311303135035" TargetMode="External" Id="rId1225" /><Relationship Type="http://schemas.openxmlformats.org/officeDocument/2006/relationships/hyperlink" Target="https://wilkinsmedia.app.box.com/folder/154075538279" TargetMode="External" Id="rId1226" /><Relationship Type="http://schemas.openxmlformats.org/officeDocument/2006/relationships/hyperlink" Target="https://wilkinsmedia.app.box.com/file/2311303135035" TargetMode="External" Id="rId1227" /><Relationship Type="http://schemas.openxmlformats.org/officeDocument/2006/relationships/hyperlink" Target="https://wilkinsmedia.app.box.com/folder/154075538279" TargetMode="External" Id="rId1228" /><Relationship Type="http://schemas.openxmlformats.org/officeDocument/2006/relationships/hyperlink" Target="https://wilkinsmedia.app.box.com/file/2311303135035" TargetMode="External" Id="rId1229" /><Relationship Type="http://schemas.openxmlformats.org/officeDocument/2006/relationships/hyperlink" Target="https://wilkinsmedia.app.box.com/folder/154075538279" TargetMode="External" Id="rId1230" /><Relationship Type="http://schemas.openxmlformats.org/officeDocument/2006/relationships/hyperlink" Target="https://wilkinsmedia.app.box.com/file/2311303135035" TargetMode="External" Id="rId1231" /><Relationship Type="http://schemas.openxmlformats.org/officeDocument/2006/relationships/hyperlink" Target="https://wilkinsmedia.app.box.com/folder/154075538279" TargetMode="External" Id="rId1232" /><Relationship Type="http://schemas.openxmlformats.org/officeDocument/2006/relationships/hyperlink" Target="https://wilkinsmedia.app.box.com/file/2311303135035" TargetMode="External" Id="rId1233" /><Relationship Type="http://schemas.openxmlformats.org/officeDocument/2006/relationships/hyperlink" Target="https://wilkinsmedia.app.box.com/folder/154075538279" TargetMode="External" Id="rId1234" /><Relationship Type="http://schemas.openxmlformats.org/officeDocument/2006/relationships/hyperlink" Target="https://wilkinsmedia.app.box.com/file/2311303135035" TargetMode="External" Id="rId1235" /><Relationship Type="http://schemas.openxmlformats.org/officeDocument/2006/relationships/hyperlink" Target="https://wilkinsmedia.app.box.com/folder/154075538279" TargetMode="External" Id="rId1236" /><Relationship Type="http://schemas.openxmlformats.org/officeDocument/2006/relationships/hyperlink" Target="https://wilkinsmedia.app.box.com/file/2311303135035" TargetMode="External" Id="rId1237" /><Relationship Type="http://schemas.openxmlformats.org/officeDocument/2006/relationships/hyperlink" Target="https://wilkinsmedia.app.box.com/folder/154075538279" TargetMode="External" Id="rId1238" /><Relationship Type="http://schemas.openxmlformats.org/officeDocument/2006/relationships/hyperlink" Target="https://wilkinsmedia.app.box.com/file/2311303135035" TargetMode="External" Id="rId1239" /><Relationship Type="http://schemas.openxmlformats.org/officeDocument/2006/relationships/hyperlink" Target="https://wilkinsmedia.app.box.com/folder/154075538279" TargetMode="External" Id="rId1240" /><Relationship Type="http://schemas.openxmlformats.org/officeDocument/2006/relationships/hyperlink" Target="https://wilkinsmedia.app.box.com/file/2311303135035" TargetMode="External" Id="rId1241" /><Relationship Type="http://schemas.openxmlformats.org/officeDocument/2006/relationships/hyperlink" Target="https://wilkinsmedia.app.box.com/folder/154075538279" TargetMode="External" Id="rId1242" /><Relationship Type="http://schemas.openxmlformats.org/officeDocument/2006/relationships/hyperlink" Target="https://wilkinsmedia.app.box.com/file/2275108374409" TargetMode="External" Id="rId1243" /><Relationship Type="http://schemas.openxmlformats.org/officeDocument/2006/relationships/hyperlink" Target="https://wilkinsmedia.app.box.com/folder/177234555377" TargetMode="External" Id="rId1244" /><Relationship Type="http://schemas.openxmlformats.org/officeDocument/2006/relationships/hyperlink" Target="https://wilkinsmedia.app.box.com/file/2275108374409" TargetMode="External" Id="rId1245" /><Relationship Type="http://schemas.openxmlformats.org/officeDocument/2006/relationships/hyperlink" Target="https://wilkinsmedia.app.box.com/folder/177234555377" TargetMode="External" Id="rId1246" /><Relationship Type="http://schemas.openxmlformats.org/officeDocument/2006/relationships/hyperlink" Target="https://wilkinsmedia.app.box.com/file/2275108374409" TargetMode="External" Id="rId1247" /><Relationship Type="http://schemas.openxmlformats.org/officeDocument/2006/relationships/hyperlink" Target="https://wilkinsmedia.app.box.com/folder/177234555377" TargetMode="External" Id="rId1248" /><Relationship Type="http://schemas.openxmlformats.org/officeDocument/2006/relationships/hyperlink" Target="https://wilkinsmedia.app.box.com/file/2275108374409" TargetMode="External" Id="rId1249" /><Relationship Type="http://schemas.openxmlformats.org/officeDocument/2006/relationships/hyperlink" Target="https://wilkinsmedia.app.box.com/folder/177234555377" TargetMode="External" Id="rId1250" /><Relationship Type="http://schemas.openxmlformats.org/officeDocument/2006/relationships/hyperlink" Target="https://wilkinsmedia.app.box.com/file/2275108374409" TargetMode="External" Id="rId1251" /><Relationship Type="http://schemas.openxmlformats.org/officeDocument/2006/relationships/hyperlink" Target="https://wilkinsmedia.app.box.com/folder/177234555377" TargetMode="External" Id="rId1252" /><Relationship Type="http://schemas.openxmlformats.org/officeDocument/2006/relationships/hyperlink" Target="https://wilkinsmedia.app.box.com/file/2275108374409" TargetMode="External" Id="rId1253" /><Relationship Type="http://schemas.openxmlformats.org/officeDocument/2006/relationships/hyperlink" Target="https://wilkinsmedia.app.box.com/folder/177234555377" TargetMode="External" Id="rId1254" /><Relationship Type="http://schemas.openxmlformats.org/officeDocument/2006/relationships/hyperlink" Target="https://wilkinsmedia.app.box.com/file/2275108374409" TargetMode="External" Id="rId1255" /><Relationship Type="http://schemas.openxmlformats.org/officeDocument/2006/relationships/hyperlink" Target="https://wilkinsmedia.app.box.com/folder/177234555377" TargetMode="External" Id="rId1256" /><Relationship Type="http://schemas.openxmlformats.org/officeDocument/2006/relationships/hyperlink" Target="https://wilkinsmedia.app.box.com/file/2275108374409" TargetMode="External" Id="rId1257" /><Relationship Type="http://schemas.openxmlformats.org/officeDocument/2006/relationships/hyperlink" Target="https://wilkinsmedia.app.box.com/folder/177234555377" TargetMode="External" Id="rId1258" /><Relationship Type="http://schemas.openxmlformats.org/officeDocument/2006/relationships/hyperlink" Target="https://wilkinsmedia.app.box.com/file/2275108374409" TargetMode="External" Id="rId1259" /><Relationship Type="http://schemas.openxmlformats.org/officeDocument/2006/relationships/hyperlink" Target="https://wilkinsmedia.app.box.com/folder/177234555377" TargetMode="External" Id="rId1260" /><Relationship Type="http://schemas.openxmlformats.org/officeDocument/2006/relationships/hyperlink" Target="https://wilkinsmedia.app.box.com/file/2275108374409" TargetMode="External" Id="rId1261" /><Relationship Type="http://schemas.openxmlformats.org/officeDocument/2006/relationships/hyperlink" Target="https://wilkinsmedia.app.box.com/folder/177234555377" TargetMode="External" Id="rId1262" /><Relationship Type="http://schemas.openxmlformats.org/officeDocument/2006/relationships/hyperlink" Target="https://wilkinsmedia.app.box.com/file/2275108374409" TargetMode="External" Id="rId1263" /><Relationship Type="http://schemas.openxmlformats.org/officeDocument/2006/relationships/hyperlink" Target="https://wilkinsmedia.app.box.com/folder/177234555377" TargetMode="External" Id="rId1264" /><Relationship Type="http://schemas.openxmlformats.org/officeDocument/2006/relationships/hyperlink" Target="https://wilkinsmedia.app.box.com/file/2275108374409" TargetMode="External" Id="rId1265" /><Relationship Type="http://schemas.openxmlformats.org/officeDocument/2006/relationships/hyperlink" Target="https://wilkinsmedia.app.box.com/folder/177234555377" TargetMode="External" Id="rId1266" /><Relationship Type="http://schemas.openxmlformats.org/officeDocument/2006/relationships/hyperlink" Target="https://wilkinsmedia.app.box.com/file/2428331751712" TargetMode="External" Id="rId1267" /><Relationship Type="http://schemas.openxmlformats.org/officeDocument/2006/relationships/hyperlink" Target="https://wilkinsmedia.app.box.com/folder/311186548691" TargetMode="External" Id="rId1268" /><Relationship Type="http://schemas.openxmlformats.org/officeDocument/2006/relationships/hyperlink" Target="https://wilkinsmedia.app.box.com/file/2428331751712" TargetMode="External" Id="rId1269" /><Relationship Type="http://schemas.openxmlformats.org/officeDocument/2006/relationships/hyperlink" Target="https://wilkinsmedia.app.box.com/folder/311186548691" TargetMode="External" Id="rId1270" /><Relationship Type="http://schemas.openxmlformats.org/officeDocument/2006/relationships/hyperlink" Target="https://wilkinsmedia.app.box.com/file/2428331751712" TargetMode="External" Id="rId1271" /><Relationship Type="http://schemas.openxmlformats.org/officeDocument/2006/relationships/hyperlink" Target="https://wilkinsmedia.app.box.com/folder/311186548691" TargetMode="External" Id="rId1272" /><Relationship Type="http://schemas.openxmlformats.org/officeDocument/2006/relationships/hyperlink" Target="https://wilkinsmedia.app.box.com/file/2428331751712" TargetMode="External" Id="rId1273" /><Relationship Type="http://schemas.openxmlformats.org/officeDocument/2006/relationships/hyperlink" Target="https://wilkinsmedia.app.box.com/folder/311186548691" TargetMode="External" Id="rId1274" /><Relationship Type="http://schemas.openxmlformats.org/officeDocument/2006/relationships/hyperlink" Target="https://wilkinsmedia.app.box.com/file/2428331751712" TargetMode="External" Id="rId1275" /><Relationship Type="http://schemas.openxmlformats.org/officeDocument/2006/relationships/hyperlink" Target="https://wilkinsmedia.app.box.com/folder/311186548691" TargetMode="External" Id="rId1276" /><Relationship Type="http://schemas.openxmlformats.org/officeDocument/2006/relationships/hyperlink" Target="https://wilkinsmedia.app.box.com/file/2493179132671" TargetMode="External" Id="rId1277" /><Relationship Type="http://schemas.openxmlformats.org/officeDocument/2006/relationships/hyperlink" Target="https://wilkinsmedia.app.box.com/folder/226016737713" TargetMode="External" Id="rId1278" /><Relationship Type="http://schemas.openxmlformats.org/officeDocument/2006/relationships/hyperlink" Target="https://wilkinsmedia.app.box.com/file/2236115377662" TargetMode="External" Id="rId1279" /><Relationship Type="http://schemas.openxmlformats.org/officeDocument/2006/relationships/hyperlink" Target="https://wilkinsmedia.app.box.com/folder/178884847981" TargetMode="External" Id="rId1280" /><Relationship Type="http://schemas.openxmlformats.org/officeDocument/2006/relationships/hyperlink" Target="https://wilkinsmedia.app.box.com/file/2236115377662" TargetMode="External" Id="rId1281" /><Relationship Type="http://schemas.openxmlformats.org/officeDocument/2006/relationships/hyperlink" Target="https://wilkinsmedia.app.box.com/folder/178884847981" TargetMode="External" Id="rId1282" /><Relationship Type="http://schemas.openxmlformats.org/officeDocument/2006/relationships/hyperlink" Target="https://wilkinsmedia.app.box.com/file/2236115377662" TargetMode="External" Id="rId1283" /><Relationship Type="http://schemas.openxmlformats.org/officeDocument/2006/relationships/hyperlink" Target="https://wilkinsmedia.app.box.com/folder/178884847981" TargetMode="External" Id="rId1284" /><Relationship Type="http://schemas.openxmlformats.org/officeDocument/2006/relationships/hyperlink" Target="https://wilkinsmedia.app.box.com/file/2236115377662" TargetMode="External" Id="rId1285" /><Relationship Type="http://schemas.openxmlformats.org/officeDocument/2006/relationships/hyperlink" Target="https://wilkinsmedia.app.box.com/folder/178884847981" TargetMode="External" Id="rId1286" /><Relationship Type="http://schemas.openxmlformats.org/officeDocument/2006/relationships/hyperlink" Target="https://wilkinsmedia.app.box.com/file/2236115377662" TargetMode="External" Id="rId1287" /><Relationship Type="http://schemas.openxmlformats.org/officeDocument/2006/relationships/hyperlink" Target="https://wilkinsmedia.app.box.com/folder/178884847981" TargetMode="External" Id="rId1288" /><Relationship Type="http://schemas.openxmlformats.org/officeDocument/2006/relationships/hyperlink" Target="https://wilkinsmedia.app.box.com/file/2176318468151" TargetMode="External" Id="rId1289" /><Relationship Type="http://schemas.openxmlformats.org/officeDocument/2006/relationships/hyperlink" Target="https://wilkinsmedia.app.box.com/folder/179989504854" TargetMode="External" Id="rId1290" /><Relationship Type="http://schemas.openxmlformats.org/officeDocument/2006/relationships/hyperlink" Target="https://wilkinsmedia.app.box.com/file/2176318468151" TargetMode="External" Id="rId1291" /><Relationship Type="http://schemas.openxmlformats.org/officeDocument/2006/relationships/hyperlink" Target="https://wilkinsmedia.app.box.com/folder/179989504854" TargetMode="External" Id="rId1292" /><Relationship Type="http://schemas.openxmlformats.org/officeDocument/2006/relationships/hyperlink" Target="https://wilkinsmedia.app.box.com/file/2176318468151" TargetMode="External" Id="rId1293" /><Relationship Type="http://schemas.openxmlformats.org/officeDocument/2006/relationships/hyperlink" Target="https://wilkinsmedia.app.box.com/folder/179989504854" TargetMode="External" Id="rId1294" /><Relationship Type="http://schemas.openxmlformats.org/officeDocument/2006/relationships/hyperlink" Target="https://wilkinsmedia.app.box.com/file/2176318468151" TargetMode="External" Id="rId1295" /><Relationship Type="http://schemas.openxmlformats.org/officeDocument/2006/relationships/hyperlink" Target="https://wilkinsmedia.app.box.com/folder/179989504854" TargetMode="External" Id="rId1296" /><Relationship Type="http://schemas.openxmlformats.org/officeDocument/2006/relationships/hyperlink" Target="https://wilkinsmedia.app.box.com/file/2176318468151" TargetMode="External" Id="rId1297" /><Relationship Type="http://schemas.openxmlformats.org/officeDocument/2006/relationships/hyperlink" Target="https://wilkinsmedia.app.box.com/folder/179989504854" TargetMode="External" Id="rId1298" /><Relationship Type="http://schemas.openxmlformats.org/officeDocument/2006/relationships/hyperlink" Target="https://wilkinsmedia.app.box.com/file/2176318468151" TargetMode="External" Id="rId1299" /><Relationship Type="http://schemas.openxmlformats.org/officeDocument/2006/relationships/hyperlink" Target="https://wilkinsmedia.app.box.com/folder/179989504854" TargetMode="External" Id="rId1300" /><Relationship Type="http://schemas.openxmlformats.org/officeDocument/2006/relationships/hyperlink" Target="https://wilkinsmedia.app.box.com/file/2176318468151" TargetMode="External" Id="rId1301" /><Relationship Type="http://schemas.openxmlformats.org/officeDocument/2006/relationships/hyperlink" Target="https://wilkinsmedia.app.box.com/folder/179989504854" TargetMode="External" Id="rId1302" /><Relationship Type="http://schemas.openxmlformats.org/officeDocument/2006/relationships/hyperlink" Target="https://wilkinsmedia.app.box.com/file/2176318468151" TargetMode="External" Id="rId1303" /><Relationship Type="http://schemas.openxmlformats.org/officeDocument/2006/relationships/hyperlink" Target="https://wilkinsmedia.app.box.com/folder/179989504854" TargetMode="External" Id="rId1304" /><Relationship Type="http://schemas.openxmlformats.org/officeDocument/2006/relationships/hyperlink" Target="https://wilkinsmedia.app.box.com/file/2176318468151" TargetMode="External" Id="rId1305" /><Relationship Type="http://schemas.openxmlformats.org/officeDocument/2006/relationships/hyperlink" Target="https://wilkinsmedia.app.box.com/folder/179989504854" TargetMode="External" Id="rId1306" /><Relationship Type="http://schemas.openxmlformats.org/officeDocument/2006/relationships/hyperlink" Target="https://wilkinsmedia.app.box.com/file/2236115377662" TargetMode="External" Id="rId1307" /><Relationship Type="http://schemas.openxmlformats.org/officeDocument/2006/relationships/hyperlink" Target="https://wilkinsmedia.app.box.com/folder/178884847981" TargetMode="External" Id="rId1308" /><Relationship Type="http://schemas.openxmlformats.org/officeDocument/2006/relationships/hyperlink" Target="https://wilkinsmedia.app.box.com/file/2236115377662" TargetMode="External" Id="rId1309" /><Relationship Type="http://schemas.openxmlformats.org/officeDocument/2006/relationships/hyperlink" Target="https://wilkinsmedia.app.box.com/folder/178884847981" TargetMode="External" Id="rId1310" /><Relationship Type="http://schemas.openxmlformats.org/officeDocument/2006/relationships/hyperlink" Target="https://wilkinsmedia.app.box.com/file/2236115377662" TargetMode="External" Id="rId1311" /><Relationship Type="http://schemas.openxmlformats.org/officeDocument/2006/relationships/hyperlink" Target="https://wilkinsmedia.app.box.com/folder/178884847981" TargetMode="External" Id="rId1312" /><Relationship Type="http://schemas.openxmlformats.org/officeDocument/2006/relationships/hyperlink" Target="https://wilkinsmedia.app.box.com/file/2236115377662" TargetMode="External" Id="rId1313" /><Relationship Type="http://schemas.openxmlformats.org/officeDocument/2006/relationships/hyperlink" Target="https://wilkinsmedia.app.box.com/folder/178884847981" TargetMode="External" Id="rId1314" /><Relationship Type="http://schemas.openxmlformats.org/officeDocument/2006/relationships/hyperlink" Target="https://wilkinsmedia.app.box.com/file/2236115377662" TargetMode="External" Id="rId1315" /><Relationship Type="http://schemas.openxmlformats.org/officeDocument/2006/relationships/hyperlink" Target="https://wilkinsmedia.app.box.com/folder/178884847981" TargetMode="External" Id="rId1316" /><Relationship Type="http://schemas.openxmlformats.org/officeDocument/2006/relationships/hyperlink" Target="https://wilkinsmedia.app.box.com/file/2236115377662" TargetMode="External" Id="rId1317" /><Relationship Type="http://schemas.openxmlformats.org/officeDocument/2006/relationships/hyperlink" Target="https://wilkinsmedia.app.box.com/folder/178884847981" TargetMode="External" Id="rId1318" /><Relationship Type="http://schemas.openxmlformats.org/officeDocument/2006/relationships/hyperlink" Target="https://wilkinsmedia.app.box.com/file/2236115377662" TargetMode="External" Id="rId1319" /><Relationship Type="http://schemas.openxmlformats.org/officeDocument/2006/relationships/hyperlink" Target="https://wilkinsmedia.app.box.com/folder/178884847981" TargetMode="External" Id="rId1320" /><Relationship Type="http://schemas.openxmlformats.org/officeDocument/2006/relationships/hyperlink" Target="https://wilkinsmedia.app.box.com/file/2176318468151" TargetMode="External" Id="rId1321" /><Relationship Type="http://schemas.openxmlformats.org/officeDocument/2006/relationships/hyperlink" Target="https://wilkinsmedia.app.box.com/folder/179989504854" TargetMode="External" Id="rId1322" /><Relationship Type="http://schemas.openxmlformats.org/officeDocument/2006/relationships/hyperlink" Target="https://wilkinsmedia.app.box.com/file/2176318468151" TargetMode="External" Id="rId1323" /><Relationship Type="http://schemas.openxmlformats.org/officeDocument/2006/relationships/hyperlink" Target="https://wilkinsmedia.app.box.com/folder/179989504854" TargetMode="External" Id="rId1324" /><Relationship Type="http://schemas.openxmlformats.org/officeDocument/2006/relationships/hyperlink" Target="https://wilkinsmedia.app.box.com/file/2176318468151" TargetMode="External" Id="rId1325" /><Relationship Type="http://schemas.openxmlformats.org/officeDocument/2006/relationships/hyperlink" Target="https://wilkinsmedia.app.box.com/folder/179989504854" TargetMode="External" Id="rId1326" /><Relationship Type="http://schemas.openxmlformats.org/officeDocument/2006/relationships/hyperlink" Target="https://wilkinsmedia.app.box.com/file/2176318468151" TargetMode="External" Id="rId1327" /><Relationship Type="http://schemas.openxmlformats.org/officeDocument/2006/relationships/hyperlink" Target="https://wilkinsmedia.app.box.com/folder/179989504854" TargetMode="External" Id="rId1328" /><Relationship Type="http://schemas.openxmlformats.org/officeDocument/2006/relationships/hyperlink" Target="https://wilkinsmedia.app.box.com/file/2176318468151" TargetMode="External" Id="rId1329" /><Relationship Type="http://schemas.openxmlformats.org/officeDocument/2006/relationships/hyperlink" Target="https://wilkinsmedia.app.box.com/folder/179989504854" TargetMode="External" Id="rId1330" /><Relationship Type="http://schemas.openxmlformats.org/officeDocument/2006/relationships/hyperlink" Target="https://wilkinsmedia.app.box.com/file/2176318468151" TargetMode="External" Id="rId1331" /><Relationship Type="http://schemas.openxmlformats.org/officeDocument/2006/relationships/hyperlink" Target="https://wilkinsmedia.app.box.com/folder/179989504854" TargetMode="External" Id="rId1332" /><Relationship Type="http://schemas.openxmlformats.org/officeDocument/2006/relationships/hyperlink" Target="https://wilkinsmedia.app.box.com/file/2176318468151" TargetMode="External" Id="rId1333" /><Relationship Type="http://schemas.openxmlformats.org/officeDocument/2006/relationships/hyperlink" Target="https://wilkinsmedia.app.box.com/folder/179989504854" TargetMode="External" Id="rId1334" /><Relationship Type="http://schemas.openxmlformats.org/officeDocument/2006/relationships/hyperlink" Target="https://wilkinsmedia.app.box.com/file/2176318468151" TargetMode="External" Id="rId1335" /><Relationship Type="http://schemas.openxmlformats.org/officeDocument/2006/relationships/hyperlink" Target="https://wilkinsmedia.app.box.com/folder/179989504854" TargetMode="External" Id="rId1336" /><Relationship Type="http://schemas.openxmlformats.org/officeDocument/2006/relationships/hyperlink" Target="https://wilkinsmedia.app.box.com/file/2176318468151" TargetMode="External" Id="rId1337" /><Relationship Type="http://schemas.openxmlformats.org/officeDocument/2006/relationships/hyperlink" Target="https://wilkinsmedia.app.box.com/folder/179989504854" TargetMode="External" Id="rId1338" /><Relationship Type="http://schemas.openxmlformats.org/officeDocument/2006/relationships/hyperlink" Target="https://wilkinsmedia.app.box.com/file/2176318468151" TargetMode="External" Id="rId1339" /><Relationship Type="http://schemas.openxmlformats.org/officeDocument/2006/relationships/hyperlink" Target="https://wilkinsmedia.app.box.com/folder/179989504854" TargetMode="External" Id="rId1340" /><Relationship Type="http://schemas.openxmlformats.org/officeDocument/2006/relationships/hyperlink" Target="https://wilkinsmedia.app.box.com/file/2176318468151" TargetMode="External" Id="rId1341" /><Relationship Type="http://schemas.openxmlformats.org/officeDocument/2006/relationships/hyperlink" Target="https://wilkinsmedia.app.box.com/folder/179989504854" TargetMode="External" Id="rId1342" /><Relationship Type="http://schemas.openxmlformats.org/officeDocument/2006/relationships/hyperlink" Target="https://wilkinsmedia.app.box.com/file/2176318468151" TargetMode="External" Id="rId1343" /><Relationship Type="http://schemas.openxmlformats.org/officeDocument/2006/relationships/hyperlink" Target="https://wilkinsmedia.app.box.com/folder/179989504854" TargetMode="External" Id="rId1344" /><Relationship Type="http://schemas.openxmlformats.org/officeDocument/2006/relationships/hyperlink" Target="https://wilkinsmedia.app.box.com/file/2176318468151" TargetMode="External" Id="rId1345" /><Relationship Type="http://schemas.openxmlformats.org/officeDocument/2006/relationships/hyperlink" Target="https://wilkinsmedia.app.box.com/folder/179989504854" TargetMode="External" Id="rId1346" /><Relationship Type="http://schemas.openxmlformats.org/officeDocument/2006/relationships/hyperlink" Target="https://wilkinsmedia.app.box.com/file/2176318468151" TargetMode="External" Id="rId1347" /><Relationship Type="http://schemas.openxmlformats.org/officeDocument/2006/relationships/hyperlink" Target="https://wilkinsmedia.app.box.com/folder/179989504854" TargetMode="External" Id="rId1348" /><Relationship Type="http://schemas.openxmlformats.org/officeDocument/2006/relationships/hyperlink" Target="https://wilkinsmedia.app.box.com/file/2176318468151" TargetMode="External" Id="rId1349" /><Relationship Type="http://schemas.openxmlformats.org/officeDocument/2006/relationships/hyperlink" Target="https://wilkinsmedia.app.box.com/folder/179989504854" TargetMode="External" Id="rId1350" /><Relationship Type="http://schemas.openxmlformats.org/officeDocument/2006/relationships/hyperlink" Target="https://wilkinsmedia.app.box.com/file/2176318468151" TargetMode="External" Id="rId1351" /><Relationship Type="http://schemas.openxmlformats.org/officeDocument/2006/relationships/hyperlink" Target="https://wilkinsmedia.app.box.com/folder/179989504854" TargetMode="External" Id="rId1352" /><Relationship Type="http://schemas.openxmlformats.org/officeDocument/2006/relationships/hyperlink" Target="https://wilkinsmedia.app.box.com/file/2176318468151" TargetMode="External" Id="rId1353" /><Relationship Type="http://schemas.openxmlformats.org/officeDocument/2006/relationships/hyperlink" Target="https://wilkinsmedia.app.box.com/folder/179989504854" TargetMode="External" Id="rId1354" /><Relationship Type="http://schemas.openxmlformats.org/officeDocument/2006/relationships/hyperlink" Target="https://wilkinsmedia.app.box.com/file/2176318468151" TargetMode="External" Id="rId1355" /><Relationship Type="http://schemas.openxmlformats.org/officeDocument/2006/relationships/hyperlink" Target="https://wilkinsmedia.app.box.com/folder/179989504854" TargetMode="External" Id="rId1356" /><Relationship Type="http://schemas.openxmlformats.org/officeDocument/2006/relationships/hyperlink" Target="https://wilkinsmedia.app.box.com/file/2176318468151" TargetMode="External" Id="rId1357" /><Relationship Type="http://schemas.openxmlformats.org/officeDocument/2006/relationships/hyperlink" Target="https://wilkinsmedia.app.box.com/folder/179989504854" TargetMode="External" Id="rId1358" /><Relationship Type="http://schemas.openxmlformats.org/officeDocument/2006/relationships/hyperlink" Target="https://wilkinsmedia.app.box.com/file/2176318468151" TargetMode="External" Id="rId1359" /><Relationship Type="http://schemas.openxmlformats.org/officeDocument/2006/relationships/hyperlink" Target="https://wilkinsmedia.app.box.com/folder/179989504854" TargetMode="External" Id="rId1360" /><Relationship Type="http://schemas.openxmlformats.org/officeDocument/2006/relationships/hyperlink" Target="https://wilkinsmedia.app.box.com/file/2176318468151" TargetMode="External" Id="rId1361" /><Relationship Type="http://schemas.openxmlformats.org/officeDocument/2006/relationships/hyperlink" Target="https://wilkinsmedia.app.box.com/folder/179989504854" TargetMode="External" Id="rId1362" /><Relationship Type="http://schemas.openxmlformats.org/officeDocument/2006/relationships/hyperlink" Target="https://wilkinsmedia.app.box.com/file/2176318468151" TargetMode="External" Id="rId1363" /><Relationship Type="http://schemas.openxmlformats.org/officeDocument/2006/relationships/hyperlink" Target="https://wilkinsmedia.app.box.com/folder/179989504854" TargetMode="External" Id="rId1364" /><Relationship Type="http://schemas.openxmlformats.org/officeDocument/2006/relationships/hyperlink" Target="https://wilkinsmedia.app.box.com/file/2176318468151" TargetMode="External" Id="rId1365" /><Relationship Type="http://schemas.openxmlformats.org/officeDocument/2006/relationships/hyperlink" Target="https://wilkinsmedia.app.box.com/folder/179989504854" TargetMode="External" Id="rId1366" /><Relationship Type="http://schemas.openxmlformats.org/officeDocument/2006/relationships/hyperlink" Target="https://wilkinsmedia.app.box.com/file/2176318468151" TargetMode="External" Id="rId1367" /><Relationship Type="http://schemas.openxmlformats.org/officeDocument/2006/relationships/hyperlink" Target="https://wilkinsmedia.app.box.com/folder/179989504854" TargetMode="External" Id="rId1368" /><Relationship Type="http://schemas.openxmlformats.org/officeDocument/2006/relationships/hyperlink" Target="https://wilkinsmedia.app.box.com/file/2176318468151" TargetMode="External" Id="rId1369" /><Relationship Type="http://schemas.openxmlformats.org/officeDocument/2006/relationships/hyperlink" Target="https://wilkinsmedia.app.box.com/folder/179989504854" TargetMode="External" Id="rId1370" /><Relationship Type="http://schemas.openxmlformats.org/officeDocument/2006/relationships/hyperlink" Target="https://wilkinsmedia.app.box.com/file/2176318468151" TargetMode="External" Id="rId1371" /><Relationship Type="http://schemas.openxmlformats.org/officeDocument/2006/relationships/hyperlink" Target="https://wilkinsmedia.app.box.com/folder/179989504854" TargetMode="External" Id="rId1372" /><Relationship Type="http://schemas.openxmlformats.org/officeDocument/2006/relationships/hyperlink" Target="https://wilkinsmedia.app.box.com/file/2493179132671" TargetMode="External" Id="rId1373" /><Relationship Type="http://schemas.openxmlformats.org/officeDocument/2006/relationships/hyperlink" Target="https://wilkinsmedia.app.box.com/folder/226016737713" TargetMode="External" Id="rId1374" /><Relationship Type="http://schemas.openxmlformats.org/officeDocument/2006/relationships/hyperlink" Target="https://wilkinsmedia.app.box.com/file/1741090502325" TargetMode="External" Id="rId1375" /><Relationship Type="http://schemas.openxmlformats.org/officeDocument/2006/relationships/hyperlink" Target="https://wilkinsmedia.app.box.com/folder/176988577164" TargetMode="External" Id="rId1376" /><Relationship Type="http://schemas.openxmlformats.org/officeDocument/2006/relationships/hyperlink" Target="https://wilkinsmedia.app.box.com/file/1741090502325" TargetMode="External" Id="rId1377" /><Relationship Type="http://schemas.openxmlformats.org/officeDocument/2006/relationships/hyperlink" Target="https://wilkinsmedia.app.box.com/folder/176988577164" TargetMode="External" Id="rId1378" /><Relationship Type="http://schemas.openxmlformats.org/officeDocument/2006/relationships/hyperlink" Target="https://wilkinsmedia.app.box.com/file/1741090502325" TargetMode="External" Id="rId1379" /><Relationship Type="http://schemas.openxmlformats.org/officeDocument/2006/relationships/hyperlink" Target="https://wilkinsmedia.app.box.com/folder/176988577164" TargetMode="External" Id="rId1380" /><Relationship Type="http://schemas.openxmlformats.org/officeDocument/2006/relationships/hyperlink" Target="https://wilkinsmedia.app.box.com/file/1741090502325" TargetMode="External" Id="rId1381" /><Relationship Type="http://schemas.openxmlformats.org/officeDocument/2006/relationships/hyperlink" Target="https://wilkinsmedia.app.box.com/folder/176988577164" TargetMode="External" Id="rId1382" /><Relationship Type="http://schemas.openxmlformats.org/officeDocument/2006/relationships/hyperlink" Target="https://wilkinsmedia.app.box.com/file/1741090502325" TargetMode="External" Id="rId1383" /><Relationship Type="http://schemas.openxmlformats.org/officeDocument/2006/relationships/hyperlink" Target="https://wilkinsmedia.app.box.com/folder/176988577164" TargetMode="External" Id="rId1384" /><Relationship Type="http://schemas.openxmlformats.org/officeDocument/2006/relationships/hyperlink" Target="https://wilkinsmedia.app.box.com/file/1741090502325" TargetMode="External" Id="rId1385" /><Relationship Type="http://schemas.openxmlformats.org/officeDocument/2006/relationships/hyperlink" Target="https://wilkinsmedia.app.box.com/folder/176988577164" TargetMode="External" Id="rId1386" /><Relationship Type="http://schemas.openxmlformats.org/officeDocument/2006/relationships/hyperlink" Target="https://wilkinsmedia.app.box.com/file/1741090502325" TargetMode="External" Id="rId1387" /><Relationship Type="http://schemas.openxmlformats.org/officeDocument/2006/relationships/hyperlink" Target="https://wilkinsmedia.app.box.com/folder/176988577164" TargetMode="External" Id="rId1388" /><Relationship Type="http://schemas.openxmlformats.org/officeDocument/2006/relationships/hyperlink" Target="https://wilkinsmedia.app.box.com/file/1741090502325" TargetMode="External" Id="rId1389" /><Relationship Type="http://schemas.openxmlformats.org/officeDocument/2006/relationships/hyperlink" Target="https://wilkinsmedia.app.box.com/folder/176988577164" TargetMode="External" Id="rId1390" /><Relationship Type="http://schemas.openxmlformats.org/officeDocument/2006/relationships/hyperlink" Target="https://wilkinsmedia.app.box.com/file/1741090502325" TargetMode="External" Id="rId1391" /><Relationship Type="http://schemas.openxmlformats.org/officeDocument/2006/relationships/hyperlink" Target="https://wilkinsmedia.app.box.com/folder/176988577164" TargetMode="External" Id="rId1392" /><Relationship Type="http://schemas.openxmlformats.org/officeDocument/2006/relationships/hyperlink" Target="https://wilkinsmedia.app.box.com/file/1741090502325" TargetMode="External" Id="rId1393" /><Relationship Type="http://schemas.openxmlformats.org/officeDocument/2006/relationships/hyperlink" Target="https://wilkinsmedia.app.box.com/folder/176988577164" TargetMode="External" Id="rId1394" /><Relationship Type="http://schemas.openxmlformats.org/officeDocument/2006/relationships/hyperlink" Target="https://wilkinsmedia.app.box.com/file/1741090502325" TargetMode="External" Id="rId1395" /><Relationship Type="http://schemas.openxmlformats.org/officeDocument/2006/relationships/hyperlink" Target="https://wilkinsmedia.app.box.com/folder/176988577164" TargetMode="External" Id="rId1396" /><Relationship Type="http://schemas.openxmlformats.org/officeDocument/2006/relationships/hyperlink" Target="https://wilkinsmedia.app.box.com/file/1741090502325" TargetMode="External" Id="rId1397" /><Relationship Type="http://schemas.openxmlformats.org/officeDocument/2006/relationships/hyperlink" Target="https://wilkinsmedia.app.box.com/folder/176988577164" TargetMode="External" Id="rId1398" /><Relationship Type="http://schemas.openxmlformats.org/officeDocument/2006/relationships/hyperlink" Target="https://wilkinsmedia.app.box.com/file/1741090502325" TargetMode="External" Id="rId1399" /><Relationship Type="http://schemas.openxmlformats.org/officeDocument/2006/relationships/hyperlink" Target="https://wilkinsmedia.app.box.com/folder/176988577164" TargetMode="External" Id="rId1400" /><Relationship Type="http://schemas.openxmlformats.org/officeDocument/2006/relationships/hyperlink" Target="https://wilkinsmedia.app.box.com/file/1741090502325" TargetMode="External" Id="rId1401" /><Relationship Type="http://schemas.openxmlformats.org/officeDocument/2006/relationships/hyperlink" Target="https://wilkinsmedia.app.box.com/folder/176988577164" TargetMode="External" Id="rId1402" /><Relationship Type="http://schemas.openxmlformats.org/officeDocument/2006/relationships/hyperlink" Target="https://wilkinsmedia.app.box.com/file/1741090502325" TargetMode="External" Id="rId1403" /><Relationship Type="http://schemas.openxmlformats.org/officeDocument/2006/relationships/hyperlink" Target="https://wilkinsmedia.app.box.com/folder/176988577164" TargetMode="External" Id="rId1404" /><Relationship Type="http://schemas.openxmlformats.org/officeDocument/2006/relationships/hyperlink" Target="https://wilkinsmedia.app.box.com/file/1741090502325" TargetMode="External" Id="rId1405" /><Relationship Type="http://schemas.openxmlformats.org/officeDocument/2006/relationships/hyperlink" Target="https://wilkinsmedia.app.box.com/folder/176988577164" TargetMode="External" Id="rId1406" /><Relationship Type="http://schemas.openxmlformats.org/officeDocument/2006/relationships/hyperlink" Target="https://wilkinsmedia.app.box.com/file/1741090502325" TargetMode="External" Id="rId1407" /><Relationship Type="http://schemas.openxmlformats.org/officeDocument/2006/relationships/hyperlink" Target="https://wilkinsmedia.app.box.com/folder/176988577164" TargetMode="External" Id="rId1408" /><Relationship Type="http://schemas.openxmlformats.org/officeDocument/2006/relationships/hyperlink" Target="https://wilkinsmedia.app.box.com/file/1741090502325" TargetMode="External" Id="rId1409" /><Relationship Type="http://schemas.openxmlformats.org/officeDocument/2006/relationships/hyperlink" Target="https://wilkinsmedia.app.box.com/folder/176988577164" TargetMode="External" Id="rId1410" /><Relationship Type="http://schemas.openxmlformats.org/officeDocument/2006/relationships/hyperlink" Target="https://wilkinsmedia.app.box.com/file/1741090502325" TargetMode="External" Id="rId1411" /><Relationship Type="http://schemas.openxmlformats.org/officeDocument/2006/relationships/hyperlink" Target="https://wilkinsmedia.app.box.com/folder/176988577164" TargetMode="External" Id="rId1412" /><Relationship Type="http://schemas.openxmlformats.org/officeDocument/2006/relationships/hyperlink" Target="https://wilkinsmedia.app.box.com/file/1741090502325" TargetMode="External" Id="rId1413" /><Relationship Type="http://schemas.openxmlformats.org/officeDocument/2006/relationships/hyperlink" Target="https://wilkinsmedia.app.box.com/folder/176988577164" TargetMode="External" Id="rId1414" /><Relationship Type="http://schemas.openxmlformats.org/officeDocument/2006/relationships/hyperlink" Target="https://wilkinsmedia.app.box.com/file/1741090502325" TargetMode="External" Id="rId1415" /><Relationship Type="http://schemas.openxmlformats.org/officeDocument/2006/relationships/hyperlink" Target="https://wilkinsmedia.app.box.com/folder/176988577164" TargetMode="External" Id="rId1416" /><Relationship Type="http://schemas.openxmlformats.org/officeDocument/2006/relationships/hyperlink" Target="https://wilkinsmedia.app.box.com/file/1741090502325" TargetMode="External" Id="rId1417" /><Relationship Type="http://schemas.openxmlformats.org/officeDocument/2006/relationships/hyperlink" Target="https://wilkinsmedia.app.box.com/folder/176988577164" TargetMode="External" Id="rId1418" /><Relationship Type="http://schemas.openxmlformats.org/officeDocument/2006/relationships/hyperlink" Target="https://wilkinsmedia.app.box.com/file/1741090502325" TargetMode="External" Id="rId1419" /><Relationship Type="http://schemas.openxmlformats.org/officeDocument/2006/relationships/hyperlink" Target="https://wilkinsmedia.app.box.com/folder/176988577164" TargetMode="External" Id="rId1420" /><Relationship Type="http://schemas.openxmlformats.org/officeDocument/2006/relationships/hyperlink" Target="https://wilkinsmedia.app.box.com/file/1741090502325" TargetMode="External" Id="rId1421" /><Relationship Type="http://schemas.openxmlformats.org/officeDocument/2006/relationships/hyperlink" Target="https://wilkinsmedia.app.box.com/folder/176988577164" TargetMode="External" Id="rId1422" /><Relationship Type="http://schemas.openxmlformats.org/officeDocument/2006/relationships/hyperlink" Target="https://wilkinsmedia.app.box.com/file/1741090502325" TargetMode="External" Id="rId1423" /><Relationship Type="http://schemas.openxmlformats.org/officeDocument/2006/relationships/hyperlink" Target="https://wilkinsmedia.app.box.com/folder/176988577164" TargetMode="External" Id="rId1424" /><Relationship Type="http://schemas.openxmlformats.org/officeDocument/2006/relationships/hyperlink" Target="https://wilkinsmedia.app.box.com/file/1741090502325" TargetMode="External" Id="rId1425" /><Relationship Type="http://schemas.openxmlformats.org/officeDocument/2006/relationships/hyperlink" Target="https://wilkinsmedia.app.box.com/folder/176988577164" TargetMode="External" Id="rId1426" /><Relationship Type="http://schemas.openxmlformats.org/officeDocument/2006/relationships/hyperlink" Target="https://wilkinsmedia.app.box.com/file/1741090502325" TargetMode="External" Id="rId1427" /><Relationship Type="http://schemas.openxmlformats.org/officeDocument/2006/relationships/hyperlink" Target="https://wilkinsmedia.app.box.com/folder/176988577164" TargetMode="External" Id="rId1428" /><Relationship Type="http://schemas.openxmlformats.org/officeDocument/2006/relationships/hyperlink" Target="https://wilkinsmedia.app.box.com/file/1741090502325" TargetMode="External" Id="rId1429" /><Relationship Type="http://schemas.openxmlformats.org/officeDocument/2006/relationships/hyperlink" Target="https://wilkinsmedia.app.box.com/folder/176988577164" TargetMode="External" Id="rId1430" /><Relationship Type="http://schemas.openxmlformats.org/officeDocument/2006/relationships/hyperlink" Target="https://wilkinsmedia.app.box.com/file/1741090502325" TargetMode="External" Id="rId1431" /><Relationship Type="http://schemas.openxmlformats.org/officeDocument/2006/relationships/hyperlink" Target="https://wilkinsmedia.app.box.com/folder/176988577164" TargetMode="External" Id="rId1432" /><Relationship Type="http://schemas.openxmlformats.org/officeDocument/2006/relationships/hyperlink" Target="https://wilkinsmedia.app.box.com/file/2291417584038" TargetMode="External" Id="rId1433" /><Relationship Type="http://schemas.openxmlformats.org/officeDocument/2006/relationships/hyperlink" Target="https://wilkinsmedia.app.box.com/folder/391188735991" TargetMode="External" Id="rId1434" /><Relationship Type="http://schemas.openxmlformats.org/officeDocument/2006/relationships/hyperlink" Target="https://wilkinsmedia.app.box.com/file/2291417584038" TargetMode="External" Id="rId1435" /><Relationship Type="http://schemas.openxmlformats.org/officeDocument/2006/relationships/hyperlink" Target="https://wilkinsmedia.app.box.com/folder/391188735991" TargetMode="External" Id="rId1436" /><Relationship Type="http://schemas.openxmlformats.org/officeDocument/2006/relationships/hyperlink" Target="https://wilkinsmedia.app.box.com/file/2291417584038" TargetMode="External" Id="rId1437" /><Relationship Type="http://schemas.openxmlformats.org/officeDocument/2006/relationships/hyperlink" Target="https://wilkinsmedia.app.box.com/folder/391188735991" TargetMode="External" Id="rId1438" /><Relationship Type="http://schemas.openxmlformats.org/officeDocument/2006/relationships/hyperlink" Target="https://wilkinsmedia.app.box.com/file/2348821148526" TargetMode="External" Id="rId1439" /><Relationship Type="http://schemas.openxmlformats.org/officeDocument/2006/relationships/hyperlink" Target="https://wilkinsmedia.app.box.com/folder/169786886575" TargetMode="External" Id="rId1440" /><Relationship Type="http://schemas.openxmlformats.org/officeDocument/2006/relationships/hyperlink" Target="https://wilkinsmedia.app.box.com/file/2348821148526" TargetMode="External" Id="rId1441" /><Relationship Type="http://schemas.openxmlformats.org/officeDocument/2006/relationships/hyperlink" Target="https://wilkinsmedia.app.box.com/folder/169786886575" TargetMode="External" Id="rId1442" /><Relationship Type="http://schemas.openxmlformats.org/officeDocument/2006/relationships/hyperlink" Target="https://wilkinsmedia.app.box.com/file/2348821148526" TargetMode="External" Id="rId1443" /><Relationship Type="http://schemas.openxmlformats.org/officeDocument/2006/relationships/hyperlink" Target="https://wilkinsmedia.app.box.com/folder/169786886575" TargetMode="External" Id="rId1444" /><Relationship Type="http://schemas.openxmlformats.org/officeDocument/2006/relationships/hyperlink" Target="https://wilkinsmedia.app.box.com/file/2348821148526" TargetMode="External" Id="rId1445" /><Relationship Type="http://schemas.openxmlformats.org/officeDocument/2006/relationships/hyperlink" Target="https://wilkinsmedia.app.box.com/folder/169786886575" TargetMode="External" Id="rId1446" /><Relationship Type="http://schemas.openxmlformats.org/officeDocument/2006/relationships/hyperlink" Target="https://wilkinsmedia.app.box.com/file/2348821148526" TargetMode="External" Id="rId1447" /><Relationship Type="http://schemas.openxmlformats.org/officeDocument/2006/relationships/hyperlink" Target="https://wilkinsmedia.app.box.com/folder/169786886575" TargetMode="External" Id="rId1448" /><Relationship Type="http://schemas.openxmlformats.org/officeDocument/2006/relationships/hyperlink" Target="https://wilkinsmedia.app.box.com/file/2348821148526" TargetMode="External" Id="rId1449" /><Relationship Type="http://schemas.openxmlformats.org/officeDocument/2006/relationships/hyperlink" Target="https://wilkinsmedia.app.box.com/folder/169786886575" TargetMode="External" Id="rId1450" /><Relationship Type="http://schemas.openxmlformats.org/officeDocument/2006/relationships/hyperlink" Target="https://wilkinsmedia.app.box.com/file/2348821148526" TargetMode="External" Id="rId1451" /><Relationship Type="http://schemas.openxmlformats.org/officeDocument/2006/relationships/hyperlink" Target="https://wilkinsmedia.app.box.com/folder/169786886575" TargetMode="External" Id="rId1452" /><Relationship Type="http://schemas.openxmlformats.org/officeDocument/2006/relationships/hyperlink" Target="https://wilkinsmedia.app.box.com/file/2348821148526" TargetMode="External" Id="rId1453" /><Relationship Type="http://schemas.openxmlformats.org/officeDocument/2006/relationships/hyperlink" Target="https://wilkinsmedia.app.box.com/folder/169786886575" TargetMode="External" Id="rId1454" /><Relationship Type="http://schemas.openxmlformats.org/officeDocument/2006/relationships/hyperlink" Target="https://wilkinsmedia.app.box.com/file/2348821148526" TargetMode="External" Id="rId1455" /><Relationship Type="http://schemas.openxmlformats.org/officeDocument/2006/relationships/hyperlink" Target="https://wilkinsmedia.app.box.com/folder/169786886575" TargetMode="External" Id="rId1456" /><Relationship Type="http://schemas.openxmlformats.org/officeDocument/2006/relationships/hyperlink" Target="https://wilkinsmedia.app.box.com/file/2348821148526" TargetMode="External" Id="rId1457" /><Relationship Type="http://schemas.openxmlformats.org/officeDocument/2006/relationships/hyperlink" Target="https://wilkinsmedia.app.box.com/folder/169786886575" TargetMode="External" Id="rId1458" /><Relationship Type="http://schemas.openxmlformats.org/officeDocument/2006/relationships/hyperlink" Target="https://wilkinsmedia.app.box.com/file/2348821148526" TargetMode="External" Id="rId1459" /><Relationship Type="http://schemas.openxmlformats.org/officeDocument/2006/relationships/hyperlink" Target="https://wilkinsmedia.app.box.com/folder/169786886575" TargetMode="External" Id="rId1460" /><Relationship Type="http://schemas.openxmlformats.org/officeDocument/2006/relationships/hyperlink" Target="https://wilkinsmedia.app.box.com/file/2348821148526" TargetMode="External" Id="rId1461" /><Relationship Type="http://schemas.openxmlformats.org/officeDocument/2006/relationships/hyperlink" Target="https://wilkinsmedia.app.box.com/folder/169786886575" TargetMode="External" Id="rId1462" /><Relationship Type="http://schemas.openxmlformats.org/officeDocument/2006/relationships/hyperlink" Target="https://wilkinsmedia.app.box.com/file/2348821148526" TargetMode="External" Id="rId1463" /><Relationship Type="http://schemas.openxmlformats.org/officeDocument/2006/relationships/hyperlink" Target="https://wilkinsmedia.app.box.com/folder/169786886575" TargetMode="External" Id="rId1464" /><Relationship Type="http://schemas.openxmlformats.org/officeDocument/2006/relationships/hyperlink" Target="https://wilkinsmedia.app.box.com/file/2289716583692" TargetMode="External" Id="rId1465" /><Relationship Type="http://schemas.openxmlformats.org/officeDocument/2006/relationships/hyperlink" Target="https://wilkinsmedia.app.box.com/folder/390841528749" TargetMode="External" Id="rId1466" /><Relationship Type="http://schemas.openxmlformats.org/officeDocument/2006/relationships/hyperlink" Target="https://wilkinsmedia.app.box.com/file/2289716583692" TargetMode="External" Id="rId1467" /><Relationship Type="http://schemas.openxmlformats.org/officeDocument/2006/relationships/hyperlink" Target="https://wilkinsmedia.app.box.com/folder/390841528749" TargetMode="External" Id="rId1468" /><Relationship Type="http://schemas.openxmlformats.org/officeDocument/2006/relationships/hyperlink" Target="https://wilkinsmedia.app.box.com/file/2289716583692" TargetMode="External" Id="rId1469" /><Relationship Type="http://schemas.openxmlformats.org/officeDocument/2006/relationships/hyperlink" Target="https://wilkinsmedia.app.box.com/folder/390841528749" TargetMode="External" Id="rId1470" /><Relationship Type="http://schemas.openxmlformats.org/officeDocument/2006/relationships/hyperlink" Target="https://wilkinsmedia.app.box.com/file/2289716583692" TargetMode="External" Id="rId1471" /><Relationship Type="http://schemas.openxmlformats.org/officeDocument/2006/relationships/hyperlink" Target="https://wilkinsmedia.app.box.com/folder/390841528749" TargetMode="External" Id="rId1472" /><Relationship Type="http://schemas.openxmlformats.org/officeDocument/2006/relationships/hyperlink" Target="https://wilkinsmedia.app.box.com/file/2289716583692" TargetMode="External" Id="rId1473" /><Relationship Type="http://schemas.openxmlformats.org/officeDocument/2006/relationships/hyperlink" Target="https://wilkinsmedia.app.box.com/folder/390841528749" TargetMode="External" Id="rId1474" /><Relationship Type="http://schemas.openxmlformats.org/officeDocument/2006/relationships/hyperlink" Target="https://wilkinsmedia.app.box.com/file/2289716583692" TargetMode="External" Id="rId1475" /><Relationship Type="http://schemas.openxmlformats.org/officeDocument/2006/relationships/hyperlink" Target="https://wilkinsmedia.app.box.com/folder/390841528749" TargetMode="External" Id="rId1476" /><Relationship Type="http://schemas.openxmlformats.org/officeDocument/2006/relationships/hyperlink" Target="https://wilkinsmedia.app.box.com/file/2289716583692" TargetMode="External" Id="rId1477" /><Relationship Type="http://schemas.openxmlformats.org/officeDocument/2006/relationships/hyperlink" Target="https://wilkinsmedia.app.box.com/folder/390841528749" TargetMode="External" Id="rId1478" /><Relationship Type="http://schemas.openxmlformats.org/officeDocument/2006/relationships/hyperlink" Target="https://wilkinsmedia.app.box.com/file/2289716583692" TargetMode="External" Id="rId1479" /><Relationship Type="http://schemas.openxmlformats.org/officeDocument/2006/relationships/hyperlink" Target="https://wilkinsmedia.app.box.com/folder/390841528749" TargetMode="External" Id="rId1480" /><Relationship Type="http://schemas.openxmlformats.org/officeDocument/2006/relationships/hyperlink" Target="https://wilkinsmedia.app.box.com/file/1046464466742" TargetMode="External" Id="rId1481" /><Relationship Type="http://schemas.openxmlformats.org/officeDocument/2006/relationships/hyperlink" Target="https://wilkinsmedia.app.box.com/folder/178463385981" TargetMode="External" Id="rId1482" /><Relationship Type="http://schemas.openxmlformats.org/officeDocument/2006/relationships/hyperlink" Target="https://wilkinsmedia.app.box.com/file/1046464466742" TargetMode="External" Id="rId1483" /><Relationship Type="http://schemas.openxmlformats.org/officeDocument/2006/relationships/hyperlink" Target="https://wilkinsmedia.app.box.com/folder/178463385981" TargetMode="External" Id="rId1484" /><Relationship Type="http://schemas.openxmlformats.org/officeDocument/2006/relationships/hyperlink" Target="https://wilkinsmedia.app.box.com/file/1046464466742" TargetMode="External" Id="rId1485" /><Relationship Type="http://schemas.openxmlformats.org/officeDocument/2006/relationships/hyperlink" Target="https://wilkinsmedia.app.box.com/folder/178463385981" TargetMode="External" Id="rId1486" /><Relationship Type="http://schemas.openxmlformats.org/officeDocument/2006/relationships/hyperlink" Target="https://wilkinsmedia.app.box.com/file/1046464466742" TargetMode="External" Id="rId1487" /><Relationship Type="http://schemas.openxmlformats.org/officeDocument/2006/relationships/hyperlink" Target="https://wilkinsmedia.app.box.com/folder/178463385981" TargetMode="External" Id="rId1488" /><Relationship Type="http://schemas.openxmlformats.org/officeDocument/2006/relationships/hyperlink" Target="https://wilkinsmedia.app.box.com/file/1046464466742" TargetMode="External" Id="rId1489" /><Relationship Type="http://schemas.openxmlformats.org/officeDocument/2006/relationships/hyperlink" Target="https://wilkinsmedia.app.box.com/folder/178463385981" TargetMode="External" Id="rId1490" /><Relationship Type="http://schemas.openxmlformats.org/officeDocument/2006/relationships/hyperlink" Target="https://wilkinsmedia.app.box.com/file/1046464466742" TargetMode="External" Id="rId1491" /><Relationship Type="http://schemas.openxmlformats.org/officeDocument/2006/relationships/hyperlink" Target="https://wilkinsmedia.app.box.com/folder/178463385981" TargetMode="External" Id="rId1492" /><Relationship Type="http://schemas.openxmlformats.org/officeDocument/2006/relationships/hyperlink" Target="https://wilkinsmedia.app.box.com/file/1046464466742" TargetMode="External" Id="rId1493" /><Relationship Type="http://schemas.openxmlformats.org/officeDocument/2006/relationships/hyperlink" Target="https://wilkinsmedia.app.box.com/folder/178463385981" TargetMode="External" Id="rId1494" /><Relationship Type="http://schemas.openxmlformats.org/officeDocument/2006/relationships/hyperlink" Target="https://wilkinsmedia.app.box.com/file/1046464466742" TargetMode="External" Id="rId1495" /><Relationship Type="http://schemas.openxmlformats.org/officeDocument/2006/relationships/hyperlink" Target="https://wilkinsmedia.app.box.com/folder/178463385981" TargetMode="External" Id="rId1496" /><Relationship Type="http://schemas.openxmlformats.org/officeDocument/2006/relationships/hyperlink" Target="https://wilkinsmedia.app.box.com/file/1046464466742" TargetMode="External" Id="rId1497" /><Relationship Type="http://schemas.openxmlformats.org/officeDocument/2006/relationships/hyperlink" Target="https://wilkinsmedia.app.box.com/folder/178463385981" TargetMode="External" Id="rId1498" /><Relationship Type="http://schemas.openxmlformats.org/officeDocument/2006/relationships/hyperlink" Target="https://wilkinsmedia.app.box.com/file/1046464466742" TargetMode="External" Id="rId1499" /><Relationship Type="http://schemas.openxmlformats.org/officeDocument/2006/relationships/hyperlink" Target="https://wilkinsmedia.app.box.com/folder/178463385981" TargetMode="External" Id="rId1500" /><Relationship Type="http://schemas.openxmlformats.org/officeDocument/2006/relationships/hyperlink" Target="https://wilkinsmedia.app.box.com/file/1046464466742" TargetMode="External" Id="rId1501" /><Relationship Type="http://schemas.openxmlformats.org/officeDocument/2006/relationships/hyperlink" Target="https://wilkinsmedia.app.box.com/folder/178463385981" TargetMode="External" Id="rId1502" /><Relationship Type="http://schemas.openxmlformats.org/officeDocument/2006/relationships/hyperlink" Target="https://wilkinsmedia.app.box.com/file/1046464466742" TargetMode="External" Id="rId1503" /><Relationship Type="http://schemas.openxmlformats.org/officeDocument/2006/relationships/hyperlink" Target="https://wilkinsmedia.app.box.com/folder/178463385981" TargetMode="External" Id="rId1504" /><Relationship Type="http://schemas.openxmlformats.org/officeDocument/2006/relationships/hyperlink" Target="https://wilkinsmedia.app.box.com/file/1046464466742" TargetMode="External" Id="rId1505" /><Relationship Type="http://schemas.openxmlformats.org/officeDocument/2006/relationships/hyperlink" Target="https://wilkinsmedia.app.box.com/folder/178463385981" TargetMode="External" Id="rId1506" /><Relationship Type="http://schemas.openxmlformats.org/officeDocument/2006/relationships/hyperlink" Target="https://wilkinsmedia.app.box.com/file/1046464466742" TargetMode="External" Id="rId1507" /><Relationship Type="http://schemas.openxmlformats.org/officeDocument/2006/relationships/hyperlink" Target="https://wilkinsmedia.app.box.com/folder/178463385981" TargetMode="External" Id="rId1508" /><Relationship Type="http://schemas.openxmlformats.org/officeDocument/2006/relationships/hyperlink" Target="https://wilkinsmedia.app.box.com/file/1046464466742" TargetMode="External" Id="rId1509" /><Relationship Type="http://schemas.openxmlformats.org/officeDocument/2006/relationships/hyperlink" Target="https://wilkinsmedia.app.box.com/folder/178463385981" TargetMode="External" Id="rId1510" /><Relationship Type="http://schemas.openxmlformats.org/officeDocument/2006/relationships/hyperlink" Target="https://wilkinsmedia.app.box.com/file/1046464466742" TargetMode="External" Id="rId1511" /><Relationship Type="http://schemas.openxmlformats.org/officeDocument/2006/relationships/hyperlink" Target="https://wilkinsmedia.app.box.com/folder/178463385981" TargetMode="External" Id="rId1512" /><Relationship Type="http://schemas.openxmlformats.org/officeDocument/2006/relationships/hyperlink" Target="https://wilkinsmedia.app.box.com/file/1046464466742" TargetMode="External" Id="rId1513" /><Relationship Type="http://schemas.openxmlformats.org/officeDocument/2006/relationships/hyperlink" Target="https://wilkinsmedia.app.box.com/folder/178463385981" TargetMode="External" Id="rId1514" /><Relationship Type="http://schemas.openxmlformats.org/officeDocument/2006/relationships/hyperlink" Target="https://wilkinsmedia.app.box.com/file/1046464466742" TargetMode="External" Id="rId1515" /><Relationship Type="http://schemas.openxmlformats.org/officeDocument/2006/relationships/hyperlink" Target="https://wilkinsmedia.app.box.com/folder/178463385981" TargetMode="External" Id="rId1516" /><Relationship Type="http://schemas.openxmlformats.org/officeDocument/2006/relationships/hyperlink" Target="https://wilkinsmedia.app.box.com/file/1046464466742" TargetMode="External" Id="rId1517" /><Relationship Type="http://schemas.openxmlformats.org/officeDocument/2006/relationships/hyperlink" Target="https://wilkinsmedia.app.box.com/folder/178463385981" TargetMode="External" Id="rId1518" /><Relationship Type="http://schemas.openxmlformats.org/officeDocument/2006/relationships/hyperlink" Target="https://wilkinsmedia.app.box.com/file/1046464466742" TargetMode="External" Id="rId1519" /><Relationship Type="http://schemas.openxmlformats.org/officeDocument/2006/relationships/hyperlink" Target="https://wilkinsmedia.app.box.com/folder/178463385981" TargetMode="External" Id="rId1520" /><Relationship Type="http://schemas.openxmlformats.org/officeDocument/2006/relationships/hyperlink" Target="https://wilkinsmedia.app.box.com/file/1046464466742" TargetMode="External" Id="rId1521" /><Relationship Type="http://schemas.openxmlformats.org/officeDocument/2006/relationships/hyperlink" Target="https://wilkinsmedia.app.box.com/folder/178463385981" TargetMode="External" Id="rId1522" /><Relationship Type="http://schemas.openxmlformats.org/officeDocument/2006/relationships/hyperlink" Target="https://wilkinsmedia.app.box.com/file/1046464466742" TargetMode="External" Id="rId1523" /><Relationship Type="http://schemas.openxmlformats.org/officeDocument/2006/relationships/hyperlink" Target="https://wilkinsmedia.app.box.com/folder/178463385981" TargetMode="External" Id="rId1524" /><Relationship Type="http://schemas.openxmlformats.org/officeDocument/2006/relationships/hyperlink" Target="https://wilkinsmedia.app.box.com/file/1046464466742" TargetMode="External" Id="rId1525" /><Relationship Type="http://schemas.openxmlformats.org/officeDocument/2006/relationships/hyperlink" Target="https://wilkinsmedia.app.box.com/folder/178463385981" TargetMode="External" Id="rId1526" /><Relationship Type="http://schemas.openxmlformats.org/officeDocument/2006/relationships/hyperlink" Target="https://wilkinsmedia.app.box.com/file/1046464466742" TargetMode="External" Id="rId1527" /><Relationship Type="http://schemas.openxmlformats.org/officeDocument/2006/relationships/hyperlink" Target="https://wilkinsmedia.app.box.com/folder/178463385981" TargetMode="External" Id="rId1528" /><Relationship Type="http://schemas.openxmlformats.org/officeDocument/2006/relationships/hyperlink" Target="https://wilkinsmedia.app.box.com/file/1046464466742" TargetMode="External" Id="rId1529" /><Relationship Type="http://schemas.openxmlformats.org/officeDocument/2006/relationships/hyperlink" Target="https://wilkinsmedia.app.box.com/folder/178463385981" TargetMode="External" Id="rId1530" /><Relationship Type="http://schemas.openxmlformats.org/officeDocument/2006/relationships/hyperlink" Target="https://wilkinsmedia.app.box.com/file/1046464466742" TargetMode="External" Id="rId1531" /><Relationship Type="http://schemas.openxmlformats.org/officeDocument/2006/relationships/hyperlink" Target="https://wilkinsmedia.app.box.com/folder/178463385981" TargetMode="External" Id="rId1532" /><Relationship Type="http://schemas.openxmlformats.org/officeDocument/2006/relationships/hyperlink" Target="https://wilkinsmedia.app.box.com/file/1953170298742" TargetMode="External" Id="rId1533" /><Relationship Type="http://schemas.openxmlformats.org/officeDocument/2006/relationships/hyperlink" Target="https://wilkinsmedia.app.box.com/folder/180140719264" TargetMode="External" Id="rId1534" /><Relationship Type="http://schemas.openxmlformats.org/officeDocument/2006/relationships/hyperlink" Target="https://wilkinsmedia.app.box.com/file/1953170298742" TargetMode="External" Id="rId1535" /><Relationship Type="http://schemas.openxmlformats.org/officeDocument/2006/relationships/hyperlink" Target="https://wilkinsmedia.app.box.com/folder/180140719264" TargetMode="External" Id="rId1536" /><Relationship Type="http://schemas.openxmlformats.org/officeDocument/2006/relationships/hyperlink" Target="https://wilkinsmedia.app.box.com/file/1953170298742" TargetMode="External" Id="rId1537" /><Relationship Type="http://schemas.openxmlformats.org/officeDocument/2006/relationships/hyperlink" Target="https://wilkinsmedia.app.box.com/folder/180140719264" TargetMode="External" Id="rId1538" /><Relationship Type="http://schemas.openxmlformats.org/officeDocument/2006/relationships/hyperlink" Target="https://wilkinsmedia.app.box.com/file/1953170298742" TargetMode="External" Id="rId1539" /><Relationship Type="http://schemas.openxmlformats.org/officeDocument/2006/relationships/hyperlink" Target="https://wilkinsmedia.app.box.com/folder/180140719264" TargetMode="External" Id="rId1540" /><Relationship Type="http://schemas.openxmlformats.org/officeDocument/2006/relationships/hyperlink" Target="https://wilkinsmedia.app.box.com/file/1953170298742" TargetMode="External" Id="rId1541" /><Relationship Type="http://schemas.openxmlformats.org/officeDocument/2006/relationships/hyperlink" Target="https://wilkinsmedia.app.box.com/folder/180140719264" TargetMode="External" Id="rId1542" /><Relationship Type="http://schemas.openxmlformats.org/officeDocument/2006/relationships/hyperlink" Target="https://wilkinsmedia.app.box.com/file/1953170298742" TargetMode="External" Id="rId1543" /><Relationship Type="http://schemas.openxmlformats.org/officeDocument/2006/relationships/hyperlink" Target="https://wilkinsmedia.app.box.com/folder/180140719264" TargetMode="External" Id="rId1544" /><Relationship Type="http://schemas.openxmlformats.org/officeDocument/2006/relationships/hyperlink" Target="https://wilkinsmedia.app.box.com/file/1953170298742" TargetMode="External" Id="rId1545" /><Relationship Type="http://schemas.openxmlformats.org/officeDocument/2006/relationships/hyperlink" Target="https://wilkinsmedia.app.box.com/folder/180140719264" TargetMode="External" Id="rId1546" /><Relationship Type="http://schemas.openxmlformats.org/officeDocument/2006/relationships/hyperlink" Target="https://wilkinsmedia.app.box.com/file/1953170298742" TargetMode="External" Id="rId1547" /><Relationship Type="http://schemas.openxmlformats.org/officeDocument/2006/relationships/hyperlink" Target="https://wilkinsmedia.app.box.com/folder/180140719264" TargetMode="External" Id="rId1548" /><Relationship Type="http://schemas.openxmlformats.org/officeDocument/2006/relationships/hyperlink" Target="https://wilkinsmedia.app.box.com/file/1953170298742" TargetMode="External" Id="rId1549" /><Relationship Type="http://schemas.openxmlformats.org/officeDocument/2006/relationships/hyperlink" Target="https://wilkinsmedia.app.box.com/folder/180140719264" TargetMode="External" Id="rId1550" /><Relationship Type="http://schemas.openxmlformats.org/officeDocument/2006/relationships/hyperlink" Target="https://wilkinsmedia.app.box.com/file/1953170298742" TargetMode="External" Id="rId1551" /><Relationship Type="http://schemas.openxmlformats.org/officeDocument/2006/relationships/hyperlink" Target="https://wilkinsmedia.app.box.com/folder/180140719264" TargetMode="External" Id="rId1552" /><Relationship Type="http://schemas.openxmlformats.org/officeDocument/2006/relationships/hyperlink" Target="https://wilkinsmedia.app.box.com/file/1953170298742" TargetMode="External" Id="rId1553" /><Relationship Type="http://schemas.openxmlformats.org/officeDocument/2006/relationships/hyperlink" Target="https://wilkinsmedia.app.box.com/folder/180140719264" TargetMode="External" Id="rId1554" /><Relationship Type="http://schemas.openxmlformats.org/officeDocument/2006/relationships/hyperlink" Target="https://wilkinsmedia.app.box.com/file/1953170298742" TargetMode="External" Id="rId1555" /><Relationship Type="http://schemas.openxmlformats.org/officeDocument/2006/relationships/hyperlink" Target="https://wilkinsmedia.app.box.com/folder/180140719264" TargetMode="External" Id="rId1556" /><Relationship Type="http://schemas.openxmlformats.org/officeDocument/2006/relationships/hyperlink" Target="https://wilkinsmedia.app.box.com/file/1953170298742" TargetMode="External" Id="rId1557" /><Relationship Type="http://schemas.openxmlformats.org/officeDocument/2006/relationships/hyperlink" Target="https://wilkinsmedia.app.box.com/folder/180140719264" TargetMode="External" Id="rId1558" /><Relationship Type="http://schemas.openxmlformats.org/officeDocument/2006/relationships/hyperlink" Target="https://wilkinsmedia.app.box.com/file/1953170298742" TargetMode="External" Id="rId1559" /><Relationship Type="http://schemas.openxmlformats.org/officeDocument/2006/relationships/hyperlink" Target="https://wilkinsmedia.app.box.com/folder/180140719264" TargetMode="External" Id="rId1560" /><Relationship Type="http://schemas.openxmlformats.org/officeDocument/2006/relationships/hyperlink" Target="https://wilkinsmedia.app.box.com/file/1953170298742" TargetMode="External" Id="rId1561" /><Relationship Type="http://schemas.openxmlformats.org/officeDocument/2006/relationships/hyperlink" Target="https://wilkinsmedia.app.box.com/folder/180140719264" TargetMode="External" Id="rId1562" /><Relationship Type="http://schemas.openxmlformats.org/officeDocument/2006/relationships/hyperlink" Target="https://wilkinsmedia.app.box.com/file/1953170298742" TargetMode="External" Id="rId1563" /><Relationship Type="http://schemas.openxmlformats.org/officeDocument/2006/relationships/hyperlink" Target="https://wilkinsmedia.app.box.com/folder/180140719264" TargetMode="External" Id="rId1564" /><Relationship Type="http://schemas.openxmlformats.org/officeDocument/2006/relationships/hyperlink" Target="https://wilkinsmedia.app.box.com/file/1953170298742" TargetMode="External" Id="rId1565" /><Relationship Type="http://schemas.openxmlformats.org/officeDocument/2006/relationships/hyperlink" Target="https://wilkinsmedia.app.box.com/folder/180140719264" TargetMode="External" Id="rId1566" /><Relationship Type="http://schemas.openxmlformats.org/officeDocument/2006/relationships/hyperlink" Target="https://wilkinsmedia.app.box.com/file/1953170298742" TargetMode="External" Id="rId1567" /><Relationship Type="http://schemas.openxmlformats.org/officeDocument/2006/relationships/hyperlink" Target="https://wilkinsmedia.app.box.com/folder/180140719264" TargetMode="External" Id="rId1568" /><Relationship Type="http://schemas.openxmlformats.org/officeDocument/2006/relationships/hyperlink" Target="https://wilkinsmedia.app.box.com/file/1953170298742" TargetMode="External" Id="rId1569" /><Relationship Type="http://schemas.openxmlformats.org/officeDocument/2006/relationships/hyperlink" Target="https://wilkinsmedia.app.box.com/folder/180140719264" TargetMode="External" Id="rId1570" /><Relationship Type="http://schemas.openxmlformats.org/officeDocument/2006/relationships/hyperlink" Target="https://wilkinsmedia.app.box.com/file/1953170298742" TargetMode="External" Id="rId1571" /><Relationship Type="http://schemas.openxmlformats.org/officeDocument/2006/relationships/hyperlink" Target="https://wilkinsmedia.app.box.com/folder/180140719264" TargetMode="External" Id="rId1572" /><Relationship Type="http://schemas.openxmlformats.org/officeDocument/2006/relationships/hyperlink" Target="https://wilkinsmedia.app.box.com/file/1953170298742" TargetMode="External" Id="rId1573" /><Relationship Type="http://schemas.openxmlformats.org/officeDocument/2006/relationships/hyperlink" Target="https://wilkinsmedia.app.box.com/folder/180140719264" TargetMode="External" Id="rId1574" /><Relationship Type="http://schemas.openxmlformats.org/officeDocument/2006/relationships/hyperlink" Target="https://wilkinsmedia.app.box.com/file/1953170298742" TargetMode="External" Id="rId1575" /><Relationship Type="http://schemas.openxmlformats.org/officeDocument/2006/relationships/hyperlink" Target="https://wilkinsmedia.app.box.com/folder/180140719264" TargetMode="External" Id="rId1576" /><Relationship Type="http://schemas.openxmlformats.org/officeDocument/2006/relationships/hyperlink" Target="https://wilkinsmedia.app.box.com/file/1953170298742" TargetMode="External" Id="rId1577" /><Relationship Type="http://schemas.openxmlformats.org/officeDocument/2006/relationships/hyperlink" Target="https://wilkinsmedia.app.box.com/folder/180140719264" TargetMode="External" Id="rId1578" /><Relationship Type="http://schemas.openxmlformats.org/officeDocument/2006/relationships/hyperlink" Target="https://wilkinsmedia.app.box.com/file/1953170298742" TargetMode="External" Id="rId1579" /><Relationship Type="http://schemas.openxmlformats.org/officeDocument/2006/relationships/hyperlink" Target="https://wilkinsmedia.app.box.com/folder/180140719264" TargetMode="External" Id="rId1580" /><Relationship Type="http://schemas.openxmlformats.org/officeDocument/2006/relationships/hyperlink" Target="https://wilkinsmedia.app.box.com/file/1953170298742" TargetMode="External" Id="rId1581" /><Relationship Type="http://schemas.openxmlformats.org/officeDocument/2006/relationships/hyperlink" Target="https://wilkinsmedia.app.box.com/folder/180140719264" TargetMode="External" Id="rId1582" /><Relationship Type="http://schemas.openxmlformats.org/officeDocument/2006/relationships/hyperlink" Target="https://wilkinsmedia.app.box.com/file/1953170298742" TargetMode="External" Id="rId1583" /><Relationship Type="http://schemas.openxmlformats.org/officeDocument/2006/relationships/hyperlink" Target="https://wilkinsmedia.app.box.com/folder/180140719264" TargetMode="External" Id="rId1584" /><Relationship Type="http://schemas.openxmlformats.org/officeDocument/2006/relationships/hyperlink" Target="https://wilkinsmedia.app.box.com/file/1953170298742" TargetMode="External" Id="rId1585" /><Relationship Type="http://schemas.openxmlformats.org/officeDocument/2006/relationships/hyperlink" Target="https://wilkinsmedia.app.box.com/folder/180140719264" TargetMode="External" Id="rId1586" /><Relationship Type="http://schemas.openxmlformats.org/officeDocument/2006/relationships/hyperlink" Target="https://wilkinsmedia.app.box.com/file/1953170298742" TargetMode="External" Id="rId1587" /><Relationship Type="http://schemas.openxmlformats.org/officeDocument/2006/relationships/hyperlink" Target="https://wilkinsmedia.app.box.com/folder/180140719264" TargetMode="External" Id="rId1588" /><Relationship Type="http://schemas.openxmlformats.org/officeDocument/2006/relationships/hyperlink" Target="https://wilkinsmedia.app.box.com/file/1953170298742" TargetMode="External" Id="rId1589" /><Relationship Type="http://schemas.openxmlformats.org/officeDocument/2006/relationships/hyperlink" Target="https://wilkinsmedia.app.box.com/folder/180140719264" TargetMode="External" Id="rId1590" /><Relationship Type="http://schemas.openxmlformats.org/officeDocument/2006/relationships/hyperlink" Target="https://wilkinsmedia.app.box.com/file/1953170298742" TargetMode="External" Id="rId1591" /><Relationship Type="http://schemas.openxmlformats.org/officeDocument/2006/relationships/hyperlink" Target="https://wilkinsmedia.app.box.com/folder/180140719264" TargetMode="External" Id="rId1592" /><Relationship Type="http://schemas.openxmlformats.org/officeDocument/2006/relationships/hyperlink" Target="https://wilkinsmedia.app.box.com/file/1953170298742" TargetMode="External" Id="rId1593" /><Relationship Type="http://schemas.openxmlformats.org/officeDocument/2006/relationships/hyperlink" Target="https://wilkinsmedia.app.box.com/folder/180140719264" TargetMode="External" Id="rId1594" /><Relationship Type="http://schemas.openxmlformats.org/officeDocument/2006/relationships/hyperlink" Target="https://wilkinsmedia.app.box.com/file/1953170298742" TargetMode="External" Id="rId1595" /><Relationship Type="http://schemas.openxmlformats.org/officeDocument/2006/relationships/hyperlink" Target="https://wilkinsmedia.app.box.com/folder/180140719264" TargetMode="External" Id="rId1596" /><Relationship Type="http://schemas.openxmlformats.org/officeDocument/2006/relationships/hyperlink" Target="https://wilkinsmedia.app.box.com/file/1953170298742" TargetMode="External" Id="rId1597" /><Relationship Type="http://schemas.openxmlformats.org/officeDocument/2006/relationships/hyperlink" Target="https://wilkinsmedia.app.box.com/folder/180140719264" TargetMode="External" Id="rId1598" /><Relationship Type="http://schemas.openxmlformats.org/officeDocument/2006/relationships/hyperlink" Target="https://wilkinsmedia.app.box.com/file/1953170298742" TargetMode="External" Id="rId1599" /><Relationship Type="http://schemas.openxmlformats.org/officeDocument/2006/relationships/hyperlink" Target="https://wilkinsmedia.app.box.com/folder/180140719264" TargetMode="External" Id="rId1600" /><Relationship Type="http://schemas.openxmlformats.org/officeDocument/2006/relationships/hyperlink" Target="https://wilkinsmedia.app.box.com/file/1953170298742" TargetMode="External" Id="rId1601" /><Relationship Type="http://schemas.openxmlformats.org/officeDocument/2006/relationships/hyperlink" Target="https://wilkinsmedia.app.box.com/folder/180140719264" TargetMode="External" Id="rId1602" /><Relationship Type="http://schemas.openxmlformats.org/officeDocument/2006/relationships/hyperlink" Target="https://wilkinsmedia.app.box.com/file/1953170298742" TargetMode="External" Id="rId1603" /><Relationship Type="http://schemas.openxmlformats.org/officeDocument/2006/relationships/hyperlink" Target="https://wilkinsmedia.app.box.com/folder/180140719264" TargetMode="External" Id="rId1604" /><Relationship Type="http://schemas.openxmlformats.org/officeDocument/2006/relationships/hyperlink" Target="https://wilkinsmedia.app.box.com/file/1953170298742" TargetMode="External" Id="rId1605" /><Relationship Type="http://schemas.openxmlformats.org/officeDocument/2006/relationships/hyperlink" Target="https://wilkinsmedia.app.box.com/folder/180140719264" TargetMode="External" Id="rId1606" /><Relationship Type="http://schemas.openxmlformats.org/officeDocument/2006/relationships/hyperlink" Target="https://wilkinsmedia.app.box.com/file/1953170298742" TargetMode="External" Id="rId1607" /><Relationship Type="http://schemas.openxmlformats.org/officeDocument/2006/relationships/hyperlink" Target="https://wilkinsmedia.app.box.com/folder/180140719264" TargetMode="External" Id="rId1608" /><Relationship Type="http://schemas.openxmlformats.org/officeDocument/2006/relationships/hyperlink" Target="https://wilkinsmedia.app.box.com/file/1953170298742" TargetMode="External" Id="rId1609" /><Relationship Type="http://schemas.openxmlformats.org/officeDocument/2006/relationships/hyperlink" Target="https://wilkinsmedia.app.box.com/folder/180140719264" TargetMode="External" Id="rId1610" /><Relationship Type="http://schemas.openxmlformats.org/officeDocument/2006/relationships/hyperlink" Target="https://wilkinsmedia.app.box.com/file/1953170298742" TargetMode="External" Id="rId1611" /><Relationship Type="http://schemas.openxmlformats.org/officeDocument/2006/relationships/hyperlink" Target="https://wilkinsmedia.app.box.com/folder/180140719264" TargetMode="External" Id="rId1612" /><Relationship Type="http://schemas.openxmlformats.org/officeDocument/2006/relationships/hyperlink" Target="https://wilkinsmedia.app.box.com/file/1953170298742" TargetMode="External" Id="rId1613" /><Relationship Type="http://schemas.openxmlformats.org/officeDocument/2006/relationships/hyperlink" Target="https://wilkinsmedia.app.box.com/folder/180140719264" TargetMode="External" Id="rId1614" /><Relationship Type="http://schemas.openxmlformats.org/officeDocument/2006/relationships/hyperlink" Target="https://wilkinsmedia.app.box.com/file/1953170298742" TargetMode="External" Id="rId1615" /><Relationship Type="http://schemas.openxmlformats.org/officeDocument/2006/relationships/hyperlink" Target="https://wilkinsmedia.app.box.com/folder/180140719264" TargetMode="External" Id="rId1616" /><Relationship Type="http://schemas.openxmlformats.org/officeDocument/2006/relationships/hyperlink" Target="https://wilkinsmedia.app.box.com/file/1953170298742" TargetMode="External" Id="rId1617" /><Relationship Type="http://schemas.openxmlformats.org/officeDocument/2006/relationships/hyperlink" Target="https://wilkinsmedia.app.box.com/folder/180140719264" TargetMode="External" Id="rId1618" /><Relationship Type="http://schemas.openxmlformats.org/officeDocument/2006/relationships/hyperlink" Target="https://wilkinsmedia.app.box.com/file/1953170298742" TargetMode="External" Id="rId1619" /><Relationship Type="http://schemas.openxmlformats.org/officeDocument/2006/relationships/hyperlink" Target="https://wilkinsmedia.app.box.com/folder/180140719264" TargetMode="External" Id="rId1620" /><Relationship Type="http://schemas.openxmlformats.org/officeDocument/2006/relationships/hyperlink" Target="https://wilkinsmedia.app.box.com/file/1953170298742" TargetMode="External" Id="rId1621" /><Relationship Type="http://schemas.openxmlformats.org/officeDocument/2006/relationships/hyperlink" Target="https://wilkinsmedia.app.box.com/folder/180140719264" TargetMode="External" Id="rId1622" /><Relationship Type="http://schemas.openxmlformats.org/officeDocument/2006/relationships/hyperlink" Target="https://wilkinsmedia.app.box.com/file/1953170298742" TargetMode="External" Id="rId1623" /><Relationship Type="http://schemas.openxmlformats.org/officeDocument/2006/relationships/hyperlink" Target="https://wilkinsmedia.app.box.com/folder/180140719264" TargetMode="External" Id="rId1624" /><Relationship Type="http://schemas.openxmlformats.org/officeDocument/2006/relationships/hyperlink" Target="https://wilkinsmedia.app.box.com/file/1953170298742" TargetMode="External" Id="rId1625" /><Relationship Type="http://schemas.openxmlformats.org/officeDocument/2006/relationships/hyperlink" Target="https://wilkinsmedia.app.box.com/folder/180140719264" TargetMode="External" Id="rId1626" /><Relationship Type="http://schemas.openxmlformats.org/officeDocument/2006/relationships/hyperlink" Target="https://wilkinsmedia.app.box.com/file/1953170298742" TargetMode="External" Id="rId1627" /><Relationship Type="http://schemas.openxmlformats.org/officeDocument/2006/relationships/hyperlink" Target="https://wilkinsmedia.app.box.com/folder/180140719264" TargetMode="External" Id="rId1628" /><Relationship Type="http://schemas.openxmlformats.org/officeDocument/2006/relationships/hyperlink" Target="https://wilkinsmedia.app.box.com/file/1953170298742" TargetMode="External" Id="rId1629" /><Relationship Type="http://schemas.openxmlformats.org/officeDocument/2006/relationships/hyperlink" Target="https://wilkinsmedia.app.box.com/folder/180140719264" TargetMode="External" Id="rId1630" /><Relationship Type="http://schemas.openxmlformats.org/officeDocument/2006/relationships/hyperlink" Target="https://wilkinsmedia.app.box.com/file/1953170298742" TargetMode="External" Id="rId1631" /><Relationship Type="http://schemas.openxmlformats.org/officeDocument/2006/relationships/hyperlink" Target="https://wilkinsmedia.app.box.com/folder/180140719264" TargetMode="External" Id="rId1632" /><Relationship Type="http://schemas.openxmlformats.org/officeDocument/2006/relationships/hyperlink" Target="https://wilkinsmedia.app.box.com/file/1953170298742" TargetMode="External" Id="rId1633" /><Relationship Type="http://schemas.openxmlformats.org/officeDocument/2006/relationships/hyperlink" Target="https://wilkinsmedia.app.box.com/folder/180140719264" TargetMode="External" Id="rId1634" /><Relationship Type="http://schemas.openxmlformats.org/officeDocument/2006/relationships/hyperlink" Target="https://wilkinsmedia.app.box.com/file/1953170298742" TargetMode="External" Id="rId1635" /><Relationship Type="http://schemas.openxmlformats.org/officeDocument/2006/relationships/hyperlink" Target="https://wilkinsmedia.app.box.com/folder/180140719264" TargetMode="External" Id="rId1636" /><Relationship Type="http://schemas.openxmlformats.org/officeDocument/2006/relationships/hyperlink" Target="https://wilkinsmedia.app.box.com/file/1953170298742" TargetMode="External" Id="rId1637" /><Relationship Type="http://schemas.openxmlformats.org/officeDocument/2006/relationships/hyperlink" Target="https://wilkinsmedia.app.box.com/folder/180140719264" TargetMode="External" Id="rId1638" /><Relationship Type="http://schemas.openxmlformats.org/officeDocument/2006/relationships/hyperlink" Target="https://wilkinsmedia.app.box.com/file/1953170298742" TargetMode="External" Id="rId1639" /><Relationship Type="http://schemas.openxmlformats.org/officeDocument/2006/relationships/hyperlink" Target="https://wilkinsmedia.app.box.com/folder/180140719264" TargetMode="External" Id="rId1640" /><Relationship Type="http://schemas.openxmlformats.org/officeDocument/2006/relationships/hyperlink" Target="https://wilkinsmedia.app.box.com/file/1953170298742" TargetMode="External" Id="rId1641" /><Relationship Type="http://schemas.openxmlformats.org/officeDocument/2006/relationships/hyperlink" Target="https://wilkinsmedia.app.box.com/folder/180140719264" TargetMode="External" Id="rId1642" /><Relationship Type="http://schemas.openxmlformats.org/officeDocument/2006/relationships/hyperlink" Target="https://wilkinsmedia.app.box.com/file/1953170298742" TargetMode="External" Id="rId1643" /><Relationship Type="http://schemas.openxmlformats.org/officeDocument/2006/relationships/hyperlink" Target="https://wilkinsmedia.app.box.com/folder/180140719264" TargetMode="External" Id="rId1644" /><Relationship Type="http://schemas.openxmlformats.org/officeDocument/2006/relationships/hyperlink" Target="https://wilkinsmedia.app.box.com/file/1953170298742" TargetMode="External" Id="rId1645" /><Relationship Type="http://schemas.openxmlformats.org/officeDocument/2006/relationships/hyperlink" Target="https://wilkinsmedia.app.box.com/folder/180140719264" TargetMode="External" Id="rId1646" /><Relationship Type="http://schemas.openxmlformats.org/officeDocument/2006/relationships/hyperlink" Target="https://wilkinsmedia.app.box.com/file/1953170298742" TargetMode="External" Id="rId1647" /><Relationship Type="http://schemas.openxmlformats.org/officeDocument/2006/relationships/hyperlink" Target="https://wilkinsmedia.app.box.com/folder/180140719264" TargetMode="External" Id="rId1648" /><Relationship Type="http://schemas.openxmlformats.org/officeDocument/2006/relationships/hyperlink" Target="https://wilkinsmedia.app.box.com/file/1953170298742" TargetMode="External" Id="rId1649" /><Relationship Type="http://schemas.openxmlformats.org/officeDocument/2006/relationships/hyperlink" Target="https://wilkinsmedia.app.box.com/folder/180140719264" TargetMode="External" Id="rId1650" /><Relationship Type="http://schemas.openxmlformats.org/officeDocument/2006/relationships/hyperlink" Target="https://wilkinsmedia.app.box.com/file/1953170298742" TargetMode="External" Id="rId1651" /><Relationship Type="http://schemas.openxmlformats.org/officeDocument/2006/relationships/hyperlink" Target="https://wilkinsmedia.app.box.com/folder/180140719264" TargetMode="External" Id="rId1652" /><Relationship Type="http://schemas.openxmlformats.org/officeDocument/2006/relationships/hyperlink" Target="https://wilkinsmedia.app.box.com/file/1953170298742" TargetMode="External" Id="rId1653" /><Relationship Type="http://schemas.openxmlformats.org/officeDocument/2006/relationships/hyperlink" Target="https://wilkinsmedia.app.box.com/folder/180140719264" TargetMode="External" Id="rId1654" /><Relationship Type="http://schemas.openxmlformats.org/officeDocument/2006/relationships/hyperlink" Target="https://wilkinsmedia.app.box.com/file/1953170298742" TargetMode="External" Id="rId1655" /><Relationship Type="http://schemas.openxmlformats.org/officeDocument/2006/relationships/hyperlink" Target="https://wilkinsmedia.app.box.com/folder/180140719264" TargetMode="External" Id="rId1656" /><Relationship Type="http://schemas.openxmlformats.org/officeDocument/2006/relationships/hyperlink" Target="https://wilkinsmedia.app.box.com/file/1953170298742" TargetMode="External" Id="rId1657" /><Relationship Type="http://schemas.openxmlformats.org/officeDocument/2006/relationships/hyperlink" Target="https://wilkinsmedia.app.box.com/folder/180140719264" TargetMode="External" Id="rId1658" /><Relationship Type="http://schemas.openxmlformats.org/officeDocument/2006/relationships/hyperlink" Target="https://wilkinsmedia.app.box.com/file/1953170298742" TargetMode="External" Id="rId1659" /><Relationship Type="http://schemas.openxmlformats.org/officeDocument/2006/relationships/hyperlink" Target="https://wilkinsmedia.app.box.com/folder/180140719264" TargetMode="External" Id="rId1660" /><Relationship Type="http://schemas.openxmlformats.org/officeDocument/2006/relationships/hyperlink" Target="https://wilkinsmedia.app.box.com/file/1953170298742" TargetMode="External" Id="rId1661" /><Relationship Type="http://schemas.openxmlformats.org/officeDocument/2006/relationships/hyperlink" Target="https://wilkinsmedia.app.box.com/folder/180140719264" TargetMode="External" Id="rId1662" /><Relationship Type="http://schemas.openxmlformats.org/officeDocument/2006/relationships/hyperlink" Target="https://wilkinsmedia.app.box.com/file/1953170298742" TargetMode="External" Id="rId1663" /><Relationship Type="http://schemas.openxmlformats.org/officeDocument/2006/relationships/hyperlink" Target="https://wilkinsmedia.app.box.com/folder/180140719264" TargetMode="External" Id="rId1664" /><Relationship Type="http://schemas.openxmlformats.org/officeDocument/2006/relationships/hyperlink" Target="https://wilkinsmedia.app.box.com/file/1953170298742" TargetMode="External" Id="rId1665" /><Relationship Type="http://schemas.openxmlformats.org/officeDocument/2006/relationships/hyperlink" Target="https://wilkinsmedia.app.box.com/folder/180140719264" TargetMode="External" Id="rId1666" /><Relationship Type="http://schemas.openxmlformats.org/officeDocument/2006/relationships/hyperlink" Target="https://wilkinsmedia.app.box.com/file/1856432296395" TargetMode="External" Id="rId1667" /><Relationship Type="http://schemas.openxmlformats.org/officeDocument/2006/relationships/hyperlink" Target="https://wilkinsmedia.app.box.com/folder/291224401434" TargetMode="External" Id="rId1668" /><Relationship Type="http://schemas.openxmlformats.org/officeDocument/2006/relationships/hyperlink" Target="https://wilkinsmedia.app.box.com/file/1856432296395" TargetMode="External" Id="rId1669" /><Relationship Type="http://schemas.openxmlformats.org/officeDocument/2006/relationships/hyperlink" Target="https://wilkinsmedia.app.box.com/folder/291224401434" TargetMode="External" Id="rId1670" /><Relationship Type="http://schemas.openxmlformats.org/officeDocument/2006/relationships/hyperlink" Target="https://wilkinsmedia.app.box.com/file/1856432296395" TargetMode="External" Id="rId1671" /><Relationship Type="http://schemas.openxmlformats.org/officeDocument/2006/relationships/hyperlink" Target="https://wilkinsmedia.app.box.com/folder/291224401434" TargetMode="External" Id="rId1672" /><Relationship Type="http://schemas.openxmlformats.org/officeDocument/2006/relationships/hyperlink" Target="https://wilkinsmedia.app.box.com/file/1856432296395" TargetMode="External" Id="rId1673" /><Relationship Type="http://schemas.openxmlformats.org/officeDocument/2006/relationships/hyperlink" Target="https://wilkinsmedia.app.box.com/folder/291224401434" TargetMode="External" Id="rId1674" /><Relationship Type="http://schemas.openxmlformats.org/officeDocument/2006/relationships/hyperlink" Target="https://wilkinsmedia.app.box.com/file/1856432296395" TargetMode="External" Id="rId1675" /><Relationship Type="http://schemas.openxmlformats.org/officeDocument/2006/relationships/hyperlink" Target="https://wilkinsmedia.app.box.com/folder/291224401434" TargetMode="External" Id="rId1676" /><Relationship Type="http://schemas.openxmlformats.org/officeDocument/2006/relationships/hyperlink" Target="https://wilkinsmedia.app.box.com/file/1856432296395" TargetMode="External" Id="rId1677" /><Relationship Type="http://schemas.openxmlformats.org/officeDocument/2006/relationships/hyperlink" Target="https://wilkinsmedia.app.box.com/folder/291224401434" TargetMode="External" Id="rId1678" /><Relationship Type="http://schemas.openxmlformats.org/officeDocument/2006/relationships/hyperlink" Target="https://wilkinsmedia.app.box.com/file/1856432296395" TargetMode="External" Id="rId1679" /><Relationship Type="http://schemas.openxmlformats.org/officeDocument/2006/relationships/hyperlink" Target="https://wilkinsmedia.app.box.com/folder/291224401434" TargetMode="External" Id="rId1680" /><Relationship Type="http://schemas.openxmlformats.org/officeDocument/2006/relationships/hyperlink" Target="https://wilkinsmedia.app.box.com/file/2169313813849" TargetMode="External" Id="rId1681" /><Relationship Type="http://schemas.openxmlformats.org/officeDocument/2006/relationships/hyperlink" Target="https://wilkinsmedia.app.box.com/folder/103641876058" TargetMode="External" Id="rId1682" /><Relationship Type="http://schemas.openxmlformats.org/officeDocument/2006/relationships/hyperlink" Target="https://wilkinsmedia.app.box.com/file/2169313813849" TargetMode="External" Id="rId1683" /><Relationship Type="http://schemas.openxmlformats.org/officeDocument/2006/relationships/hyperlink" Target="https://wilkinsmedia.app.box.com/folder/103641876058" TargetMode="External" Id="rId1684" /><Relationship Type="http://schemas.openxmlformats.org/officeDocument/2006/relationships/hyperlink" Target="https://wilkinsmedia.app.box.com/file/2169313813849" TargetMode="External" Id="rId1685" /><Relationship Type="http://schemas.openxmlformats.org/officeDocument/2006/relationships/hyperlink" Target="https://wilkinsmedia.app.box.com/folder/103641876058" TargetMode="External" Id="rId1686" /><Relationship Type="http://schemas.openxmlformats.org/officeDocument/2006/relationships/hyperlink" Target="https://wilkinsmedia.app.box.com/file/2169313813849" TargetMode="External" Id="rId1687" /><Relationship Type="http://schemas.openxmlformats.org/officeDocument/2006/relationships/hyperlink" Target="https://wilkinsmedia.app.box.com/folder/103641876058" TargetMode="External" Id="rId1688" /><Relationship Type="http://schemas.openxmlformats.org/officeDocument/2006/relationships/hyperlink" Target="https://wilkinsmedia.app.box.com/file/2169313813849" TargetMode="External" Id="rId1689" /><Relationship Type="http://schemas.openxmlformats.org/officeDocument/2006/relationships/hyperlink" Target="https://wilkinsmedia.app.box.com/folder/103641876058" TargetMode="External" Id="rId1690" /><Relationship Type="http://schemas.openxmlformats.org/officeDocument/2006/relationships/hyperlink" Target="https://wilkinsmedia.app.box.com/file/2169313813849" TargetMode="External" Id="rId1691" /><Relationship Type="http://schemas.openxmlformats.org/officeDocument/2006/relationships/hyperlink" Target="https://wilkinsmedia.app.box.com/folder/103641876058" TargetMode="External" Id="rId1692" /><Relationship Type="http://schemas.openxmlformats.org/officeDocument/2006/relationships/hyperlink" Target="https://wilkinsmedia.app.box.com/file/2169313813849" TargetMode="External" Id="rId1693" /><Relationship Type="http://schemas.openxmlformats.org/officeDocument/2006/relationships/hyperlink" Target="https://wilkinsmedia.app.box.com/folder/103641876058" TargetMode="External" Id="rId1694" /><Relationship Type="http://schemas.openxmlformats.org/officeDocument/2006/relationships/hyperlink" Target="https://wilkinsmedia.app.box.com/file/2169313813849" TargetMode="External" Id="rId1695" /><Relationship Type="http://schemas.openxmlformats.org/officeDocument/2006/relationships/hyperlink" Target="https://wilkinsmedia.app.box.com/folder/103641876058" TargetMode="External" Id="rId1696" /><Relationship Type="http://schemas.openxmlformats.org/officeDocument/2006/relationships/hyperlink" Target="https://wilkinsmedia.app.box.com/file/2169313813849" TargetMode="External" Id="rId1697" /><Relationship Type="http://schemas.openxmlformats.org/officeDocument/2006/relationships/hyperlink" Target="https://wilkinsmedia.app.box.com/folder/103641876058" TargetMode="External" Id="rId1698" /><Relationship Type="http://schemas.openxmlformats.org/officeDocument/2006/relationships/hyperlink" Target="https://wilkinsmedia.app.box.com/file/2169313813849" TargetMode="External" Id="rId1699" /><Relationship Type="http://schemas.openxmlformats.org/officeDocument/2006/relationships/hyperlink" Target="https://wilkinsmedia.app.box.com/folder/103641876058" TargetMode="External" Id="rId1700" /><Relationship Type="http://schemas.openxmlformats.org/officeDocument/2006/relationships/hyperlink" Target="https://wilkinsmedia.app.box.com/file/2169313813849" TargetMode="External" Id="rId1701" /><Relationship Type="http://schemas.openxmlformats.org/officeDocument/2006/relationships/hyperlink" Target="https://wilkinsmedia.app.box.com/folder/103641876058" TargetMode="External" Id="rId1702" /><Relationship Type="http://schemas.openxmlformats.org/officeDocument/2006/relationships/hyperlink" Target="https://wilkinsmedia.app.box.com/file/2169313813849" TargetMode="External" Id="rId1703" /><Relationship Type="http://schemas.openxmlformats.org/officeDocument/2006/relationships/hyperlink" Target="https://wilkinsmedia.app.box.com/folder/103641876058" TargetMode="External" Id="rId1704" /><Relationship Type="http://schemas.openxmlformats.org/officeDocument/2006/relationships/hyperlink" Target="https://wilkinsmedia.app.box.com/file/2169313813849" TargetMode="External" Id="rId1705" /><Relationship Type="http://schemas.openxmlformats.org/officeDocument/2006/relationships/hyperlink" Target="https://wilkinsmedia.app.box.com/folder/103641876058" TargetMode="External" Id="rId1706" /><Relationship Type="http://schemas.openxmlformats.org/officeDocument/2006/relationships/hyperlink" Target="https://wilkinsmedia.app.box.com/file/2169313813849" TargetMode="External" Id="rId1707" /><Relationship Type="http://schemas.openxmlformats.org/officeDocument/2006/relationships/hyperlink" Target="https://wilkinsmedia.app.box.com/folder/103641876058" TargetMode="External" Id="rId1708" /><Relationship Type="http://schemas.openxmlformats.org/officeDocument/2006/relationships/hyperlink" Target="https://wilkinsmedia.app.box.com/file/2169313813849" TargetMode="External" Id="rId1709" /><Relationship Type="http://schemas.openxmlformats.org/officeDocument/2006/relationships/hyperlink" Target="https://wilkinsmedia.app.box.com/folder/103641876058" TargetMode="External" Id="rId1710" /><Relationship Type="http://schemas.openxmlformats.org/officeDocument/2006/relationships/hyperlink" Target="https://wilkinsmedia.app.box.com/file/2169313813849" TargetMode="External" Id="rId1711" /><Relationship Type="http://schemas.openxmlformats.org/officeDocument/2006/relationships/hyperlink" Target="https://wilkinsmedia.app.box.com/folder/103641876058" TargetMode="External" Id="rId1712" /><Relationship Type="http://schemas.openxmlformats.org/officeDocument/2006/relationships/hyperlink" Target="https://wilkinsmedia.app.box.com/file/2169313813849" TargetMode="External" Id="rId1713" /><Relationship Type="http://schemas.openxmlformats.org/officeDocument/2006/relationships/hyperlink" Target="https://wilkinsmedia.app.box.com/folder/103641876058" TargetMode="External" Id="rId1714" /><Relationship Type="http://schemas.openxmlformats.org/officeDocument/2006/relationships/hyperlink" Target="https://wilkinsmedia.app.box.com/file/2169313813849" TargetMode="External" Id="rId1715" /><Relationship Type="http://schemas.openxmlformats.org/officeDocument/2006/relationships/hyperlink" Target="https://wilkinsmedia.app.box.com/folder/103641876058" TargetMode="External" Id="rId1716" /><Relationship Type="http://schemas.openxmlformats.org/officeDocument/2006/relationships/hyperlink" Target="https://wilkinsmedia.app.box.com/file/2169313813849" TargetMode="External" Id="rId1717" /><Relationship Type="http://schemas.openxmlformats.org/officeDocument/2006/relationships/hyperlink" Target="https://wilkinsmedia.app.box.com/folder/103641876058" TargetMode="External" Id="rId1718" /><Relationship Type="http://schemas.openxmlformats.org/officeDocument/2006/relationships/hyperlink" Target="https://wilkinsmedia.app.box.com/file/2169313813849" TargetMode="External" Id="rId1719" /><Relationship Type="http://schemas.openxmlformats.org/officeDocument/2006/relationships/hyperlink" Target="https://wilkinsmedia.app.box.com/folder/103641876058" TargetMode="External" Id="rId1720" /><Relationship Type="http://schemas.openxmlformats.org/officeDocument/2006/relationships/hyperlink" Target="https://wilkinsmedia.app.box.com/file/2169313813849" TargetMode="External" Id="rId1721" /><Relationship Type="http://schemas.openxmlformats.org/officeDocument/2006/relationships/hyperlink" Target="https://wilkinsmedia.app.box.com/folder/103641876058" TargetMode="External" Id="rId1722" /><Relationship Type="http://schemas.openxmlformats.org/officeDocument/2006/relationships/hyperlink" Target="https://wilkinsmedia.app.box.com/file/2169313813849" TargetMode="External" Id="rId1723" /><Relationship Type="http://schemas.openxmlformats.org/officeDocument/2006/relationships/hyperlink" Target="https://wilkinsmedia.app.box.com/folder/103641876058" TargetMode="External" Id="rId1724" /><Relationship Type="http://schemas.openxmlformats.org/officeDocument/2006/relationships/hyperlink" Target="https://wilkinsmedia.app.box.com/file/2169313813849" TargetMode="External" Id="rId1725" /><Relationship Type="http://schemas.openxmlformats.org/officeDocument/2006/relationships/hyperlink" Target="https://wilkinsmedia.app.box.com/folder/103641876058" TargetMode="External" Id="rId1726" /><Relationship Type="http://schemas.openxmlformats.org/officeDocument/2006/relationships/hyperlink" Target="https://wilkinsmedia.app.box.com/file/2169313813849" TargetMode="External" Id="rId1727" /><Relationship Type="http://schemas.openxmlformats.org/officeDocument/2006/relationships/hyperlink" Target="https://wilkinsmedia.app.box.com/folder/103641876058" TargetMode="External" Id="rId1728" /><Relationship Type="http://schemas.openxmlformats.org/officeDocument/2006/relationships/hyperlink" Target="https://wilkinsmedia.app.box.com/file/2169313813849" TargetMode="External" Id="rId1729" /><Relationship Type="http://schemas.openxmlformats.org/officeDocument/2006/relationships/hyperlink" Target="https://wilkinsmedia.app.box.com/folder/103641876058" TargetMode="External" Id="rId1730" /><Relationship Type="http://schemas.openxmlformats.org/officeDocument/2006/relationships/hyperlink" Target="https://wilkinsmedia.app.box.com/file/2169313813849" TargetMode="External" Id="rId1731" /><Relationship Type="http://schemas.openxmlformats.org/officeDocument/2006/relationships/hyperlink" Target="https://wilkinsmedia.app.box.com/folder/103641876058" TargetMode="External" Id="rId1732" /><Relationship Type="http://schemas.openxmlformats.org/officeDocument/2006/relationships/hyperlink" Target="https://wilkinsmedia.app.box.com/file/2169313813849" TargetMode="External" Id="rId1733" /><Relationship Type="http://schemas.openxmlformats.org/officeDocument/2006/relationships/hyperlink" Target="https://wilkinsmedia.app.box.com/folder/103641876058" TargetMode="External" Id="rId1734" /><Relationship Type="http://schemas.openxmlformats.org/officeDocument/2006/relationships/hyperlink" Target="https://wilkinsmedia.app.box.com/file/2169313813849" TargetMode="External" Id="rId1735" /><Relationship Type="http://schemas.openxmlformats.org/officeDocument/2006/relationships/hyperlink" Target="https://wilkinsmedia.app.box.com/folder/103641876058" TargetMode="External" Id="rId1736" /><Relationship Type="http://schemas.openxmlformats.org/officeDocument/2006/relationships/hyperlink" Target="https://wilkinsmedia.app.box.com/file/2169313813849" TargetMode="External" Id="rId1737" /><Relationship Type="http://schemas.openxmlformats.org/officeDocument/2006/relationships/hyperlink" Target="https://wilkinsmedia.app.box.com/folder/103641876058" TargetMode="External" Id="rId1738" /><Relationship Type="http://schemas.openxmlformats.org/officeDocument/2006/relationships/hyperlink" Target="https://wilkinsmedia.app.box.com/file/2169313813849" TargetMode="External" Id="rId1739" /><Relationship Type="http://schemas.openxmlformats.org/officeDocument/2006/relationships/hyperlink" Target="https://wilkinsmedia.app.box.com/folder/103641876058" TargetMode="External" Id="rId1740" /><Relationship Type="http://schemas.openxmlformats.org/officeDocument/2006/relationships/hyperlink" Target="https://wilkinsmedia.app.box.com/file/2169313813849" TargetMode="External" Id="rId1741" /><Relationship Type="http://schemas.openxmlformats.org/officeDocument/2006/relationships/hyperlink" Target="https://wilkinsmedia.app.box.com/folder/103641876058" TargetMode="External" Id="rId1742" /><Relationship Type="http://schemas.openxmlformats.org/officeDocument/2006/relationships/hyperlink" Target="https://wilkinsmedia.app.box.com/file/2169313813849" TargetMode="External" Id="rId1743" /><Relationship Type="http://schemas.openxmlformats.org/officeDocument/2006/relationships/hyperlink" Target="https://wilkinsmedia.app.box.com/folder/103641876058" TargetMode="External" Id="rId1744" /><Relationship Type="http://schemas.openxmlformats.org/officeDocument/2006/relationships/hyperlink" Target="https://wilkinsmedia.app.box.com/file/2169313813849" TargetMode="External" Id="rId1745" /><Relationship Type="http://schemas.openxmlformats.org/officeDocument/2006/relationships/hyperlink" Target="https://wilkinsmedia.app.box.com/folder/103641876058" TargetMode="External" Id="rId1746" /><Relationship Type="http://schemas.openxmlformats.org/officeDocument/2006/relationships/hyperlink" Target="https://wilkinsmedia.app.box.com/file/2302690506721" TargetMode="External" Id="rId1747" /><Relationship Type="http://schemas.openxmlformats.org/officeDocument/2006/relationships/hyperlink" Target="https://wilkinsmedia.app.box.com/folder/91351393198" TargetMode="External" Id="rId1748" /><Relationship Type="http://schemas.openxmlformats.org/officeDocument/2006/relationships/hyperlink" Target="https://wilkinsmedia.app.box.com/file/2302690506721" TargetMode="External" Id="rId1749" /><Relationship Type="http://schemas.openxmlformats.org/officeDocument/2006/relationships/hyperlink" Target="https://wilkinsmedia.app.box.com/folder/91351393198" TargetMode="External" Id="rId1750" /><Relationship Type="http://schemas.openxmlformats.org/officeDocument/2006/relationships/hyperlink" Target="https://wilkinsmedia.app.box.com/file/2302690506721" TargetMode="External" Id="rId1751" /><Relationship Type="http://schemas.openxmlformats.org/officeDocument/2006/relationships/hyperlink" Target="https://wilkinsmedia.app.box.com/folder/91351393198" TargetMode="External" Id="rId1752" /><Relationship Type="http://schemas.openxmlformats.org/officeDocument/2006/relationships/hyperlink" Target="https://wilkinsmedia.app.box.com/file/2302690506721" TargetMode="External" Id="rId1753" /><Relationship Type="http://schemas.openxmlformats.org/officeDocument/2006/relationships/hyperlink" Target="https://wilkinsmedia.app.box.com/folder/91351393198" TargetMode="External" Id="rId1754" /><Relationship Type="http://schemas.openxmlformats.org/officeDocument/2006/relationships/hyperlink" Target="https://wilkinsmedia.app.box.com/file/2302690506721" TargetMode="External" Id="rId1755" /><Relationship Type="http://schemas.openxmlformats.org/officeDocument/2006/relationships/hyperlink" Target="https://wilkinsmedia.app.box.com/folder/91351393198" TargetMode="External" Id="rId1756" /><Relationship Type="http://schemas.openxmlformats.org/officeDocument/2006/relationships/hyperlink" Target="https://wilkinsmedia.app.box.com/file/2302690506721" TargetMode="External" Id="rId1757" /><Relationship Type="http://schemas.openxmlformats.org/officeDocument/2006/relationships/hyperlink" Target="https://wilkinsmedia.app.box.com/folder/91351393198" TargetMode="External" Id="rId1758" /><Relationship Type="http://schemas.openxmlformats.org/officeDocument/2006/relationships/hyperlink" Target="https://wilkinsmedia.app.box.com/file/2302690506721" TargetMode="External" Id="rId1759" /><Relationship Type="http://schemas.openxmlformats.org/officeDocument/2006/relationships/hyperlink" Target="https://wilkinsmedia.app.box.com/folder/91351393198" TargetMode="External" Id="rId1760" /><Relationship Type="http://schemas.openxmlformats.org/officeDocument/2006/relationships/hyperlink" Target="https://wilkinsmedia.app.box.com/file/2302690506721" TargetMode="External" Id="rId1761" /><Relationship Type="http://schemas.openxmlformats.org/officeDocument/2006/relationships/hyperlink" Target="https://wilkinsmedia.app.box.com/folder/91351393198" TargetMode="External" Id="rId1762" /><Relationship Type="http://schemas.openxmlformats.org/officeDocument/2006/relationships/hyperlink" Target="https://wilkinsmedia.app.box.com/file/2302690506721" TargetMode="External" Id="rId1763" /><Relationship Type="http://schemas.openxmlformats.org/officeDocument/2006/relationships/hyperlink" Target="https://wilkinsmedia.app.box.com/folder/91351393198" TargetMode="External" Id="rId1764" /><Relationship Type="http://schemas.openxmlformats.org/officeDocument/2006/relationships/hyperlink" Target="https://wilkinsmedia.app.box.com/file/2302690506721" TargetMode="External" Id="rId1765" /><Relationship Type="http://schemas.openxmlformats.org/officeDocument/2006/relationships/hyperlink" Target="https://wilkinsmedia.app.box.com/folder/91351393198" TargetMode="External" Id="rId1766" /><Relationship Type="http://schemas.openxmlformats.org/officeDocument/2006/relationships/hyperlink" Target="https://wilkinsmedia.app.box.com/file/2302690506721" TargetMode="External" Id="rId1767" /><Relationship Type="http://schemas.openxmlformats.org/officeDocument/2006/relationships/hyperlink" Target="https://wilkinsmedia.app.box.com/folder/91351393198" TargetMode="External" Id="rId1768" /><Relationship Type="http://schemas.openxmlformats.org/officeDocument/2006/relationships/hyperlink" Target="https://wilkinsmedia.app.box.com/file/2302690506721" TargetMode="External" Id="rId1769" /><Relationship Type="http://schemas.openxmlformats.org/officeDocument/2006/relationships/hyperlink" Target="https://wilkinsmedia.app.box.com/folder/91351393198" TargetMode="External" Id="rId1770" /><Relationship Type="http://schemas.openxmlformats.org/officeDocument/2006/relationships/hyperlink" Target="https://wilkinsmedia.app.box.com/file/2302690506721" TargetMode="External" Id="rId1771" /><Relationship Type="http://schemas.openxmlformats.org/officeDocument/2006/relationships/hyperlink" Target="https://wilkinsmedia.app.box.com/folder/91351393198" TargetMode="External" Id="rId1772" /><Relationship Type="http://schemas.openxmlformats.org/officeDocument/2006/relationships/hyperlink" Target="https://wilkinsmedia.app.box.com/file/2302690506721" TargetMode="External" Id="rId1773" /><Relationship Type="http://schemas.openxmlformats.org/officeDocument/2006/relationships/hyperlink" Target="https://wilkinsmedia.app.box.com/folder/91351393198" TargetMode="External" Id="rId1774" /><Relationship Type="http://schemas.openxmlformats.org/officeDocument/2006/relationships/hyperlink" Target="https://wilkinsmedia.app.box.com/file/2302690506721" TargetMode="External" Id="rId1775" /><Relationship Type="http://schemas.openxmlformats.org/officeDocument/2006/relationships/hyperlink" Target="https://wilkinsmedia.app.box.com/folder/91351393198" TargetMode="External" Id="rId1776" /><Relationship Type="http://schemas.openxmlformats.org/officeDocument/2006/relationships/hyperlink" Target="https://wilkinsmedia.app.box.com/file/2302690506721" TargetMode="External" Id="rId1777" /><Relationship Type="http://schemas.openxmlformats.org/officeDocument/2006/relationships/hyperlink" Target="https://wilkinsmedia.app.box.com/folder/91351393198" TargetMode="External" Id="rId1778" /><Relationship Type="http://schemas.openxmlformats.org/officeDocument/2006/relationships/hyperlink" Target="https://wilkinsmedia.app.box.com/file/2302690506721" TargetMode="External" Id="rId1779" /><Relationship Type="http://schemas.openxmlformats.org/officeDocument/2006/relationships/hyperlink" Target="https://wilkinsmedia.app.box.com/folder/91351393198" TargetMode="External" Id="rId1780" /><Relationship Type="http://schemas.openxmlformats.org/officeDocument/2006/relationships/hyperlink" Target="https://wilkinsmedia.app.box.com/file/2302690506721" TargetMode="External" Id="rId1781" /><Relationship Type="http://schemas.openxmlformats.org/officeDocument/2006/relationships/hyperlink" Target="https://wilkinsmedia.app.box.com/folder/91351393198" TargetMode="External" Id="rId1782" /><Relationship Type="http://schemas.openxmlformats.org/officeDocument/2006/relationships/hyperlink" Target="https://wilkinsmedia.app.box.com/file/2302690506721" TargetMode="External" Id="rId1783" /><Relationship Type="http://schemas.openxmlformats.org/officeDocument/2006/relationships/hyperlink" Target="https://wilkinsmedia.app.box.com/folder/91351393198" TargetMode="External" Id="rId1784" /><Relationship Type="http://schemas.openxmlformats.org/officeDocument/2006/relationships/hyperlink" Target="https://wilkinsmedia.app.box.com/file/2302690506721" TargetMode="External" Id="rId1785" /><Relationship Type="http://schemas.openxmlformats.org/officeDocument/2006/relationships/hyperlink" Target="https://wilkinsmedia.app.box.com/folder/91351393198" TargetMode="External" Id="rId1786" /><Relationship Type="http://schemas.openxmlformats.org/officeDocument/2006/relationships/hyperlink" Target="https://wilkinsmedia.app.box.com/file/2302690506721" TargetMode="External" Id="rId1787" /><Relationship Type="http://schemas.openxmlformats.org/officeDocument/2006/relationships/hyperlink" Target="https://wilkinsmedia.app.box.com/folder/91351393198" TargetMode="External" Id="rId1788" /><Relationship Type="http://schemas.openxmlformats.org/officeDocument/2006/relationships/hyperlink" Target="https://wilkinsmedia.app.box.com/file/2302690506721" TargetMode="External" Id="rId1789" /><Relationship Type="http://schemas.openxmlformats.org/officeDocument/2006/relationships/hyperlink" Target="https://wilkinsmedia.app.box.com/folder/91351393198" TargetMode="External" Id="rId1790" /><Relationship Type="http://schemas.openxmlformats.org/officeDocument/2006/relationships/hyperlink" Target="https://wilkinsmedia.app.box.com/file/2302690506721" TargetMode="External" Id="rId1791" /><Relationship Type="http://schemas.openxmlformats.org/officeDocument/2006/relationships/hyperlink" Target="https://wilkinsmedia.app.box.com/folder/91351393198" TargetMode="External" Id="rId1792" /><Relationship Type="http://schemas.openxmlformats.org/officeDocument/2006/relationships/hyperlink" Target="https://wilkinsmedia.app.box.com/file/2302690506721" TargetMode="External" Id="rId1793" /><Relationship Type="http://schemas.openxmlformats.org/officeDocument/2006/relationships/hyperlink" Target="https://wilkinsmedia.app.box.com/folder/91351393198" TargetMode="External" Id="rId1794" /><Relationship Type="http://schemas.openxmlformats.org/officeDocument/2006/relationships/hyperlink" Target="https://wilkinsmedia.app.box.com/file/2302690506721" TargetMode="External" Id="rId1795" /><Relationship Type="http://schemas.openxmlformats.org/officeDocument/2006/relationships/hyperlink" Target="https://wilkinsmedia.app.box.com/folder/91351393198" TargetMode="External" Id="rId1796" /><Relationship Type="http://schemas.openxmlformats.org/officeDocument/2006/relationships/hyperlink" Target="https://wilkinsmedia.app.box.com/file/2302690506721" TargetMode="External" Id="rId1797" /><Relationship Type="http://schemas.openxmlformats.org/officeDocument/2006/relationships/hyperlink" Target="https://wilkinsmedia.app.box.com/folder/91351393198" TargetMode="External" Id="rId1798" /><Relationship Type="http://schemas.openxmlformats.org/officeDocument/2006/relationships/hyperlink" Target="https://wilkinsmedia.app.box.com/file/2404657372674" TargetMode="External" Id="rId1799" /><Relationship Type="http://schemas.openxmlformats.org/officeDocument/2006/relationships/hyperlink" Target="https://wilkinsmedia.app.box.com/folder/355280931786" TargetMode="External" Id="rId1800" /><Relationship Type="http://schemas.openxmlformats.org/officeDocument/2006/relationships/hyperlink" Target="https://wilkinsmedia.app.box.com/file/2404657372674" TargetMode="External" Id="rId1801" /><Relationship Type="http://schemas.openxmlformats.org/officeDocument/2006/relationships/hyperlink" Target="https://wilkinsmedia.app.box.com/folder/355280931786" TargetMode="External" Id="rId1802" /><Relationship Type="http://schemas.openxmlformats.org/officeDocument/2006/relationships/hyperlink" Target="https://wilkinsmedia.app.box.com/file/2378961023686" TargetMode="External" Id="rId1803" /><Relationship Type="http://schemas.openxmlformats.org/officeDocument/2006/relationships/hyperlink" Target="https://wilkinsmedia.app.box.com/folder/178459914256" TargetMode="External" Id="rId1804" /><Relationship Type="http://schemas.openxmlformats.org/officeDocument/2006/relationships/hyperlink" Target="https://wilkinsmedia.app.box.com/file/2378961023686" TargetMode="External" Id="rId1805" /><Relationship Type="http://schemas.openxmlformats.org/officeDocument/2006/relationships/hyperlink" Target="https://wilkinsmedia.app.box.com/folder/178459914256" TargetMode="External" Id="rId1806" /><Relationship Type="http://schemas.openxmlformats.org/officeDocument/2006/relationships/hyperlink" Target="https://wilkinsmedia.app.box.com/file/2378961023686" TargetMode="External" Id="rId1807" /><Relationship Type="http://schemas.openxmlformats.org/officeDocument/2006/relationships/hyperlink" Target="https://wilkinsmedia.app.box.com/folder/178459914256" TargetMode="External" Id="rId1808" /><Relationship Type="http://schemas.openxmlformats.org/officeDocument/2006/relationships/hyperlink" Target="https://wilkinsmedia.app.box.com/file/2378961023686" TargetMode="External" Id="rId1809" /><Relationship Type="http://schemas.openxmlformats.org/officeDocument/2006/relationships/hyperlink" Target="https://wilkinsmedia.app.box.com/folder/178459914256" TargetMode="External" Id="rId1810" /><Relationship Type="http://schemas.openxmlformats.org/officeDocument/2006/relationships/hyperlink" Target="https://wilkinsmedia.app.box.com/file/2378961023686" TargetMode="External" Id="rId1811" /><Relationship Type="http://schemas.openxmlformats.org/officeDocument/2006/relationships/hyperlink" Target="https://wilkinsmedia.app.box.com/folder/178459914256" TargetMode="External" Id="rId1812" /><Relationship Type="http://schemas.openxmlformats.org/officeDocument/2006/relationships/hyperlink" Target="https://wilkinsmedia.app.box.com/file/2378961023686" TargetMode="External" Id="rId1813" /><Relationship Type="http://schemas.openxmlformats.org/officeDocument/2006/relationships/hyperlink" Target="https://wilkinsmedia.app.box.com/folder/178459914256" TargetMode="External" Id="rId1814" /><Relationship Type="http://schemas.openxmlformats.org/officeDocument/2006/relationships/hyperlink" Target="https://wilkinsmedia.app.box.com/file/2378961023686" TargetMode="External" Id="rId1815" /><Relationship Type="http://schemas.openxmlformats.org/officeDocument/2006/relationships/hyperlink" Target="https://wilkinsmedia.app.box.com/folder/178459914256" TargetMode="External" Id="rId1816" /><Relationship Type="http://schemas.openxmlformats.org/officeDocument/2006/relationships/hyperlink" Target="https://wilkinsmedia.app.box.com/file/2378961023686" TargetMode="External" Id="rId1817" /><Relationship Type="http://schemas.openxmlformats.org/officeDocument/2006/relationships/hyperlink" Target="https://wilkinsmedia.app.box.com/folder/178459914256" TargetMode="External" Id="rId1818" /><Relationship Type="http://schemas.openxmlformats.org/officeDocument/2006/relationships/hyperlink" Target="https://wilkinsmedia.app.box.com/file/2378961023686" TargetMode="External" Id="rId1819" /><Relationship Type="http://schemas.openxmlformats.org/officeDocument/2006/relationships/hyperlink" Target="https://wilkinsmedia.app.box.com/folder/178459914256" TargetMode="External" Id="rId1820" /><Relationship Type="http://schemas.openxmlformats.org/officeDocument/2006/relationships/hyperlink" Target="https://wilkinsmedia.app.box.com/file/2378961023686" TargetMode="External" Id="rId1821" /><Relationship Type="http://schemas.openxmlformats.org/officeDocument/2006/relationships/hyperlink" Target="https://wilkinsmedia.app.box.com/folder/178459914256" TargetMode="External" Id="rId1822" /><Relationship Type="http://schemas.openxmlformats.org/officeDocument/2006/relationships/hyperlink" Target="https://wilkinsmedia.app.box.com/file/2311303135035" TargetMode="External" Id="rId1823" /><Relationship Type="http://schemas.openxmlformats.org/officeDocument/2006/relationships/hyperlink" Target="https://wilkinsmedia.app.box.com/folder/154075538279" TargetMode="External" Id="rId1824" /><Relationship Type="http://schemas.openxmlformats.org/officeDocument/2006/relationships/hyperlink" Target="https://wilkinsmedia.app.box.com/file/2311303135035" TargetMode="External" Id="rId1825" /><Relationship Type="http://schemas.openxmlformats.org/officeDocument/2006/relationships/hyperlink" Target="https://wilkinsmedia.app.box.com/folder/154075538279" TargetMode="External" Id="rId1826" /><Relationship Type="http://schemas.openxmlformats.org/officeDocument/2006/relationships/hyperlink" Target="https://wilkinsmedia.app.box.com/file/2311303135035" TargetMode="External" Id="rId1827" /><Relationship Type="http://schemas.openxmlformats.org/officeDocument/2006/relationships/hyperlink" Target="https://wilkinsmedia.app.box.com/folder/154075538279" TargetMode="External" Id="rId1828" /><Relationship Type="http://schemas.openxmlformats.org/officeDocument/2006/relationships/hyperlink" Target="https://wilkinsmedia.app.box.com/file/2311303135035" TargetMode="External" Id="rId1829" /><Relationship Type="http://schemas.openxmlformats.org/officeDocument/2006/relationships/hyperlink" Target="https://wilkinsmedia.app.box.com/folder/154075538279" TargetMode="External" Id="rId1830" /><Relationship Type="http://schemas.openxmlformats.org/officeDocument/2006/relationships/hyperlink" Target="https://wilkinsmedia.app.box.com/file/2311303135035" TargetMode="External" Id="rId1831" /><Relationship Type="http://schemas.openxmlformats.org/officeDocument/2006/relationships/hyperlink" Target="https://wilkinsmedia.app.box.com/folder/154075538279" TargetMode="External" Id="rId1832" /><Relationship Type="http://schemas.openxmlformats.org/officeDocument/2006/relationships/hyperlink" Target="https://wilkinsmedia.app.box.com/file/2311303135035" TargetMode="External" Id="rId1833" /><Relationship Type="http://schemas.openxmlformats.org/officeDocument/2006/relationships/hyperlink" Target="https://wilkinsmedia.app.box.com/folder/154075538279" TargetMode="External" Id="rId1834" /><Relationship Type="http://schemas.openxmlformats.org/officeDocument/2006/relationships/hyperlink" Target="https://wilkinsmedia.app.box.com/file/2311303135035" TargetMode="External" Id="rId1835" /><Relationship Type="http://schemas.openxmlformats.org/officeDocument/2006/relationships/hyperlink" Target="https://wilkinsmedia.app.box.com/folder/154075538279" TargetMode="External" Id="rId1836" /><Relationship Type="http://schemas.openxmlformats.org/officeDocument/2006/relationships/hyperlink" Target="https://wilkinsmedia.app.box.com/file/2311303135035" TargetMode="External" Id="rId1837" /><Relationship Type="http://schemas.openxmlformats.org/officeDocument/2006/relationships/hyperlink" Target="https://wilkinsmedia.app.box.com/folder/154075538279" TargetMode="External" Id="rId1838" /><Relationship Type="http://schemas.openxmlformats.org/officeDocument/2006/relationships/hyperlink" Target="https://wilkinsmedia.app.box.com/file/2311303135035" TargetMode="External" Id="rId1839" /><Relationship Type="http://schemas.openxmlformats.org/officeDocument/2006/relationships/hyperlink" Target="https://wilkinsmedia.app.box.com/folder/154075538279" TargetMode="External" Id="rId1840" /><Relationship Type="http://schemas.openxmlformats.org/officeDocument/2006/relationships/hyperlink" Target="https://wilkinsmedia.app.box.com/file/2458845004423" TargetMode="External" Id="rId1841" /><Relationship Type="http://schemas.openxmlformats.org/officeDocument/2006/relationships/hyperlink" Target="https://wilkinsmedia.app.box.com/folder/276383118327" TargetMode="External" Id="rId1842" /><Relationship Type="http://schemas.openxmlformats.org/officeDocument/2006/relationships/hyperlink" Target="https://wilkinsmedia.app.box.com/file/2458845004423" TargetMode="External" Id="rId1843" /><Relationship Type="http://schemas.openxmlformats.org/officeDocument/2006/relationships/hyperlink" Target="https://wilkinsmedia.app.box.com/folder/276383118327" TargetMode="External" Id="rId1844" /><Relationship Type="http://schemas.openxmlformats.org/officeDocument/2006/relationships/hyperlink" Target="https://wilkinsmedia.app.box.com/file/2458845004423" TargetMode="External" Id="rId1845" /><Relationship Type="http://schemas.openxmlformats.org/officeDocument/2006/relationships/hyperlink" Target="https://wilkinsmedia.app.box.com/folder/276383118327" TargetMode="External" Id="rId1846" /><Relationship Type="http://schemas.openxmlformats.org/officeDocument/2006/relationships/hyperlink" Target="https://wilkinsmedia.app.box.com/file/2458845004423" TargetMode="External" Id="rId1847" /><Relationship Type="http://schemas.openxmlformats.org/officeDocument/2006/relationships/hyperlink" Target="https://wilkinsmedia.app.box.com/folder/276383118327" TargetMode="External" Id="rId1848" /><Relationship Type="http://schemas.openxmlformats.org/officeDocument/2006/relationships/hyperlink" Target="https://wilkinsmedia.app.box.com/file/2458845004423" TargetMode="External" Id="rId1849" /><Relationship Type="http://schemas.openxmlformats.org/officeDocument/2006/relationships/hyperlink" Target="https://wilkinsmedia.app.box.com/folder/276383118327" TargetMode="External" Id="rId1850" /><Relationship Type="http://schemas.openxmlformats.org/officeDocument/2006/relationships/hyperlink" Target="https://wilkinsmedia.app.box.com/file/2458845004423" TargetMode="External" Id="rId1851" /><Relationship Type="http://schemas.openxmlformats.org/officeDocument/2006/relationships/hyperlink" Target="https://wilkinsmedia.app.box.com/folder/276383118327" TargetMode="External" Id="rId1852" /><Relationship Type="http://schemas.openxmlformats.org/officeDocument/2006/relationships/hyperlink" Target="https://wilkinsmedia.app.box.com/file/2458845004423" TargetMode="External" Id="rId1853" /><Relationship Type="http://schemas.openxmlformats.org/officeDocument/2006/relationships/hyperlink" Target="https://wilkinsmedia.app.box.com/folder/276383118327" TargetMode="External" Id="rId1854" /><Relationship Type="http://schemas.openxmlformats.org/officeDocument/2006/relationships/hyperlink" Target="https://wilkinsmedia.app.box.com/file/2458845004423" TargetMode="External" Id="rId1855" /><Relationship Type="http://schemas.openxmlformats.org/officeDocument/2006/relationships/hyperlink" Target="https://wilkinsmedia.app.box.com/folder/276383118327" TargetMode="External" Id="rId1856" /><Relationship Type="http://schemas.openxmlformats.org/officeDocument/2006/relationships/hyperlink" Target="https://wilkinsmedia.app.box.com/file/2017232970092" TargetMode="External" Id="rId1857" /><Relationship Type="http://schemas.openxmlformats.org/officeDocument/2006/relationships/hyperlink" Target="https://wilkinsmedia.app.box.com/folder/346268787604" TargetMode="External" Id="rId1858" /><Relationship Type="http://schemas.openxmlformats.org/officeDocument/2006/relationships/hyperlink" Target="https://wilkinsmedia.app.box.com/file/2017232970092" TargetMode="External" Id="rId1859" /><Relationship Type="http://schemas.openxmlformats.org/officeDocument/2006/relationships/hyperlink" Target="https://wilkinsmedia.app.box.com/folder/346268787604" TargetMode="External" Id="rId1860" /><Relationship Type="http://schemas.openxmlformats.org/officeDocument/2006/relationships/hyperlink" Target="https://wilkinsmedia.app.box.com/file/2017232970092" TargetMode="External" Id="rId1861" /><Relationship Type="http://schemas.openxmlformats.org/officeDocument/2006/relationships/hyperlink" Target="https://wilkinsmedia.app.box.com/folder/346268787604" TargetMode="External" Id="rId1862" /><Relationship Type="http://schemas.openxmlformats.org/officeDocument/2006/relationships/hyperlink" Target="https://wilkinsmedia.app.box.com/file/2458847425447" TargetMode="External" Id="rId1863" /><Relationship Type="http://schemas.openxmlformats.org/officeDocument/2006/relationships/hyperlink" Target="https://wilkinsmedia.app.box.com/folder/272506655528" TargetMode="External" Id="rId1864" /><Relationship Type="http://schemas.openxmlformats.org/officeDocument/2006/relationships/hyperlink" Target="https://wilkinsmedia.app.box.com/file/2458847425447" TargetMode="External" Id="rId1865" /><Relationship Type="http://schemas.openxmlformats.org/officeDocument/2006/relationships/hyperlink" Target="https://wilkinsmedia.app.box.com/folder/272506655528" TargetMode="External" Id="rId1866" /><Relationship Type="http://schemas.openxmlformats.org/officeDocument/2006/relationships/hyperlink" Target="https://wilkinsmedia.app.box.com/file/2458847425447" TargetMode="External" Id="rId1867" /><Relationship Type="http://schemas.openxmlformats.org/officeDocument/2006/relationships/hyperlink" Target="https://wilkinsmedia.app.box.com/folder/272506655528" TargetMode="External" Id="rId1868" /><Relationship Type="http://schemas.openxmlformats.org/officeDocument/2006/relationships/hyperlink" Target="https://wilkinsmedia.app.box.com/file/2458847425447" TargetMode="External" Id="rId1869" /><Relationship Type="http://schemas.openxmlformats.org/officeDocument/2006/relationships/hyperlink" Target="https://wilkinsmedia.app.box.com/folder/272506655528" TargetMode="External" Id="rId1870" /><Relationship Type="http://schemas.openxmlformats.org/officeDocument/2006/relationships/hyperlink" Target="https://wilkinsmedia.app.box.com/file/2458847425447" TargetMode="External" Id="rId1871" /><Relationship Type="http://schemas.openxmlformats.org/officeDocument/2006/relationships/hyperlink" Target="https://wilkinsmedia.app.box.com/folder/272506655528" TargetMode="External" Id="rId1872" /><Relationship Type="http://schemas.openxmlformats.org/officeDocument/2006/relationships/hyperlink" Target="https://wilkinsmedia.app.box.com/file/2458847425447" TargetMode="External" Id="rId1873" /><Relationship Type="http://schemas.openxmlformats.org/officeDocument/2006/relationships/hyperlink" Target="https://wilkinsmedia.app.box.com/folder/272506655528" TargetMode="External" Id="rId1874" /><Relationship Type="http://schemas.openxmlformats.org/officeDocument/2006/relationships/hyperlink" Target="https://wilkinsmedia.app.box.com/file/2458847425447" TargetMode="External" Id="rId1875" /><Relationship Type="http://schemas.openxmlformats.org/officeDocument/2006/relationships/hyperlink" Target="https://wilkinsmedia.app.box.com/folder/272506655528" TargetMode="External" Id="rId1876" /><Relationship Type="http://schemas.openxmlformats.org/officeDocument/2006/relationships/hyperlink" Target="https://wilkinsmedia.app.box.com/file/2458847425447" TargetMode="External" Id="rId1877" /><Relationship Type="http://schemas.openxmlformats.org/officeDocument/2006/relationships/hyperlink" Target="https://wilkinsmedia.app.box.com/folder/272506655528" TargetMode="External" Id="rId1878" /><Relationship Type="http://schemas.openxmlformats.org/officeDocument/2006/relationships/hyperlink" Target="https://wilkinsmedia.app.box.com/file/2458847425447" TargetMode="External" Id="rId1879" /><Relationship Type="http://schemas.openxmlformats.org/officeDocument/2006/relationships/hyperlink" Target="https://wilkinsmedia.app.box.com/folder/272506655528" TargetMode="External" Id="rId1880" /><Relationship Type="http://schemas.openxmlformats.org/officeDocument/2006/relationships/hyperlink" Target="https://wilkinsmedia.app.box.com/file/2458847425447" TargetMode="External" Id="rId1881" /><Relationship Type="http://schemas.openxmlformats.org/officeDocument/2006/relationships/hyperlink" Target="https://wilkinsmedia.app.box.com/folder/272506655528" TargetMode="External" Id="rId1882" /><Relationship Type="http://schemas.openxmlformats.org/officeDocument/2006/relationships/hyperlink" Target="https://wilkinsmedia.app.box.com/file/2458847425447" TargetMode="External" Id="rId1883" /><Relationship Type="http://schemas.openxmlformats.org/officeDocument/2006/relationships/hyperlink" Target="https://wilkinsmedia.app.box.com/folder/272506655528" TargetMode="External" Id="rId1884" /><Relationship Type="http://schemas.openxmlformats.org/officeDocument/2006/relationships/hyperlink" Target="https://wilkinsmedia.app.box.com/file/2458847425447" TargetMode="External" Id="rId1885" /><Relationship Type="http://schemas.openxmlformats.org/officeDocument/2006/relationships/hyperlink" Target="https://wilkinsmedia.app.box.com/folder/272506655528" TargetMode="External" Id="rId1886" /><Relationship Type="http://schemas.openxmlformats.org/officeDocument/2006/relationships/hyperlink" Target="https://wilkinsmedia.app.box.com/file/2458847425447" TargetMode="External" Id="rId1887" /><Relationship Type="http://schemas.openxmlformats.org/officeDocument/2006/relationships/hyperlink" Target="https://wilkinsmedia.app.box.com/folder/272506655528" TargetMode="External" Id="rId1888" /><Relationship Type="http://schemas.openxmlformats.org/officeDocument/2006/relationships/hyperlink" Target="https://wilkinsmedia.app.box.com/file/2458847425447" TargetMode="External" Id="rId1889" /><Relationship Type="http://schemas.openxmlformats.org/officeDocument/2006/relationships/hyperlink" Target="https://wilkinsmedia.app.box.com/folder/272506655528" TargetMode="External" Id="rId1890" /><Relationship Type="http://schemas.openxmlformats.org/officeDocument/2006/relationships/hyperlink" Target="https://wilkinsmedia.app.box.com/file/2458847425447" TargetMode="External" Id="rId1891" /><Relationship Type="http://schemas.openxmlformats.org/officeDocument/2006/relationships/hyperlink" Target="https://wilkinsmedia.app.box.com/folder/272506655528" TargetMode="External" Id="rId1892" /><Relationship Type="http://schemas.openxmlformats.org/officeDocument/2006/relationships/hyperlink" Target="https://wilkinsmedia.app.box.com/file/2458847425447" TargetMode="External" Id="rId1893" /><Relationship Type="http://schemas.openxmlformats.org/officeDocument/2006/relationships/hyperlink" Target="https://wilkinsmedia.app.box.com/folder/272506655528" TargetMode="External" Id="rId1894" /><Relationship Type="http://schemas.openxmlformats.org/officeDocument/2006/relationships/hyperlink" Target="https://wilkinsmedia.app.box.com/file/2458847425447" TargetMode="External" Id="rId1895" /><Relationship Type="http://schemas.openxmlformats.org/officeDocument/2006/relationships/hyperlink" Target="https://wilkinsmedia.app.box.com/folder/272506655528" TargetMode="External" Id="rId1896" /><Relationship Type="http://schemas.openxmlformats.org/officeDocument/2006/relationships/hyperlink" Target="https://wilkinsmedia.app.box.com/file/2458847425447" TargetMode="External" Id="rId1897" /><Relationship Type="http://schemas.openxmlformats.org/officeDocument/2006/relationships/hyperlink" Target="https://wilkinsmedia.app.box.com/folder/272506655528" TargetMode="External" Id="rId1898" /><Relationship Type="http://schemas.openxmlformats.org/officeDocument/2006/relationships/hyperlink" Target="https://wilkinsmedia.app.box.com/file/2458847425447" TargetMode="External" Id="rId1899" /><Relationship Type="http://schemas.openxmlformats.org/officeDocument/2006/relationships/hyperlink" Target="https://wilkinsmedia.app.box.com/folder/272506655528" TargetMode="External" Id="rId1900" /><Relationship Type="http://schemas.openxmlformats.org/officeDocument/2006/relationships/hyperlink" Target="https://wilkinsmedia.app.box.com/file/2458847425447" TargetMode="External" Id="rId1901" /><Relationship Type="http://schemas.openxmlformats.org/officeDocument/2006/relationships/hyperlink" Target="https://wilkinsmedia.app.box.com/folder/272506655528" TargetMode="External" Id="rId1902" /><Relationship Type="http://schemas.openxmlformats.org/officeDocument/2006/relationships/hyperlink" Target="https://wilkinsmedia.app.box.com/file/2458847425447" TargetMode="External" Id="rId1903" /><Relationship Type="http://schemas.openxmlformats.org/officeDocument/2006/relationships/hyperlink" Target="https://wilkinsmedia.app.box.com/folder/272506655528" TargetMode="External" Id="rId1904" /><Relationship Type="http://schemas.openxmlformats.org/officeDocument/2006/relationships/hyperlink" Target="https://wilkinsmedia.app.box.com/file/2458847425447" TargetMode="External" Id="rId1905" /><Relationship Type="http://schemas.openxmlformats.org/officeDocument/2006/relationships/hyperlink" Target="https://wilkinsmedia.app.box.com/folder/272506655528" TargetMode="External" Id="rId1906" /><Relationship Type="http://schemas.openxmlformats.org/officeDocument/2006/relationships/hyperlink" Target="https://wilkinsmedia.app.box.com/file/2458847425447" TargetMode="External" Id="rId1907" /><Relationship Type="http://schemas.openxmlformats.org/officeDocument/2006/relationships/hyperlink" Target="https://wilkinsmedia.app.box.com/folder/272506655528" TargetMode="External" Id="rId1908" /><Relationship Type="http://schemas.openxmlformats.org/officeDocument/2006/relationships/hyperlink" Target="https://wilkinsmedia.app.box.com/file/2458847425447" TargetMode="External" Id="rId1909" /><Relationship Type="http://schemas.openxmlformats.org/officeDocument/2006/relationships/hyperlink" Target="https://wilkinsmedia.app.box.com/folder/272506655528" TargetMode="External" Id="rId1910" /><Relationship Type="http://schemas.openxmlformats.org/officeDocument/2006/relationships/hyperlink" Target="https://wilkinsmedia.app.box.com/file/2458847425447" TargetMode="External" Id="rId1911" /><Relationship Type="http://schemas.openxmlformats.org/officeDocument/2006/relationships/hyperlink" Target="https://wilkinsmedia.app.box.com/folder/272506655528" TargetMode="External" Id="rId1912" /><Relationship Type="http://schemas.openxmlformats.org/officeDocument/2006/relationships/hyperlink" Target="https://wilkinsmedia.app.box.com/file/2458847425447" TargetMode="External" Id="rId1913" /><Relationship Type="http://schemas.openxmlformats.org/officeDocument/2006/relationships/hyperlink" Target="https://wilkinsmedia.app.box.com/folder/272506655528" TargetMode="External" Id="rId1914" /><Relationship Type="http://schemas.openxmlformats.org/officeDocument/2006/relationships/hyperlink" Target="https://wilkinsmedia.app.box.com/file/2458847425447" TargetMode="External" Id="rId1915" /><Relationship Type="http://schemas.openxmlformats.org/officeDocument/2006/relationships/hyperlink" Target="https://wilkinsmedia.app.box.com/folder/272506655528" TargetMode="External" Id="rId1916" /><Relationship Type="http://schemas.openxmlformats.org/officeDocument/2006/relationships/hyperlink" Target="https://wilkinsmedia.app.box.com/file/2458847425447" TargetMode="External" Id="rId1917" /><Relationship Type="http://schemas.openxmlformats.org/officeDocument/2006/relationships/hyperlink" Target="https://wilkinsmedia.app.box.com/folder/272506655528" TargetMode="External" Id="rId1918" /><Relationship Type="http://schemas.openxmlformats.org/officeDocument/2006/relationships/hyperlink" Target="https://wilkinsmedia.app.box.com/file/2055675218348" TargetMode="External" Id="rId1919" /><Relationship Type="http://schemas.openxmlformats.org/officeDocument/2006/relationships/hyperlink" Target="https://wilkinsmedia.app.box.com/folder/178718626302" TargetMode="External" Id="rId1920" /><Relationship Type="http://schemas.openxmlformats.org/officeDocument/2006/relationships/hyperlink" Target="https://wilkinsmedia.app.box.com/file/2055675218348" TargetMode="External" Id="rId1921" /><Relationship Type="http://schemas.openxmlformats.org/officeDocument/2006/relationships/hyperlink" Target="https://wilkinsmedia.app.box.com/folder/178718626302" TargetMode="External" Id="rId1922" /><Relationship Type="http://schemas.openxmlformats.org/officeDocument/2006/relationships/hyperlink" Target="https://wilkinsmedia.app.box.com/file/2055675218348" TargetMode="External" Id="rId1923" /><Relationship Type="http://schemas.openxmlformats.org/officeDocument/2006/relationships/hyperlink" Target="https://wilkinsmedia.app.box.com/folder/178718626302" TargetMode="External" Id="rId1924" /><Relationship Type="http://schemas.openxmlformats.org/officeDocument/2006/relationships/hyperlink" Target="https://wilkinsmedia.app.box.com/file/2055675218348" TargetMode="External" Id="rId1925" /><Relationship Type="http://schemas.openxmlformats.org/officeDocument/2006/relationships/hyperlink" Target="https://wilkinsmedia.app.box.com/folder/178718626302" TargetMode="External" Id="rId1926" /><Relationship Type="http://schemas.openxmlformats.org/officeDocument/2006/relationships/hyperlink" Target="https://wilkinsmedia.app.box.com/file/2311272796708" TargetMode="External" Id="rId1927" /><Relationship Type="http://schemas.openxmlformats.org/officeDocument/2006/relationships/hyperlink" Target="https://wilkinsmedia.app.box.com/folder/179588450728" TargetMode="External" Id="rId1928" /><Relationship Type="http://schemas.openxmlformats.org/officeDocument/2006/relationships/hyperlink" Target="https://wilkinsmedia.app.box.com/file/2311272796708" TargetMode="External" Id="rId1929" /><Relationship Type="http://schemas.openxmlformats.org/officeDocument/2006/relationships/hyperlink" Target="https://wilkinsmedia.app.box.com/folder/179588450728" TargetMode="External" Id="rId1930" /><Relationship Type="http://schemas.openxmlformats.org/officeDocument/2006/relationships/hyperlink" Target="https://wilkinsmedia.app.box.com/file/2311272796708" TargetMode="External" Id="rId1931" /><Relationship Type="http://schemas.openxmlformats.org/officeDocument/2006/relationships/hyperlink" Target="https://wilkinsmedia.app.box.com/folder/179588450728" TargetMode="External" Id="rId1932" /><Relationship Type="http://schemas.openxmlformats.org/officeDocument/2006/relationships/hyperlink" Target="https://wilkinsmedia.app.box.com/file/2311272796708" TargetMode="External" Id="rId1933" /><Relationship Type="http://schemas.openxmlformats.org/officeDocument/2006/relationships/hyperlink" Target="https://wilkinsmedia.app.box.com/folder/179588450728" TargetMode="External" Id="rId1934" /><Relationship Type="http://schemas.openxmlformats.org/officeDocument/2006/relationships/hyperlink" Target="https://wilkinsmedia.app.box.com/file/2407737175191" TargetMode="External" Id="rId1935" /><Relationship Type="http://schemas.openxmlformats.org/officeDocument/2006/relationships/hyperlink" Target="https://wilkinsmedia.app.box.com/folder/262575069402" TargetMode="External" Id="rId1936" /><Relationship Type="http://schemas.openxmlformats.org/officeDocument/2006/relationships/hyperlink" Target="https://wilkinsmedia.app.box.com/file/2407737175191" TargetMode="External" Id="rId1937" /><Relationship Type="http://schemas.openxmlformats.org/officeDocument/2006/relationships/hyperlink" Target="https://wilkinsmedia.app.box.com/folder/262575069402" TargetMode="External" Id="rId1938" /><Relationship Type="http://schemas.openxmlformats.org/officeDocument/2006/relationships/hyperlink" Target="https://wilkinsmedia.app.box.com/file/2407737175191" TargetMode="External" Id="rId1939" /><Relationship Type="http://schemas.openxmlformats.org/officeDocument/2006/relationships/hyperlink" Target="https://wilkinsmedia.app.box.com/folder/262575069402" TargetMode="External" Id="rId1940" /><Relationship Type="http://schemas.openxmlformats.org/officeDocument/2006/relationships/hyperlink" Target="https://wilkinsmedia.app.box.com/file/2262851661147" TargetMode="External" Id="rId1941" /><Relationship Type="http://schemas.openxmlformats.org/officeDocument/2006/relationships/hyperlink" Target="https://wilkinsmedia.app.box.com/folder/262507732342" TargetMode="External" Id="rId1942" /><Relationship Type="http://schemas.openxmlformats.org/officeDocument/2006/relationships/hyperlink" Target="https://wilkinsmedia.app.box.com/file/2262851661147" TargetMode="External" Id="rId1943" /><Relationship Type="http://schemas.openxmlformats.org/officeDocument/2006/relationships/hyperlink" Target="https://wilkinsmedia.app.box.com/folder/262507732342" TargetMode="External" Id="rId1944" /><Relationship Type="http://schemas.openxmlformats.org/officeDocument/2006/relationships/hyperlink" Target="https://wilkinsmedia.app.box.com/file/2272747847320" TargetMode="External" Id="rId1945" /><Relationship Type="http://schemas.openxmlformats.org/officeDocument/2006/relationships/hyperlink" Target="https://wilkinsmedia.app.box.com/folder/179023126699" TargetMode="External" Id="rId1946" /><Relationship Type="http://schemas.openxmlformats.org/officeDocument/2006/relationships/hyperlink" Target="https://wilkinsmedia.app.box.com/file/2272747847320" TargetMode="External" Id="rId1947" /><Relationship Type="http://schemas.openxmlformats.org/officeDocument/2006/relationships/hyperlink" Target="https://wilkinsmedia.app.box.com/folder/179023126699" TargetMode="External" Id="rId1948" /><Relationship Type="http://schemas.openxmlformats.org/officeDocument/2006/relationships/hyperlink" Target="https://wilkinsmedia.app.box.com/file/2272747847320" TargetMode="External" Id="rId1949" /><Relationship Type="http://schemas.openxmlformats.org/officeDocument/2006/relationships/hyperlink" Target="https://wilkinsmedia.app.box.com/folder/179023126699" TargetMode="External" Id="rId1950" /><Relationship Type="http://schemas.openxmlformats.org/officeDocument/2006/relationships/hyperlink" Target="https://wilkinsmedia.app.box.com/file/2272747847320" TargetMode="External" Id="rId1951" /><Relationship Type="http://schemas.openxmlformats.org/officeDocument/2006/relationships/hyperlink" Target="https://wilkinsmedia.app.box.com/folder/179023126699" TargetMode="External" Id="rId1952" /><Relationship Type="http://schemas.openxmlformats.org/officeDocument/2006/relationships/hyperlink" Target="https://wilkinsmedia.app.box.com/file/2272747847320" TargetMode="External" Id="rId1953" /><Relationship Type="http://schemas.openxmlformats.org/officeDocument/2006/relationships/hyperlink" Target="https://wilkinsmedia.app.box.com/folder/179023126699" TargetMode="External" Id="rId1954" /><Relationship Type="http://schemas.openxmlformats.org/officeDocument/2006/relationships/hyperlink" Target="https://wilkinsmedia.app.box.com/file/2272747847320" TargetMode="External" Id="rId1955" /><Relationship Type="http://schemas.openxmlformats.org/officeDocument/2006/relationships/hyperlink" Target="https://wilkinsmedia.app.box.com/folder/179023126699" TargetMode="External" Id="rId1956" /><Relationship Type="http://schemas.openxmlformats.org/officeDocument/2006/relationships/hyperlink" Target="https://wilkinsmedia.app.box.com/file/2272747847320" TargetMode="External" Id="rId1957" /><Relationship Type="http://schemas.openxmlformats.org/officeDocument/2006/relationships/hyperlink" Target="https://wilkinsmedia.app.box.com/folder/179023126699" TargetMode="External" Id="rId1958" /><Relationship Type="http://schemas.openxmlformats.org/officeDocument/2006/relationships/hyperlink" Target="https://wilkinsmedia.app.box.com/file/2272747847320" TargetMode="External" Id="rId1959" /><Relationship Type="http://schemas.openxmlformats.org/officeDocument/2006/relationships/hyperlink" Target="https://wilkinsmedia.app.box.com/folder/179023126699" TargetMode="External" Id="rId1960" /><Relationship Type="http://schemas.openxmlformats.org/officeDocument/2006/relationships/hyperlink" Target="https://wilkinsmedia.app.box.com/file/2272747847320" TargetMode="External" Id="rId1961" /><Relationship Type="http://schemas.openxmlformats.org/officeDocument/2006/relationships/hyperlink" Target="https://wilkinsmedia.app.box.com/folder/179023126699" TargetMode="External" Id="rId1962" /><Relationship Type="http://schemas.openxmlformats.org/officeDocument/2006/relationships/hyperlink" Target="https://wilkinsmedia.app.box.com/file/2272747847320" TargetMode="External" Id="rId1963" /><Relationship Type="http://schemas.openxmlformats.org/officeDocument/2006/relationships/hyperlink" Target="https://wilkinsmedia.app.box.com/folder/179023126699" TargetMode="External" Id="rId1964" /><Relationship Type="http://schemas.openxmlformats.org/officeDocument/2006/relationships/hyperlink" Target="https://wilkinsmedia.app.box.com/file/2272747847320" TargetMode="External" Id="rId1965" /><Relationship Type="http://schemas.openxmlformats.org/officeDocument/2006/relationships/hyperlink" Target="https://wilkinsmedia.app.box.com/folder/179023126699" TargetMode="External" Id="rId1966" /><Relationship Type="http://schemas.openxmlformats.org/officeDocument/2006/relationships/hyperlink" Target="https://wilkinsmedia.app.box.com/file/2272747847320" TargetMode="External" Id="rId1967" /><Relationship Type="http://schemas.openxmlformats.org/officeDocument/2006/relationships/hyperlink" Target="https://wilkinsmedia.app.box.com/folder/179023126699" TargetMode="External" Id="rId1968" /><Relationship Type="http://schemas.openxmlformats.org/officeDocument/2006/relationships/hyperlink" Target="https://wilkinsmedia.app.box.com/file/2311272796708" TargetMode="External" Id="rId1969" /><Relationship Type="http://schemas.openxmlformats.org/officeDocument/2006/relationships/hyperlink" Target="https://wilkinsmedia.app.box.com/folder/179588450728" TargetMode="External" Id="rId1970" /><Relationship Type="http://schemas.openxmlformats.org/officeDocument/2006/relationships/hyperlink" Target="https://wilkinsmedia.app.box.com/file/2311272796708" TargetMode="External" Id="rId1971" /><Relationship Type="http://schemas.openxmlformats.org/officeDocument/2006/relationships/hyperlink" Target="https://wilkinsmedia.app.box.com/folder/179588450728" TargetMode="External" Id="rId1972" /><Relationship Type="http://schemas.openxmlformats.org/officeDocument/2006/relationships/hyperlink" Target="https://wilkinsmedia.app.box.com/file/2311272796708" TargetMode="External" Id="rId1973" /><Relationship Type="http://schemas.openxmlformats.org/officeDocument/2006/relationships/hyperlink" Target="https://wilkinsmedia.app.box.com/folder/179588450728" TargetMode="External" Id="rId1974" /><Relationship Type="http://schemas.openxmlformats.org/officeDocument/2006/relationships/hyperlink" Target="https://wilkinsmedia.app.box.com/file/2311272796708" TargetMode="External" Id="rId1975" /><Relationship Type="http://schemas.openxmlformats.org/officeDocument/2006/relationships/hyperlink" Target="https://wilkinsmedia.app.box.com/folder/179588450728" TargetMode="External" Id="rId1976" /><Relationship Type="http://schemas.openxmlformats.org/officeDocument/2006/relationships/hyperlink" Target="https://wilkinsmedia.app.box.com/file/2311272796708" TargetMode="External" Id="rId1977" /><Relationship Type="http://schemas.openxmlformats.org/officeDocument/2006/relationships/hyperlink" Target="https://wilkinsmedia.app.box.com/folder/179588450728" TargetMode="External" Id="rId1978" /><Relationship Type="http://schemas.openxmlformats.org/officeDocument/2006/relationships/hyperlink" Target="https://wilkinsmedia.app.box.com/file/2311272796708" TargetMode="External" Id="rId1979" /><Relationship Type="http://schemas.openxmlformats.org/officeDocument/2006/relationships/hyperlink" Target="https://wilkinsmedia.app.box.com/folder/179588450728" TargetMode="External" Id="rId1980" /><Relationship Type="http://schemas.openxmlformats.org/officeDocument/2006/relationships/hyperlink" Target="https://wilkinsmedia.app.box.com/file/2311272796708" TargetMode="External" Id="rId1981" /><Relationship Type="http://schemas.openxmlformats.org/officeDocument/2006/relationships/hyperlink" Target="https://wilkinsmedia.app.box.com/folder/179588450728" TargetMode="External" Id="rId1982" /><Relationship Type="http://schemas.openxmlformats.org/officeDocument/2006/relationships/hyperlink" Target="https://wilkinsmedia.app.box.com/file/2311272796708" TargetMode="External" Id="rId1983" /><Relationship Type="http://schemas.openxmlformats.org/officeDocument/2006/relationships/hyperlink" Target="https://wilkinsmedia.app.box.com/folder/179588450728" TargetMode="External" Id="rId1984" /><Relationship Type="http://schemas.openxmlformats.org/officeDocument/2006/relationships/hyperlink" Target="https://wilkinsmedia.app.box.com/file/2311272796708" TargetMode="External" Id="rId1985" /><Relationship Type="http://schemas.openxmlformats.org/officeDocument/2006/relationships/hyperlink" Target="https://wilkinsmedia.app.box.com/folder/179588450728" TargetMode="External" Id="rId1986" /><Relationship Type="http://schemas.openxmlformats.org/officeDocument/2006/relationships/hyperlink" Target="https://wilkinsmedia.app.box.com/file/2311272796708" TargetMode="External" Id="rId1987" /><Relationship Type="http://schemas.openxmlformats.org/officeDocument/2006/relationships/hyperlink" Target="https://wilkinsmedia.app.box.com/folder/179588450728" TargetMode="External" Id="rId1988" /><Relationship Type="http://schemas.openxmlformats.org/officeDocument/2006/relationships/hyperlink" Target="https://wilkinsmedia.app.box.com/file/2311272796708" TargetMode="External" Id="rId1989" /><Relationship Type="http://schemas.openxmlformats.org/officeDocument/2006/relationships/hyperlink" Target="https://wilkinsmedia.app.box.com/folder/179588450728" TargetMode="External" Id="rId1990" /><Relationship Type="http://schemas.openxmlformats.org/officeDocument/2006/relationships/hyperlink" Target="https://wilkinsmedia.app.box.com/file/2311272796708" TargetMode="External" Id="rId1991" /><Relationship Type="http://schemas.openxmlformats.org/officeDocument/2006/relationships/hyperlink" Target="https://wilkinsmedia.app.box.com/folder/179588450728" TargetMode="External" Id="rId1992" /><Relationship Type="http://schemas.openxmlformats.org/officeDocument/2006/relationships/hyperlink" Target="https://wilkinsmedia.app.box.com/file/2311272796708" TargetMode="External" Id="rId1993" /><Relationship Type="http://schemas.openxmlformats.org/officeDocument/2006/relationships/hyperlink" Target="https://wilkinsmedia.app.box.com/folder/179588450728" TargetMode="External" Id="rId1994" /><Relationship Type="http://schemas.openxmlformats.org/officeDocument/2006/relationships/hyperlink" Target="https://wilkinsmedia.app.box.com/file/2311272796708" TargetMode="External" Id="rId1995" /><Relationship Type="http://schemas.openxmlformats.org/officeDocument/2006/relationships/hyperlink" Target="https://wilkinsmedia.app.box.com/folder/179588450728" TargetMode="External" Id="rId1996" /><Relationship Type="http://schemas.openxmlformats.org/officeDocument/2006/relationships/hyperlink" Target="https://wilkinsmedia.app.box.com/file/2311272796708" TargetMode="External" Id="rId1997" /><Relationship Type="http://schemas.openxmlformats.org/officeDocument/2006/relationships/hyperlink" Target="https://wilkinsmedia.app.box.com/folder/179588450728" TargetMode="External" Id="rId1998" /><Relationship Type="http://schemas.openxmlformats.org/officeDocument/2006/relationships/hyperlink" Target="https://wilkinsmedia.app.box.com/file/2311272796708" TargetMode="External" Id="rId1999" /><Relationship Type="http://schemas.openxmlformats.org/officeDocument/2006/relationships/hyperlink" Target="https://wilkinsmedia.app.box.com/folder/179588450728" TargetMode="External" Id="rId2000" /><Relationship Type="http://schemas.openxmlformats.org/officeDocument/2006/relationships/hyperlink" Target="https://wilkinsmedia.app.box.com/file/2272182911154" TargetMode="External" Id="rId2001" /><Relationship Type="http://schemas.openxmlformats.org/officeDocument/2006/relationships/hyperlink" Target="https://wilkinsmedia.app.box.com/folder/177174082412" TargetMode="External" Id="rId2002" /><Relationship Type="http://schemas.openxmlformats.org/officeDocument/2006/relationships/hyperlink" Target="https://wilkinsmedia.app.box.com/file/2272182911154" TargetMode="External" Id="rId2003" /><Relationship Type="http://schemas.openxmlformats.org/officeDocument/2006/relationships/hyperlink" Target="https://wilkinsmedia.app.box.com/folder/177174082412" TargetMode="External" Id="rId2004" /><Relationship Type="http://schemas.openxmlformats.org/officeDocument/2006/relationships/hyperlink" Target="https://wilkinsmedia.app.box.com/file/2272182911154" TargetMode="External" Id="rId2005" /><Relationship Type="http://schemas.openxmlformats.org/officeDocument/2006/relationships/hyperlink" Target="https://wilkinsmedia.app.box.com/folder/177174082412" TargetMode="External" Id="rId2006" /><Relationship Type="http://schemas.openxmlformats.org/officeDocument/2006/relationships/hyperlink" Target="https://wilkinsmedia.app.box.com/file/2272182911154" TargetMode="External" Id="rId2007" /><Relationship Type="http://schemas.openxmlformats.org/officeDocument/2006/relationships/hyperlink" Target="https://wilkinsmedia.app.box.com/folder/177174082412" TargetMode="External" Id="rId2008" /><Relationship Type="http://schemas.openxmlformats.org/officeDocument/2006/relationships/hyperlink" Target="https://wilkinsmedia.app.box.com/file/2272182911154" TargetMode="External" Id="rId2009" /><Relationship Type="http://schemas.openxmlformats.org/officeDocument/2006/relationships/hyperlink" Target="https://wilkinsmedia.app.box.com/folder/177174082412" TargetMode="External" Id="rId2010" /><Relationship Type="http://schemas.openxmlformats.org/officeDocument/2006/relationships/hyperlink" Target="https://wilkinsmedia.app.box.com/file/2272182911154" TargetMode="External" Id="rId2011" /><Relationship Type="http://schemas.openxmlformats.org/officeDocument/2006/relationships/hyperlink" Target="https://wilkinsmedia.app.box.com/folder/177174082412" TargetMode="External" Id="rId2012" /><Relationship Type="http://schemas.openxmlformats.org/officeDocument/2006/relationships/hyperlink" Target="https://wilkinsmedia.app.box.com/file/2272182911154" TargetMode="External" Id="rId2013" /><Relationship Type="http://schemas.openxmlformats.org/officeDocument/2006/relationships/hyperlink" Target="https://wilkinsmedia.app.box.com/folder/177174082412" TargetMode="External" Id="rId2014" /><Relationship Type="http://schemas.openxmlformats.org/officeDocument/2006/relationships/hyperlink" Target="https://wilkinsmedia.app.box.com/file/2272182911154" TargetMode="External" Id="rId2015" /><Relationship Type="http://schemas.openxmlformats.org/officeDocument/2006/relationships/hyperlink" Target="https://wilkinsmedia.app.box.com/folder/177174082412" TargetMode="External" Id="rId2016" /><Relationship Type="http://schemas.openxmlformats.org/officeDocument/2006/relationships/hyperlink" Target="https://wilkinsmedia.app.box.com/file/2272182911154" TargetMode="External" Id="rId2017" /><Relationship Type="http://schemas.openxmlformats.org/officeDocument/2006/relationships/hyperlink" Target="https://wilkinsmedia.app.box.com/folder/177174082412" TargetMode="External" Id="rId2018" /><Relationship Type="http://schemas.openxmlformats.org/officeDocument/2006/relationships/hyperlink" Target="https://wilkinsmedia.app.box.com/file/2272182911154" TargetMode="External" Id="rId2019" /><Relationship Type="http://schemas.openxmlformats.org/officeDocument/2006/relationships/hyperlink" Target="https://wilkinsmedia.app.box.com/folder/177174082412" TargetMode="External" Id="rId2020" /><Relationship Type="http://schemas.openxmlformats.org/officeDocument/2006/relationships/hyperlink" Target="https://wilkinsmedia.app.box.com/file/2272182911154" TargetMode="External" Id="rId2021" /><Relationship Type="http://schemas.openxmlformats.org/officeDocument/2006/relationships/hyperlink" Target="https://wilkinsmedia.app.box.com/folder/177174082412" TargetMode="External" Id="rId2022" /><Relationship Type="http://schemas.openxmlformats.org/officeDocument/2006/relationships/hyperlink" Target="https://wilkinsmedia.app.box.com/file/2272182911154" TargetMode="External" Id="rId2023" /><Relationship Type="http://schemas.openxmlformats.org/officeDocument/2006/relationships/hyperlink" Target="https://wilkinsmedia.app.box.com/folder/177174082412" TargetMode="External" Id="rId2024" /><Relationship Type="http://schemas.openxmlformats.org/officeDocument/2006/relationships/hyperlink" Target="https://wilkinsmedia.app.box.com/file/2272182911154" TargetMode="External" Id="rId2025" /><Relationship Type="http://schemas.openxmlformats.org/officeDocument/2006/relationships/hyperlink" Target="https://wilkinsmedia.app.box.com/folder/177174082412" TargetMode="External" Id="rId2026" /><Relationship Type="http://schemas.openxmlformats.org/officeDocument/2006/relationships/hyperlink" Target="https://wilkinsmedia.app.box.com/file/2272182911154" TargetMode="External" Id="rId2027" /><Relationship Type="http://schemas.openxmlformats.org/officeDocument/2006/relationships/hyperlink" Target="https://wilkinsmedia.app.box.com/folder/177174082412" TargetMode="External" Id="rId2028" /><Relationship Type="http://schemas.openxmlformats.org/officeDocument/2006/relationships/hyperlink" Target="https://wilkinsmedia.app.box.com/file/2272182911154" TargetMode="External" Id="rId2029" /><Relationship Type="http://schemas.openxmlformats.org/officeDocument/2006/relationships/hyperlink" Target="https://wilkinsmedia.app.box.com/folder/177174082412" TargetMode="External" Id="rId2030" /><Relationship Type="http://schemas.openxmlformats.org/officeDocument/2006/relationships/hyperlink" Target="https://wilkinsmedia.app.box.com/file/2272182911154" TargetMode="External" Id="rId2031" /><Relationship Type="http://schemas.openxmlformats.org/officeDocument/2006/relationships/hyperlink" Target="https://wilkinsmedia.app.box.com/folder/177174082412" TargetMode="External" Id="rId2032" /><Relationship Type="http://schemas.openxmlformats.org/officeDocument/2006/relationships/hyperlink" Target="https://wilkinsmedia.app.box.com/file/2272182911154" TargetMode="External" Id="rId2033" /><Relationship Type="http://schemas.openxmlformats.org/officeDocument/2006/relationships/hyperlink" Target="https://wilkinsmedia.app.box.com/folder/177174082412" TargetMode="External" Id="rId2034" /><Relationship Type="http://schemas.openxmlformats.org/officeDocument/2006/relationships/hyperlink" Target="https://wilkinsmedia.app.box.com/file/2272182911154" TargetMode="External" Id="rId2035" /><Relationship Type="http://schemas.openxmlformats.org/officeDocument/2006/relationships/hyperlink" Target="https://wilkinsmedia.app.box.com/folder/177174082412" TargetMode="External" Id="rId2036" /><Relationship Type="http://schemas.openxmlformats.org/officeDocument/2006/relationships/hyperlink" Target="https://wilkinsmedia.app.box.com/file/2272182911154" TargetMode="External" Id="rId2037" /><Relationship Type="http://schemas.openxmlformats.org/officeDocument/2006/relationships/hyperlink" Target="https://wilkinsmedia.app.box.com/folder/177174082412" TargetMode="External" Id="rId2038" /><Relationship Type="http://schemas.openxmlformats.org/officeDocument/2006/relationships/hyperlink" Target="https://wilkinsmedia.app.box.com/file/2272182911154" TargetMode="External" Id="rId2039" /><Relationship Type="http://schemas.openxmlformats.org/officeDocument/2006/relationships/hyperlink" Target="https://wilkinsmedia.app.box.com/folder/177174082412" TargetMode="External" Id="rId2040" /><Relationship Type="http://schemas.openxmlformats.org/officeDocument/2006/relationships/hyperlink" Target="https://wilkinsmedia.app.box.com/file/2272182911154" TargetMode="External" Id="rId2041" /><Relationship Type="http://schemas.openxmlformats.org/officeDocument/2006/relationships/hyperlink" Target="https://wilkinsmedia.app.box.com/folder/177174082412" TargetMode="External" Id="rId2042" /><Relationship Type="http://schemas.openxmlformats.org/officeDocument/2006/relationships/hyperlink" Target="https://wilkinsmedia.app.box.com/file/2272182911154" TargetMode="External" Id="rId2043" /><Relationship Type="http://schemas.openxmlformats.org/officeDocument/2006/relationships/hyperlink" Target="https://wilkinsmedia.app.box.com/folder/177174082412" TargetMode="External" Id="rId2044" /><Relationship Type="http://schemas.openxmlformats.org/officeDocument/2006/relationships/hyperlink" Target="https://wilkinsmedia.app.box.com/file/2272182911154" TargetMode="External" Id="rId2045" /><Relationship Type="http://schemas.openxmlformats.org/officeDocument/2006/relationships/hyperlink" Target="https://wilkinsmedia.app.box.com/folder/177174082412" TargetMode="External" Id="rId2046" /><Relationship Type="http://schemas.openxmlformats.org/officeDocument/2006/relationships/hyperlink" Target="https://wilkinsmedia.app.box.com/file/2272182911154" TargetMode="External" Id="rId2047" /><Relationship Type="http://schemas.openxmlformats.org/officeDocument/2006/relationships/hyperlink" Target="https://wilkinsmedia.app.box.com/folder/177174082412" TargetMode="External" Id="rId2048" /><Relationship Type="http://schemas.openxmlformats.org/officeDocument/2006/relationships/hyperlink" Target="https://wilkinsmedia.app.box.com/file/2272182911154" TargetMode="External" Id="rId2049" /><Relationship Type="http://schemas.openxmlformats.org/officeDocument/2006/relationships/hyperlink" Target="https://wilkinsmedia.app.box.com/folder/177174082412" TargetMode="External" Id="rId2050" /><Relationship Type="http://schemas.openxmlformats.org/officeDocument/2006/relationships/hyperlink" Target="https://wilkinsmedia.app.box.com/file/2272182911154" TargetMode="External" Id="rId2051" /><Relationship Type="http://schemas.openxmlformats.org/officeDocument/2006/relationships/hyperlink" Target="https://wilkinsmedia.app.box.com/folder/177174082412" TargetMode="External" Id="rId2052" /><Relationship Type="http://schemas.openxmlformats.org/officeDocument/2006/relationships/hyperlink" Target="https://wilkinsmedia.app.box.com/file/2272182911154" TargetMode="External" Id="rId2053" /><Relationship Type="http://schemas.openxmlformats.org/officeDocument/2006/relationships/hyperlink" Target="https://wilkinsmedia.app.box.com/folder/177174082412" TargetMode="External" Id="rId2054" /><Relationship Type="http://schemas.openxmlformats.org/officeDocument/2006/relationships/hyperlink" Target="https://wilkinsmedia.app.box.com/file/2272182911154" TargetMode="External" Id="rId2055" /><Relationship Type="http://schemas.openxmlformats.org/officeDocument/2006/relationships/hyperlink" Target="https://wilkinsmedia.app.box.com/folder/177174082412" TargetMode="External" Id="rId2056" /><Relationship Type="http://schemas.openxmlformats.org/officeDocument/2006/relationships/hyperlink" Target="https://wilkinsmedia.app.box.com/file/2272182911154" TargetMode="External" Id="rId2057" /><Relationship Type="http://schemas.openxmlformats.org/officeDocument/2006/relationships/hyperlink" Target="https://wilkinsmedia.app.box.com/folder/177174082412" TargetMode="External" Id="rId2058" /><Relationship Type="http://schemas.openxmlformats.org/officeDocument/2006/relationships/hyperlink" Target="https://wilkinsmedia.app.box.com/file/2272182911154" TargetMode="External" Id="rId2059" /><Relationship Type="http://schemas.openxmlformats.org/officeDocument/2006/relationships/hyperlink" Target="https://wilkinsmedia.app.box.com/folder/177174082412" TargetMode="External" Id="rId2060" /><Relationship Type="http://schemas.openxmlformats.org/officeDocument/2006/relationships/hyperlink" Target="https://wilkinsmedia.app.box.com/file/2272182911154" TargetMode="External" Id="rId2061" /><Relationship Type="http://schemas.openxmlformats.org/officeDocument/2006/relationships/hyperlink" Target="https://wilkinsmedia.app.box.com/folder/177174082412" TargetMode="External" Id="rId2062" /><Relationship Type="http://schemas.openxmlformats.org/officeDocument/2006/relationships/hyperlink" Target="https://wilkinsmedia.app.box.com/file/2272182911154" TargetMode="External" Id="rId2063" /><Relationship Type="http://schemas.openxmlformats.org/officeDocument/2006/relationships/hyperlink" Target="https://wilkinsmedia.app.box.com/folder/177174082412" TargetMode="External" Id="rId2064" /><Relationship Type="http://schemas.openxmlformats.org/officeDocument/2006/relationships/hyperlink" Target="https://wilkinsmedia.app.box.com/file/2272182911154" TargetMode="External" Id="rId2065" /><Relationship Type="http://schemas.openxmlformats.org/officeDocument/2006/relationships/hyperlink" Target="https://wilkinsmedia.app.box.com/folder/177174082412" TargetMode="External" Id="rId2066" /><Relationship Type="http://schemas.openxmlformats.org/officeDocument/2006/relationships/hyperlink" Target="https://wilkinsmedia.app.box.com/file/2272182911154" TargetMode="External" Id="rId2067" /><Relationship Type="http://schemas.openxmlformats.org/officeDocument/2006/relationships/hyperlink" Target="https://wilkinsmedia.app.box.com/folder/177174082412" TargetMode="External" Id="rId2068" /><Relationship Type="http://schemas.openxmlformats.org/officeDocument/2006/relationships/hyperlink" Target="https://wilkinsmedia.app.box.com/file/2272182911154" TargetMode="External" Id="rId2069" /><Relationship Type="http://schemas.openxmlformats.org/officeDocument/2006/relationships/hyperlink" Target="https://wilkinsmedia.app.box.com/folder/177174082412" TargetMode="External" Id="rId2070" /><Relationship Type="http://schemas.openxmlformats.org/officeDocument/2006/relationships/hyperlink" Target="https://wilkinsmedia.app.box.com/file/2272182911154" TargetMode="External" Id="rId2071" /><Relationship Type="http://schemas.openxmlformats.org/officeDocument/2006/relationships/hyperlink" Target="https://wilkinsmedia.app.box.com/folder/177174082412" TargetMode="External" Id="rId2072" /><Relationship Type="http://schemas.openxmlformats.org/officeDocument/2006/relationships/hyperlink" Target="https://wilkinsmedia.app.box.com/file/2272182911154" TargetMode="External" Id="rId2073" /><Relationship Type="http://schemas.openxmlformats.org/officeDocument/2006/relationships/hyperlink" Target="https://wilkinsmedia.app.box.com/folder/177174082412" TargetMode="External" Id="rId2074" /><Relationship Type="http://schemas.openxmlformats.org/officeDocument/2006/relationships/hyperlink" Target="https://wilkinsmedia.app.box.com/file/2200457487713" TargetMode="External" Id="rId2075" /><Relationship Type="http://schemas.openxmlformats.org/officeDocument/2006/relationships/hyperlink" Target="https://wilkinsmedia.app.box.com/folder/177195746712" TargetMode="External" Id="rId2076" /><Relationship Type="http://schemas.openxmlformats.org/officeDocument/2006/relationships/hyperlink" Target="https://wilkinsmedia.app.box.com/file/2200457487713" TargetMode="External" Id="rId2077" /><Relationship Type="http://schemas.openxmlformats.org/officeDocument/2006/relationships/hyperlink" Target="https://wilkinsmedia.app.box.com/folder/177195746712" TargetMode="External" Id="rId2078" /><Relationship Type="http://schemas.openxmlformats.org/officeDocument/2006/relationships/hyperlink" Target="https://wilkinsmedia.app.box.com/file/2200457487713" TargetMode="External" Id="rId2079" /><Relationship Type="http://schemas.openxmlformats.org/officeDocument/2006/relationships/hyperlink" Target="https://wilkinsmedia.app.box.com/folder/177195746712" TargetMode="External" Id="rId2080" /><Relationship Type="http://schemas.openxmlformats.org/officeDocument/2006/relationships/hyperlink" Target="https://wilkinsmedia.app.box.com/file/2200457487713" TargetMode="External" Id="rId2081" /><Relationship Type="http://schemas.openxmlformats.org/officeDocument/2006/relationships/hyperlink" Target="https://wilkinsmedia.app.box.com/folder/177195746712" TargetMode="External" Id="rId2082" /><Relationship Type="http://schemas.openxmlformats.org/officeDocument/2006/relationships/hyperlink" Target="https://wilkinsmedia.app.box.com/file/2200457487713" TargetMode="External" Id="rId2083" /><Relationship Type="http://schemas.openxmlformats.org/officeDocument/2006/relationships/hyperlink" Target="https://wilkinsmedia.app.box.com/folder/177195746712" TargetMode="External" Id="rId2084" /><Relationship Type="http://schemas.openxmlformats.org/officeDocument/2006/relationships/hyperlink" Target="https://wilkinsmedia.app.box.com/file/2200457487713" TargetMode="External" Id="rId2085" /><Relationship Type="http://schemas.openxmlformats.org/officeDocument/2006/relationships/hyperlink" Target="https://wilkinsmedia.app.box.com/folder/177195746712" TargetMode="External" Id="rId2086" /><Relationship Type="http://schemas.openxmlformats.org/officeDocument/2006/relationships/hyperlink" Target="https://wilkinsmedia.app.box.com/file/2200457487713" TargetMode="External" Id="rId2087" /><Relationship Type="http://schemas.openxmlformats.org/officeDocument/2006/relationships/hyperlink" Target="https://wilkinsmedia.app.box.com/folder/177195746712" TargetMode="External" Id="rId2088" /><Relationship Type="http://schemas.openxmlformats.org/officeDocument/2006/relationships/hyperlink" Target="https://wilkinsmedia.app.box.com/file/2200457487713" TargetMode="External" Id="rId2089" /><Relationship Type="http://schemas.openxmlformats.org/officeDocument/2006/relationships/hyperlink" Target="https://wilkinsmedia.app.box.com/folder/177195746712" TargetMode="External" Id="rId2090" /><Relationship Type="http://schemas.openxmlformats.org/officeDocument/2006/relationships/hyperlink" Target="https://wilkinsmedia.app.box.com/file/2200457487713" TargetMode="External" Id="rId2091" /><Relationship Type="http://schemas.openxmlformats.org/officeDocument/2006/relationships/hyperlink" Target="https://wilkinsmedia.app.box.com/folder/177195746712" TargetMode="External" Id="rId2092" /><Relationship Type="http://schemas.openxmlformats.org/officeDocument/2006/relationships/hyperlink" Target="https://wilkinsmedia.app.box.com/file/2200457487713" TargetMode="External" Id="rId2093" /><Relationship Type="http://schemas.openxmlformats.org/officeDocument/2006/relationships/hyperlink" Target="https://wilkinsmedia.app.box.com/folder/177195746712" TargetMode="External" Id="rId2094" /><Relationship Type="http://schemas.openxmlformats.org/officeDocument/2006/relationships/hyperlink" Target="https://wilkinsmedia.app.box.com/file/2200457487713" TargetMode="External" Id="rId2095" /><Relationship Type="http://schemas.openxmlformats.org/officeDocument/2006/relationships/hyperlink" Target="https://wilkinsmedia.app.box.com/folder/177195746712" TargetMode="External" Id="rId2096" /><Relationship Type="http://schemas.openxmlformats.org/officeDocument/2006/relationships/hyperlink" Target="https://wilkinsmedia.app.box.com/file/2200457487713" TargetMode="External" Id="rId2097" /><Relationship Type="http://schemas.openxmlformats.org/officeDocument/2006/relationships/hyperlink" Target="https://wilkinsmedia.app.box.com/folder/177195746712" TargetMode="External" Id="rId2098" /><Relationship Type="http://schemas.openxmlformats.org/officeDocument/2006/relationships/hyperlink" Target="https://wilkinsmedia.app.box.com/file/2200457487713" TargetMode="External" Id="rId2099" /><Relationship Type="http://schemas.openxmlformats.org/officeDocument/2006/relationships/hyperlink" Target="https://wilkinsmedia.app.box.com/folder/177195746712" TargetMode="External" Id="rId2100" /><Relationship Type="http://schemas.openxmlformats.org/officeDocument/2006/relationships/hyperlink" Target="https://wilkinsmedia.app.box.com/file/2200457487713" TargetMode="External" Id="rId2101" /><Relationship Type="http://schemas.openxmlformats.org/officeDocument/2006/relationships/hyperlink" Target="https://wilkinsmedia.app.box.com/folder/177195746712" TargetMode="External" Id="rId2102" /><Relationship Type="http://schemas.openxmlformats.org/officeDocument/2006/relationships/hyperlink" Target="https://wilkinsmedia.app.box.com/file/2200457487713" TargetMode="External" Id="rId2103" /><Relationship Type="http://schemas.openxmlformats.org/officeDocument/2006/relationships/hyperlink" Target="https://wilkinsmedia.app.box.com/folder/177195746712" TargetMode="External" Id="rId2104" /><Relationship Type="http://schemas.openxmlformats.org/officeDocument/2006/relationships/hyperlink" Target="https://wilkinsmedia.app.box.com/file/2200457487713" TargetMode="External" Id="rId2105" /><Relationship Type="http://schemas.openxmlformats.org/officeDocument/2006/relationships/hyperlink" Target="https://wilkinsmedia.app.box.com/folder/177195746712" TargetMode="External" Id="rId2106" /><Relationship Type="http://schemas.openxmlformats.org/officeDocument/2006/relationships/hyperlink" Target="https://wilkinsmedia.app.box.com/file/2200457487713" TargetMode="External" Id="rId2107" /><Relationship Type="http://schemas.openxmlformats.org/officeDocument/2006/relationships/hyperlink" Target="https://wilkinsmedia.app.box.com/folder/177195746712" TargetMode="External" Id="rId2108" /><Relationship Type="http://schemas.openxmlformats.org/officeDocument/2006/relationships/hyperlink" Target="https://wilkinsmedia.app.box.com/file/2200457487713" TargetMode="External" Id="rId2109" /><Relationship Type="http://schemas.openxmlformats.org/officeDocument/2006/relationships/hyperlink" Target="https://wilkinsmedia.app.box.com/folder/177195746712" TargetMode="External" Id="rId2110" /><Relationship Type="http://schemas.openxmlformats.org/officeDocument/2006/relationships/hyperlink" Target="https://wilkinsmedia.app.box.com/file/2200457487713" TargetMode="External" Id="rId2111" /><Relationship Type="http://schemas.openxmlformats.org/officeDocument/2006/relationships/hyperlink" Target="https://wilkinsmedia.app.box.com/folder/177195746712" TargetMode="External" Id="rId2112" /><Relationship Type="http://schemas.openxmlformats.org/officeDocument/2006/relationships/hyperlink" Target="https://wilkinsmedia.app.box.com/file/2311303135035" TargetMode="External" Id="rId2113" /><Relationship Type="http://schemas.openxmlformats.org/officeDocument/2006/relationships/hyperlink" Target="https://wilkinsmedia.app.box.com/folder/154075538279" TargetMode="External" Id="rId2114" /><Relationship Type="http://schemas.openxmlformats.org/officeDocument/2006/relationships/hyperlink" Target="https://wilkinsmedia.app.box.com/file/2311303135035" TargetMode="External" Id="rId2115" /><Relationship Type="http://schemas.openxmlformats.org/officeDocument/2006/relationships/hyperlink" Target="https://wilkinsmedia.app.box.com/folder/154075538279" TargetMode="External" Id="rId2116" /><Relationship Type="http://schemas.openxmlformats.org/officeDocument/2006/relationships/hyperlink" Target="https://wilkinsmedia.app.box.com/file/2311303135035" TargetMode="External" Id="rId2117" /><Relationship Type="http://schemas.openxmlformats.org/officeDocument/2006/relationships/hyperlink" Target="https://wilkinsmedia.app.box.com/folder/154075538279" TargetMode="External" Id="rId2118" /><Relationship Type="http://schemas.openxmlformats.org/officeDocument/2006/relationships/hyperlink" Target="https://wilkinsmedia.app.box.com/file/2311303135035" TargetMode="External" Id="rId2119" /><Relationship Type="http://schemas.openxmlformats.org/officeDocument/2006/relationships/hyperlink" Target="https://wilkinsmedia.app.box.com/folder/154075538279" TargetMode="External" Id="rId2120" /><Relationship Type="http://schemas.openxmlformats.org/officeDocument/2006/relationships/hyperlink" Target="https://wilkinsmedia.app.box.com/file/2311303135035" TargetMode="External" Id="rId2121" /><Relationship Type="http://schemas.openxmlformats.org/officeDocument/2006/relationships/hyperlink" Target="https://wilkinsmedia.app.box.com/folder/154075538279" TargetMode="External" Id="rId2122" /><Relationship Type="http://schemas.openxmlformats.org/officeDocument/2006/relationships/hyperlink" Target="https://wilkinsmedia.app.box.com/file/2311303135035" TargetMode="External" Id="rId2123" /><Relationship Type="http://schemas.openxmlformats.org/officeDocument/2006/relationships/hyperlink" Target="https://wilkinsmedia.app.box.com/folder/154075538279" TargetMode="External" Id="rId2124" /><Relationship Type="http://schemas.openxmlformats.org/officeDocument/2006/relationships/hyperlink" Target="https://wilkinsmedia.app.box.com/file/2311303135035" TargetMode="External" Id="rId2125" /><Relationship Type="http://schemas.openxmlformats.org/officeDocument/2006/relationships/hyperlink" Target="https://wilkinsmedia.app.box.com/folder/154075538279" TargetMode="External" Id="rId2126" /><Relationship Type="http://schemas.openxmlformats.org/officeDocument/2006/relationships/hyperlink" Target="https://wilkinsmedia.app.box.com/file/2311303135035" TargetMode="External" Id="rId2127" /><Relationship Type="http://schemas.openxmlformats.org/officeDocument/2006/relationships/hyperlink" Target="https://wilkinsmedia.app.box.com/folder/154075538279" TargetMode="External" Id="rId2128" /><Relationship Type="http://schemas.openxmlformats.org/officeDocument/2006/relationships/hyperlink" Target="https://wilkinsmedia.app.box.com/file/2311303135035" TargetMode="External" Id="rId2129" /><Relationship Type="http://schemas.openxmlformats.org/officeDocument/2006/relationships/hyperlink" Target="https://wilkinsmedia.app.box.com/folder/154075538279" TargetMode="External" Id="rId2130" /><Relationship Type="http://schemas.openxmlformats.org/officeDocument/2006/relationships/hyperlink" Target="https://wilkinsmedia.app.box.com/file/2311303135035" TargetMode="External" Id="rId2131" /><Relationship Type="http://schemas.openxmlformats.org/officeDocument/2006/relationships/hyperlink" Target="https://wilkinsmedia.app.box.com/folder/154075538279" TargetMode="External" Id="rId2132" /><Relationship Type="http://schemas.openxmlformats.org/officeDocument/2006/relationships/hyperlink" Target="https://wilkinsmedia.app.box.com/file/2311303135035" TargetMode="External" Id="rId2133" /><Relationship Type="http://schemas.openxmlformats.org/officeDocument/2006/relationships/hyperlink" Target="https://wilkinsmedia.app.box.com/folder/154075538279" TargetMode="External" Id="rId2134" /><Relationship Type="http://schemas.openxmlformats.org/officeDocument/2006/relationships/hyperlink" Target="https://wilkinsmedia.app.box.com/file/2274628220981" TargetMode="External" Id="rId2135" /><Relationship Type="http://schemas.openxmlformats.org/officeDocument/2006/relationships/hyperlink" Target="https://wilkinsmedia.app.box.com/folder/283721445287" TargetMode="External" Id="rId2136" /><Relationship Type="http://schemas.openxmlformats.org/officeDocument/2006/relationships/hyperlink" Target="https://wilkinsmedia.app.box.com/file/2274628220981" TargetMode="External" Id="rId2137" /><Relationship Type="http://schemas.openxmlformats.org/officeDocument/2006/relationships/hyperlink" Target="https://wilkinsmedia.app.box.com/folder/283721445287" TargetMode="External" Id="rId2138" /><Relationship Type="http://schemas.openxmlformats.org/officeDocument/2006/relationships/hyperlink" Target="https://wilkinsmedia.app.box.com/file/2274628220981" TargetMode="External" Id="rId2139" /><Relationship Type="http://schemas.openxmlformats.org/officeDocument/2006/relationships/hyperlink" Target="https://wilkinsmedia.app.box.com/folder/283721445287" TargetMode="External" Id="rId2140" /><Relationship Type="http://schemas.openxmlformats.org/officeDocument/2006/relationships/hyperlink" Target="https://wilkinsmedia.app.box.com/file/2274628220981" TargetMode="External" Id="rId2141" /><Relationship Type="http://schemas.openxmlformats.org/officeDocument/2006/relationships/hyperlink" Target="https://wilkinsmedia.app.box.com/folder/283721445287" TargetMode="External" Id="rId2142" /><Relationship Type="http://schemas.openxmlformats.org/officeDocument/2006/relationships/hyperlink" Target="https://wilkinsmedia.app.box.com/file/2274628220981" TargetMode="External" Id="rId2143" /><Relationship Type="http://schemas.openxmlformats.org/officeDocument/2006/relationships/hyperlink" Target="https://wilkinsmedia.app.box.com/folder/283721445287" TargetMode="External" Id="rId2144" /><Relationship Type="http://schemas.openxmlformats.org/officeDocument/2006/relationships/hyperlink" Target="https://wilkinsmedia.app.box.com/file/2274628220981" TargetMode="External" Id="rId2145" /><Relationship Type="http://schemas.openxmlformats.org/officeDocument/2006/relationships/hyperlink" Target="https://wilkinsmedia.app.box.com/folder/283721445287" TargetMode="External" Id="rId2146" /><Relationship Type="http://schemas.openxmlformats.org/officeDocument/2006/relationships/hyperlink" Target="https://wilkinsmedia.app.box.com/file/2274628220981" TargetMode="External" Id="rId2147" /><Relationship Type="http://schemas.openxmlformats.org/officeDocument/2006/relationships/hyperlink" Target="https://wilkinsmedia.app.box.com/folder/283721445287" TargetMode="External" Id="rId2148" /><Relationship Type="http://schemas.openxmlformats.org/officeDocument/2006/relationships/hyperlink" Target="https://wilkinsmedia.app.box.com/file/2274628220981" TargetMode="External" Id="rId2149" /><Relationship Type="http://schemas.openxmlformats.org/officeDocument/2006/relationships/hyperlink" Target="https://wilkinsmedia.app.box.com/folder/283721445287" TargetMode="External" Id="rId2150" /><Relationship Type="http://schemas.openxmlformats.org/officeDocument/2006/relationships/hyperlink" Target="https://wilkinsmedia.app.box.com/file/2274628220981" TargetMode="External" Id="rId2151" /><Relationship Type="http://schemas.openxmlformats.org/officeDocument/2006/relationships/hyperlink" Target="https://wilkinsmedia.app.box.com/folder/283721445287" TargetMode="External" Id="rId2152" /><Relationship Type="http://schemas.openxmlformats.org/officeDocument/2006/relationships/hyperlink" Target="https://wilkinsmedia.app.box.com/file/2274628220981" TargetMode="External" Id="rId2153" /><Relationship Type="http://schemas.openxmlformats.org/officeDocument/2006/relationships/hyperlink" Target="https://wilkinsmedia.app.box.com/folder/283721445287" TargetMode="External" Id="rId2154" /><Relationship Type="http://schemas.openxmlformats.org/officeDocument/2006/relationships/hyperlink" Target="https://wilkinsmedia.app.box.com/file/2274628220981" TargetMode="External" Id="rId2155" /><Relationship Type="http://schemas.openxmlformats.org/officeDocument/2006/relationships/hyperlink" Target="https://wilkinsmedia.app.box.com/folder/283721445287" TargetMode="External" Id="rId2156" /><Relationship Type="http://schemas.openxmlformats.org/officeDocument/2006/relationships/hyperlink" Target="https://wilkinsmedia.app.box.com/file/2274628220981" TargetMode="External" Id="rId2157" /><Relationship Type="http://schemas.openxmlformats.org/officeDocument/2006/relationships/hyperlink" Target="https://wilkinsmedia.app.box.com/folder/283721445287" TargetMode="External" Id="rId2158" /><Relationship Type="http://schemas.openxmlformats.org/officeDocument/2006/relationships/hyperlink" Target="https://wilkinsmedia.app.box.com/file/2274628220981" TargetMode="External" Id="rId2159" /><Relationship Type="http://schemas.openxmlformats.org/officeDocument/2006/relationships/hyperlink" Target="https://wilkinsmedia.app.box.com/folder/283721445287" TargetMode="External" Id="rId2160" /><Relationship Type="http://schemas.openxmlformats.org/officeDocument/2006/relationships/hyperlink" Target="https://wilkinsmedia.app.box.com/file/2274628220981" TargetMode="External" Id="rId2161" /><Relationship Type="http://schemas.openxmlformats.org/officeDocument/2006/relationships/hyperlink" Target="https://wilkinsmedia.app.box.com/folder/283721445287" TargetMode="External" Id="rId2162" /><Relationship Type="http://schemas.openxmlformats.org/officeDocument/2006/relationships/hyperlink" Target="https://wilkinsmedia.app.box.com/file/2274628220981" TargetMode="External" Id="rId2163" /><Relationship Type="http://schemas.openxmlformats.org/officeDocument/2006/relationships/hyperlink" Target="https://wilkinsmedia.app.box.com/folder/283721445287" TargetMode="External" Id="rId2164" /><Relationship Type="http://schemas.openxmlformats.org/officeDocument/2006/relationships/hyperlink" Target="https://wilkinsmedia.app.box.com/file/2274628220981" TargetMode="External" Id="rId2165" /><Relationship Type="http://schemas.openxmlformats.org/officeDocument/2006/relationships/hyperlink" Target="https://wilkinsmedia.app.box.com/folder/283721445287" TargetMode="External" Id="rId2166" /><Relationship Type="http://schemas.openxmlformats.org/officeDocument/2006/relationships/hyperlink" Target="https://wilkinsmedia.app.box.com/file/2274628220981" TargetMode="External" Id="rId2167" /><Relationship Type="http://schemas.openxmlformats.org/officeDocument/2006/relationships/hyperlink" Target="https://wilkinsmedia.app.box.com/folder/283721445287" TargetMode="External" Id="rId2168" /><Relationship Type="http://schemas.openxmlformats.org/officeDocument/2006/relationships/hyperlink" Target="https://wilkinsmedia.app.box.com/file/2274628220981" TargetMode="External" Id="rId2169" /><Relationship Type="http://schemas.openxmlformats.org/officeDocument/2006/relationships/hyperlink" Target="https://wilkinsmedia.app.box.com/folder/283721445287" TargetMode="External" Id="rId2170" /><Relationship Type="http://schemas.openxmlformats.org/officeDocument/2006/relationships/hyperlink" Target="https://wilkinsmedia.app.box.com/file/2274628220981" TargetMode="External" Id="rId2171" /><Relationship Type="http://schemas.openxmlformats.org/officeDocument/2006/relationships/hyperlink" Target="https://wilkinsmedia.app.box.com/folder/283721445287" TargetMode="External" Id="rId2172" /><Relationship Type="http://schemas.openxmlformats.org/officeDocument/2006/relationships/hyperlink" Target="https://wilkinsmedia.app.box.com/file/2274628220981" TargetMode="External" Id="rId2173" /><Relationship Type="http://schemas.openxmlformats.org/officeDocument/2006/relationships/hyperlink" Target="https://wilkinsmedia.app.box.com/folder/283721445287" TargetMode="External" Id="rId2174" /><Relationship Type="http://schemas.openxmlformats.org/officeDocument/2006/relationships/hyperlink" Target="https://wilkinsmedia.app.box.com/file/2274628220981" TargetMode="External" Id="rId2175" /><Relationship Type="http://schemas.openxmlformats.org/officeDocument/2006/relationships/hyperlink" Target="https://wilkinsmedia.app.box.com/folder/283721445287" TargetMode="External" Id="rId2176" /><Relationship Type="http://schemas.openxmlformats.org/officeDocument/2006/relationships/hyperlink" Target="https://wilkinsmedia.app.box.com/file/2311303135035" TargetMode="External" Id="rId2177" /><Relationship Type="http://schemas.openxmlformats.org/officeDocument/2006/relationships/hyperlink" Target="https://wilkinsmedia.app.box.com/folder/154075538279" TargetMode="External" Id="rId2178" /><Relationship Type="http://schemas.openxmlformats.org/officeDocument/2006/relationships/hyperlink" Target="https://wilkinsmedia.app.box.com/file/2311303135035" TargetMode="External" Id="rId2179" /><Relationship Type="http://schemas.openxmlformats.org/officeDocument/2006/relationships/hyperlink" Target="https://wilkinsmedia.app.box.com/folder/154075538279" TargetMode="External" Id="rId2180" /><Relationship Type="http://schemas.openxmlformats.org/officeDocument/2006/relationships/hyperlink" Target="https://wilkinsmedia.app.box.com/file/2311303135035" TargetMode="External" Id="rId2181" /><Relationship Type="http://schemas.openxmlformats.org/officeDocument/2006/relationships/hyperlink" Target="https://wilkinsmedia.app.box.com/folder/154075538279" TargetMode="External" Id="rId2182" /><Relationship Type="http://schemas.openxmlformats.org/officeDocument/2006/relationships/hyperlink" Target="https://wilkinsmedia.app.box.com/file/2311303135035" TargetMode="External" Id="rId2183" /><Relationship Type="http://schemas.openxmlformats.org/officeDocument/2006/relationships/hyperlink" Target="https://wilkinsmedia.app.box.com/folder/154075538279" TargetMode="External" Id="rId2184" /><Relationship Type="http://schemas.openxmlformats.org/officeDocument/2006/relationships/hyperlink" Target="https://wilkinsmedia.app.box.com/file/2311303135035" TargetMode="External" Id="rId2185" /><Relationship Type="http://schemas.openxmlformats.org/officeDocument/2006/relationships/hyperlink" Target="https://wilkinsmedia.app.box.com/folder/154075538279" TargetMode="External" Id="rId2186" /><Relationship Type="http://schemas.openxmlformats.org/officeDocument/2006/relationships/hyperlink" Target="https://wilkinsmedia.app.box.com/file/2311303135035" TargetMode="External" Id="rId2187" /><Relationship Type="http://schemas.openxmlformats.org/officeDocument/2006/relationships/hyperlink" Target="https://wilkinsmedia.app.box.com/folder/154075538279" TargetMode="External" Id="rId2188" /><Relationship Type="http://schemas.openxmlformats.org/officeDocument/2006/relationships/hyperlink" Target="https://wilkinsmedia.app.box.com/file/2311303135035" TargetMode="External" Id="rId2189" /><Relationship Type="http://schemas.openxmlformats.org/officeDocument/2006/relationships/hyperlink" Target="https://wilkinsmedia.app.box.com/folder/154075538279" TargetMode="External" Id="rId2190" /><Relationship Type="http://schemas.openxmlformats.org/officeDocument/2006/relationships/hyperlink" Target="https://wilkinsmedia.app.box.com/file/2311303135035" TargetMode="External" Id="rId2191" /><Relationship Type="http://schemas.openxmlformats.org/officeDocument/2006/relationships/hyperlink" Target="https://wilkinsmedia.app.box.com/folder/154075538279" TargetMode="External" Id="rId2192" /><Relationship Type="http://schemas.openxmlformats.org/officeDocument/2006/relationships/hyperlink" Target="https://wilkinsmedia.app.box.com/file/2311303135035" TargetMode="External" Id="rId2193" /><Relationship Type="http://schemas.openxmlformats.org/officeDocument/2006/relationships/hyperlink" Target="https://wilkinsmedia.app.box.com/folder/154075538279" TargetMode="External" Id="rId2194" /><Relationship Type="http://schemas.openxmlformats.org/officeDocument/2006/relationships/hyperlink" Target="https://wilkinsmedia.app.box.com/file/2311303135035" TargetMode="External" Id="rId2195" /><Relationship Type="http://schemas.openxmlformats.org/officeDocument/2006/relationships/hyperlink" Target="https://wilkinsmedia.app.box.com/folder/154075538279" TargetMode="External" Id="rId2196" /><Relationship Type="http://schemas.openxmlformats.org/officeDocument/2006/relationships/hyperlink" Target="https://wilkinsmedia.app.box.com/file/2311303135035" TargetMode="External" Id="rId2197" /><Relationship Type="http://schemas.openxmlformats.org/officeDocument/2006/relationships/hyperlink" Target="https://wilkinsmedia.app.box.com/folder/154075538279" TargetMode="External" Id="rId2198" /><Relationship Type="http://schemas.openxmlformats.org/officeDocument/2006/relationships/hyperlink" Target="https://wilkinsmedia.app.box.com/file/1769645872453" TargetMode="External" Id="rId2199" /><Relationship Type="http://schemas.openxmlformats.org/officeDocument/2006/relationships/hyperlink" Target="https://wilkinsmedia.app.box.com/folder/306163158469" TargetMode="External" Id="rId2200" /><Relationship Type="http://schemas.openxmlformats.org/officeDocument/2006/relationships/hyperlink" Target="https://wilkinsmedia.app.box.com/file/1769645872453" TargetMode="External" Id="rId2201" /><Relationship Type="http://schemas.openxmlformats.org/officeDocument/2006/relationships/hyperlink" Target="https://wilkinsmedia.app.box.com/folder/306163158469" TargetMode="External" Id="rId2202" /><Relationship Type="http://schemas.openxmlformats.org/officeDocument/2006/relationships/hyperlink" Target="https://wilkinsmedia.app.box.com/file/1769645872453" TargetMode="External" Id="rId2203" /><Relationship Type="http://schemas.openxmlformats.org/officeDocument/2006/relationships/hyperlink" Target="https://wilkinsmedia.app.box.com/folder/306163158469" TargetMode="External" Id="rId2204" /><Relationship Type="http://schemas.openxmlformats.org/officeDocument/2006/relationships/hyperlink" Target="https://wilkinsmedia.app.box.com/file/1769645872453" TargetMode="External" Id="rId2205" /><Relationship Type="http://schemas.openxmlformats.org/officeDocument/2006/relationships/hyperlink" Target="https://wilkinsmedia.app.box.com/folder/306163158469" TargetMode="External" Id="rId2206" /><Relationship Type="http://schemas.openxmlformats.org/officeDocument/2006/relationships/hyperlink" Target="https://wilkinsmedia.app.box.com/file/1769645872453" TargetMode="External" Id="rId2207" /><Relationship Type="http://schemas.openxmlformats.org/officeDocument/2006/relationships/hyperlink" Target="https://wilkinsmedia.app.box.com/folder/306163158469" TargetMode="External" Id="rId2208" /><Relationship Type="http://schemas.openxmlformats.org/officeDocument/2006/relationships/hyperlink" Target="https://wilkinsmedia.app.box.com/file/1769645872453" TargetMode="External" Id="rId2209" /><Relationship Type="http://schemas.openxmlformats.org/officeDocument/2006/relationships/hyperlink" Target="https://wilkinsmedia.app.box.com/folder/306163158469" TargetMode="External" Id="rId2210" /><Relationship Type="http://schemas.openxmlformats.org/officeDocument/2006/relationships/hyperlink" Target="https://wilkinsmedia.app.box.com/file/1769645872453" TargetMode="External" Id="rId2211" /><Relationship Type="http://schemas.openxmlformats.org/officeDocument/2006/relationships/hyperlink" Target="https://wilkinsmedia.app.box.com/folder/306163158469" TargetMode="External" Id="rId2212" /><Relationship Type="http://schemas.openxmlformats.org/officeDocument/2006/relationships/hyperlink" Target="https://wilkinsmedia.app.box.com/file/1769645872453" TargetMode="External" Id="rId2213" /><Relationship Type="http://schemas.openxmlformats.org/officeDocument/2006/relationships/hyperlink" Target="https://wilkinsmedia.app.box.com/folder/306163158469" TargetMode="External" Id="rId2214" /><Relationship Type="http://schemas.openxmlformats.org/officeDocument/2006/relationships/hyperlink" Target="https://wilkinsmedia.app.box.com/file/2366294108570" TargetMode="External" Id="rId2215" /><Relationship Type="http://schemas.openxmlformats.org/officeDocument/2006/relationships/hyperlink" Target="https://wilkinsmedia.app.box.com/folder/178713377467" TargetMode="External" Id="rId2216" /><Relationship Type="http://schemas.openxmlformats.org/officeDocument/2006/relationships/hyperlink" Target="https://wilkinsmedia.app.box.com/file/2366294108570" TargetMode="External" Id="rId2217" /><Relationship Type="http://schemas.openxmlformats.org/officeDocument/2006/relationships/hyperlink" Target="https://wilkinsmedia.app.box.com/folder/178713377467" TargetMode="External" Id="rId2218" /><Relationship Type="http://schemas.openxmlformats.org/officeDocument/2006/relationships/hyperlink" Target="https://wilkinsmedia.app.box.com/file/2366294108570" TargetMode="External" Id="rId2219" /><Relationship Type="http://schemas.openxmlformats.org/officeDocument/2006/relationships/hyperlink" Target="https://wilkinsmedia.app.box.com/folder/178713377467" TargetMode="External" Id="rId2220" /><Relationship Type="http://schemas.openxmlformats.org/officeDocument/2006/relationships/hyperlink" Target="https://wilkinsmedia.app.box.com/file/2366294108570" TargetMode="External" Id="rId2221" /><Relationship Type="http://schemas.openxmlformats.org/officeDocument/2006/relationships/hyperlink" Target="https://wilkinsmedia.app.box.com/folder/178713377467" TargetMode="External" Id="rId2222" /><Relationship Type="http://schemas.openxmlformats.org/officeDocument/2006/relationships/hyperlink" Target="https://wilkinsmedia.app.box.com/file/2366294108570" TargetMode="External" Id="rId2223" /><Relationship Type="http://schemas.openxmlformats.org/officeDocument/2006/relationships/hyperlink" Target="https://wilkinsmedia.app.box.com/folder/178713377467" TargetMode="External" Id="rId2224" /><Relationship Type="http://schemas.openxmlformats.org/officeDocument/2006/relationships/hyperlink" Target="https://wilkinsmedia.app.box.com/file/2366294108570" TargetMode="External" Id="rId2225" /><Relationship Type="http://schemas.openxmlformats.org/officeDocument/2006/relationships/hyperlink" Target="https://wilkinsmedia.app.box.com/folder/178713377467" TargetMode="External" Id="rId2226" /><Relationship Type="http://schemas.openxmlformats.org/officeDocument/2006/relationships/hyperlink" Target="https://wilkinsmedia.app.box.com/file/2078132896027" TargetMode="External" Id="rId2227" /><Relationship Type="http://schemas.openxmlformats.org/officeDocument/2006/relationships/hyperlink" Target="https://wilkinsmedia.app.box.com/folder/103641898887" TargetMode="External" Id="rId2228" /><Relationship Type="http://schemas.openxmlformats.org/officeDocument/2006/relationships/hyperlink" Target="https://wilkinsmedia.app.box.com/file/2078132896027" TargetMode="External" Id="rId2229" /><Relationship Type="http://schemas.openxmlformats.org/officeDocument/2006/relationships/hyperlink" Target="https://wilkinsmedia.app.box.com/folder/103641898887" TargetMode="External" Id="rId2230" /><Relationship Type="http://schemas.openxmlformats.org/officeDocument/2006/relationships/hyperlink" Target="https://wilkinsmedia.app.box.com/file/2078132896027" TargetMode="External" Id="rId2231" /><Relationship Type="http://schemas.openxmlformats.org/officeDocument/2006/relationships/hyperlink" Target="https://wilkinsmedia.app.box.com/folder/103641898887" TargetMode="External" Id="rId2232" /><Relationship Type="http://schemas.openxmlformats.org/officeDocument/2006/relationships/hyperlink" Target="https://wilkinsmedia.app.box.com/file/2078132896027" TargetMode="External" Id="rId2233" /><Relationship Type="http://schemas.openxmlformats.org/officeDocument/2006/relationships/hyperlink" Target="https://wilkinsmedia.app.box.com/folder/103641898887" TargetMode="External" Id="rId2234" /><Relationship Type="http://schemas.openxmlformats.org/officeDocument/2006/relationships/hyperlink" Target="https://wilkinsmedia.app.box.com/file/2078132896027" TargetMode="External" Id="rId2235" /><Relationship Type="http://schemas.openxmlformats.org/officeDocument/2006/relationships/hyperlink" Target="https://wilkinsmedia.app.box.com/folder/103641898887" TargetMode="External" Id="rId2236" /><Relationship Type="http://schemas.openxmlformats.org/officeDocument/2006/relationships/hyperlink" Target="https://wilkinsmedia.app.box.com/file/2078132896027" TargetMode="External" Id="rId2237" /><Relationship Type="http://schemas.openxmlformats.org/officeDocument/2006/relationships/hyperlink" Target="https://wilkinsmedia.app.box.com/folder/103641898887" TargetMode="External" Id="rId2238" /><Relationship Type="http://schemas.openxmlformats.org/officeDocument/2006/relationships/hyperlink" Target="https://wilkinsmedia.app.box.com/file/2078132896027" TargetMode="External" Id="rId2239" /><Relationship Type="http://schemas.openxmlformats.org/officeDocument/2006/relationships/hyperlink" Target="https://wilkinsmedia.app.box.com/folder/103641898887" TargetMode="External" Id="rId2240" /><Relationship Type="http://schemas.openxmlformats.org/officeDocument/2006/relationships/hyperlink" Target="https://wilkinsmedia.app.box.com/file/2078132896027" TargetMode="External" Id="rId2241" /><Relationship Type="http://schemas.openxmlformats.org/officeDocument/2006/relationships/hyperlink" Target="https://wilkinsmedia.app.box.com/folder/103641898887" TargetMode="External" Id="rId2242" /><Relationship Type="http://schemas.openxmlformats.org/officeDocument/2006/relationships/hyperlink" Target="https://wilkinsmedia.app.box.com/file/2078132896027" TargetMode="External" Id="rId2243" /><Relationship Type="http://schemas.openxmlformats.org/officeDocument/2006/relationships/hyperlink" Target="https://wilkinsmedia.app.box.com/folder/103641898887" TargetMode="External" Id="rId2244" /><Relationship Type="http://schemas.openxmlformats.org/officeDocument/2006/relationships/hyperlink" Target="https://wilkinsmedia.app.box.com/file/2078132896027" TargetMode="External" Id="rId2245" /><Relationship Type="http://schemas.openxmlformats.org/officeDocument/2006/relationships/hyperlink" Target="https://wilkinsmedia.app.box.com/folder/103641898887" TargetMode="External" Id="rId2246" /><Relationship Type="http://schemas.openxmlformats.org/officeDocument/2006/relationships/hyperlink" Target="https://wilkinsmedia.app.box.com/file/2078132896027" TargetMode="External" Id="rId2247" /><Relationship Type="http://schemas.openxmlformats.org/officeDocument/2006/relationships/hyperlink" Target="https://wilkinsmedia.app.box.com/folder/103641898887" TargetMode="External" Id="rId2248" /><Relationship Type="http://schemas.openxmlformats.org/officeDocument/2006/relationships/hyperlink" Target="https://wilkinsmedia.app.box.com/file/2078132896027" TargetMode="External" Id="rId2249" /><Relationship Type="http://schemas.openxmlformats.org/officeDocument/2006/relationships/hyperlink" Target="https://wilkinsmedia.app.box.com/folder/103641898887" TargetMode="External" Id="rId2250" /><Relationship Type="http://schemas.openxmlformats.org/officeDocument/2006/relationships/hyperlink" Target="https://wilkinsmedia.app.box.com/file/2078132896027" TargetMode="External" Id="rId2251" /><Relationship Type="http://schemas.openxmlformats.org/officeDocument/2006/relationships/hyperlink" Target="https://wilkinsmedia.app.box.com/folder/103641898887" TargetMode="External" Id="rId2252" /><Relationship Type="http://schemas.openxmlformats.org/officeDocument/2006/relationships/hyperlink" Target="https://wilkinsmedia.app.box.com/file/2078132896027" TargetMode="External" Id="rId2253" /><Relationship Type="http://schemas.openxmlformats.org/officeDocument/2006/relationships/hyperlink" Target="https://wilkinsmedia.app.box.com/folder/103641898887" TargetMode="External" Id="rId2254" /><Relationship Type="http://schemas.openxmlformats.org/officeDocument/2006/relationships/hyperlink" Target="https://wilkinsmedia.app.box.com/file/2078132896027" TargetMode="External" Id="rId2255" /><Relationship Type="http://schemas.openxmlformats.org/officeDocument/2006/relationships/hyperlink" Target="https://wilkinsmedia.app.box.com/folder/103641898887" TargetMode="External" Id="rId2256" /><Relationship Type="http://schemas.openxmlformats.org/officeDocument/2006/relationships/hyperlink" Target="https://wilkinsmedia.app.box.com/file/2078132896027" TargetMode="External" Id="rId2257" /><Relationship Type="http://schemas.openxmlformats.org/officeDocument/2006/relationships/hyperlink" Target="https://wilkinsmedia.app.box.com/folder/103641898887" TargetMode="External" Id="rId2258" /><Relationship Type="http://schemas.openxmlformats.org/officeDocument/2006/relationships/hyperlink" Target="https://wilkinsmedia.app.box.com/file/2078132896027" TargetMode="External" Id="rId2259" /><Relationship Type="http://schemas.openxmlformats.org/officeDocument/2006/relationships/hyperlink" Target="https://wilkinsmedia.app.box.com/folder/103641898887" TargetMode="External" Id="rId2260" /><Relationship Type="http://schemas.openxmlformats.org/officeDocument/2006/relationships/hyperlink" Target="https://wilkinsmedia.app.box.com/file/2078132896027" TargetMode="External" Id="rId2261" /><Relationship Type="http://schemas.openxmlformats.org/officeDocument/2006/relationships/hyperlink" Target="https://wilkinsmedia.app.box.com/folder/103641898887" TargetMode="External" Id="rId2262" /><Relationship Type="http://schemas.openxmlformats.org/officeDocument/2006/relationships/hyperlink" Target="https://wilkinsmedia.app.box.com/file/2078132896027" TargetMode="External" Id="rId2263" /><Relationship Type="http://schemas.openxmlformats.org/officeDocument/2006/relationships/hyperlink" Target="https://wilkinsmedia.app.box.com/folder/103641898887" TargetMode="External" Id="rId2264" /><Relationship Type="http://schemas.openxmlformats.org/officeDocument/2006/relationships/hyperlink" Target="https://wilkinsmedia.app.box.com/file/2078132896027" TargetMode="External" Id="rId2265" /><Relationship Type="http://schemas.openxmlformats.org/officeDocument/2006/relationships/hyperlink" Target="https://wilkinsmedia.app.box.com/folder/103641898887" TargetMode="External" Id="rId2266" /><Relationship Type="http://schemas.openxmlformats.org/officeDocument/2006/relationships/hyperlink" Target="https://wilkinsmedia.app.box.com/file/2078132896027" TargetMode="External" Id="rId2267" /><Relationship Type="http://schemas.openxmlformats.org/officeDocument/2006/relationships/hyperlink" Target="https://wilkinsmedia.app.box.com/folder/103641898887" TargetMode="External" Id="rId2268" /><Relationship Type="http://schemas.openxmlformats.org/officeDocument/2006/relationships/hyperlink" Target="https://wilkinsmedia.app.box.com/file/2078132896027" TargetMode="External" Id="rId2269" /><Relationship Type="http://schemas.openxmlformats.org/officeDocument/2006/relationships/hyperlink" Target="https://wilkinsmedia.app.box.com/folder/103641898887" TargetMode="External" Id="rId2270" /><Relationship Type="http://schemas.openxmlformats.org/officeDocument/2006/relationships/hyperlink" Target="https://wilkinsmedia.app.box.com/file/2078132896027" TargetMode="External" Id="rId2271" /><Relationship Type="http://schemas.openxmlformats.org/officeDocument/2006/relationships/hyperlink" Target="https://wilkinsmedia.app.box.com/folder/103641898887" TargetMode="External" Id="rId2272" /><Relationship Type="http://schemas.openxmlformats.org/officeDocument/2006/relationships/hyperlink" Target="https://wilkinsmedia.app.box.com/file/2078132896027" TargetMode="External" Id="rId2273" /><Relationship Type="http://schemas.openxmlformats.org/officeDocument/2006/relationships/hyperlink" Target="https://wilkinsmedia.app.box.com/folder/103641898887" TargetMode="External" Id="rId2274" /><Relationship Type="http://schemas.openxmlformats.org/officeDocument/2006/relationships/hyperlink" Target="https://wilkinsmedia.app.box.com/file/2078132896027" TargetMode="External" Id="rId2275" /><Relationship Type="http://schemas.openxmlformats.org/officeDocument/2006/relationships/hyperlink" Target="https://wilkinsmedia.app.box.com/folder/103641898887" TargetMode="External" Id="rId2276" /><Relationship Type="http://schemas.openxmlformats.org/officeDocument/2006/relationships/hyperlink" Target="https://wilkinsmedia.app.box.com/file/2078132896027" TargetMode="External" Id="rId2277" /><Relationship Type="http://schemas.openxmlformats.org/officeDocument/2006/relationships/hyperlink" Target="https://wilkinsmedia.app.box.com/folder/103641898887" TargetMode="External" Id="rId2278" /><Relationship Type="http://schemas.openxmlformats.org/officeDocument/2006/relationships/hyperlink" Target="https://wilkinsmedia.app.box.com/file/2078132896027" TargetMode="External" Id="rId2279" /><Relationship Type="http://schemas.openxmlformats.org/officeDocument/2006/relationships/hyperlink" Target="https://wilkinsmedia.app.box.com/folder/103641898887" TargetMode="External" Id="rId2280" /><Relationship Type="http://schemas.openxmlformats.org/officeDocument/2006/relationships/hyperlink" Target="https://wilkinsmedia.app.box.com/file/2078132896027" TargetMode="External" Id="rId2281" /><Relationship Type="http://schemas.openxmlformats.org/officeDocument/2006/relationships/hyperlink" Target="https://wilkinsmedia.app.box.com/folder/103641898887" TargetMode="External" Id="rId2282" /><Relationship Type="http://schemas.openxmlformats.org/officeDocument/2006/relationships/hyperlink" Target="https://wilkinsmedia.app.box.com/file/2078132896027" TargetMode="External" Id="rId2283" /><Relationship Type="http://schemas.openxmlformats.org/officeDocument/2006/relationships/hyperlink" Target="https://wilkinsmedia.app.box.com/folder/103641898887" TargetMode="External" Id="rId2284" /><Relationship Type="http://schemas.openxmlformats.org/officeDocument/2006/relationships/hyperlink" Target="https://wilkinsmedia.app.box.com/file/2078132896027" TargetMode="External" Id="rId2285" /><Relationship Type="http://schemas.openxmlformats.org/officeDocument/2006/relationships/hyperlink" Target="https://wilkinsmedia.app.box.com/folder/103641898887" TargetMode="External" Id="rId2286" /><Relationship Type="http://schemas.openxmlformats.org/officeDocument/2006/relationships/hyperlink" Target="https://wilkinsmedia.app.box.com/file/2078132896027" TargetMode="External" Id="rId2287" /><Relationship Type="http://schemas.openxmlformats.org/officeDocument/2006/relationships/hyperlink" Target="https://wilkinsmedia.app.box.com/folder/103641898887" TargetMode="External" Id="rId2288" /><Relationship Type="http://schemas.openxmlformats.org/officeDocument/2006/relationships/hyperlink" Target="https://wilkinsmedia.app.box.com/file/2078132896027" TargetMode="External" Id="rId2289" /><Relationship Type="http://schemas.openxmlformats.org/officeDocument/2006/relationships/hyperlink" Target="https://wilkinsmedia.app.box.com/folder/103641898887" TargetMode="External" Id="rId2290" /><Relationship Type="http://schemas.openxmlformats.org/officeDocument/2006/relationships/hyperlink" Target="https://wilkinsmedia.app.box.com/file/2078132896027" TargetMode="External" Id="rId2291" /><Relationship Type="http://schemas.openxmlformats.org/officeDocument/2006/relationships/hyperlink" Target="https://wilkinsmedia.app.box.com/folder/103641898887" TargetMode="External" Id="rId2292" /><Relationship Type="http://schemas.openxmlformats.org/officeDocument/2006/relationships/hyperlink" Target="https://wilkinsmedia.app.box.com/file/2078132896027" TargetMode="External" Id="rId2293" /><Relationship Type="http://schemas.openxmlformats.org/officeDocument/2006/relationships/hyperlink" Target="https://wilkinsmedia.app.box.com/folder/103641898887" TargetMode="External" Id="rId2294" /><Relationship Type="http://schemas.openxmlformats.org/officeDocument/2006/relationships/hyperlink" Target="https://wilkinsmedia.app.box.com/file/2078132896027" TargetMode="External" Id="rId2295" /><Relationship Type="http://schemas.openxmlformats.org/officeDocument/2006/relationships/hyperlink" Target="https://wilkinsmedia.app.box.com/folder/103641898887" TargetMode="External" Id="rId2296" /><Relationship Type="http://schemas.openxmlformats.org/officeDocument/2006/relationships/hyperlink" Target="https://wilkinsmedia.app.box.com/file/2493572094734" TargetMode="External" Id="rId2297" /><Relationship Type="http://schemas.openxmlformats.org/officeDocument/2006/relationships/hyperlink" Target="https://wilkinsmedia.app.box.com/folder/178612973295" TargetMode="External" Id="rId2298" /><Relationship Type="http://schemas.openxmlformats.org/officeDocument/2006/relationships/hyperlink" Target="https://wilkinsmedia.app.box.com/file/2493572094734" TargetMode="External" Id="rId2299" /><Relationship Type="http://schemas.openxmlformats.org/officeDocument/2006/relationships/hyperlink" Target="https://wilkinsmedia.app.box.com/folder/178612973295" TargetMode="External" Id="rId2300" /><Relationship Type="http://schemas.openxmlformats.org/officeDocument/2006/relationships/hyperlink" Target="https://wilkinsmedia.app.box.com/file/2493572094734" TargetMode="External" Id="rId2301" /><Relationship Type="http://schemas.openxmlformats.org/officeDocument/2006/relationships/hyperlink" Target="https://wilkinsmedia.app.box.com/folder/178612973295" TargetMode="External" Id="rId2302" /><Relationship Type="http://schemas.openxmlformats.org/officeDocument/2006/relationships/hyperlink" Target="https://wilkinsmedia.app.box.com/file/2493572094734" TargetMode="External" Id="rId2303" /><Relationship Type="http://schemas.openxmlformats.org/officeDocument/2006/relationships/hyperlink" Target="https://wilkinsmedia.app.box.com/folder/178612973295" TargetMode="External" Id="rId2304" /><Relationship Type="http://schemas.openxmlformats.org/officeDocument/2006/relationships/hyperlink" Target="https://wilkinsmedia.app.box.com/file/2493572094734" TargetMode="External" Id="rId2305" /><Relationship Type="http://schemas.openxmlformats.org/officeDocument/2006/relationships/hyperlink" Target="https://wilkinsmedia.app.box.com/folder/178612973295" TargetMode="External" Id="rId2306" /><Relationship Type="http://schemas.openxmlformats.org/officeDocument/2006/relationships/hyperlink" Target="https://wilkinsmedia.app.box.com/file/2493572094734" TargetMode="External" Id="rId2307" /><Relationship Type="http://schemas.openxmlformats.org/officeDocument/2006/relationships/hyperlink" Target="https://wilkinsmedia.app.box.com/folder/178612973295" TargetMode="External" Id="rId2308" /><Relationship Type="http://schemas.openxmlformats.org/officeDocument/2006/relationships/hyperlink" Target="https://wilkinsmedia.app.box.com/file/2493572094734" TargetMode="External" Id="rId2309" /><Relationship Type="http://schemas.openxmlformats.org/officeDocument/2006/relationships/hyperlink" Target="https://wilkinsmedia.app.box.com/folder/178612973295" TargetMode="External" Id="rId2310" /><Relationship Type="http://schemas.openxmlformats.org/officeDocument/2006/relationships/hyperlink" Target="https://wilkinsmedia.app.box.com/file/2493572094734" TargetMode="External" Id="rId2311" /><Relationship Type="http://schemas.openxmlformats.org/officeDocument/2006/relationships/hyperlink" Target="https://wilkinsmedia.app.box.com/folder/178612973295" TargetMode="External" Id="rId2312" /><Relationship Type="http://schemas.openxmlformats.org/officeDocument/2006/relationships/hyperlink" Target="https://wilkinsmedia.app.box.com/file/2493572094734" TargetMode="External" Id="rId2313" /><Relationship Type="http://schemas.openxmlformats.org/officeDocument/2006/relationships/hyperlink" Target="https://wilkinsmedia.app.box.com/folder/178612973295" TargetMode="External" Id="rId2314" /><Relationship Type="http://schemas.openxmlformats.org/officeDocument/2006/relationships/hyperlink" Target="https://wilkinsmedia.app.box.com/file/2493572094734" TargetMode="External" Id="rId2315" /><Relationship Type="http://schemas.openxmlformats.org/officeDocument/2006/relationships/hyperlink" Target="https://wilkinsmedia.app.box.com/folder/178612973295" TargetMode="External" Id="rId2316" /><Relationship Type="http://schemas.openxmlformats.org/officeDocument/2006/relationships/hyperlink" Target="https://wilkinsmedia.app.box.com/file/2493572094734" TargetMode="External" Id="rId2317" /><Relationship Type="http://schemas.openxmlformats.org/officeDocument/2006/relationships/hyperlink" Target="https://wilkinsmedia.app.box.com/folder/178612973295" TargetMode="External" Id="rId2318" /><Relationship Type="http://schemas.openxmlformats.org/officeDocument/2006/relationships/hyperlink" Target="https://wilkinsmedia.app.box.com/file/2493572094734" TargetMode="External" Id="rId2319" /><Relationship Type="http://schemas.openxmlformats.org/officeDocument/2006/relationships/hyperlink" Target="https://wilkinsmedia.app.box.com/folder/178612973295" TargetMode="External" Id="rId2320" /><Relationship Type="http://schemas.openxmlformats.org/officeDocument/2006/relationships/hyperlink" Target="https://wilkinsmedia.app.box.com/file/2493572094734" TargetMode="External" Id="rId2321" /><Relationship Type="http://schemas.openxmlformats.org/officeDocument/2006/relationships/hyperlink" Target="https://wilkinsmedia.app.box.com/folder/178612973295" TargetMode="External" Id="rId2322" /><Relationship Type="http://schemas.openxmlformats.org/officeDocument/2006/relationships/hyperlink" Target="https://wilkinsmedia.app.box.com/file/2493572094734" TargetMode="External" Id="rId2323" /><Relationship Type="http://schemas.openxmlformats.org/officeDocument/2006/relationships/hyperlink" Target="https://wilkinsmedia.app.box.com/folder/178612973295" TargetMode="External" Id="rId2324" /><Relationship Type="http://schemas.openxmlformats.org/officeDocument/2006/relationships/hyperlink" Target="https://wilkinsmedia.app.box.com/file/2493572094734" TargetMode="External" Id="rId2325" /><Relationship Type="http://schemas.openxmlformats.org/officeDocument/2006/relationships/hyperlink" Target="https://wilkinsmedia.app.box.com/folder/178612973295" TargetMode="External" Id="rId2326" /><Relationship Type="http://schemas.openxmlformats.org/officeDocument/2006/relationships/hyperlink" Target="https://wilkinsmedia.app.box.com/file/2493572094734" TargetMode="External" Id="rId2327" /><Relationship Type="http://schemas.openxmlformats.org/officeDocument/2006/relationships/hyperlink" Target="https://wilkinsmedia.app.box.com/folder/178612973295" TargetMode="External" Id="rId2328" /><Relationship Type="http://schemas.openxmlformats.org/officeDocument/2006/relationships/hyperlink" Target="https://wilkinsmedia.app.box.com/file/2493572094734" TargetMode="External" Id="rId2329" /><Relationship Type="http://schemas.openxmlformats.org/officeDocument/2006/relationships/hyperlink" Target="https://wilkinsmedia.app.box.com/folder/178612973295" TargetMode="External" Id="rId2330" /><Relationship Type="http://schemas.openxmlformats.org/officeDocument/2006/relationships/hyperlink" Target="https://wilkinsmedia.app.box.com/file/2493572094734" TargetMode="External" Id="rId2331" /><Relationship Type="http://schemas.openxmlformats.org/officeDocument/2006/relationships/hyperlink" Target="https://wilkinsmedia.app.box.com/folder/178612973295" TargetMode="External" Id="rId2332" /><Relationship Type="http://schemas.openxmlformats.org/officeDocument/2006/relationships/hyperlink" Target="https://wilkinsmedia.app.box.com/file/2493572094734" TargetMode="External" Id="rId2333" /><Relationship Type="http://schemas.openxmlformats.org/officeDocument/2006/relationships/hyperlink" Target="https://wilkinsmedia.app.box.com/folder/178612973295" TargetMode="External" Id="rId2334" /><Relationship Type="http://schemas.openxmlformats.org/officeDocument/2006/relationships/hyperlink" Target="https://wilkinsmedia.app.box.com/file/2493572094734" TargetMode="External" Id="rId2335" /><Relationship Type="http://schemas.openxmlformats.org/officeDocument/2006/relationships/hyperlink" Target="https://wilkinsmedia.app.box.com/folder/178612973295" TargetMode="External" Id="rId2336" /><Relationship Type="http://schemas.openxmlformats.org/officeDocument/2006/relationships/hyperlink" Target="https://wilkinsmedia.app.box.com/file/2493572094734" TargetMode="External" Id="rId2337" /><Relationship Type="http://schemas.openxmlformats.org/officeDocument/2006/relationships/hyperlink" Target="https://wilkinsmedia.app.box.com/folder/178612973295" TargetMode="External" Id="rId2338" /><Relationship Type="http://schemas.openxmlformats.org/officeDocument/2006/relationships/hyperlink" Target="https://wilkinsmedia.app.box.com/file/2493572094734" TargetMode="External" Id="rId2339" /><Relationship Type="http://schemas.openxmlformats.org/officeDocument/2006/relationships/hyperlink" Target="https://wilkinsmedia.app.box.com/folder/178612973295" TargetMode="External" Id="rId2340" /><Relationship Type="http://schemas.openxmlformats.org/officeDocument/2006/relationships/hyperlink" Target="https://wilkinsmedia.app.box.com/file/2493572094734" TargetMode="External" Id="rId2341" /><Relationship Type="http://schemas.openxmlformats.org/officeDocument/2006/relationships/hyperlink" Target="https://wilkinsmedia.app.box.com/folder/178612973295" TargetMode="External" Id="rId2342" /><Relationship Type="http://schemas.openxmlformats.org/officeDocument/2006/relationships/hyperlink" Target="https://wilkinsmedia.app.box.com/file/2493572094734" TargetMode="External" Id="rId2343" /><Relationship Type="http://schemas.openxmlformats.org/officeDocument/2006/relationships/hyperlink" Target="https://wilkinsmedia.app.box.com/folder/178612973295" TargetMode="External" Id="rId2344" /><Relationship Type="http://schemas.openxmlformats.org/officeDocument/2006/relationships/hyperlink" Target="https://wilkinsmedia.app.box.com/file/2493572094734" TargetMode="External" Id="rId2345" /><Relationship Type="http://schemas.openxmlformats.org/officeDocument/2006/relationships/hyperlink" Target="https://wilkinsmedia.app.box.com/folder/178612973295" TargetMode="External" Id="rId2346" /><Relationship Type="http://schemas.openxmlformats.org/officeDocument/2006/relationships/hyperlink" Target="https://wilkinsmedia.app.box.com/file/2493572094734" TargetMode="External" Id="rId2347" /><Relationship Type="http://schemas.openxmlformats.org/officeDocument/2006/relationships/hyperlink" Target="https://wilkinsmedia.app.box.com/folder/178612973295" TargetMode="External" Id="rId2348" /><Relationship Type="http://schemas.openxmlformats.org/officeDocument/2006/relationships/hyperlink" Target="https://wilkinsmedia.app.box.com/file/2493572094734" TargetMode="External" Id="rId2349" /><Relationship Type="http://schemas.openxmlformats.org/officeDocument/2006/relationships/hyperlink" Target="https://wilkinsmedia.app.box.com/folder/178612973295" TargetMode="External" Id="rId2350" /><Relationship Type="http://schemas.openxmlformats.org/officeDocument/2006/relationships/hyperlink" Target="https://wilkinsmedia.app.box.com/file/2089228670085" TargetMode="External" Id="rId2351" /><Relationship Type="http://schemas.openxmlformats.org/officeDocument/2006/relationships/hyperlink" Target="https://wilkinsmedia.app.box.com/folder/358319977979" TargetMode="External" Id="rId2352" /><Relationship Type="http://schemas.openxmlformats.org/officeDocument/2006/relationships/hyperlink" Target="https://wilkinsmedia.app.box.com/file/2089228670085" TargetMode="External" Id="rId2353" /><Relationship Type="http://schemas.openxmlformats.org/officeDocument/2006/relationships/hyperlink" Target="https://wilkinsmedia.app.box.com/folder/358319977979" TargetMode="External" Id="rId2354" /><Relationship Type="http://schemas.openxmlformats.org/officeDocument/2006/relationships/hyperlink" Target="https://wilkinsmedia.app.box.com/file/1741157997078" TargetMode="External" Id="rId2355" /><Relationship Type="http://schemas.openxmlformats.org/officeDocument/2006/relationships/hyperlink" Target="https://wilkinsmedia.app.box.com/folder/178724568361" TargetMode="External" Id="rId2356" /><Relationship Type="http://schemas.openxmlformats.org/officeDocument/2006/relationships/hyperlink" Target="https://wilkinsmedia.app.box.com/file/1741157997078" TargetMode="External" Id="rId2357" /><Relationship Type="http://schemas.openxmlformats.org/officeDocument/2006/relationships/hyperlink" Target="https://wilkinsmedia.app.box.com/folder/178724568361" TargetMode="External" Id="rId2358" /><Relationship Type="http://schemas.openxmlformats.org/officeDocument/2006/relationships/hyperlink" Target="https://wilkinsmedia.app.box.com/file/1741157997078" TargetMode="External" Id="rId2359" /><Relationship Type="http://schemas.openxmlformats.org/officeDocument/2006/relationships/hyperlink" Target="https://wilkinsmedia.app.box.com/folder/178724568361" TargetMode="External" Id="rId2360" /><Relationship Type="http://schemas.openxmlformats.org/officeDocument/2006/relationships/hyperlink" Target="https://wilkinsmedia.app.box.com/file/2289708302244" TargetMode="External" Id="rId2361" /><Relationship Type="http://schemas.openxmlformats.org/officeDocument/2006/relationships/hyperlink" Target="https://wilkinsmedia.app.box.com/folder/390842972470" TargetMode="External" Id="rId2362" /><Relationship Type="http://schemas.openxmlformats.org/officeDocument/2006/relationships/hyperlink" Target="https://wilkinsmedia.app.box.com/file/2289708302244" TargetMode="External" Id="rId2363" /><Relationship Type="http://schemas.openxmlformats.org/officeDocument/2006/relationships/hyperlink" Target="https://wilkinsmedia.app.box.com/folder/390842972470" TargetMode="External" Id="rId2364" /><Relationship Type="http://schemas.openxmlformats.org/officeDocument/2006/relationships/hyperlink" Target="https://wilkinsmedia.app.box.com/file/2110569758245" TargetMode="External" Id="rId2365" /><Relationship Type="http://schemas.openxmlformats.org/officeDocument/2006/relationships/hyperlink" Target="https://wilkinsmedia.app.box.com/folder/237851380150" TargetMode="External" Id="rId2366" /><Relationship Type="http://schemas.openxmlformats.org/officeDocument/2006/relationships/hyperlink" Target="https://wilkinsmedia.app.box.com/file/2110569758245" TargetMode="External" Id="rId2367" /><Relationship Type="http://schemas.openxmlformats.org/officeDocument/2006/relationships/hyperlink" Target="https://wilkinsmedia.app.box.com/folder/237851380150" TargetMode="External" Id="rId2368" /><Relationship Type="http://schemas.openxmlformats.org/officeDocument/2006/relationships/hyperlink" Target="https://wilkinsmedia.app.box.com/file/2110569758245" TargetMode="External" Id="rId2369" /><Relationship Type="http://schemas.openxmlformats.org/officeDocument/2006/relationships/hyperlink" Target="https://wilkinsmedia.app.box.com/folder/237851380150" TargetMode="External" Id="rId2370" /><Relationship Type="http://schemas.openxmlformats.org/officeDocument/2006/relationships/hyperlink" Target="https://wilkinsmedia.app.box.com/file/2110569758245" TargetMode="External" Id="rId2371" /><Relationship Type="http://schemas.openxmlformats.org/officeDocument/2006/relationships/hyperlink" Target="https://wilkinsmedia.app.box.com/folder/237851380150" TargetMode="External" Id="rId2372" /><Relationship Type="http://schemas.openxmlformats.org/officeDocument/2006/relationships/hyperlink" Target="https://wilkinsmedia.app.box.com/file/1947537273201" TargetMode="External" Id="rId2373" /><Relationship Type="http://schemas.openxmlformats.org/officeDocument/2006/relationships/hyperlink" Target="https://wilkinsmedia.app.box.com/folder/254834119133" TargetMode="External" Id="rId2374" /><Relationship Type="http://schemas.openxmlformats.org/officeDocument/2006/relationships/hyperlink" Target="https://wilkinsmedia.app.box.com/file/1947537273201" TargetMode="External" Id="rId2375" /><Relationship Type="http://schemas.openxmlformats.org/officeDocument/2006/relationships/hyperlink" Target="https://wilkinsmedia.app.box.com/folder/254834119133" TargetMode="External" Id="rId2376" /><Relationship Type="http://schemas.openxmlformats.org/officeDocument/2006/relationships/hyperlink" Target="https://wilkinsmedia.app.box.com/file/2021771850908" TargetMode="External" Id="rId2377" /><Relationship Type="http://schemas.openxmlformats.org/officeDocument/2006/relationships/hyperlink" Target="https://wilkinsmedia.app.box.com/folder/346991439827" TargetMode="External" Id="rId2378" /><Relationship Type="http://schemas.openxmlformats.org/officeDocument/2006/relationships/hyperlink" Target="https://wilkinsmedia.app.box.com/file/2021771850908" TargetMode="External" Id="rId2379" /><Relationship Type="http://schemas.openxmlformats.org/officeDocument/2006/relationships/hyperlink" Target="https://wilkinsmedia.app.box.com/folder/346991439827" TargetMode="External" Id="rId2380" /><Relationship Type="http://schemas.openxmlformats.org/officeDocument/2006/relationships/hyperlink" Target="https://wilkinsmedia.app.box.com/file/2021771850908" TargetMode="External" Id="rId2381" /><Relationship Type="http://schemas.openxmlformats.org/officeDocument/2006/relationships/hyperlink" Target="https://wilkinsmedia.app.box.com/folder/346991439827" TargetMode="External" Id="rId2382" /><Relationship Type="http://schemas.openxmlformats.org/officeDocument/2006/relationships/hyperlink" Target="https://wilkinsmedia.app.box.com/file/2021771850908" TargetMode="External" Id="rId2383" /><Relationship Type="http://schemas.openxmlformats.org/officeDocument/2006/relationships/hyperlink" Target="https://wilkinsmedia.app.box.com/folder/346991439827" TargetMode="External" Id="rId2384" /><Relationship Type="http://schemas.openxmlformats.org/officeDocument/2006/relationships/hyperlink" Target="https://wilkinsmedia.app.box.com/file/2055593312780" TargetMode="External" Id="rId2385" /><Relationship Type="http://schemas.openxmlformats.org/officeDocument/2006/relationships/hyperlink" Target="https://wilkinsmedia.app.box.com/folder/346992450032" TargetMode="External" Id="rId2386" /><Relationship Type="http://schemas.openxmlformats.org/officeDocument/2006/relationships/hyperlink" Target="https://wilkinsmedia.app.box.com/file/2055593312780" TargetMode="External" Id="rId2387" /><Relationship Type="http://schemas.openxmlformats.org/officeDocument/2006/relationships/hyperlink" Target="https://wilkinsmedia.app.box.com/folder/346992450032" TargetMode="External" Id="rId2388" /><Relationship Type="http://schemas.openxmlformats.org/officeDocument/2006/relationships/hyperlink" Target="https://wilkinsmedia.app.box.com/file/2055593312780" TargetMode="External" Id="rId2389" /><Relationship Type="http://schemas.openxmlformats.org/officeDocument/2006/relationships/hyperlink" Target="https://wilkinsmedia.app.box.com/folder/346992450032" TargetMode="External" Id="rId2390" /><Relationship Type="http://schemas.openxmlformats.org/officeDocument/2006/relationships/hyperlink" Target="https://wilkinsmedia.app.box.com/file/2055593312780" TargetMode="External" Id="rId2391" /><Relationship Type="http://schemas.openxmlformats.org/officeDocument/2006/relationships/hyperlink" Target="https://wilkinsmedia.app.box.com/folder/346992450032" TargetMode="External" Id="rId2392" /><Relationship Type="http://schemas.openxmlformats.org/officeDocument/2006/relationships/hyperlink" Target="https://wilkinsmedia.app.box.com/file/2055593312780" TargetMode="External" Id="rId2393" /><Relationship Type="http://schemas.openxmlformats.org/officeDocument/2006/relationships/hyperlink" Target="https://wilkinsmedia.app.box.com/folder/346992450032" TargetMode="External" Id="rId2394" /><Relationship Type="http://schemas.openxmlformats.org/officeDocument/2006/relationships/hyperlink" Target="https://wilkinsmedia.app.box.com/file/2206726658177" TargetMode="External" Id="rId2395" /><Relationship Type="http://schemas.openxmlformats.org/officeDocument/2006/relationships/hyperlink" Target="https://wilkinsmedia.app.box.com/folder/298113050214" TargetMode="External" Id="rId2396" /><Relationship Type="http://schemas.openxmlformats.org/officeDocument/2006/relationships/hyperlink" Target="https://wilkinsmedia.app.box.com/file/2206726658177" TargetMode="External" Id="rId2397" /><Relationship Type="http://schemas.openxmlformats.org/officeDocument/2006/relationships/hyperlink" Target="https://wilkinsmedia.app.box.com/folder/298113050214" TargetMode="External" Id="rId2398" /><Relationship Type="http://schemas.openxmlformats.org/officeDocument/2006/relationships/hyperlink" Target="https://wilkinsmedia.app.box.com/file/2206726658177" TargetMode="External" Id="rId2399" /><Relationship Type="http://schemas.openxmlformats.org/officeDocument/2006/relationships/hyperlink" Target="https://wilkinsmedia.app.box.com/folder/298113050214" TargetMode="External" Id="rId2400" /><Relationship Type="http://schemas.openxmlformats.org/officeDocument/2006/relationships/hyperlink" Target="https://wilkinsmedia.app.box.com/file/2206726658177" TargetMode="External" Id="rId2401" /><Relationship Type="http://schemas.openxmlformats.org/officeDocument/2006/relationships/hyperlink" Target="https://wilkinsmedia.app.box.com/folder/298113050214" TargetMode="External" Id="rId2402" /><Relationship Type="http://schemas.openxmlformats.org/officeDocument/2006/relationships/hyperlink" Target="https://wilkinsmedia.app.box.com/file/2206726658177" TargetMode="External" Id="rId2403" /><Relationship Type="http://schemas.openxmlformats.org/officeDocument/2006/relationships/hyperlink" Target="https://wilkinsmedia.app.box.com/folder/298113050214" TargetMode="External" Id="rId2404" /><Relationship Type="http://schemas.openxmlformats.org/officeDocument/2006/relationships/hyperlink" Target="https://wilkinsmedia.app.box.com/file/2318782038364" TargetMode="External" Id="rId2405" /><Relationship Type="http://schemas.openxmlformats.org/officeDocument/2006/relationships/hyperlink" Target="https://wilkinsmedia.app.box.com/folder/178724972138" TargetMode="External" Id="rId2406" /><Relationship Type="http://schemas.openxmlformats.org/officeDocument/2006/relationships/hyperlink" Target="https://wilkinsmedia.app.box.com/file/2318782038364" TargetMode="External" Id="rId2407" /><Relationship Type="http://schemas.openxmlformats.org/officeDocument/2006/relationships/hyperlink" Target="https://wilkinsmedia.app.box.com/folder/178724972138" TargetMode="External" Id="rId2408" /><Relationship Type="http://schemas.openxmlformats.org/officeDocument/2006/relationships/hyperlink" Target="https://wilkinsmedia.app.box.com/file/2318782038364" TargetMode="External" Id="rId2409" /><Relationship Type="http://schemas.openxmlformats.org/officeDocument/2006/relationships/hyperlink" Target="https://wilkinsmedia.app.box.com/folder/178724972138" TargetMode="External" Id="rId2410" /><Relationship Type="http://schemas.openxmlformats.org/officeDocument/2006/relationships/hyperlink" Target="https://wilkinsmedia.app.box.com/file/2318782038364" TargetMode="External" Id="rId2411" /><Relationship Type="http://schemas.openxmlformats.org/officeDocument/2006/relationships/hyperlink" Target="https://wilkinsmedia.app.box.com/folder/178724972138" TargetMode="External" Id="rId2412" /><Relationship Type="http://schemas.openxmlformats.org/officeDocument/2006/relationships/hyperlink" Target="https://wilkinsmedia.app.box.com/file/2186763253392" TargetMode="External" Id="rId2413" /><Relationship Type="http://schemas.openxmlformats.org/officeDocument/2006/relationships/hyperlink" Target="https://wilkinsmedia.app.box.com/folder/180042163767" TargetMode="External" Id="rId2414" /><Relationship Type="http://schemas.openxmlformats.org/officeDocument/2006/relationships/hyperlink" Target="https://wilkinsmedia.app.box.com/file/2186763253392" TargetMode="External" Id="rId2415" /><Relationship Type="http://schemas.openxmlformats.org/officeDocument/2006/relationships/hyperlink" Target="https://wilkinsmedia.app.box.com/folder/180042163767" TargetMode="External" Id="rId2416" /><Relationship Type="http://schemas.openxmlformats.org/officeDocument/2006/relationships/hyperlink" Target="https://wilkinsmedia.app.box.com/file/2186763253392" TargetMode="External" Id="rId2417" /><Relationship Type="http://schemas.openxmlformats.org/officeDocument/2006/relationships/hyperlink" Target="https://wilkinsmedia.app.box.com/folder/180042163767" TargetMode="External" Id="rId2418" /><Relationship Type="http://schemas.openxmlformats.org/officeDocument/2006/relationships/hyperlink" Target="https://wilkinsmedia.app.box.com/file/2186763253392" TargetMode="External" Id="rId2419" /><Relationship Type="http://schemas.openxmlformats.org/officeDocument/2006/relationships/hyperlink" Target="https://wilkinsmedia.app.box.com/folder/180042163767" TargetMode="External" Id="rId2420" /><Relationship Type="http://schemas.openxmlformats.org/officeDocument/2006/relationships/hyperlink" Target="https://wilkinsmedia.app.box.com/file/2186763253392" TargetMode="External" Id="rId2421" /><Relationship Type="http://schemas.openxmlformats.org/officeDocument/2006/relationships/hyperlink" Target="https://wilkinsmedia.app.box.com/folder/180042163767" TargetMode="External" Id="rId2422" /><Relationship Type="http://schemas.openxmlformats.org/officeDocument/2006/relationships/hyperlink" Target="https://wilkinsmedia.app.box.com/file/1946610654175" TargetMode="External" Id="rId2423" /><Relationship Type="http://schemas.openxmlformats.org/officeDocument/2006/relationships/hyperlink" Target="https://wilkinsmedia.app.box.com/folder/245968263732" TargetMode="External" Id="rId2424" /><Relationship Type="http://schemas.openxmlformats.org/officeDocument/2006/relationships/hyperlink" Target="https://wilkinsmedia.app.box.com/file/1946610654175" TargetMode="External" Id="rId2425" /><Relationship Type="http://schemas.openxmlformats.org/officeDocument/2006/relationships/hyperlink" Target="https://wilkinsmedia.app.box.com/folder/245968263732" TargetMode="External" Id="rId2426" /><Relationship Type="http://schemas.openxmlformats.org/officeDocument/2006/relationships/hyperlink" Target="https://wilkinsmedia.app.box.com/file/1946610654175" TargetMode="External" Id="rId2427" /><Relationship Type="http://schemas.openxmlformats.org/officeDocument/2006/relationships/hyperlink" Target="https://wilkinsmedia.app.box.com/folder/245968263732" TargetMode="External" Id="rId2428" /><Relationship Type="http://schemas.openxmlformats.org/officeDocument/2006/relationships/hyperlink" Target="https://wilkinsmedia.app.box.com/file/2311272796708" TargetMode="External" Id="rId2429" /><Relationship Type="http://schemas.openxmlformats.org/officeDocument/2006/relationships/hyperlink" Target="https://wilkinsmedia.app.box.com/folder/179588450728" TargetMode="External" Id="rId2430" /><Relationship Type="http://schemas.openxmlformats.org/officeDocument/2006/relationships/hyperlink" Target="https://wilkinsmedia.app.box.com/file/2311272796708" TargetMode="External" Id="rId2431" /><Relationship Type="http://schemas.openxmlformats.org/officeDocument/2006/relationships/hyperlink" Target="https://wilkinsmedia.app.box.com/folder/179588450728" TargetMode="External" Id="rId2432" /><Relationship Type="http://schemas.openxmlformats.org/officeDocument/2006/relationships/hyperlink" Target="https://wilkinsmedia.app.box.com/file/2311272796708" TargetMode="External" Id="rId2433" /><Relationship Type="http://schemas.openxmlformats.org/officeDocument/2006/relationships/hyperlink" Target="https://wilkinsmedia.app.box.com/folder/179588450728" TargetMode="External" Id="rId2434" /><Relationship Type="http://schemas.openxmlformats.org/officeDocument/2006/relationships/hyperlink" Target="https://wilkinsmedia.app.box.com/file/2311272796708" TargetMode="External" Id="rId2435" /><Relationship Type="http://schemas.openxmlformats.org/officeDocument/2006/relationships/hyperlink" Target="https://wilkinsmedia.app.box.com/folder/179588450728" TargetMode="External" Id="rId2436" /><Relationship Type="http://schemas.openxmlformats.org/officeDocument/2006/relationships/hyperlink" Target="https://wilkinsmedia.app.box.com/file/1488133597659" TargetMode="External" Id="rId2437" /><Relationship Type="http://schemas.openxmlformats.org/officeDocument/2006/relationships/hyperlink" Target="https://wilkinsmedia.app.box.com/folder/254832767576" TargetMode="External" Id="rId2438" /><Relationship Type="http://schemas.openxmlformats.org/officeDocument/2006/relationships/hyperlink" Target="https://wilkinsmedia.app.box.com/file/1488133597659" TargetMode="External" Id="rId2439" /><Relationship Type="http://schemas.openxmlformats.org/officeDocument/2006/relationships/hyperlink" Target="https://wilkinsmedia.app.box.com/folder/254832767576" TargetMode="External" Id="rId2440" /><Relationship Type="http://schemas.openxmlformats.org/officeDocument/2006/relationships/hyperlink" Target="https://wilkinsmedia.app.box.com/file/1488133597659" TargetMode="External" Id="rId2441" /><Relationship Type="http://schemas.openxmlformats.org/officeDocument/2006/relationships/hyperlink" Target="https://wilkinsmedia.app.box.com/folder/254832767576" TargetMode="External" Id="rId2442" /><Relationship Type="http://schemas.openxmlformats.org/officeDocument/2006/relationships/hyperlink" Target="https://wilkinsmedia.app.box.com/file/1488133597659" TargetMode="External" Id="rId2443" /><Relationship Type="http://schemas.openxmlformats.org/officeDocument/2006/relationships/hyperlink" Target="https://wilkinsmedia.app.box.com/folder/254832767576" TargetMode="External" Id="rId2444" /><Relationship Type="http://schemas.openxmlformats.org/officeDocument/2006/relationships/hyperlink" Target="https://wilkinsmedia.app.box.com/file/2240711527174" TargetMode="External" Id="rId2445" /><Relationship Type="http://schemas.openxmlformats.org/officeDocument/2006/relationships/hyperlink" Target="https://wilkinsmedia.app.box.com/folder/350397854217" TargetMode="External" Id="rId2446" /><Relationship Type="http://schemas.openxmlformats.org/officeDocument/2006/relationships/hyperlink" Target="https://wilkinsmedia.app.box.com/file/2240711527174" TargetMode="External" Id="rId2447" /><Relationship Type="http://schemas.openxmlformats.org/officeDocument/2006/relationships/hyperlink" Target="https://wilkinsmedia.app.box.com/folder/350397854217" TargetMode="External" Id="rId2448" /><Relationship Type="http://schemas.openxmlformats.org/officeDocument/2006/relationships/hyperlink" Target="https://wilkinsmedia.app.box.com/file/2240711527174" TargetMode="External" Id="rId2449" /><Relationship Type="http://schemas.openxmlformats.org/officeDocument/2006/relationships/hyperlink" Target="https://wilkinsmedia.app.box.com/folder/350397854217" TargetMode="External" Id="rId2450" /><Relationship Type="http://schemas.openxmlformats.org/officeDocument/2006/relationships/hyperlink" Target="https://wilkinsmedia.app.box.com/file/2240711527174" TargetMode="External" Id="rId2451" /><Relationship Type="http://schemas.openxmlformats.org/officeDocument/2006/relationships/hyperlink" Target="https://wilkinsmedia.app.box.com/folder/350397854217" TargetMode="External" Id="rId2452" /><Relationship Type="http://schemas.openxmlformats.org/officeDocument/2006/relationships/hyperlink" Target="https://wilkinsmedia.app.box.com/file/2240711527174" TargetMode="External" Id="rId2453" /><Relationship Type="http://schemas.openxmlformats.org/officeDocument/2006/relationships/hyperlink" Target="https://wilkinsmedia.app.box.com/folder/350397854217" TargetMode="External" Id="rId2454" /><Relationship Type="http://schemas.openxmlformats.org/officeDocument/2006/relationships/hyperlink" Target="https://wilkinsmedia.app.box.com/file/2238557005972" TargetMode="External" Id="rId2455" /><Relationship Type="http://schemas.openxmlformats.org/officeDocument/2006/relationships/hyperlink" Target="https://wilkinsmedia.app.box.com/folder/272902062127" TargetMode="External" Id="rId2456" /><Relationship Type="http://schemas.openxmlformats.org/officeDocument/2006/relationships/hyperlink" Target="https://wilkinsmedia.app.box.com/file/2238557005972" TargetMode="External" Id="rId2457" /><Relationship Type="http://schemas.openxmlformats.org/officeDocument/2006/relationships/hyperlink" Target="https://wilkinsmedia.app.box.com/folder/272902062127" TargetMode="External" Id="rId2458" /><Relationship Type="http://schemas.openxmlformats.org/officeDocument/2006/relationships/hyperlink" Target="https://wilkinsmedia.app.box.com/file/2238557005972" TargetMode="External" Id="rId2459" /><Relationship Type="http://schemas.openxmlformats.org/officeDocument/2006/relationships/hyperlink" Target="https://wilkinsmedia.app.box.com/folder/272902062127" TargetMode="External" Id="rId2460" /><Relationship Type="http://schemas.openxmlformats.org/officeDocument/2006/relationships/hyperlink" Target="https://wilkinsmedia.app.box.com/file/2413793061594" TargetMode="External" Id="rId2461" /><Relationship Type="http://schemas.openxmlformats.org/officeDocument/2006/relationships/hyperlink" Target="https://wilkinsmedia.app.box.com/folder/254324991637" TargetMode="External" Id="rId2462" /><Relationship Type="http://schemas.openxmlformats.org/officeDocument/2006/relationships/hyperlink" Target="https://wilkinsmedia.app.box.com/file/2413793061594" TargetMode="External" Id="rId2463" /><Relationship Type="http://schemas.openxmlformats.org/officeDocument/2006/relationships/hyperlink" Target="https://wilkinsmedia.app.box.com/folder/254324991637" TargetMode="External" Id="rId2464" /><Relationship Type="http://schemas.openxmlformats.org/officeDocument/2006/relationships/hyperlink" Target="https://wilkinsmedia.app.box.com/file/2101353003723" TargetMode="External" Id="rId2465" /><Relationship Type="http://schemas.openxmlformats.org/officeDocument/2006/relationships/hyperlink" Target="https://wilkinsmedia.app.box.com/folder/180140449091" TargetMode="External" Id="rId2466" /><Relationship Type="http://schemas.openxmlformats.org/officeDocument/2006/relationships/hyperlink" Target="https://wilkinsmedia.app.box.com/file/2101353003723" TargetMode="External" Id="rId2467" /><Relationship Type="http://schemas.openxmlformats.org/officeDocument/2006/relationships/hyperlink" Target="https://wilkinsmedia.app.box.com/folder/180140449091" TargetMode="External" Id="rId2468" /><Relationship Type="http://schemas.openxmlformats.org/officeDocument/2006/relationships/hyperlink" Target="https://wilkinsmedia.app.box.com/file/2101353003723" TargetMode="External" Id="rId2469" /><Relationship Type="http://schemas.openxmlformats.org/officeDocument/2006/relationships/hyperlink" Target="https://wilkinsmedia.app.box.com/folder/180140449091" TargetMode="External" Id="rId2470" /><Relationship Type="http://schemas.openxmlformats.org/officeDocument/2006/relationships/hyperlink" Target="https://wilkinsmedia.app.box.com/file/2401058593540" TargetMode="External" Id="rId2471" /><Relationship Type="http://schemas.openxmlformats.org/officeDocument/2006/relationships/hyperlink" Target="https://wilkinsmedia.app.box.com/folder/178726913420" TargetMode="External" Id="rId2472" /><Relationship Type="http://schemas.openxmlformats.org/officeDocument/2006/relationships/hyperlink" Target="https://wilkinsmedia.app.box.com/file/2401058593540" TargetMode="External" Id="rId2473" /><Relationship Type="http://schemas.openxmlformats.org/officeDocument/2006/relationships/hyperlink" Target="https://wilkinsmedia.app.box.com/folder/178726913420" TargetMode="External" Id="rId2474" /><Relationship Type="http://schemas.openxmlformats.org/officeDocument/2006/relationships/hyperlink" Target="https://wilkinsmedia.app.box.com/file/2401058593540" TargetMode="External" Id="rId2475" /><Relationship Type="http://schemas.openxmlformats.org/officeDocument/2006/relationships/hyperlink" Target="https://wilkinsmedia.app.box.com/folder/178726913420" TargetMode="External" Id="rId2476" /><Relationship Type="http://schemas.openxmlformats.org/officeDocument/2006/relationships/hyperlink" Target="https://wilkinsmedia.app.box.com/file/2401058593540" TargetMode="External" Id="rId2477" /><Relationship Type="http://schemas.openxmlformats.org/officeDocument/2006/relationships/hyperlink" Target="https://wilkinsmedia.app.box.com/folder/178726913420" TargetMode="External" Id="rId2478" /><Relationship Type="http://schemas.openxmlformats.org/officeDocument/2006/relationships/hyperlink" Target="https://wilkinsmedia.app.box.com/file/2401058593540" TargetMode="External" Id="rId2479" /><Relationship Type="http://schemas.openxmlformats.org/officeDocument/2006/relationships/hyperlink" Target="https://wilkinsmedia.app.box.com/folder/178726913420" TargetMode="External" Id="rId2480" /><Relationship Type="http://schemas.openxmlformats.org/officeDocument/2006/relationships/hyperlink" Target="https://wilkinsmedia.app.box.com/file/2401058593540" TargetMode="External" Id="rId2481" /><Relationship Type="http://schemas.openxmlformats.org/officeDocument/2006/relationships/hyperlink" Target="https://wilkinsmedia.app.box.com/folder/178726913420" TargetMode="External" Id="rId2482" /><Relationship Type="http://schemas.openxmlformats.org/officeDocument/2006/relationships/hyperlink" Target="https://wilkinsmedia.app.box.com/file/2401058593540" TargetMode="External" Id="rId2483" /><Relationship Type="http://schemas.openxmlformats.org/officeDocument/2006/relationships/hyperlink" Target="https://wilkinsmedia.app.box.com/folder/178726913420" TargetMode="External" Id="rId2484" /><Relationship Type="http://schemas.openxmlformats.org/officeDocument/2006/relationships/hyperlink" Target="https://wilkinsmedia.app.box.com/file/2401058593540" TargetMode="External" Id="rId2485" /><Relationship Type="http://schemas.openxmlformats.org/officeDocument/2006/relationships/hyperlink" Target="https://wilkinsmedia.app.box.com/folder/178726913420" TargetMode="External" Id="rId2486" /><Relationship Type="http://schemas.openxmlformats.org/officeDocument/2006/relationships/hyperlink" Target="https://wilkinsmedia.app.box.com/file/2401058593540" TargetMode="External" Id="rId2487" /><Relationship Type="http://schemas.openxmlformats.org/officeDocument/2006/relationships/hyperlink" Target="https://wilkinsmedia.app.box.com/folder/178726913420" TargetMode="External" Id="rId2488" /><Relationship Type="http://schemas.openxmlformats.org/officeDocument/2006/relationships/hyperlink" Target="https://wilkinsmedia.app.box.com/file/2401058593540" TargetMode="External" Id="rId2489" /><Relationship Type="http://schemas.openxmlformats.org/officeDocument/2006/relationships/hyperlink" Target="https://wilkinsmedia.app.box.com/folder/178726913420" TargetMode="External" Id="rId2490" /><Relationship Type="http://schemas.openxmlformats.org/officeDocument/2006/relationships/hyperlink" Target="https://wilkinsmedia.app.box.com/file/2401058593540" TargetMode="External" Id="rId2491" /><Relationship Type="http://schemas.openxmlformats.org/officeDocument/2006/relationships/hyperlink" Target="https://wilkinsmedia.app.box.com/folder/178726913420" TargetMode="External" Id="rId2492" /><Relationship Type="http://schemas.openxmlformats.org/officeDocument/2006/relationships/hyperlink" Target="https://wilkinsmedia.app.box.com/file/2401058593540" TargetMode="External" Id="rId2493" /><Relationship Type="http://schemas.openxmlformats.org/officeDocument/2006/relationships/hyperlink" Target="https://wilkinsmedia.app.box.com/folder/178726913420" TargetMode="External" Id="rId2494" /><Relationship Type="http://schemas.openxmlformats.org/officeDocument/2006/relationships/hyperlink" Target="https://wilkinsmedia.app.box.com/file/2401058593540" TargetMode="External" Id="rId2495" /><Relationship Type="http://schemas.openxmlformats.org/officeDocument/2006/relationships/hyperlink" Target="https://wilkinsmedia.app.box.com/folder/178726913420" TargetMode="External" Id="rId2496" /><Relationship Type="http://schemas.openxmlformats.org/officeDocument/2006/relationships/hyperlink" Target="https://wilkinsmedia.app.box.com/file/1477891155946" TargetMode="External" Id="rId2497" /><Relationship Type="http://schemas.openxmlformats.org/officeDocument/2006/relationships/hyperlink" Target="https://wilkinsmedia.app.box.com/folder/245967567761" TargetMode="External" Id="rId2498" /><Relationship Type="http://schemas.openxmlformats.org/officeDocument/2006/relationships/hyperlink" Target="https://wilkinsmedia.app.box.com/file/1477891155946" TargetMode="External" Id="rId2499" /><Relationship Type="http://schemas.openxmlformats.org/officeDocument/2006/relationships/hyperlink" Target="https://wilkinsmedia.app.box.com/folder/245967567761" TargetMode="External" Id="rId2500" /><Relationship Type="http://schemas.openxmlformats.org/officeDocument/2006/relationships/hyperlink" Target="https://wilkinsmedia.app.box.com/file/1477891155946" TargetMode="External" Id="rId2501" /><Relationship Type="http://schemas.openxmlformats.org/officeDocument/2006/relationships/hyperlink" Target="https://wilkinsmedia.app.box.com/folder/245967567761" TargetMode="External" Id="rId2502" /><Relationship Type="http://schemas.openxmlformats.org/officeDocument/2006/relationships/hyperlink" Target="https://wilkinsmedia.app.box.com/file/1477891155946" TargetMode="External" Id="rId2503" /><Relationship Type="http://schemas.openxmlformats.org/officeDocument/2006/relationships/hyperlink" Target="https://wilkinsmedia.app.box.com/folder/245967567761" TargetMode="External" Id="rId2504" /><Relationship Type="http://schemas.openxmlformats.org/officeDocument/2006/relationships/hyperlink" Target="https://wilkinsmedia.app.box.com/file/2400843246453" TargetMode="External" Id="rId2505" /><Relationship Type="http://schemas.openxmlformats.org/officeDocument/2006/relationships/hyperlink" Target="https://wilkinsmedia.app.box.com/folder/269649983052" TargetMode="External" Id="rId2506" /><Relationship Type="http://schemas.openxmlformats.org/officeDocument/2006/relationships/hyperlink" Target="https://wilkinsmedia.app.box.com/file/2400843246453" TargetMode="External" Id="rId2507" /><Relationship Type="http://schemas.openxmlformats.org/officeDocument/2006/relationships/hyperlink" Target="https://wilkinsmedia.app.box.com/folder/269649983052" TargetMode="External" Id="rId2508" /><Relationship Type="http://schemas.openxmlformats.org/officeDocument/2006/relationships/hyperlink" Target="https://wilkinsmedia.app.box.com/file/2400843246453" TargetMode="External" Id="rId2509" /><Relationship Type="http://schemas.openxmlformats.org/officeDocument/2006/relationships/hyperlink" Target="https://wilkinsmedia.app.box.com/folder/269649983052" TargetMode="External" Id="rId2510" /><Relationship Type="http://schemas.openxmlformats.org/officeDocument/2006/relationships/hyperlink" Target="https://wilkinsmedia.app.box.com/file/2289709036078" TargetMode="External" Id="rId2511" /><Relationship Type="http://schemas.openxmlformats.org/officeDocument/2006/relationships/hyperlink" Target="https://wilkinsmedia.app.box.com/folder/390842116380" TargetMode="External" Id="rId2512" /><Relationship Type="http://schemas.openxmlformats.org/officeDocument/2006/relationships/hyperlink" Target="https://wilkinsmedia.app.box.com/file/2178635459499" TargetMode="External" Id="rId2513" /><Relationship Type="http://schemas.openxmlformats.org/officeDocument/2006/relationships/hyperlink" Target="https://wilkinsmedia.app.box.com/folder/178256177104" TargetMode="External" Id="rId2514" /><Relationship Type="http://schemas.openxmlformats.org/officeDocument/2006/relationships/hyperlink" Target="https://wilkinsmedia.app.box.com/file/2178635459499" TargetMode="External" Id="rId2515" /><Relationship Type="http://schemas.openxmlformats.org/officeDocument/2006/relationships/hyperlink" Target="https://wilkinsmedia.app.box.com/folder/178256177104" TargetMode="External" Id="rId2516" /><Relationship Type="http://schemas.openxmlformats.org/officeDocument/2006/relationships/hyperlink" Target="https://wilkinsmedia.app.box.com/file/2178635459499" TargetMode="External" Id="rId2517" /><Relationship Type="http://schemas.openxmlformats.org/officeDocument/2006/relationships/hyperlink" Target="https://wilkinsmedia.app.box.com/folder/178256177104" TargetMode="External" Id="rId2518" /><Relationship Type="http://schemas.openxmlformats.org/officeDocument/2006/relationships/hyperlink" Target="https://wilkinsmedia.app.box.com/file/2178635459499" TargetMode="External" Id="rId2519" /><Relationship Type="http://schemas.openxmlformats.org/officeDocument/2006/relationships/hyperlink" Target="https://wilkinsmedia.app.box.com/folder/178256177104" TargetMode="External" Id="rId2520" /><Relationship Type="http://schemas.openxmlformats.org/officeDocument/2006/relationships/hyperlink" Target="https://wilkinsmedia.app.box.com/file/2178635459499" TargetMode="External" Id="rId2521" /><Relationship Type="http://schemas.openxmlformats.org/officeDocument/2006/relationships/hyperlink" Target="https://wilkinsmedia.app.box.com/folder/178256177104" TargetMode="External" Id="rId2522" /><Relationship Type="http://schemas.openxmlformats.org/officeDocument/2006/relationships/hyperlink" Target="https://wilkinsmedia.app.box.com/file/2289530077472" TargetMode="External" Id="rId2523" /><Relationship Type="http://schemas.openxmlformats.org/officeDocument/2006/relationships/hyperlink" Target="https://wilkinsmedia.app.box.com/folder/261644394352" TargetMode="External" Id="rId2524" /><Relationship Type="http://schemas.openxmlformats.org/officeDocument/2006/relationships/hyperlink" Target="https://wilkinsmedia.app.box.com/file/2289530077472" TargetMode="External" Id="rId2525" /><Relationship Type="http://schemas.openxmlformats.org/officeDocument/2006/relationships/hyperlink" Target="https://wilkinsmedia.app.box.com/folder/261644394352" TargetMode="External" Id="rId2526" /><Relationship Type="http://schemas.openxmlformats.org/officeDocument/2006/relationships/hyperlink" Target="https://wilkinsmedia.app.box.com/file/2289530077472" TargetMode="External" Id="rId2527" /><Relationship Type="http://schemas.openxmlformats.org/officeDocument/2006/relationships/hyperlink" Target="https://wilkinsmedia.app.box.com/folder/261644394352" TargetMode="External" Id="rId2528" /><Relationship Type="http://schemas.openxmlformats.org/officeDocument/2006/relationships/hyperlink" Target="https://wilkinsmedia.app.box.com/file/2237617035963" TargetMode="External" Id="rId2529" /><Relationship Type="http://schemas.openxmlformats.org/officeDocument/2006/relationships/hyperlink" Target="https://wilkinsmedia.app.box.com/folder/179383774670" TargetMode="External" Id="rId2530" /><Relationship Type="http://schemas.openxmlformats.org/officeDocument/2006/relationships/hyperlink" Target="https://wilkinsmedia.app.box.com/file/2237617035963" TargetMode="External" Id="rId2531" /><Relationship Type="http://schemas.openxmlformats.org/officeDocument/2006/relationships/hyperlink" Target="https://wilkinsmedia.app.box.com/folder/179383774670" TargetMode="External" Id="rId2532" /><Relationship Type="http://schemas.openxmlformats.org/officeDocument/2006/relationships/hyperlink" Target="https://wilkinsmedia.app.box.com/file/2237617035963" TargetMode="External" Id="rId2533" /><Relationship Type="http://schemas.openxmlformats.org/officeDocument/2006/relationships/hyperlink" Target="https://wilkinsmedia.app.box.com/folder/179383774670" TargetMode="External" Id="rId2534" /><Relationship Type="http://schemas.openxmlformats.org/officeDocument/2006/relationships/hyperlink" Target="https://wilkinsmedia.app.box.com/file/2237617035963" TargetMode="External" Id="rId2535" /><Relationship Type="http://schemas.openxmlformats.org/officeDocument/2006/relationships/hyperlink" Target="https://wilkinsmedia.app.box.com/folder/179383774670" TargetMode="External" Id="rId2536" /><Relationship Type="http://schemas.openxmlformats.org/officeDocument/2006/relationships/hyperlink" Target="https://wilkinsmedia.app.box.com/file/2333332955749" TargetMode="External" Id="rId2537" /><Relationship Type="http://schemas.openxmlformats.org/officeDocument/2006/relationships/hyperlink" Target="https://wilkinsmedia.app.box.com/folder/178715618585" TargetMode="External" Id="rId2538" /><Relationship Type="http://schemas.openxmlformats.org/officeDocument/2006/relationships/hyperlink" Target="https://wilkinsmedia.app.box.com/file/2333332955749" TargetMode="External" Id="rId2539" /><Relationship Type="http://schemas.openxmlformats.org/officeDocument/2006/relationships/hyperlink" Target="https://wilkinsmedia.app.box.com/folder/178715618585" TargetMode="External" Id="rId2540" /><Relationship Type="http://schemas.openxmlformats.org/officeDocument/2006/relationships/hyperlink" Target="https://wilkinsmedia.app.box.com/file/2333332955749" TargetMode="External" Id="rId2541" /><Relationship Type="http://schemas.openxmlformats.org/officeDocument/2006/relationships/hyperlink" Target="https://wilkinsmedia.app.box.com/folder/178715618585" TargetMode="External" Id="rId2542" /><Relationship Type="http://schemas.openxmlformats.org/officeDocument/2006/relationships/hyperlink" Target="https://wilkinsmedia.app.box.com/file/2333332955749" TargetMode="External" Id="rId2543" /><Relationship Type="http://schemas.openxmlformats.org/officeDocument/2006/relationships/hyperlink" Target="https://wilkinsmedia.app.box.com/folder/178715618585" TargetMode="External" Id="rId2544" /><Relationship Type="http://schemas.openxmlformats.org/officeDocument/2006/relationships/hyperlink" Target="https://wilkinsmedia.app.box.com/file/2333332955749" TargetMode="External" Id="rId2545" /><Relationship Type="http://schemas.openxmlformats.org/officeDocument/2006/relationships/hyperlink" Target="https://wilkinsmedia.app.box.com/folder/178715618585" TargetMode="External" Id="rId2546" /><Relationship Type="http://schemas.openxmlformats.org/officeDocument/2006/relationships/hyperlink" Target="https://wilkinsmedia.app.box.com/file/2333332955749" TargetMode="External" Id="rId2547" /><Relationship Type="http://schemas.openxmlformats.org/officeDocument/2006/relationships/hyperlink" Target="https://wilkinsmedia.app.box.com/folder/178715618585" TargetMode="External" Id="rId2548" /><Relationship Type="http://schemas.openxmlformats.org/officeDocument/2006/relationships/hyperlink" Target="https://wilkinsmedia.app.box.com/file/2333332955749" TargetMode="External" Id="rId2549" /><Relationship Type="http://schemas.openxmlformats.org/officeDocument/2006/relationships/hyperlink" Target="https://wilkinsmedia.app.box.com/folder/178715618585" TargetMode="External" Id="rId2550" /><Relationship Type="http://schemas.openxmlformats.org/officeDocument/2006/relationships/hyperlink" Target="https://wilkinsmedia.app.box.com/file/2333332955749" TargetMode="External" Id="rId2551" /><Relationship Type="http://schemas.openxmlformats.org/officeDocument/2006/relationships/hyperlink" Target="https://wilkinsmedia.app.box.com/folder/178715618585" TargetMode="External" Id="rId2552" /><Relationship Type="http://schemas.openxmlformats.org/officeDocument/2006/relationships/hyperlink" Target="https://wilkinsmedia.app.box.com/file/2333332955749" TargetMode="External" Id="rId2553" /><Relationship Type="http://schemas.openxmlformats.org/officeDocument/2006/relationships/hyperlink" Target="https://wilkinsmedia.app.box.com/folder/178715618585" TargetMode="External" Id="rId2554" /><Relationship Type="http://schemas.openxmlformats.org/officeDocument/2006/relationships/hyperlink" Target="https://wilkinsmedia.app.box.com/file/2333332955749" TargetMode="External" Id="rId2555" /><Relationship Type="http://schemas.openxmlformats.org/officeDocument/2006/relationships/hyperlink" Target="https://wilkinsmedia.app.box.com/folder/178715618585" TargetMode="External" Id="rId2556" /><Relationship Type="http://schemas.openxmlformats.org/officeDocument/2006/relationships/hyperlink" Target="https://wilkinsmedia.app.box.com/file/2333332955749" TargetMode="External" Id="rId2557" /><Relationship Type="http://schemas.openxmlformats.org/officeDocument/2006/relationships/hyperlink" Target="https://wilkinsmedia.app.box.com/folder/178715618585" TargetMode="External" Id="rId2558" /><Relationship Type="http://schemas.openxmlformats.org/officeDocument/2006/relationships/hyperlink" Target="https://wilkinsmedia.app.box.com/file/2333332955749" TargetMode="External" Id="rId2559" /><Relationship Type="http://schemas.openxmlformats.org/officeDocument/2006/relationships/hyperlink" Target="https://wilkinsmedia.app.box.com/folder/178715618585" TargetMode="External" Id="rId2560" /><Relationship Type="http://schemas.openxmlformats.org/officeDocument/2006/relationships/hyperlink" Target="https://wilkinsmedia.app.box.com/file/2333332955749" TargetMode="External" Id="rId2561" /><Relationship Type="http://schemas.openxmlformats.org/officeDocument/2006/relationships/hyperlink" Target="https://wilkinsmedia.app.box.com/folder/178715618585" TargetMode="External" Id="rId2562" /><Relationship Type="http://schemas.openxmlformats.org/officeDocument/2006/relationships/hyperlink" Target="https://wilkinsmedia.app.box.com/file/2333332955749" TargetMode="External" Id="rId2563" /><Relationship Type="http://schemas.openxmlformats.org/officeDocument/2006/relationships/hyperlink" Target="https://wilkinsmedia.app.box.com/folder/178715618585" TargetMode="External" Id="rId2564" /><Relationship Type="http://schemas.openxmlformats.org/officeDocument/2006/relationships/hyperlink" Target="https://wilkinsmedia.app.box.com/file/2272695598809" TargetMode="External" Id="rId2565" /><Relationship Type="http://schemas.openxmlformats.org/officeDocument/2006/relationships/hyperlink" Target="https://wilkinsmedia.app.box.com/folder/178714975633" TargetMode="External" Id="rId2566" /><Relationship Type="http://schemas.openxmlformats.org/officeDocument/2006/relationships/hyperlink" Target="https://wilkinsmedia.app.box.com/file/2272695598809" TargetMode="External" Id="rId2567" /><Relationship Type="http://schemas.openxmlformats.org/officeDocument/2006/relationships/hyperlink" Target="https://wilkinsmedia.app.box.com/folder/178714975633" TargetMode="External" Id="rId2568" /><Relationship Type="http://schemas.openxmlformats.org/officeDocument/2006/relationships/hyperlink" Target="https://wilkinsmedia.app.box.com/file/2272695598809" TargetMode="External" Id="rId2569" /><Relationship Type="http://schemas.openxmlformats.org/officeDocument/2006/relationships/hyperlink" Target="https://wilkinsmedia.app.box.com/folder/178714975633" TargetMode="External" Id="rId2570" /><Relationship Type="http://schemas.openxmlformats.org/officeDocument/2006/relationships/hyperlink" Target="https://wilkinsmedia.app.box.com/file/2272695598809" TargetMode="External" Id="rId2571" /><Relationship Type="http://schemas.openxmlformats.org/officeDocument/2006/relationships/hyperlink" Target="https://wilkinsmedia.app.box.com/folder/178714975633" TargetMode="External" Id="rId2572" /><Relationship Type="http://schemas.openxmlformats.org/officeDocument/2006/relationships/hyperlink" Target="https://wilkinsmedia.app.box.com/file/2272695598809" TargetMode="External" Id="rId2573" /><Relationship Type="http://schemas.openxmlformats.org/officeDocument/2006/relationships/hyperlink" Target="https://wilkinsmedia.app.box.com/folder/178714975633" TargetMode="External" Id="rId2574" /><Relationship Type="http://schemas.openxmlformats.org/officeDocument/2006/relationships/hyperlink" Target="https://wilkinsmedia.app.box.com/file/2237617035963" TargetMode="External" Id="rId2575" /><Relationship Type="http://schemas.openxmlformats.org/officeDocument/2006/relationships/hyperlink" Target="https://wilkinsmedia.app.box.com/folder/179383774670" TargetMode="External" Id="rId2576" /><Relationship Type="http://schemas.openxmlformats.org/officeDocument/2006/relationships/hyperlink" Target="https://wilkinsmedia.app.box.com/file/2237617035963" TargetMode="External" Id="rId2577" /><Relationship Type="http://schemas.openxmlformats.org/officeDocument/2006/relationships/hyperlink" Target="https://wilkinsmedia.app.box.com/folder/179383774670" TargetMode="External" Id="rId2578" /><Relationship Type="http://schemas.openxmlformats.org/officeDocument/2006/relationships/hyperlink" Target="https://wilkinsmedia.app.box.com/file/2237617035963" TargetMode="External" Id="rId2579" /><Relationship Type="http://schemas.openxmlformats.org/officeDocument/2006/relationships/hyperlink" Target="https://wilkinsmedia.app.box.com/folder/179383774670" TargetMode="External" Id="rId2580" /><Relationship Type="http://schemas.openxmlformats.org/officeDocument/2006/relationships/hyperlink" Target="https://wilkinsmedia.app.box.com/file/2237617035963" TargetMode="External" Id="rId2581" /><Relationship Type="http://schemas.openxmlformats.org/officeDocument/2006/relationships/hyperlink" Target="https://wilkinsmedia.app.box.com/folder/179383774670" TargetMode="External" Id="rId2582" /><Relationship Type="http://schemas.openxmlformats.org/officeDocument/2006/relationships/hyperlink" Target="https://wilkinsmedia.app.box.com/file/2262831179444" TargetMode="External" Id="rId2583" /><Relationship Type="http://schemas.openxmlformats.org/officeDocument/2006/relationships/hyperlink" Target="https://wilkinsmedia.app.box.com/folder/272906646040" TargetMode="External" Id="rId2584" /><Relationship Type="http://schemas.openxmlformats.org/officeDocument/2006/relationships/hyperlink" Target="https://wilkinsmedia.app.box.com/file/2262831179444" TargetMode="External" Id="rId2585" /><Relationship Type="http://schemas.openxmlformats.org/officeDocument/2006/relationships/hyperlink" Target="https://wilkinsmedia.app.box.com/folder/272906646040" TargetMode="External" Id="rId2586" /><Relationship Type="http://schemas.openxmlformats.org/officeDocument/2006/relationships/hyperlink" Target="https://wilkinsmedia.app.box.com/file/2262831179444" TargetMode="External" Id="rId2587" /><Relationship Type="http://schemas.openxmlformats.org/officeDocument/2006/relationships/hyperlink" Target="https://wilkinsmedia.app.box.com/folder/272906646040" TargetMode="External" Id="rId2588" /><Relationship Type="http://schemas.openxmlformats.org/officeDocument/2006/relationships/hyperlink" Target="https://wilkinsmedia.app.box.com/file/2262831179444" TargetMode="External" Id="rId2589" /><Relationship Type="http://schemas.openxmlformats.org/officeDocument/2006/relationships/hyperlink" Target="https://wilkinsmedia.app.box.com/folder/272906646040" TargetMode="External" Id="rId2590" /><Relationship Type="http://schemas.openxmlformats.org/officeDocument/2006/relationships/hyperlink" Target="https://wilkinsmedia.app.box.com/file/2262831179444" TargetMode="External" Id="rId2591" /><Relationship Type="http://schemas.openxmlformats.org/officeDocument/2006/relationships/hyperlink" Target="https://wilkinsmedia.app.box.com/folder/272906646040" TargetMode="External" Id="rId2592" /><Relationship Type="http://schemas.openxmlformats.org/officeDocument/2006/relationships/hyperlink" Target="https://wilkinsmedia.app.box.com/file/2262831179444" TargetMode="External" Id="rId2593" /><Relationship Type="http://schemas.openxmlformats.org/officeDocument/2006/relationships/hyperlink" Target="https://wilkinsmedia.app.box.com/folder/272906646040" TargetMode="External" Id="rId2594" /><Relationship Type="http://schemas.openxmlformats.org/officeDocument/2006/relationships/hyperlink" Target="https://wilkinsmedia.app.box.com/file/2262831179444" TargetMode="External" Id="rId2595" /><Relationship Type="http://schemas.openxmlformats.org/officeDocument/2006/relationships/hyperlink" Target="https://wilkinsmedia.app.box.com/folder/272906646040" TargetMode="External" Id="rId2596" /><Relationship Type="http://schemas.openxmlformats.org/officeDocument/2006/relationships/hyperlink" Target="https://wilkinsmedia.app.box.com/file/2262831179444" TargetMode="External" Id="rId2597" /><Relationship Type="http://schemas.openxmlformats.org/officeDocument/2006/relationships/hyperlink" Target="https://wilkinsmedia.app.box.com/folder/272906646040" TargetMode="External" Id="rId2598" /><Relationship Type="http://schemas.openxmlformats.org/officeDocument/2006/relationships/hyperlink" Target="https://wilkinsmedia.app.box.com/file/2311303135035" TargetMode="External" Id="rId2599" /><Relationship Type="http://schemas.openxmlformats.org/officeDocument/2006/relationships/hyperlink" Target="https://wilkinsmedia.app.box.com/folder/154075538279" TargetMode="External" Id="rId2600" /><Relationship Type="http://schemas.openxmlformats.org/officeDocument/2006/relationships/hyperlink" Target="https://wilkinsmedia.app.box.com/file/2311303135035" TargetMode="External" Id="rId2601" /><Relationship Type="http://schemas.openxmlformats.org/officeDocument/2006/relationships/hyperlink" Target="https://wilkinsmedia.app.box.com/folder/154075538279" TargetMode="External" Id="rId2602" /><Relationship Type="http://schemas.openxmlformats.org/officeDocument/2006/relationships/hyperlink" Target="https://wilkinsmedia.app.box.com/file/2311303135035" TargetMode="External" Id="rId2603" /><Relationship Type="http://schemas.openxmlformats.org/officeDocument/2006/relationships/hyperlink" Target="https://wilkinsmedia.app.box.com/folder/154075538279" TargetMode="External" Id="rId2604" /><Relationship Type="http://schemas.openxmlformats.org/officeDocument/2006/relationships/hyperlink" Target="https://wilkinsmedia.app.box.com/file/2311303135035" TargetMode="External" Id="rId2605" /><Relationship Type="http://schemas.openxmlformats.org/officeDocument/2006/relationships/hyperlink" Target="https://wilkinsmedia.app.box.com/folder/154075538279" TargetMode="External" Id="rId2606" /><Relationship Type="http://schemas.openxmlformats.org/officeDocument/2006/relationships/hyperlink" Target="https://wilkinsmedia.app.box.com/file/2311303135035" TargetMode="External" Id="rId2607" /><Relationship Type="http://schemas.openxmlformats.org/officeDocument/2006/relationships/hyperlink" Target="https://wilkinsmedia.app.box.com/folder/154075538279" TargetMode="External" Id="rId2608" /><Relationship Type="http://schemas.openxmlformats.org/officeDocument/2006/relationships/hyperlink" Target="https://wilkinsmedia.app.box.com/file/2311303135035" TargetMode="External" Id="rId2609" /><Relationship Type="http://schemas.openxmlformats.org/officeDocument/2006/relationships/hyperlink" Target="https://wilkinsmedia.app.box.com/folder/154075538279" TargetMode="External" Id="rId2610" /><Relationship Type="http://schemas.openxmlformats.org/officeDocument/2006/relationships/hyperlink" Target="https://wilkinsmedia.app.box.com/file/2311303135035" TargetMode="External" Id="rId2611" /><Relationship Type="http://schemas.openxmlformats.org/officeDocument/2006/relationships/hyperlink" Target="https://wilkinsmedia.app.box.com/folder/154075538279" TargetMode="External" Id="rId2612" /><Relationship Type="http://schemas.openxmlformats.org/officeDocument/2006/relationships/hyperlink" Target="https://wilkinsmedia.app.box.com/file/2311303135035" TargetMode="External" Id="rId2613" /><Relationship Type="http://schemas.openxmlformats.org/officeDocument/2006/relationships/hyperlink" Target="https://wilkinsmedia.app.box.com/folder/154075538279" TargetMode="External" Id="rId2614" /><Relationship Type="http://schemas.openxmlformats.org/officeDocument/2006/relationships/hyperlink" Target="https://wilkinsmedia.app.box.com/file/2311303135035" TargetMode="External" Id="rId2615" /><Relationship Type="http://schemas.openxmlformats.org/officeDocument/2006/relationships/hyperlink" Target="https://wilkinsmedia.app.box.com/folder/154075538279" TargetMode="External" Id="rId2616" /><Relationship Type="http://schemas.openxmlformats.org/officeDocument/2006/relationships/hyperlink" Target="https://wilkinsmedia.app.box.com/file/2311303135035" TargetMode="External" Id="rId2617" /><Relationship Type="http://schemas.openxmlformats.org/officeDocument/2006/relationships/hyperlink" Target="https://wilkinsmedia.app.box.com/folder/154075538279" TargetMode="External" Id="rId2618" /><Relationship Type="http://schemas.openxmlformats.org/officeDocument/2006/relationships/hyperlink" Target="https://wilkinsmedia.app.box.com/file/2311303135035" TargetMode="External" Id="rId2619" /><Relationship Type="http://schemas.openxmlformats.org/officeDocument/2006/relationships/hyperlink" Target="https://wilkinsmedia.app.box.com/folder/154075538279" TargetMode="External" Id="rId2620" /><Relationship Type="http://schemas.openxmlformats.org/officeDocument/2006/relationships/hyperlink" Target="https://wilkinsmedia.app.box.com/file/2311303135035" TargetMode="External" Id="rId2621" /><Relationship Type="http://schemas.openxmlformats.org/officeDocument/2006/relationships/hyperlink" Target="https://wilkinsmedia.app.box.com/folder/154075538279" TargetMode="External" Id="rId2622" /><Relationship Type="http://schemas.openxmlformats.org/officeDocument/2006/relationships/hyperlink" Target="https://wilkinsmedia.app.box.com/file/2311303135035" TargetMode="External" Id="rId2623" /><Relationship Type="http://schemas.openxmlformats.org/officeDocument/2006/relationships/hyperlink" Target="https://wilkinsmedia.app.box.com/folder/154075538279" TargetMode="External" Id="rId2624" /><Relationship Type="http://schemas.openxmlformats.org/officeDocument/2006/relationships/hyperlink" Target="https://wilkinsmedia.app.box.com/file/2311303135035" TargetMode="External" Id="rId2625" /><Relationship Type="http://schemas.openxmlformats.org/officeDocument/2006/relationships/hyperlink" Target="https://wilkinsmedia.app.box.com/folder/154075538279" TargetMode="External" Id="rId2626" /><Relationship Type="http://schemas.openxmlformats.org/officeDocument/2006/relationships/hyperlink" Target="https://wilkinsmedia.app.box.com/file/2311303135035" TargetMode="External" Id="rId2627" /><Relationship Type="http://schemas.openxmlformats.org/officeDocument/2006/relationships/hyperlink" Target="https://wilkinsmedia.app.box.com/folder/154075538279" TargetMode="External" Id="rId2628" /><Relationship Type="http://schemas.openxmlformats.org/officeDocument/2006/relationships/hyperlink" Target="https://wilkinsmedia.app.box.com/file/2311303135035" TargetMode="External" Id="rId2629" /><Relationship Type="http://schemas.openxmlformats.org/officeDocument/2006/relationships/hyperlink" Target="https://wilkinsmedia.app.box.com/folder/154075538279" TargetMode="External" Id="rId2630" /><Relationship Type="http://schemas.openxmlformats.org/officeDocument/2006/relationships/hyperlink" Target="https://wilkinsmedia.app.box.com/file/2311303135035" TargetMode="External" Id="rId2631" /><Relationship Type="http://schemas.openxmlformats.org/officeDocument/2006/relationships/hyperlink" Target="https://wilkinsmedia.app.box.com/folder/154075538279" TargetMode="External" Id="rId2632" /><Relationship Type="http://schemas.openxmlformats.org/officeDocument/2006/relationships/hyperlink" Target="https://wilkinsmedia.app.box.com/file/2311303135035" TargetMode="External" Id="rId2633" /><Relationship Type="http://schemas.openxmlformats.org/officeDocument/2006/relationships/hyperlink" Target="https://wilkinsmedia.app.box.com/folder/154075538279" TargetMode="External" Id="rId2634" /><Relationship Type="http://schemas.openxmlformats.org/officeDocument/2006/relationships/hyperlink" Target="https://wilkinsmedia.app.box.com/file/2311303135035" TargetMode="External" Id="rId2635" /><Relationship Type="http://schemas.openxmlformats.org/officeDocument/2006/relationships/hyperlink" Target="https://wilkinsmedia.app.box.com/folder/154075538279" TargetMode="External" Id="rId2636" /><Relationship Type="http://schemas.openxmlformats.org/officeDocument/2006/relationships/hyperlink" Target="https://wilkinsmedia.app.box.com/file/2311303135035" TargetMode="External" Id="rId2637" /><Relationship Type="http://schemas.openxmlformats.org/officeDocument/2006/relationships/hyperlink" Target="https://wilkinsmedia.app.box.com/folder/154075538279" TargetMode="External" Id="rId2638" /><Relationship Type="http://schemas.openxmlformats.org/officeDocument/2006/relationships/hyperlink" Target="https://wilkinsmedia.app.box.com/file/2311303135035" TargetMode="External" Id="rId2639" /><Relationship Type="http://schemas.openxmlformats.org/officeDocument/2006/relationships/hyperlink" Target="https://wilkinsmedia.app.box.com/folder/154075538279" TargetMode="External" Id="rId2640" /><Relationship Type="http://schemas.openxmlformats.org/officeDocument/2006/relationships/hyperlink" Target="https://wilkinsmedia.app.box.com/file/2311303135035" TargetMode="External" Id="rId2641" /><Relationship Type="http://schemas.openxmlformats.org/officeDocument/2006/relationships/hyperlink" Target="https://wilkinsmedia.app.box.com/folder/154075538279" TargetMode="External" Id="rId2642" /><Relationship Type="http://schemas.openxmlformats.org/officeDocument/2006/relationships/hyperlink" Target="https://wilkinsmedia.app.box.com/file/2311303135035" TargetMode="External" Id="rId2643" /><Relationship Type="http://schemas.openxmlformats.org/officeDocument/2006/relationships/hyperlink" Target="https://wilkinsmedia.app.box.com/folder/154075538279" TargetMode="External" Id="rId2644" /><Relationship Type="http://schemas.openxmlformats.org/officeDocument/2006/relationships/hyperlink" Target="https://wilkinsmedia.app.box.com/file/2311303135035" TargetMode="External" Id="rId2645" /><Relationship Type="http://schemas.openxmlformats.org/officeDocument/2006/relationships/hyperlink" Target="https://wilkinsmedia.app.box.com/folder/154075538279" TargetMode="External" Id="rId2646" /><Relationship Type="http://schemas.openxmlformats.org/officeDocument/2006/relationships/hyperlink" Target="https://wilkinsmedia.app.box.com/file/2311303135035" TargetMode="External" Id="rId2647" /><Relationship Type="http://schemas.openxmlformats.org/officeDocument/2006/relationships/hyperlink" Target="https://wilkinsmedia.app.box.com/folder/154075538279" TargetMode="External" Id="rId2648" /><Relationship Type="http://schemas.openxmlformats.org/officeDocument/2006/relationships/hyperlink" Target="https://wilkinsmedia.app.box.com/file/2311303135035" TargetMode="External" Id="rId2649" /><Relationship Type="http://schemas.openxmlformats.org/officeDocument/2006/relationships/hyperlink" Target="https://wilkinsmedia.app.box.com/folder/154075538279" TargetMode="External" Id="rId2650" /><Relationship Type="http://schemas.openxmlformats.org/officeDocument/2006/relationships/hyperlink" Target="https://wilkinsmedia.app.box.com/file/2311303135035" TargetMode="External" Id="rId2651" /><Relationship Type="http://schemas.openxmlformats.org/officeDocument/2006/relationships/hyperlink" Target="https://wilkinsmedia.app.box.com/folder/154075538279" TargetMode="External" Id="rId2652" /><Relationship Type="http://schemas.openxmlformats.org/officeDocument/2006/relationships/hyperlink" Target="https://wilkinsmedia.app.box.com/file/2311303135035" TargetMode="External" Id="rId2653" /><Relationship Type="http://schemas.openxmlformats.org/officeDocument/2006/relationships/hyperlink" Target="https://wilkinsmedia.app.box.com/folder/154075538279" TargetMode="External" Id="rId2654" /><Relationship Type="http://schemas.openxmlformats.org/officeDocument/2006/relationships/hyperlink" Target="https://wilkinsmedia.app.box.com/file/2311303135035" TargetMode="External" Id="rId2655" /><Relationship Type="http://schemas.openxmlformats.org/officeDocument/2006/relationships/hyperlink" Target="https://wilkinsmedia.app.box.com/folder/154075538279" TargetMode="External" Id="rId2656" /><Relationship Type="http://schemas.openxmlformats.org/officeDocument/2006/relationships/hyperlink" Target="https://wilkinsmedia.app.box.com/file/2311303135035" TargetMode="External" Id="rId2657" /><Relationship Type="http://schemas.openxmlformats.org/officeDocument/2006/relationships/hyperlink" Target="https://wilkinsmedia.app.box.com/folder/154075538279" TargetMode="External" Id="rId2658" /><Relationship Type="http://schemas.openxmlformats.org/officeDocument/2006/relationships/hyperlink" Target="https://wilkinsmedia.app.box.com/file/2336888908610" TargetMode="External" Id="rId2659" /><Relationship Type="http://schemas.openxmlformats.org/officeDocument/2006/relationships/hyperlink" Target="https://wilkinsmedia.app.box.com/folder/90869561133" TargetMode="External" Id="rId2660" /><Relationship Type="http://schemas.openxmlformats.org/officeDocument/2006/relationships/hyperlink" Target="https://wilkinsmedia.app.box.com/file/2336888908610" TargetMode="External" Id="rId2661" /><Relationship Type="http://schemas.openxmlformats.org/officeDocument/2006/relationships/hyperlink" Target="https://wilkinsmedia.app.box.com/folder/90869561133" TargetMode="External" Id="rId2662" /><Relationship Type="http://schemas.openxmlformats.org/officeDocument/2006/relationships/hyperlink" Target="https://wilkinsmedia.app.box.com/file/2336888908610" TargetMode="External" Id="rId2663" /><Relationship Type="http://schemas.openxmlformats.org/officeDocument/2006/relationships/hyperlink" Target="https://wilkinsmedia.app.box.com/folder/90869561133" TargetMode="External" Id="rId2664" /><Relationship Type="http://schemas.openxmlformats.org/officeDocument/2006/relationships/hyperlink" Target="https://wilkinsmedia.app.box.com/file/2336888908610" TargetMode="External" Id="rId2665" /><Relationship Type="http://schemas.openxmlformats.org/officeDocument/2006/relationships/hyperlink" Target="https://wilkinsmedia.app.box.com/folder/90869561133" TargetMode="External" Id="rId2666" /><Relationship Type="http://schemas.openxmlformats.org/officeDocument/2006/relationships/hyperlink" Target="https://wilkinsmedia.app.box.com/file/2336888908610" TargetMode="External" Id="rId2667" /><Relationship Type="http://schemas.openxmlformats.org/officeDocument/2006/relationships/hyperlink" Target="https://wilkinsmedia.app.box.com/folder/90869561133" TargetMode="External" Id="rId2668" /><Relationship Type="http://schemas.openxmlformats.org/officeDocument/2006/relationships/hyperlink" Target="https://wilkinsmedia.app.box.com/file/2470475236179" TargetMode="External" Id="rId2669" /><Relationship Type="http://schemas.openxmlformats.org/officeDocument/2006/relationships/hyperlink" Target="https://wilkinsmedia.app.box.com/folder/179022428256" TargetMode="External" Id="rId2670" /><Relationship Type="http://schemas.openxmlformats.org/officeDocument/2006/relationships/hyperlink" Target="https://wilkinsmedia.app.box.com/file/2470475236179" TargetMode="External" Id="rId2671" /><Relationship Type="http://schemas.openxmlformats.org/officeDocument/2006/relationships/hyperlink" Target="https://wilkinsmedia.app.box.com/folder/179022428256" TargetMode="External" Id="rId2672" /><Relationship Type="http://schemas.openxmlformats.org/officeDocument/2006/relationships/hyperlink" Target="https://wilkinsmedia.app.box.com/file/2470475236179" TargetMode="External" Id="rId2673" /><Relationship Type="http://schemas.openxmlformats.org/officeDocument/2006/relationships/hyperlink" Target="https://wilkinsmedia.app.box.com/folder/179022428256" TargetMode="External" Id="rId2674" /><Relationship Type="http://schemas.openxmlformats.org/officeDocument/2006/relationships/hyperlink" Target="https://wilkinsmedia.app.box.com/file/2470475236179" TargetMode="External" Id="rId2675" /><Relationship Type="http://schemas.openxmlformats.org/officeDocument/2006/relationships/hyperlink" Target="https://wilkinsmedia.app.box.com/folder/179022428256" TargetMode="External" Id="rId2676" /><Relationship Type="http://schemas.openxmlformats.org/officeDocument/2006/relationships/hyperlink" Target="https://wilkinsmedia.app.box.com/file/2470475236179" TargetMode="External" Id="rId2677" /><Relationship Type="http://schemas.openxmlformats.org/officeDocument/2006/relationships/hyperlink" Target="https://wilkinsmedia.app.box.com/folder/179022428256" TargetMode="External" Id="rId2678" /><Relationship Type="http://schemas.openxmlformats.org/officeDocument/2006/relationships/hyperlink" Target="https://wilkinsmedia.app.box.com/file/2272735909860" TargetMode="External" Id="rId2679" /><Relationship Type="http://schemas.openxmlformats.org/officeDocument/2006/relationships/hyperlink" Target="https://wilkinsmedia.app.box.com/folder/179019676997" TargetMode="External" Id="rId2680" /><Relationship Type="http://schemas.openxmlformats.org/officeDocument/2006/relationships/hyperlink" Target="https://wilkinsmedia.app.box.com/file/2272735909860" TargetMode="External" Id="rId2681" /><Relationship Type="http://schemas.openxmlformats.org/officeDocument/2006/relationships/hyperlink" Target="https://wilkinsmedia.app.box.com/folder/179019676997" TargetMode="External" Id="rId2682" /><Relationship Type="http://schemas.openxmlformats.org/officeDocument/2006/relationships/hyperlink" Target="https://wilkinsmedia.app.box.com/file/2272735909860" TargetMode="External" Id="rId2683" /><Relationship Type="http://schemas.openxmlformats.org/officeDocument/2006/relationships/hyperlink" Target="https://wilkinsmedia.app.box.com/folder/179019676997" TargetMode="External" Id="rId2684" /><Relationship Type="http://schemas.openxmlformats.org/officeDocument/2006/relationships/hyperlink" Target="https://wilkinsmedia.app.box.com/file/2272735909860" TargetMode="External" Id="rId2685" /><Relationship Type="http://schemas.openxmlformats.org/officeDocument/2006/relationships/hyperlink" Target="https://wilkinsmedia.app.box.com/folder/179019676997" TargetMode="External" Id="rId2686" /><Relationship Type="http://schemas.openxmlformats.org/officeDocument/2006/relationships/hyperlink" Target="https://wilkinsmedia.app.box.com/file/2272735909860" TargetMode="External" Id="rId2687" /><Relationship Type="http://schemas.openxmlformats.org/officeDocument/2006/relationships/hyperlink" Target="https://wilkinsmedia.app.box.com/folder/179019676997" TargetMode="External" Id="rId2688" /><Relationship Type="http://schemas.openxmlformats.org/officeDocument/2006/relationships/hyperlink" Target="https://wilkinsmedia.app.box.com/file/2272735909860" TargetMode="External" Id="rId2689" /><Relationship Type="http://schemas.openxmlformats.org/officeDocument/2006/relationships/hyperlink" Target="https://wilkinsmedia.app.box.com/folder/179019676997" TargetMode="External" Id="rId2690" /><Relationship Type="http://schemas.openxmlformats.org/officeDocument/2006/relationships/hyperlink" Target="https://wilkinsmedia.app.box.com/file/2272735909860" TargetMode="External" Id="rId2691" /><Relationship Type="http://schemas.openxmlformats.org/officeDocument/2006/relationships/hyperlink" Target="https://wilkinsmedia.app.box.com/folder/179019676997" TargetMode="External" Id="rId2692" /><Relationship Type="http://schemas.openxmlformats.org/officeDocument/2006/relationships/hyperlink" Target="https://wilkinsmedia.app.box.com/file/2272735909860" TargetMode="External" Id="rId2693" /><Relationship Type="http://schemas.openxmlformats.org/officeDocument/2006/relationships/hyperlink" Target="https://wilkinsmedia.app.box.com/folder/179019676997" TargetMode="External" Id="rId2694" /><Relationship Type="http://schemas.openxmlformats.org/officeDocument/2006/relationships/hyperlink" Target="https://wilkinsmedia.app.box.com/file/2272735909860" TargetMode="External" Id="rId2695" /><Relationship Type="http://schemas.openxmlformats.org/officeDocument/2006/relationships/hyperlink" Target="https://wilkinsmedia.app.box.com/folder/179019676997" TargetMode="External" Id="rId2696" /><Relationship Type="http://schemas.openxmlformats.org/officeDocument/2006/relationships/hyperlink" Target="https://wilkinsmedia.app.box.com/file/2272735909860" TargetMode="External" Id="rId2697" /><Relationship Type="http://schemas.openxmlformats.org/officeDocument/2006/relationships/hyperlink" Target="https://wilkinsmedia.app.box.com/folder/179019676997" TargetMode="External" Id="rId2698" /><Relationship Type="http://schemas.openxmlformats.org/officeDocument/2006/relationships/hyperlink" Target="https://wilkinsmedia.app.box.com/file/2272735909860" TargetMode="External" Id="rId2699" /><Relationship Type="http://schemas.openxmlformats.org/officeDocument/2006/relationships/hyperlink" Target="https://wilkinsmedia.app.box.com/folder/179019676997" TargetMode="External" Id="rId2700" /><Relationship Type="http://schemas.openxmlformats.org/officeDocument/2006/relationships/hyperlink" Target="https://wilkinsmedia.app.box.com/file/2272735909860" TargetMode="External" Id="rId2701" /><Relationship Type="http://schemas.openxmlformats.org/officeDocument/2006/relationships/hyperlink" Target="https://wilkinsmedia.app.box.com/folder/179019676997" TargetMode="External" Id="rId2702" /><Relationship Type="http://schemas.openxmlformats.org/officeDocument/2006/relationships/hyperlink" Target="https://wilkinsmedia.app.box.com/file/2272735909860" TargetMode="External" Id="rId2703" /><Relationship Type="http://schemas.openxmlformats.org/officeDocument/2006/relationships/hyperlink" Target="https://wilkinsmedia.app.box.com/folder/179019676997" TargetMode="External" Id="rId2704" /><Relationship Type="http://schemas.openxmlformats.org/officeDocument/2006/relationships/hyperlink" Target="https://wilkinsmedia.app.box.com/file/2272735909860" TargetMode="External" Id="rId2705" /><Relationship Type="http://schemas.openxmlformats.org/officeDocument/2006/relationships/hyperlink" Target="https://wilkinsmedia.app.box.com/folder/179019676997" TargetMode="External" Id="rId2706" /><Relationship Type="http://schemas.openxmlformats.org/officeDocument/2006/relationships/hyperlink" Target="https://wilkinsmedia.app.box.com/file/2311303135035" TargetMode="External" Id="rId2707" /><Relationship Type="http://schemas.openxmlformats.org/officeDocument/2006/relationships/hyperlink" Target="https://wilkinsmedia.app.box.com/folder/154075538279" TargetMode="External" Id="rId2708" /><Relationship Type="http://schemas.openxmlformats.org/officeDocument/2006/relationships/hyperlink" Target="https://wilkinsmedia.app.box.com/file/2311303135035" TargetMode="External" Id="rId2709" /><Relationship Type="http://schemas.openxmlformats.org/officeDocument/2006/relationships/hyperlink" Target="https://wilkinsmedia.app.box.com/folder/154075538279" TargetMode="External" Id="rId2710" /><Relationship Type="http://schemas.openxmlformats.org/officeDocument/2006/relationships/hyperlink" Target="https://wilkinsmedia.app.box.com/file/2311303135035" TargetMode="External" Id="rId2711" /><Relationship Type="http://schemas.openxmlformats.org/officeDocument/2006/relationships/hyperlink" Target="https://wilkinsmedia.app.box.com/folder/154075538279" TargetMode="External" Id="rId2712" /><Relationship Type="http://schemas.openxmlformats.org/officeDocument/2006/relationships/hyperlink" Target="https://wilkinsmedia.app.box.com/file/2311303135035" TargetMode="External" Id="rId2713" /><Relationship Type="http://schemas.openxmlformats.org/officeDocument/2006/relationships/hyperlink" Target="https://wilkinsmedia.app.box.com/folder/154075538279" TargetMode="External" Id="rId2714" /><Relationship Type="http://schemas.openxmlformats.org/officeDocument/2006/relationships/hyperlink" Target="https://wilkinsmedia.app.box.com/file/2311303135035" TargetMode="External" Id="rId2715" /><Relationship Type="http://schemas.openxmlformats.org/officeDocument/2006/relationships/hyperlink" Target="https://wilkinsmedia.app.box.com/folder/154075538279" TargetMode="External" Id="rId2716" /><Relationship Type="http://schemas.openxmlformats.org/officeDocument/2006/relationships/hyperlink" Target="https://wilkinsmedia.app.box.com/file/2311303135035" TargetMode="External" Id="rId2717" /><Relationship Type="http://schemas.openxmlformats.org/officeDocument/2006/relationships/hyperlink" Target="https://wilkinsmedia.app.box.com/folder/154075538279" TargetMode="External" Id="rId2718" /><Relationship Type="http://schemas.openxmlformats.org/officeDocument/2006/relationships/hyperlink" Target="https://wilkinsmedia.app.box.com/file/2311303135035" TargetMode="External" Id="rId2719" /><Relationship Type="http://schemas.openxmlformats.org/officeDocument/2006/relationships/hyperlink" Target="https://wilkinsmedia.app.box.com/folder/154075538279" TargetMode="External" Id="rId2720" /><Relationship Type="http://schemas.openxmlformats.org/officeDocument/2006/relationships/hyperlink" Target="https://wilkinsmedia.app.box.com/file/2311303135035" TargetMode="External" Id="rId2721" /><Relationship Type="http://schemas.openxmlformats.org/officeDocument/2006/relationships/hyperlink" Target="https://wilkinsmedia.app.box.com/folder/154075538279" TargetMode="External" Id="rId2722" /><Relationship Type="http://schemas.openxmlformats.org/officeDocument/2006/relationships/hyperlink" Target="https://wilkinsmedia.app.box.com/file/2311303135035" TargetMode="External" Id="rId2723" /><Relationship Type="http://schemas.openxmlformats.org/officeDocument/2006/relationships/hyperlink" Target="https://wilkinsmedia.app.box.com/folder/154075538279" TargetMode="External" Id="rId2724" /><Relationship Type="http://schemas.openxmlformats.org/officeDocument/2006/relationships/hyperlink" Target="https://wilkinsmedia.app.box.com/file/2311303135035" TargetMode="External" Id="rId2725" /><Relationship Type="http://schemas.openxmlformats.org/officeDocument/2006/relationships/hyperlink" Target="https://wilkinsmedia.app.box.com/folder/154075538279" TargetMode="External" Id="rId2726" /><Relationship Type="http://schemas.openxmlformats.org/officeDocument/2006/relationships/hyperlink" Target="https://wilkinsmedia.app.box.com/file/2311303135035" TargetMode="External" Id="rId2727" /><Relationship Type="http://schemas.openxmlformats.org/officeDocument/2006/relationships/hyperlink" Target="https://wilkinsmedia.app.box.com/folder/154075538279" TargetMode="External" Id="rId2728" /><Relationship Type="http://schemas.openxmlformats.org/officeDocument/2006/relationships/hyperlink" Target="https://wilkinsmedia.app.box.com/file/2272735909860" TargetMode="External" Id="rId2729" /><Relationship Type="http://schemas.openxmlformats.org/officeDocument/2006/relationships/hyperlink" Target="https://wilkinsmedia.app.box.com/folder/179019676997" TargetMode="External" Id="rId2730" /><Relationship Type="http://schemas.openxmlformats.org/officeDocument/2006/relationships/hyperlink" Target="https://wilkinsmedia.app.box.com/file/2272735909860" TargetMode="External" Id="rId2731" /><Relationship Type="http://schemas.openxmlformats.org/officeDocument/2006/relationships/hyperlink" Target="https://wilkinsmedia.app.box.com/folder/179019676997" TargetMode="External" Id="rId2732" /><Relationship Type="http://schemas.openxmlformats.org/officeDocument/2006/relationships/hyperlink" Target="https://wilkinsmedia.app.box.com/file/2272735909860" TargetMode="External" Id="rId2733" /><Relationship Type="http://schemas.openxmlformats.org/officeDocument/2006/relationships/hyperlink" Target="https://wilkinsmedia.app.box.com/folder/179019676997" TargetMode="External" Id="rId2734" /><Relationship Type="http://schemas.openxmlformats.org/officeDocument/2006/relationships/hyperlink" Target="https://wilkinsmedia.app.box.com/file/2272735909860" TargetMode="External" Id="rId2735" /><Relationship Type="http://schemas.openxmlformats.org/officeDocument/2006/relationships/hyperlink" Target="https://wilkinsmedia.app.box.com/folder/179019676997" TargetMode="External" Id="rId2736" /><Relationship Type="http://schemas.openxmlformats.org/officeDocument/2006/relationships/hyperlink" Target="https://wilkinsmedia.app.box.com/file/2272735909860" TargetMode="External" Id="rId2737" /><Relationship Type="http://schemas.openxmlformats.org/officeDocument/2006/relationships/hyperlink" Target="https://wilkinsmedia.app.box.com/folder/179019676997" TargetMode="External" Id="rId2738" /><Relationship Type="http://schemas.openxmlformats.org/officeDocument/2006/relationships/hyperlink" Target="https://wilkinsmedia.app.box.com/file/2272735909860" TargetMode="External" Id="rId2739" /><Relationship Type="http://schemas.openxmlformats.org/officeDocument/2006/relationships/hyperlink" Target="https://wilkinsmedia.app.box.com/folder/179019676997" TargetMode="External" Id="rId2740" /><Relationship Type="http://schemas.openxmlformats.org/officeDocument/2006/relationships/hyperlink" Target="https://wilkinsmedia.app.box.com/file/2272735909860" TargetMode="External" Id="rId2741" /><Relationship Type="http://schemas.openxmlformats.org/officeDocument/2006/relationships/hyperlink" Target="https://wilkinsmedia.app.box.com/folder/179019676997" TargetMode="External" Id="rId2742" /><Relationship Type="http://schemas.openxmlformats.org/officeDocument/2006/relationships/hyperlink" Target="https://wilkinsmedia.app.box.com/file/2272735909860" TargetMode="External" Id="rId2743" /><Relationship Type="http://schemas.openxmlformats.org/officeDocument/2006/relationships/hyperlink" Target="https://wilkinsmedia.app.box.com/folder/179019676997" TargetMode="External" Id="rId2744" /><Relationship Type="http://schemas.openxmlformats.org/officeDocument/2006/relationships/hyperlink" Target="https://wilkinsmedia.app.box.com/file/2272735909860" TargetMode="External" Id="rId2745" /><Relationship Type="http://schemas.openxmlformats.org/officeDocument/2006/relationships/hyperlink" Target="https://wilkinsmedia.app.box.com/folder/179019676997" TargetMode="External" Id="rId2746" /><Relationship Type="http://schemas.openxmlformats.org/officeDocument/2006/relationships/hyperlink" Target="https://wilkinsmedia.app.box.com/file/2272735909860" TargetMode="External" Id="rId2747" /><Relationship Type="http://schemas.openxmlformats.org/officeDocument/2006/relationships/hyperlink" Target="https://wilkinsmedia.app.box.com/folder/179019676997" TargetMode="External" Id="rId2748" /><Relationship Type="http://schemas.openxmlformats.org/officeDocument/2006/relationships/hyperlink" Target="https://wilkinsmedia.app.box.com/file/2272735909860" TargetMode="External" Id="rId2749" /><Relationship Type="http://schemas.openxmlformats.org/officeDocument/2006/relationships/hyperlink" Target="https://wilkinsmedia.app.box.com/folder/179019676997" TargetMode="External" Id="rId2750" /><Relationship Type="http://schemas.openxmlformats.org/officeDocument/2006/relationships/hyperlink" Target="https://wilkinsmedia.app.box.com/file/2272735909860" TargetMode="External" Id="rId2751" /><Relationship Type="http://schemas.openxmlformats.org/officeDocument/2006/relationships/hyperlink" Target="https://wilkinsmedia.app.box.com/folder/179019676997" TargetMode="External" Id="rId2752" /><Relationship Type="http://schemas.openxmlformats.org/officeDocument/2006/relationships/hyperlink" Target="https://wilkinsmedia.app.box.com/file/2272735909860" TargetMode="External" Id="rId2753" /><Relationship Type="http://schemas.openxmlformats.org/officeDocument/2006/relationships/hyperlink" Target="https://wilkinsmedia.app.box.com/folder/179019676997" TargetMode="External" Id="rId2754" /><Relationship Type="http://schemas.openxmlformats.org/officeDocument/2006/relationships/hyperlink" Target="https://wilkinsmedia.app.box.com/file/2272735909860" TargetMode="External" Id="rId2755" /><Relationship Type="http://schemas.openxmlformats.org/officeDocument/2006/relationships/hyperlink" Target="https://wilkinsmedia.app.box.com/folder/179019676997" TargetMode="External" Id="rId2756" /><Relationship Type="http://schemas.openxmlformats.org/officeDocument/2006/relationships/hyperlink" Target="https://wilkinsmedia.app.box.com/file/2272735909860" TargetMode="External" Id="rId2757" /><Relationship Type="http://schemas.openxmlformats.org/officeDocument/2006/relationships/hyperlink" Target="https://wilkinsmedia.app.box.com/folder/179019676997" TargetMode="External" Id="rId2758" /><Relationship Type="http://schemas.openxmlformats.org/officeDocument/2006/relationships/hyperlink" Target="https://wilkinsmedia.app.box.com/file/2272735909860" TargetMode="External" Id="rId2759" /><Relationship Type="http://schemas.openxmlformats.org/officeDocument/2006/relationships/hyperlink" Target="https://wilkinsmedia.app.box.com/folder/179019676997" TargetMode="External" Id="rId2760" /><Relationship Type="http://schemas.openxmlformats.org/officeDocument/2006/relationships/hyperlink" Target="https://wilkinsmedia.app.box.com/file/2272735909860" TargetMode="External" Id="rId2761" /><Relationship Type="http://schemas.openxmlformats.org/officeDocument/2006/relationships/hyperlink" Target="https://wilkinsmedia.app.box.com/folder/179019676997" TargetMode="External" Id="rId2762" /><Relationship Type="http://schemas.openxmlformats.org/officeDocument/2006/relationships/hyperlink" Target="https://wilkinsmedia.app.box.com/file/2189884336221" TargetMode="External" Id="rId2763" /><Relationship Type="http://schemas.openxmlformats.org/officeDocument/2006/relationships/hyperlink" Target="https://wilkinsmedia.app.box.com/folder/211940148495" TargetMode="External" Id="rId2764" /><Relationship Type="http://schemas.openxmlformats.org/officeDocument/2006/relationships/hyperlink" Target="https://wilkinsmedia.app.box.com/file/2189884336221" TargetMode="External" Id="rId2765" /><Relationship Type="http://schemas.openxmlformats.org/officeDocument/2006/relationships/hyperlink" Target="https://wilkinsmedia.app.box.com/folder/211940148495" TargetMode="External" Id="rId2766" /><Relationship Type="http://schemas.openxmlformats.org/officeDocument/2006/relationships/hyperlink" Target="https://wilkinsmedia.app.box.com/file/2189884336221" TargetMode="External" Id="rId2767" /><Relationship Type="http://schemas.openxmlformats.org/officeDocument/2006/relationships/hyperlink" Target="https://wilkinsmedia.app.box.com/folder/211940148495" TargetMode="External" Id="rId2768" /><Relationship Type="http://schemas.openxmlformats.org/officeDocument/2006/relationships/hyperlink" Target="https://wilkinsmedia.app.box.com/file/2189884336221" TargetMode="External" Id="rId2769" /><Relationship Type="http://schemas.openxmlformats.org/officeDocument/2006/relationships/hyperlink" Target="https://wilkinsmedia.app.box.com/folder/211940148495" TargetMode="External" Id="rId2770" /><Relationship Type="http://schemas.openxmlformats.org/officeDocument/2006/relationships/hyperlink" Target="https://wilkinsmedia.app.box.com/file/2189884336221" TargetMode="External" Id="rId2771" /><Relationship Type="http://schemas.openxmlformats.org/officeDocument/2006/relationships/hyperlink" Target="https://wilkinsmedia.app.box.com/folder/211940148495" TargetMode="External" Id="rId2772" /><Relationship Type="http://schemas.openxmlformats.org/officeDocument/2006/relationships/hyperlink" Target="https://wilkinsmedia.app.box.com/file/2189884336221" TargetMode="External" Id="rId2773" /><Relationship Type="http://schemas.openxmlformats.org/officeDocument/2006/relationships/hyperlink" Target="https://wilkinsmedia.app.box.com/folder/211940148495" TargetMode="External" Id="rId2774" /><Relationship Type="http://schemas.openxmlformats.org/officeDocument/2006/relationships/hyperlink" Target="https://wilkinsmedia.app.box.com/file/2189884336221" TargetMode="External" Id="rId2775" /><Relationship Type="http://schemas.openxmlformats.org/officeDocument/2006/relationships/hyperlink" Target="https://wilkinsmedia.app.box.com/folder/211940148495" TargetMode="External" Id="rId2776" /><Relationship Type="http://schemas.openxmlformats.org/officeDocument/2006/relationships/hyperlink" Target="https://wilkinsmedia.app.box.com/file/2276781834350" TargetMode="External" Id="rId2777" /><Relationship Type="http://schemas.openxmlformats.org/officeDocument/2006/relationships/hyperlink" Target="https://wilkinsmedia.app.box.com/folder/154070854169" TargetMode="External" Id="rId2778" /><Relationship Type="http://schemas.openxmlformats.org/officeDocument/2006/relationships/hyperlink" Target="https://wilkinsmedia.app.box.com/file/2276781834350" TargetMode="External" Id="rId2779" /><Relationship Type="http://schemas.openxmlformats.org/officeDocument/2006/relationships/hyperlink" Target="https://wilkinsmedia.app.box.com/folder/154070854169" TargetMode="External" Id="rId2780" /><Relationship Type="http://schemas.openxmlformats.org/officeDocument/2006/relationships/hyperlink" Target="https://wilkinsmedia.app.box.com/file/2276781834350" TargetMode="External" Id="rId2781" /><Relationship Type="http://schemas.openxmlformats.org/officeDocument/2006/relationships/hyperlink" Target="https://wilkinsmedia.app.box.com/folder/154070854169" TargetMode="External" Id="rId2782" /><Relationship Type="http://schemas.openxmlformats.org/officeDocument/2006/relationships/hyperlink" Target="https://wilkinsmedia.app.box.com/file/2276781834350" TargetMode="External" Id="rId2783" /><Relationship Type="http://schemas.openxmlformats.org/officeDocument/2006/relationships/hyperlink" Target="https://wilkinsmedia.app.box.com/folder/154070854169" TargetMode="External" Id="rId2784" /><Relationship Type="http://schemas.openxmlformats.org/officeDocument/2006/relationships/hyperlink" Target="https://wilkinsmedia.app.box.com/file/2276781834350" TargetMode="External" Id="rId2785" /><Relationship Type="http://schemas.openxmlformats.org/officeDocument/2006/relationships/hyperlink" Target="https://wilkinsmedia.app.box.com/folder/154070854169" TargetMode="External" Id="rId2786" /><Relationship Type="http://schemas.openxmlformats.org/officeDocument/2006/relationships/hyperlink" Target="https://wilkinsmedia.app.box.com/file/2276781834350" TargetMode="External" Id="rId2787" /><Relationship Type="http://schemas.openxmlformats.org/officeDocument/2006/relationships/hyperlink" Target="https://wilkinsmedia.app.box.com/folder/154070854169" TargetMode="External" Id="rId2788" /><Relationship Type="http://schemas.openxmlformats.org/officeDocument/2006/relationships/hyperlink" Target="https://wilkinsmedia.app.box.com/file/2276781834350" TargetMode="External" Id="rId2789" /><Relationship Type="http://schemas.openxmlformats.org/officeDocument/2006/relationships/hyperlink" Target="https://wilkinsmedia.app.box.com/folder/154070854169" TargetMode="External" Id="rId2790" /><Relationship Type="http://schemas.openxmlformats.org/officeDocument/2006/relationships/hyperlink" Target="https://wilkinsmedia.app.box.com/file/2276781834350" TargetMode="External" Id="rId2791" /><Relationship Type="http://schemas.openxmlformats.org/officeDocument/2006/relationships/hyperlink" Target="https://wilkinsmedia.app.box.com/folder/154070854169" TargetMode="External" Id="rId2792" /><Relationship Type="http://schemas.openxmlformats.org/officeDocument/2006/relationships/hyperlink" Target="https://wilkinsmedia.app.box.com/file/2276781834350" TargetMode="External" Id="rId2793" /><Relationship Type="http://schemas.openxmlformats.org/officeDocument/2006/relationships/hyperlink" Target="https://wilkinsmedia.app.box.com/folder/154070854169" TargetMode="External" Id="rId2794" /><Relationship Type="http://schemas.openxmlformats.org/officeDocument/2006/relationships/hyperlink" Target="https://wilkinsmedia.app.box.com/file/2276781834350" TargetMode="External" Id="rId2795" /><Relationship Type="http://schemas.openxmlformats.org/officeDocument/2006/relationships/hyperlink" Target="https://wilkinsmedia.app.box.com/folder/154070854169" TargetMode="External" Id="rId2796" /><Relationship Type="http://schemas.openxmlformats.org/officeDocument/2006/relationships/hyperlink" Target="https://wilkinsmedia.app.box.com/file/2276781834350" TargetMode="External" Id="rId2797" /><Relationship Type="http://schemas.openxmlformats.org/officeDocument/2006/relationships/hyperlink" Target="https://wilkinsmedia.app.box.com/folder/154070854169" TargetMode="External" Id="rId2798" /><Relationship Type="http://schemas.openxmlformats.org/officeDocument/2006/relationships/hyperlink" Target="https://wilkinsmedia.app.box.com/file/2276781834350" TargetMode="External" Id="rId2799" /><Relationship Type="http://schemas.openxmlformats.org/officeDocument/2006/relationships/hyperlink" Target="https://wilkinsmedia.app.box.com/folder/154070854169" TargetMode="External" Id="rId2800" /><Relationship Type="http://schemas.openxmlformats.org/officeDocument/2006/relationships/hyperlink" Target="https://wilkinsmedia.app.box.com/file/2276781834350" TargetMode="External" Id="rId2801" /><Relationship Type="http://schemas.openxmlformats.org/officeDocument/2006/relationships/hyperlink" Target="https://wilkinsmedia.app.box.com/folder/154070854169" TargetMode="External" Id="rId2802" /><Relationship Type="http://schemas.openxmlformats.org/officeDocument/2006/relationships/hyperlink" Target="https://wilkinsmedia.app.box.com/file/2276781834350" TargetMode="External" Id="rId2803" /><Relationship Type="http://schemas.openxmlformats.org/officeDocument/2006/relationships/hyperlink" Target="https://wilkinsmedia.app.box.com/folder/154070854169" TargetMode="External" Id="rId2804" /><Relationship Type="http://schemas.openxmlformats.org/officeDocument/2006/relationships/hyperlink" Target="https://wilkinsmedia.app.box.com/file/2276781834350" TargetMode="External" Id="rId2805" /><Relationship Type="http://schemas.openxmlformats.org/officeDocument/2006/relationships/hyperlink" Target="https://wilkinsmedia.app.box.com/folder/154070854169" TargetMode="External" Id="rId2806" /><Relationship Type="http://schemas.openxmlformats.org/officeDocument/2006/relationships/hyperlink" Target="https://wilkinsmedia.app.box.com/file/2276781834350" TargetMode="External" Id="rId2807" /><Relationship Type="http://schemas.openxmlformats.org/officeDocument/2006/relationships/hyperlink" Target="https://wilkinsmedia.app.box.com/folder/154070854169" TargetMode="External" Id="rId2808" /><Relationship Type="http://schemas.openxmlformats.org/officeDocument/2006/relationships/hyperlink" Target="https://wilkinsmedia.app.box.com/file/2276781834350" TargetMode="External" Id="rId2809" /><Relationship Type="http://schemas.openxmlformats.org/officeDocument/2006/relationships/hyperlink" Target="https://wilkinsmedia.app.box.com/folder/154070854169" TargetMode="External" Id="rId2810" /><Relationship Type="http://schemas.openxmlformats.org/officeDocument/2006/relationships/hyperlink" Target="https://wilkinsmedia.app.box.com/file/2272735909860" TargetMode="External" Id="rId2811" /><Relationship Type="http://schemas.openxmlformats.org/officeDocument/2006/relationships/hyperlink" Target="https://wilkinsmedia.app.box.com/folder/179019676997" TargetMode="External" Id="rId2812" /><Relationship Type="http://schemas.openxmlformats.org/officeDocument/2006/relationships/hyperlink" Target="https://wilkinsmedia.app.box.com/file/2272735909860" TargetMode="External" Id="rId2813" /><Relationship Type="http://schemas.openxmlformats.org/officeDocument/2006/relationships/hyperlink" Target="https://wilkinsmedia.app.box.com/folder/179019676997" TargetMode="External" Id="rId2814" /><Relationship Type="http://schemas.openxmlformats.org/officeDocument/2006/relationships/hyperlink" Target="https://wilkinsmedia.app.box.com/file/2272735909860" TargetMode="External" Id="rId2815" /><Relationship Type="http://schemas.openxmlformats.org/officeDocument/2006/relationships/hyperlink" Target="https://wilkinsmedia.app.box.com/folder/179019676997" TargetMode="External" Id="rId2816" /><Relationship Type="http://schemas.openxmlformats.org/officeDocument/2006/relationships/hyperlink" Target="https://wilkinsmedia.app.box.com/file/2272735909860" TargetMode="External" Id="rId2817" /><Relationship Type="http://schemas.openxmlformats.org/officeDocument/2006/relationships/hyperlink" Target="https://wilkinsmedia.app.box.com/folder/179019676997" TargetMode="External" Id="rId2818" /><Relationship Type="http://schemas.openxmlformats.org/officeDocument/2006/relationships/hyperlink" Target="https://wilkinsmedia.app.box.com/file/2272735909860" TargetMode="External" Id="rId2819" /><Relationship Type="http://schemas.openxmlformats.org/officeDocument/2006/relationships/hyperlink" Target="https://wilkinsmedia.app.box.com/folder/179019676997" TargetMode="External" Id="rId2820" /><Relationship Type="http://schemas.openxmlformats.org/officeDocument/2006/relationships/hyperlink" Target="https://wilkinsmedia.app.box.com/file/2272735909860" TargetMode="External" Id="rId2821" /><Relationship Type="http://schemas.openxmlformats.org/officeDocument/2006/relationships/hyperlink" Target="https://wilkinsmedia.app.box.com/folder/179019676997" TargetMode="External" Id="rId2822" /><Relationship Type="http://schemas.openxmlformats.org/officeDocument/2006/relationships/hyperlink" Target="https://wilkinsmedia.app.box.com/file/2272735909860" TargetMode="External" Id="rId2823" /><Relationship Type="http://schemas.openxmlformats.org/officeDocument/2006/relationships/hyperlink" Target="https://wilkinsmedia.app.box.com/folder/179019676997" TargetMode="External" Id="rId2824" /><Relationship Type="http://schemas.openxmlformats.org/officeDocument/2006/relationships/hyperlink" Target="https://wilkinsmedia.app.box.com/file/2272735909860" TargetMode="External" Id="rId2825" /><Relationship Type="http://schemas.openxmlformats.org/officeDocument/2006/relationships/hyperlink" Target="https://wilkinsmedia.app.box.com/folder/179019676997" TargetMode="External" Id="rId2826" /><Relationship Type="http://schemas.openxmlformats.org/officeDocument/2006/relationships/hyperlink" Target="https://wilkinsmedia.app.box.com/file/2272735909860" TargetMode="External" Id="rId2827" /><Relationship Type="http://schemas.openxmlformats.org/officeDocument/2006/relationships/hyperlink" Target="https://wilkinsmedia.app.box.com/folder/179019676997" TargetMode="External" Id="rId2828" /><Relationship Type="http://schemas.openxmlformats.org/officeDocument/2006/relationships/hyperlink" Target="https://wilkinsmedia.app.box.com/file/2272735909860" TargetMode="External" Id="rId2829" /><Relationship Type="http://schemas.openxmlformats.org/officeDocument/2006/relationships/hyperlink" Target="https://wilkinsmedia.app.box.com/folder/179019676997" TargetMode="External" Id="rId2830" /><Relationship Type="http://schemas.openxmlformats.org/officeDocument/2006/relationships/hyperlink" Target="https://wilkinsmedia.app.box.com/file/2272735909860" TargetMode="External" Id="rId2831" /><Relationship Type="http://schemas.openxmlformats.org/officeDocument/2006/relationships/hyperlink" Target="https://wilkinsmedia.app.box.com/folder/179019676997" TargetMode="External" Id="rId2832" /><Relationship Type="http://schemas.openxmlformats.org/officeDocument/2006/relationships/hyperlink" Target="https://wilkinsmedia.app.box.com/file/2272735909860" TargetMode="External" Id="rId2833" /><Relationship Type="http://schemas.openxmlformats.org/officeDocument/2006/relationships/hyperlink" Target="https://wilkinsmedia.app.box.com/folder/179019676997" TargetMode="External" Id="rId2834" /><Relationship Type="http://schemas.openxmlformats.org/officeDocument/2006/relationships/hyperlink" Target="https://wilkinsmedia.app.box.com/file/2272735909860" TargetMode="External" Id="rId2835" /><Relationship Type="http://schemas.openxmlformats.org/officeDocument/2006/relationships/hyperlink" Target="https://wilkinsmedia.app.box.com/folder/179019676997" TargetMode="External" Id="rId2836" /><Relationship Type="http://schemas.openxmlformats.org/officeDocument/2006/relationships/hyperlink" Target="https://wilkinsmedia.app.box.com/file/2272735909860" TargetMode="External" Id="rId2837" /><Relationship Type="http://schemas.openxmlformats.org/officeDocument/2006/relationships/hyperlink" Target="https://wilkinsmedia.app.box.com/folder/179019676997" TargetMode="External" Id="rId2838" /><Relationship Type="http://schemas.openxmlformats.org/officeDocument/2006/relationships/hyperlink" Target="https://wilkinsmedia.app.box.com/file/1047659208335" TargetMode="External" Id="rId2839" /><Relationship Type="http://schemas.openxmlformats.org/officeDocument/2006/relationships/hyperlink" Target="https://wilkinsmedia.app.box.com/folder/178713602506" TargetMode="External" Id="rId2840" /><Relationship Type="http://schemas.openxmlformats.org/officeDocument/2006/relationships/hyperlink" Target="https://wilkinsmedia.app.box.com/file/1047659208335" TargetMode="External" Id="rId2841" /><Relationship Type="http://schemas.openxmlformats.org/officeDocument/2006/relationships/hyperlink" Target="https://wilkinsmedia.app.box.com/folder/178713602506" TargetMode="External" Id="rId2842" /><Relationship Type="http://schemas.openxmlformats.org/officeDocument/2006/relationships/hyperlink" Target="https://wilkinsmedia.app.box.com/file/1047659208335" TargetMode="External" Id="rId2843" /><Relationship Type="http://schemas.openxmlformats.org/officeDocument/2006/relationships/hyperlink" Target="https://wilkinsmedia.app.box.com/folder/178713602506" TargetMode="External" Id="rId2844" /><Relationship Type="http://schemas.openxmlformats.org/officeDocument/2006/relationships/hyperlink" Target="https://wilkinsmedia.app.box.com/file/1047659208335" TargetMode="External" Id="rId2845" /><Relationship Type="http://schemas.openxmlformats.org/officeDocument/2006/relationships/hyperlink" Target="https://wilkinsmedia.app.box.com/folder/178713602506" TargetMode="External" Id="rId2846" /><Relationship Type="http://schemas.openxmlformats.org/officeDocument/2006/relationships/hyperlink" Target="https://wilkinsmedia.app.box.com/file/1640343856454" TargetMode="External" Id="rId2847" /><Relationship Type="http://schemas.openxmlformats.org/officeDocument/2006/relationships/hyperlink" Target="https://wilkinsmedia.app.box.com/folder/283558365488" TargetMode="External" Id="rId2848" /><Relationship Type="http://schemas.openxmlformats.org/officeDocument/2006/relationships/hyperlink" Target="https://wilkinsmedia.app.box.com/file/1640343856454" TargetMode="External" Id="rId2849" /><Relationship Type="http://schemas.openxmlformats.org/officeDocument/2006/relationships/hyperlink" Target="https://wilkinsmedia.app.box.com/folder/283558365488" TargetMode="External" Id="rId2850" /><Relationship Type="http://schemas.openxmlformats.org/officeDocument/2006/relationships/hyperlink" Target="https://wilkinsmedia.app.box.com/file/2272572035100" TargetMode="External" Id="rId2851" /><Relationship Type="http://schemas.openxmlformats.org/officeDocument/2006/relationships/hyperlink" Target="https://wilkinsmedia.app.box.com/folder/179023552896" TargetMode="External" Id="rId2852" /><Relationship Type="http://schemas.openxmlformats.org/officeDocument/2006/relationships/hyperlink" Target="https://wilkinsmedia.app.box.com/file/2272572035100" TargetMode="External" Id="rId2853" /><Relationship Type="http://schemas.openxmlformats.org/officeDocument/2006/relationships/hyperlink" Target="https://wilkinsmedia.app.box.com/folder/179023552896" TargetMode="External" Id="rId2854" /><Relationship Type="http://schemas.openxmlformats.org/officeDocument/2006/relationships/hyperlink" Target="https://wilkinsmedia.app.box.com/file/2272572035100" TargetMode="External" Id="rId2855" /><Relationship Type="http://schemas.openxmlformats.org/officeDocument/2006/relationships/hyperlink" Target="https://wilkinsmedia.app.box.com/folder/179023552896" TargetMode="External" Id="rId2856" /><Relationship Type="http://schemas.openxmlformats.org/officeDocument/2006/relationships/hyperlink" Target="https://wilkinsmedia.app.box.com/file/2272572035100" TargetMode="External" Id="rId2857" /><Relationship Type="http://schemas.openxmlformats.org/officeDocument/2006/relationships/hyperlink" Target="https://wilkinsmedia.app.box.com/folder/179023552896" TargetMode="External" Id="rId2858" /><Relationship Type="http://schemas.openxmlformats.org/officeDocument/2006/relationships/hyperlink" Target="https://wilkinsmedia.app.box.com/file/2272572035100" TargetMode="External" Id="rId2859" /><Relationship Type="http://schemas.openxmlformats.org/officeDocument/2006/relationships/hyperlink" Target="https://wilkinsmedia.app.box.com/folder/179023552896" TargetMode="External" Id="rId2860" /><Relationship Type="http://schemas.openxmlformats.org/officeDocument/2006/relationships/hyperlink" Target="https://wilkinsmedia.app.box.com/file/2272572035100" TargetMode="External" Id="rId2861" /><Relationship Type="http://schemas.openxmlformats.org/officeDocument/2006/relationships/hyperlink" Target="https://wilkinsmedia.app.box.com/folder/179023552896" TargetMode="External" Id="rId2862" /><Relationship Type="http://schemas.openxmlformats.org/officeDocument/2006/relationships/hyperlink" Target="https://wilkinsmedia.app.box.com/file/2272572035100" TargetMode="External" Id="rId2863" /><Relationship Type="http://schemas.openxmlformats.org/officeDocument/2006/relationships/hyperlink" Target="https://wilkinsmedia.app.box.com/folder/179023552896" TargetMode="External" Id="rId2864" /><Relationship Type="http://schemas.openxmlformats.org/officeDocument/2006/relationships/hyperlink" Target="https://wilkinsmedia.app.box.com/file/2272572035100" TargetMode="External" Id="rId2865" /><Relationship Type="http://schemas.openxmlformats.org/officeDocument/2006/relationships/hyperlink" Target="https://wilkinsmedia.app.box.com/folder/179023552896" TargetMode="External" Id="rId2866" /><Relationship Type="http://schemas.openxmlformats.org/officeDocument/2006/relationships/hyperlink" Target="https://wilkinsmedia.app.box.com/file/2272572035100" TargetMode="External" Id="rId2867" /><Relationship Type="http://schemas.openxmlformats.org/officeDocument/2006/relationships/hyperlink" Target="https://wilkinsmedia.app.box.com/folder/179023552896" TargetMode="External" Id="rId2868" /><Relationship Type="http://schemas.openxmlformats.org/officeDocument/2006/relationships/hyperlink" Target="https://wilkinsmedia.app.box.com/file/2272572035100" TargetMode="External" Id="rId2869" /><Relationship Type="http://schemas.openxmlformats.org/officeDocument/2006/relationships/hyperlink" Target="https://wilkinsmedia.app.box.com/folder/179023552896" TargetMode="External" Id="rId2870" /><Relationship Type="http://schemas.openxmlformats.org/officeDocument/2006/relationships/hyperlink" Target="https://wilkinsmedia.app.box.com/file/2272572035100" TargetMode="External" Id="rId2871" /><Relationship Type="http://schemas.openxmlformats.org/officeDocument/2006/relationships/hyperlink" Target="https://wilkinsmedia.app.box.com/folder/179023552896" TargetMode="External" Id="rId2872" /><Relationship Type="http://schemas.openxmlformats.org/officeDocument/2006/relationships/hyperlink" Target="https://wilkinsmedia.app.box.com/file/2287387782607" TargetMode="External" Id="rId2873" /><Relationship Type="http://schemas.openxmlformats.org/officeDocument/2006/relationships/hyperlink" Target="https://wilkinsmedia.app.box.com/folder/282334483002" TargetMode="External" Id="rId2874" /><Relationship Type="http://schemas.openxmlformats.org/officeDocument/2006/relationships/hyperlink" Target="https://wilkinsmedia.app.box.com/file/2287387782607" TargetMode="External" Id="rId2875" /><Relationship Type="http://schemas.openxmlformats.org/officeDocument/2006/relationships/hyperlink" Target="https://wilkinsmedia.app.box.com/folder/282334483002" TargetMode="External" Id="rId2876" /><Relationship Type="http://schemas.openxmlformats.org/officeDocument/2006/relationships/hyperlink" Target="https://wilkinsmedia.app.box.com/file/2311272796708" TargetMode="External" Id="rId2877" /><Relationship Type="http://schemas.openxmlformats.org/officeDocument/2006/relationships/hyperlink" Target="https://wilkinsmedia.app.box.com/folder/179588450728" TargetMode="External" Id="rId2878" /><Relationship Type="http://schemas.openxmlformats.org/officeDocument/2006/relationships/hyperlink" Target="https://wilkinsmedia.app.box.com/file/2311272796708" TargetMode="External" Id="rId2879" /><Relationship Type="http://schemas.openxmlformats.org/officeDocument/2006/relationships/hyperlink" Target="https://wilkinsmedia.app.box.com/folder/179588450728" TargetMode="External" Id="rId2880" /><Relationship Type="http://schemas.openxmlformats.org/officeDocument/2006/relationships/hyperlink" Target="https://wilkinsmedia.app.box.com/file/2358149658659" TargetMode="External" Id="rId2881" /><Relationship Type="http://schemas.openxmlformats.org/officeDocument/2006/relationships/hyperlink" Target="https://wilkinsmedia.app.box.com/folder/272545454167" TargetMode="External" Id="rId2882" /><Relationship Type="http://schemas.openxmlformats.org/officeDocument/2006/relationships/hyperlink" Target="https://wilkinsmedia.app.box.com/file/2358149658659" TargetMode="External" Id="rId2883" /><Relationship Type="http://schemas.openxmlformats.org/officeDocument/2006/relationships/hyperlink" Target="https://wilkinsmedia.app.box.com/folder/272545454167" TargetMode="External" Id="rId2884" /><Relationship Type="http://schemas.openxmlformats.org/officeDocument/2006/relationships/hyperlink" Target="https://wilkinsmedia.app.box.com/file/2319078546639" TargetMode="External" Id="rId2885" /><Relationship Type="http://schemas.openxmlformats.org/officeDocument/2006/relationships/hyperlink" Target="https://wilkinsmedia.app.box.com/folder/179023436130" TargetMode="External" Id="rId2886" /><Relationship Type="http://schemas.openxmlformats.org/officeDocument/2006/relationships/hyperlink" Target="https://wilkinsmedia.app.box.com/file/2319078546639" TargetMode="External" Id="rId2887" /><Relationship Type="http://schemas.openxmlformats.org/officeDocument/2006/relationships/hyperlink" Target="https://wilkinsmedia.app.box.com/folder/179023436130" TargetMode="External" Id="rId2888" /><Relationship Type="http://schemas.openxmlformats.org/officeDocument/2006/relationships/hyperlink" Target="https://wilkinsmedia.app.box.com/file/2319078546639" TargetMode="External" Id="rId2889" /><Relationship Type="http://schemas.openxmlformats.org/officeDocument/2006/relationships/hyperlink" Target="https://wilkinsmedia.app.box.com/folder/179023436130" TargetMode="External" Id="rId2890" /><Relationship Type="http://schemas.openxmlformats.org/officeDocument/2006/relationships/hyperlink" Target="https://wilkinsmedia.app.box.com/file/2319078546639" TargetMode="External" Id="rId2891" /><Relationship Type="http://schemas.openxmlformats.org/officeDocument/2006/relationships/hyperlink" Target="https://wilkinsmedia.app.box.com/folder/179023436130" TargetMode="External" Id="rId2892" /><Relationship Type="http://schemas.openxmlformats.org/officeDocument/2006/relationships/hyperlink" Target="https://wilkinsmedia.app.box.com/file/2319078546639" TargetMode="External" Id="rId2893" /><Relationship Type="http://schemas.openxmlformats.org/officeDocument/2006/relationships/hyperlink" Target="https://wilkinsmedia.app.box.com/folder/179023436130" TargetMode="External" Id="rId2894" /><Relationship Type="http://schemas.openxmlformats.org/officeDocument/2006/relationships/hyperlink" Target="https://wilkinsmedia.app.box.com/file/2319078546639" TargetMode="External" Id="rId2895" /><Relationship Type="http://schemas.openxmlformats.org/officeDocument/2006/relationships/hyperlink" Target="https://wilkinsmedia.app.box.com/folder/179023436130" TargetMode="External" Id="rId2896" /><Relationship Type="http://schemas.openxmlformats.org/officeDocument/2006/relationships/hyperlink" Target="https://wilkinsmedia.app.box.com/file/2319078546639" TargetMode="External" Id="rId2897" /><Relationship Type="http://schemas.openxmlformats.org/officeDocument/2006/relationships/hyperlink" Target="https://wilkinsmedia.app.box.com/folder/179023436130" TargetMode="External" Id="rId2898" /><Relationship Type="http://schemas.openxmlformats.org/officeDocument/2006/relationships/hyperlink" Target="https://wilkinsmedia.app.box.com/file/2319078546639" TargetMode="External" Id="rId2899" /><Relationship Type="http://schemas.openxmlformats.org/officeDocument/2006/relationships/hyperlink" Target="https://wilkinsmedia.app.box.com/folder/179023436130" TargetMode="External" Id="rId2900" /><Relationship Type="http://schemas.openxmlformats.org/officeDocument/2006/relationships/hyperlink" Target="https://wilkinsmedia.app.box.com/file/2200277440044" TargetMode="External" Id="rId2901" /><Relationship Type="http://schemas.openxmlformats.org/officeDocument/2006/relationships/hyperlink" Target="https://wilkinsmedia.app.box.com/folder/179016975217" TargetMode="External" Id="rId2902" /><Relationship Type="http://schemas.openxmlformats.org/officeDocument/2006/relationships/hyperlink" Target="https://wilkinsmedia.app.box.com/file/2200277440044" TargetMode="External" Id="rId2903" /><Relationship Type="http://schemas.openxmlformats.org/officeDocument/2006/relationships/hyperlink" Target="https://wilkinsmedia.app.box.com/folder/179016975217" TargetMode="External" Id="rId2904" /><Relationship Type="http://schemas.openxmlformats.org/officeDocument/2006/relationships/hyperlink" Target="https://wilkinsmedia.app.box.com/file/2200277440044" TargetMode="External" Id="rId2905" /><Relationship Type="http://schemas.openxmlformats.org/officeDocument/2006/relationships/hyperlink" Target="https://wilkinsmedia.app.box.com/folder/179016975217" TargetMode="External" Id="rId2906" /><Relationship Type="http://schemas.openxmlformats.org/officeDocument/2006/relationships/hyperlink" Target="https://wilkinsmedia.app.box.com/file/2200277440044" TargetMode="External" Id="rId2907" /><Relationship Type="http://schemas.openxmlformats.org/officeDocument/2006/relationships/hyperlink" Target="https://wilkinsmedia.app.box.com/folder/179016975217" TargetMode="External" Id="rId2908" /><Relationship Type="http://schemas.openxmlformats.org/officeDocument/2006/relationships/hyperlink" Target="https://wilkinsmedia.app.box.com/file/2200277440044" TargetMode="External" Id="rId2909" /><Relationship Type="http://schemas.openxmlformats.org/officeDocument/2006/relationships/hyperlink" Target="https://wilkinsmedia.app.box.com/folder/179016975217" TargetMode="External" Id="rId2910" /><Relationship Type="http://schemas.openxmlformats.org/officeDocument/2006/relationships/hyperlink" Target="https://wilkinsmedia.app.box.com/file/2200277440044" TargetMode="External" Id="rId2911" /><Relationship Type="http://schemas.openxmlformats.org/officeDocument/2006/relationships/hyperlink" Target="https://wilkinsmedia.app.box.com/folder/179016975217" TargetMode="External" Id="rId2912" /><Relationship Type="http://schemas.openxmlformats.org/officeDocument/2006/relationships/hyperlink" Target="https://wilkinsmedia.app.box.com/file/2200277440044" TargetMode="External" Id="rId2913" /><Relationship Type="http://schemas.openxmlformats.org/officeDocument/2006/relationships/hyperlink" Target="https://wilkinsmedia.app.box.com/folder/179016975217" TargetMode="External" Id="rId2914" /><Relationship Type="http://schemas.openxmlformats.org/officeDocument/2006/relationships/hyperlink" Target="https://wilkinsmedia.app.box.com/file/2200277440044" TargetMode="External" Id="rId2915" /><Relationship Type="http://schemas.openxmlformats.org/officeDocument/2006/relationships/hyperlink" Target="https://wilkinsmedia.app.box.com/folder/179016975217" TargetMode="External" Id="rId2916" /><Relationship Type="http://schemas.openxmlformats.org/officeDocument/2006/relationships/hyperlink" Target="https://wilkinsmedia.app.box.com/file/2200277440044" TargetMode="External" Id="rId2917" /><Relationship Type="http://schemas.openxmlformats.org/officeDocument/2006/relationships/hyperlink" Target="https://wilkinsmedia.app.box.com/folder/179016975217" TargetMode="External" Id="rId2918" /><Relationship Type="http://schemas.openxmlformats.org/officeDocument/2006/relationships/hyperlink" Target="https://wilkinsmedia.app.box.com/file/2200277440044" TargetMode="External" Id="rId2919" /><Relationship Type="http://schemas.openxmlformats.org/officeDocument/2006/relationships/hyperlink" Target="https://wilkinsmedia.app.box.com/folder/179016975217" TargetMode="External" Id="rId2920" /><Relationship Type="http://schemas.openxmlformats.org/officeDocument/2006/relationships/hyperlink" Target="https://wilkinsmedia.app.box.com/file/2200277440044" TargetMode="External" Id="rId2921" /><Relationship Type="http://schemas.openxmlformats.org/officeDocument/2006/relationships/hyperlink" Target="https://wilkinsmedia.app.box.com/folder/179016975217" TargetMode="External" Id="rId2922" /><Relationship Type="http://schemas.openxmlformats.org/officeDocument/2006/relationships/hyperlink" Target="https://wilkinsmedia.app.box.com/file/2200277440044" TargetMode="External" Id="rId2923" /><Relationship Type="http://schemas.openxmlformats.org/officeDocument/2006/relationships/hyperlink" Target="https://wilkinsmedia.app.box.com/folder/179016975217" TargetMode="External" Id="rId2924" /><Relationship Type="http://schemas.openxmlformats.org/officeDocument/2006/relationships/hyperlink" Target="https://wilkinsmedia.app.box.com/file/2200277440044" TargetMode="External" Id="rId2925" /><Relationship Type="http://schemas.openxmlformats.org/officeDocument/2006/relationships/hyperlink" Target="https://wilkinsmedia.app.box.com/folder/179016975217" TargetMode="External" Id="rId2926" /><Relationship Type="http://schemas.openxmlformats.org/officeDocument/2006/relationships/hyperlink" Target="https://wilkinsmedia.app.box.com/file/2200277440044" TargetMode="External" Id="rId2927" /><Relationship Type="http://schemas.openxmlformats.org/officeDocument/2006/relationships/hyperlink" Target="https://wilkinsmedia.app.box.com/folder/179016975217" TargetMode="External" Id="rId2928" /><Relationship Type="http://schemas.openxmlformats.org/officeDocument/2006/relationships/hyperlink" Target="https://wilkinsmedia.app.box.com/file/2200277440044" TargetMode="External" Id="rId2929" /><Relationship Type="http://schemas.openxmlformats.org/officeDocument/2006/relationships/hyperlink" Target="https://wilkinsmedia.app.box.com/folder/179016975217" TargetMode="External" Id="rId2930" /><Relationship Type="http://schemas.openxmlformats.org/officeDocument/2006/relationships/hyperlink" Target="https://wilkinsmedia.app.box.com/file/2200277440044" TargetMode="External" Id="rId2931" /><Relationship Type="http://schemas.openxmlformats.org/officeDocument/2006/relationships/hyperlink" Target="https://wilkinsmedia.app.box.com/folder/179016975217" TargetMode="External" Id="rId2932" /><Relationship Type="http://schemas.openxmlformats.org/officeDocument/2006/relationships/hyperlink" Target="https://wilkinsmedia.app.box.com/file/2200277440044" TargetMode="External" Id="rId2933" /><Relationship Type="http://schemas.openxmlformats.org/officeDocument/2006/relationships/hyperlink" Target="https://wilkinsmedia.app.box.com/folder/179016975217" TargetMode="External" Id="rId2934" /><Relationship Type="http://schemas.openxmlformats.org/officeDocument/2006/relationships/hyperlink" Target="https://wilkinsmedia.app.box.com/file/2246743975056" TargetMode="External" Id="rId2935" /><Relationship Type="http://schemas.openxmlformats.org/officeDocument/2006/relationships/hyperlink" Target="https://wilkinsmedia.app.box.com/folder/178460479983" TargetMode="External" Id="rId2936" /><Relationship Type="http://schemas.openxmlformats.org/officeDocument/2006/relationships/hyperlink" Target="https://wilkinsmedia.app.box.com/file/2246743975056" TargetMode="External" Id="rId2937" /><Relationship Type="http://schemas.openxmlformats.org/officeDocument/2006/relationships/hyperlink" Target="https://wilkinsmedia.app.box.com/folder/178460479983" TargetMode="External" Id="rId2938" /><Relationship Type="http://schemas.openxmlformats.org/officeDocument/2006/relationships/hyperlink" Target="https://wilkinsmedia.app.box.com/file/2246743975056" TargetMode="External" Id="rId2939" /><Relationship Type="http://schemas.openxmlformats.org/officeDocument/2006/relationships/hyperlink" Target="https://wilkinsmedia.app.box.com/folder/178460479983" TargetMode="External" Id="rId2940" /><Relationship Type="http://schemas.openxmlformats.org/officeDocument/2006/relationships/hyperlink" Target="https://wilkinsmedia.app.box.com/file/2246743975056" TargetMode="External" Id="rId2941" /><Relationship Type="http://schemas.openxmlformats.org/officeDocument/2006/relationships/hyperlink" Target="https://wilkinsmedia.app.box.com/folder/178460479983" TargetMode="External" Id="rId2942" /><Relationship Type="http://schemas.openxmlformats.org/officeDocument/2006/relationships/hyperlink" Target="https://wilkinsmedia.app.box.com/file/2246743975056" TargetMode="External" Id="rId2943" /><Relationship Type="http://schemas.openxmlformats.org/officeDocument/2006/relationships/hyperlink" Target="https://wilkinsmedia.app.box.com/folder/178460479983" TargetMode="External" Id="rId2944" /><Relationship Type="http://schemas.openxmlformats.org/officeDocument/2006/relationships/hyperlink" Target="https://wilkinsmedia.app.box.com/file/2246743975056" TargetMode="External" Id="rId2945" /><Relationship Type="http://schemas.openxmlformats.org/officeDocument/2006/relationships/hyperlink" Target="https://wilkinsmedia.app.box.com/folder/178460479983" TargetMode="External" Id="rId2946" /><Relationship Type="http://schemas.openxmlformats.org/officeDocument/2006/relationships/hyperlink" Target="https://wilkinsmedia.app.box.com/file/2318711435387" TargetMode="External" Id="rId2947" /><Relationship Type="http://schemas.openxmlformats.org/officeDocument/2006/relationships/hyperlink" Target="https://wilkinsmedia.app.box.com/folder/262299236694" TargetMode="External" Id="rId2948" /><Relationship Type="http://schemas.openxmlformats.org/officeDocument/2006/relationships/hyperlink" Target="https://wilkinsmedia.app.box.com/file/2318711435387" TargetMode="External" Id="rId2949" /><Relationship Type="http://schemas.openxmlformats.org/officeDocument/2006/relationships/hyperlink" Target="https://wilkinsmedia.app.box.com/folder/262299236694" TargetMode="External" Id="rId2950" /><Relationship Type="http://schemas.openxmlformats.org/officeDocument/2006/relationships/hyperlink" Target="https://wilkinsmedia.app.box.com/file/2318711435387" TargetMode="External" Id="rId2951" /><Relationship Type="http://schemas.openxmlformats.org/officeDocument/2006/relationships/hyperlink" Target="https://wilkinsmedia.app.box.com/folder/262299236694" TargetMode="External" Id="rId2952" /><Relationship Type="http://schemas.openxmlformats.org/officeDocument/2006/relationships/hyperlink" Target="https://wilkinsmedia.app.box.com/file/2318711435387" TargetMode="External" Id="rId2953" /><Relationship Type="http://schemas.openxmlformats.org/officeDocument/2006/relationships/hyperlink" Target="https://wilkinsmedia.app.box.com/folder/262299236694" TargetMode="External" Id="rId2954" /><Relationship Type="http://schemas.openxmlformats.org/officeDocument/2006/relationships/hyperlink" Target="https://wilkinsmedia.app.box.com/file/2318711435387" TargetMode="External" Id="rId2955" /><Relationship Type="http://schemas.openxmlformats.org/officeDocument/2006/relationships/hyperlink" Target="https://wilkinsmedia.app.box.com/folder/262299236694" TargetMode="External" Id="rId2956" /><Relationship Type="http://schemas.openxmlformats.org/officeDocument/2006/relationships/hyperlink" Target="https://wilkinsmedia.app.box.com/file/2318711435387" TargetMode="External" Id="rId2957" /><Relationship Type="http://schemas.openxmlformats.org/officeDocument/2006/relationships/hyperlink" Target="https://wilkinsmedia.app.box.com/folder/262299236694" TargetMode="External" Id="rId2958" /><Relationship Type="http://schemas.openxmlformats.org/officeDocument/2006/relationships/hyperlink" Target="https://wilkinsmedia.app.box.com/file/2311272796708" TargetMode="External" Id="rId2959" /><Relationship Type="http://schemas.openxmlformats.org/officeDocument/2006/relationships/hyperlink" Target="https://wilkinsmedia.app.box.com/folder/179588450728" TargetMode="External" Id="rId2960" /><Relationship Type="http://schemas.openxmlformats.org/officeDocument/2006/relationships/hyperlink" Target="https://wilkinsmedia.app.box.com/file/2311272796708" TargetMode="External" Id="rId2961" /><Relationship Type="http://schemas.openxmlformats.org/officeDocument/2006/relationships/hyperlink" Target="https://wilkinsmedia.app.box.com/folder/179588450728" TargetMode="External" Id="rId2962" /><Relationship Type="http://schemas.openxmlformats.org/officeDocument/2006/relationships/hyperlink" Target="https://wilkinsmedia.app.box.com/file/2311272796708" TargetMode="External" Id="rId2963" /><Relationship Type="http://schemas.openxmlformats.org/officeDocument/2006/relationships/hyperlink" Target="https://wilkinsmedia.app.box.com/folder/179588450728" TargetMode="External" Id="rId2964" /><Relationship Type="http://schemas.openxmlformats.org/officeDocument/2006/relationships/hyperlink" Target="https://wilkinsmedia.app.box.com/file/2287405100689" TargetMode="External" Id="rId2965" /><Relationship Type="http://schemas.openxmlformats.org/officeDocument/2006/relationships/hyperlink" Target="https://wilkinsmedia.app.box.com/folder/250220986896" TargetMode="External" Id="rId2966" /><Relationship Type="http://schemas.openxmlformats.org/officeDocument/2006/relationships/hyperlink" Target="https://wilkinsmedia.app.box.com/file/2287405100689" TargetMode="External" Id="rId2967" /><Relationship Type="http://schemas.openxmlformats.org/officeDocument/2006/relationships/hyperlink" Target="https://wilkinsmedia.app.box.com/folder/250220986896" TargetMode="External" Id="rId2968" /><Relationship Type="http://schemas.openxmlformats.org/officeDocument/2006/relationships/hyperlink" Target="https://wilkinsmedia.app.box.com/file/2287405100689" TargetMode="External" Id="rId2969" /><Relationship Type="http://schemas.openxmlformats.org/officeDocument/2006/relationships/hyperlink" Target="https://wilkinsmedia.app.box.com/folder/250220986896" TargetMode="External" Id="rId2970" /><Relationship Type="http://schemas.openxmlformats.org/officeDocument/2006/relationships/hyperlink" Target="https://wilkinsmedia.app.box.com/file/2287405100689" TargetMode="External" Id="rId2971" /><Relationship Type="http://schemas.openxmlformats.org/officeDocument/2006/relationships/hyperlink" Target="https://wilkinsmedia.app.box.com/folder/250220986896" TargetMode="External" Id="rId2972" /><Relationship Type="http://schemas.openxmlformats.org/officeDocument/2006/relationships/hyperlink" Target="https://wilkinsmedia.app.box.com/file/2287405100689" TargetMode="External" Id="rId2973" /><Relationship Type="http://schemas.openxmlformats.org/officeDocument/2006/relationships/hyperlink" Target="https://wilkinsmedia.app.box.com/folder/250220986896" TargetMode="External" Id="rId2974" /><Relationship Type="http://schemas.openxmlformats.org/officeDocument/2006/relationships/hyperlink" Target="https://wilkinsmedia.app.box.com/file/2311272796708" TargetMode="External" Id="rId2975" /><Relationship Type="http://schemas.openxmlformats.org/officeDocument/2006/relationships/hyperlink" Target="https://wilkinsmedia.app.box.com/folder/179588450728" TargetMode="External" Id="rId2976" /><Relationship Type="http://schemas.openxmlformats.org/officeDocument/2006/relationships/hyperlink" Target="https://wilkinsmedia.app.box.com/file/2311272796708" TargetMode="External" Id="rId2977" /><Relationship Type="http://schemas.openxmlformats.org/officeDocument/2006/relationships/hyperlink" Target="https://wilkinsmedia.app.box.com/folder/179588450728" TargetMode="External" Id="rId2978" /><Relationship Type="http://schemas.openxmlformats.org/officeDocument/2006/relationships/hyperlink" Target="https://wilkinsmedia.app.box.com/file/2311272796708" TargetMode="External" Id="rId2979" /><Relationship Type="http://schemas.openxmlformats.org/officeDocument/2006/relationships/hyperlink" Target="https://wilkinsmedia.app.box.com/folder/179588450728" TargetMode="External" Id="rId2980" /><Relationship Type="http://schemas.openxmlformats.org/officeDocument/2006/relationships/hyperlink" Target="https://wilkinsmedia.app.box.com/file/2311272796708" TargetMode="External" Id="rId2981" /><Relationship Type="http://schemas.openxmlformats.org/officeDocument/2006/relationships/hyperlink" Target="https://wilkinsmedia.app.box.com/folder/179588450728" TargetMode="External" Id="rId2982" /><Relationship Type="http://schemas.openxmlformats.org/officeDocument/2006/relationships/hyperlink" Target="https://wilkinsmedia.app.box.com/file/2311272796708" TargetMode="External" Id="rId2983" /><Relationship Type="http://schemas.openxmlformats.org/officeDocument/2006/relationships/hyperlink" Target="https://wilkinsmedia.app.box.com/folder/179588450728" TargetMode="External" Id="rId2984" /><Relationship Type="http://schemas.openxmlformats.org/officeDocument/2006/relationships/hyperlink" Target="https://wilkinsmedia.app.box.com/file/2311272796708" TargetMode="External" Id="rId2985" /><Relationship Type="http://schemas.openxmlformats.org/officeDocument/2006/relationships/hyperlink" Target="https://wilkinsmedia.app.box.com/folder/179588450728" TargetMode="External" Id="rId2986" /><Relationship Type="http://schemas.openxmlformats.org/officeDocument/2006/relationships/hyperlink" Target="https://wilkinsmedia.app.box.com/file/2262944622410" TargetMode="External" Id="rId2987" /><Relationship Type="http://schemas.openxmlformats.org/officeDocument/2006/relationships/hyperlink" Target="https://wilkinsmedia.app.box.com/folder/103935928120" TargetMode="External" Id="rId2988" /><Relationship Type="http://schemas.openxmlformats.org/officeDocument/2006/relationships/hyperlink" Target="https://wilkinsmedia.app.box.com/file/2262944622410" TargetMode="External" Id="rId2989" /><Relationship Type="http://schemas.openxmlformats.org/officeDocument/2006/relationships/hyperlink" Target="https://wilkinsmedia.app.box.com/folder/103935928120" TargetMode="External" Id="rId2990" /><Relationship Type="http://schemas.openxmlformats.org/officeDocument/2006/relationships/hyperlink" Target="https://wilkinsmedia.app.box.com/file/2226216745385" TargetMode="External" Id="rId2991" /><Relationship Type="http://schemas.openxmlformats.org/officeDocument/2006/relationships/hyperlink" Target="https://wilkinsmedia.app.box.com/folder/181447068785" TargetMode="External" Id="rId2992" /><Relationship Type="http://schemas.openxmlformats.org/officeDocument/2006/relationships/hyperlink" Target="https://wilkinsmedia.app.box.com/file/2226216745385" TargetMode="External" Id="rId2993" /><Relationship Type="http://schemas.openxmlformats.org/officeDocument/2006/relationships/hyperlink" Target="https://wilkinsmedia.app.box.com/folder/181447068785" TargetMode="External" Id="rId2994" /><Relationship Type="http://schemas.openxmlformats.org/officeDocument/2006/relationships/hyperlink" Target="https://wilkinsmedia.app.box.com/file/2226216745385" TargetMode="External" Id="rId2995" /><Relationship Type="http://schemas.openxmlformats.org/officeDocument/2006/relationships/hyperlink" Target="https://wilkinsmedia.app.box.com/folder/181447068785" TargetMode="External" Id="rId2996" /><Relationship Type="http://schemas.openxmlformats.org/officeDocument/2006/relationships/hyperlink" Target="https://wilkinsmedia.app.box.com/file/2226216745385" TargetMode="External" Id="rId2997" /><Relationship Type="http://schemas.openxmlformats.org/officeDocument/2006/relationships/hyperlink" Target="https://wilkinsmedia.app.box.com/folder/181447068785" TargetMode="External" Id="rId2998" /><Relationship Type="http://schemas.openxmlformats.org/officeDocument/2006/relationships/hyperlink" Target="https://wilkinsmedia.app.box.com/file/2311272796708" TargetMode="External" Id="rId2999" /><Relationship Type="http://schemas.openxmlformats.org/officeDocument/2006/relationships/hyperlink" Target="https://wilkinsmedia.app.box.com/folder/179588450728" TargetMode="External" Id="rId3000" /><Relationship Type="http://schemas.openxmlformats.org/officeDocument/2006/relationships/hyperlink" Target="https://wilkinsmedia.app.box.com/file/1862544273560" TargetMode="External" Id="rId3001" /><Relationship Type="http://schemas.openxmlformats.org/officeDocument/2006/relationships/hyperlink" Target="https://wilkinsmedia.app.box.com/folder/276746257239" TargetMode="External" Id="rId3002" /><Relationship Type="http://schemas.openxmlformats.org/officeDocument/2006/relationships/hyperlink" Target="https://wilkinsmedia.app.box.com/file/1862544273560" TargetMode="External" Id="rId3003" /><Relationship Type="http://schemas.openxmlformats.org/officeDocument/2006/relationships/hyperlink" Target="https://wilkinsmedia.app.box.com/folder/276746257239" TargetMode="External" Id="rId3004" /><Relationship Type="http://schemas.openxmlformats.org/officeDocument/2006/relationships/hyperlink" Target="https://wilkinsmedia.app.box.com/file/1862544273560" TargetMode="External" Id="rId3005" /><Relationship Type="http://schemas.openxmlformats.org/officeDocument/2006/relationships/hyperlink" Target="https://wilkinsmedia.app.box.com/folder/276746257239" TargetMode="External" Id="rId3006" /><Relationship Type="http://schemas.openxmlformats.org/officeDocument/2006/relationships/hyperlink" Target="https://wilkinsmedia.app.box.com/file/2101395443547" TargetMode="External" Id="rId3007" /><Relationship Type="http://schemas.openxmlformats.org/officeDocument/2006/relationships/hyperlink" Target="https://wilkinsmedia.app.box.com/folder/103642116566" TargetMode="External" Id="rId3008" /><Relationship Type="http://schemas.openxmlformats.org/officeDocument/2006/relationships/hyperlink" Target="https://wilkinsmedia.app.box.com/file/2101395443547" TargetMode="External" Id="rId3009" /><Relationship Type="http://schemas.openxmlformats.org/officeDocument/2006/relationships/hyperlink" Target="https://wilkinsmedia.app.box.com/folder/103642116566" TargetMode="External" Id="rId3010" /><Relationship Type="http://schemas.openxmlformats.org/officeDocument/2006/relationships/hyperlink" Target="https://wilkinsmedia.app.box.com/file/2101395443547" TargetMode="External" Id="rId3011" /><Relationship Type="http://schemas.openxmlformats.org/officeDocument/2006/relationships/hyperlink" Target="https://wilkinsmedia.app.box.com/folder/103642116566" TargetMode="External" Id="rId3012" /><Relationship Type="http://schemas.openxmlformats.org/officeDocument/2006/relationships/hyperlink" Target="https://wilkinsmedia.app.box.com/file/2101395443547" TargetMode="External" Id="rId3013" /><Relationship Type="http://schemas.openxmlformats.org/officeDocument/2006/relationships/hyperlink" Target="https://wilkinsmedia.app.box.com/folder/103642116566" TargetMode="External" Id="rId3014" /><Relationship Type="http://schemas.openxmlformats.org/officeDocument/2006/relationships/hyperlink" Target="https://wilkinsmedia.app.box.com/file/2101395443547" TargetMode="External" Id="rId3015" /><Relationship Type="http://schemas.openxmlformats.org/officeDocument/2006/relationships/hyperlink" Target="https://wilkinsmedia.app.box.com/folder/103642116566" TargetMode="External" Id="rId3016" /><Relationship Type="http://schemas.openxmlformats.org/officeDocument/2006/relationships/hyperlink" Target="https://wilkinsmedia.app.box.com/file/2101395443547" TargetMode="External" Id="rId3017" /><Relationship Type="http://schemas.openxmlformats.org/officeDocument/2006/relationships/hyperlink" Target="https://wilkinsmedia.app.box.com/folder/103642116566" TargetMode="External" Id="rId3018" /><Relationship Type="http://schemas.openxmlformats.org/officeDocument/2006/relationships/hyperlink" Target="https://wilkinsmedia.app.box.com/file/2101395443547" TargetMode="External" Id="rId3019" /><Relationship Type="http://schemas.openxmlformats.org/officeDocument/2006/relationships/hyperlink" Target="https://wilkinsmedia.app.box.com/folder/103642116566" TargetMode="External" Id="rId3020" /><Relationship Type="http://schemas.openxmlformats.org/officeDocument/2006/relationships/hyperlink" Target="https://wilkinsmedia.app.box.com/file/2101395443547" TargetMode="External" Id="rId3021" /><Relationship Type="http://schemas.openxmlformats.org/officeDocument/2006/relationships/hyperlink" Target="https://wilkinsmedia.app.box.com/folder/103642116566" TargetMode="External" Id="rId3022" /><Relationship Type="http://schemas.openxmlformats.org/officeDocument/2006/relationships/hyperlink" Target="https://wilkinsmedia.app.box.com/file/2101395443547" TargetMode="External" Id="rId3023" /><Relationship Type="http://schemas.openxmlformats.org/officeDocument/2006/relationships/hyperlink" Target="https://wilkinsmedia.app.box.com/folder/103642116566" TargetMode="External" Id="rId3024" /><Relationship Type="http://schemas.openxmlformats.org/officeDocument/2006/relationships/hyperlink" Target="https://wilkinsmedia.app.box.com/file/2101395443547" TargetMode="External" Id="rId3025" /><Relationship Type="http://schemas.openxmlformats.org/officeDocument/2006/relationships/hyperlink" Target="https://wilkinsmedia.app.box.com/folder/103642116566" TargetMode="External" Id="rId3026" /><Relationship Type="http://schemas.openxmlformats.org/officeDocument/2006/relationships/hyperlink" Target="https://wilkinsmedia.app.box.com/file/2101395443547" TargetMode="External" Id="rId3027" /><Relationship Type="http://schemas.openxmlformats.org/officeDocument/2006/relationships/hyperlink" Target="https://wilkinsmedia.app.box.com/folder/103642116566" TargetMode="External" Id="rId3028" /><Relationship Type="http://schemas.openxmlformats.org/officeDocument/2006/relationships/hyperlink" Target="https://wilkinsmedia.app.box.com/file/2101395443547" TargetMode="External" Id="rId3029" /><Relationship Type="http://schemas.openxmlformats.org/officeDocument/2006/relationships/hyperlink" Target="https://wilkinsmedia.app.box.com/folder/103642116566" TargetMode="External" Id="rId3030" /><Relationship Type="http://schemas.openxmlformats.org/officeDocument/2006/relationships/hyperlink" Target="https://wilkinsmedia.app.box.com/file/2101395443547" TargetMode="External" Id="rId3031" /><Relationship Type="http://schemas.openxmlformats.org/officeDocument/2006/relationships/hyperlink" Target="https://wilkinsmedia.app.box.com/folder/103642116566" TargetMode="External" Id="rId3032" /><Relationship Type="http://schemas.openxmlformats.org/officeDocument/2006/relationships/hyperlink" Target="https://wilkinsmedia.app.box.com/file/2101395443547" TargetMode="External" Id="rId3033" /><Relationship Type="http://schemas.openxmlformats.org/officeDocument/2006/relationships/hyperlink" Target="https://wilkinsmedia.app.box.com/folder/103642116566" TargetMode="External" Id="rId3034" /><Relationship Type="http://schemas.openxmlformats.org/officeDocument/2006/relationships/hyperlink" Target="https://wilkinsmedia.app.box.com/file/2101395443547" TargetMode="External" Id="rId3035" /><Relationship Type="http://schemas.openxmlformats.org/officeDocument/2006/relationships/hyperlink" Target="https://wilkinsmedia.app.box.com/folder/103642116566" TargetMode="External" Id="rId3036" /><Relationship Type="http://schemas.openxmlformats.org/officeDocument/2006/relationships/hyperlink" Target="https://wilkinsmedia.app.box.com/file/2101395443547" TargetMode="External" Id="rId3037" /><Relationship Type="http://schemas.openxmlformats.org/officeDocument/2006/relationships/hyperlink" Target="https://wilkinsmedia.app.box.com/folder/103642116566" TargetMode="External" Id="rId3038" /><Relationship Type="http://schemas.openxmlformats.org/officeDocument/2006/relationships/hyperlink" Target="https://wilkinsmedia.app.box.com/file/2486109794146" TargetMode="External" Id="rId3039" /><Relationship Type="http://schemas.openxmlformats.org/officeDocument/2006/relationships/hyperlink" Target="https://wilkinsmedia.app.box.com/folder/178482730679" TargetMode="External" Id="rId3040" /><Relationship Type="http://schemas.openxmlformats.org/officeDocument/2006/relationships/hyperlink" Target="https://wilkinsmedia.app.box.com/file/2486109794146" TargetMode="External" Id="rId3041" /><Relationship Type="http://schemas.openxmlformats.org/officeDocument/2006/relationships/hyperlink" Target="https://wilkinsmedia.app.box.com/folder/178482730679" TargetMode="External" Id="rId3042" /><Relationship Type="http://schemas.openxmlformats.org/officeDocument/2006/relationships/hyperlink" Target="https://wilkinsmedia.app.box.com/file/2486109794146" TargetMode="External" Id="rId3043" /><Relationship Type="http://schemas.openxmlformats.org/officeDocument/2006/relationships/hyperlink" Target="https://wilkinsmedia.app.box.com/folder/178482730679" TargetMode="External" Id="rId3044" /><Relationship Type="http://schemas.openxmlformats.org/officeDocument/2006/relationships/hyperlink" Target="https://wilkinsmedia.app.box.com/file/2486109794146" TargetMode="External" Id="rId3045" /><Relationship Type="http://schemas.openxmlformats.org/officeDocument/2006/relationships/hyperlink" Target="https://wilkinsmedia.app.box.com/folder/178482730679" TargetMode="External" Id="rId3046" /><Relationship Type="http://schemas.openxmlformats.org/officeDocument/2006/relationships/hyperlink" Target="https://wilkinsmedia.app.box.com/file/2486109794146" TargetMode="External" Id="rId3047" /><Relationship Type="http://schemas.openxmlformats.org/officeDocument/2006/relationships/hyperlink" Target="https://wilkinsmedia.app.box.com/folder/178482730679" TargetMode="External" Id="rId3048" /><Relationship Type="http://schemas.openxmlformats.org/officeDocument/2006/relationships/hyperlink" Target="https://wilkinsmedia.app.box.com/file/2486109794146" TargetMode="External" Id="rId3049" /><Relationship Type="http://schemas.openxmlformats.org/officeDocument/2006/relationships/hyperlink" Target="https://wilkinsmedia.app.box.com/folder/178482730679" TargetMode="External" Id="rId3050" /><Relationship Type="http://schemas.openxmlformats.org/officeDocument/2006/relationships/hyperlink" Target="https://wilkinsmedia.app.box.com/file/2486109794146" TargetMode="External" Id="rId3051" /><Relationship Type="http://schemas.openxmlformats.org/officeDocument/2006/relationships/hyperlink" Target="https://wilkinsmedia.app.box.com/folder/178482730679" TargetMode="External" Id="rId3052" /><Relationship Type="http://schemas.openxmlformats.org/officeDocument/2006/relationships/hyperlink" Target="https://wilkinsmedia.app.box.com/file/2486109794146" TargetMode="External" Id="rId3053" /><Relationship Type="http://schemas.openxmlformats.org/officeDocument/2006/relationships/hyperlink" Target="https://wilkinsmedia.app.box.com/folder/178482730679" TargetMode="External" Id="rId3054" /><Relationship Type="http://schemas.openxmlformats.org/officeDocument/2006/relationships/hyperlink" Target="https://wilkinsmedia.app.box.com/file/2152872399886" TargetMode="External" Id="rId3055" /><Relationship Type="http://schemas.openxmlformats.org/officeDocument/2006/relationships/hyperlink" Target="https://wilkinsmedia.app.box.com/folder/291962094351" TargetMode="External" Id="rId3056" /><Relationship Type="http://schemas.openxmlformats.org/officeDocument/2006/relationships/hyperlink" Target="https://wilkinsmedia.app.box.com/file/2152872399886" TargetMode="External" Id="rId3057" /><Relationship Type="http://schemas.openxmlformats.org/officeDocument/2006/relationships/hyperlink" Target="https://wilkinsmedia.app.box.com/folder/291962094351" TargetMode="External" Id="rId3058" /><Relationship Type="http://schemas.openxmlformats.org/officeDocument/2006/relationships/hyperlink" Target="https://wilkinsmedia.app.box.com/file/2152872399886" TargetMode="External" Id="rId3059" /><Relationship Type="http://schemas.openxmlformats.org/officeDocument/2006/relationships/hyperlink" Target="https://wilkinsmedia.app.box.com/folder/291962094351" TargetMode="External" Id="rId3060" /><Relationship Type="http://schemas.openxmlformats.org/officeDocument/2006/relationships/hyperlink" Target="https://wilkinsmedia.app.box.com/file/2152872399886" TargetMode="External" Id="rId3061" /><Relationship Type="http://schemas.openxmlformats.org/officeDocument/2006/relationships/hyperlink" Target="https://wilkinsmedia.app.box.com/folder/291962094351" TargetMode="External" Id="rId3062" /><Relationship Type="http://schemas.openxmlformats.org/officeDocument/2006/relationships/hyperlink" Target="https://wilkinsmedia.app.box.com/file/2152872399886" TargetMode="External" Id="rId3063" /><Relationship Type="http://schemas.openxmlformats.org/officeDocument/2006/relationships/hyperlink" Target="https://wilkinsmedia.app.box.com/folder/291962094351" TargetMode="External" Id="rId3064" /><Relationship Type="http://schemas.openxmlformats.org/officeDocument/2006/relationships/hyperlink" Target="https://wilkinsmedia.app.box.com/file/2152872399886" TargetMode="External" Id="rId3065" /><Relationship Type="http://schemas.openxmlformats.org/officeDocument/2006/relationships/hyperlink" Target="https://wilkinsmedia.app.box.com/folder/291962094351" TargetMode="External" Id="rId3066" /><Relationship Type="http://schemas.openxmlformats.org/officeDocument/2006/relationships/table" Target="/xl/tables/table1.xml" Id="rId3067"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B6:C18"/>
  <sheetViews>
    <sheetView showGridLines="0" workbookViewId="0">
      <selection activeCell="A1" sqref="A1"/>
    </sheetView>
  </sheetViews>
  <sheetFormatPr baseColWidth="8" defaultRowHeight="15"/>
  <cols>
    <col width="3" customWidth="1" min="1" max="1"/>
    <col width="26" customWidth="1" min="2" max="2"/>
    <col width="110" customWidth="1" min="3" max="3"/>
  </cols>
  <sheetData>
    <row r="6">
      <c r="B6" s="1" t="inlineStr">
        <is>
          <t>Wilkins Media - Military On-Base Advertising Rate Card (MASTER)</t>
        </is>
      </c>
    </row>
    <row r="7">
      <c r="B7" s="2" t="inlineStr">
        <is>
          <t>Generated September 29, 2026 from the standardized rate card (data/rate_card.csv).</t>
        </is>
      </c>
    </row>
    <row r="9" ht="48" customHeight="1">
      <c r="B9" s="3" t="inlineStr">
        <is>
          <t>What this is</t>
        </is>
      </c>
      <c r="C9" s="4" t="inlineStr">
        <is>
          <t>One row per media option on each installation, with the VENDOR (base) cost at 1 / 3 / 6 / 12 months and production. Client prices are formulas driven by the Settings tab, so changing the margin re-prices every line.</t>
        </is>
      </c>
    </row>
    <row r="10" ht="48" customHeight="1">
      <c r="B10" s="3" t="inlineStr">
        <is>
          <t>Source</t>
        </is>
      </c>
      <c r="C10" s="4" t="inlineStr">
        <is>
          <t>Box &gt; Military &gt; Master Grid &gt; "MasterMilitaryOnBaseList 12.2.25 NS.xlsx", cleaned and normalized. Base populations are reference values from "Military - National Digital Inventory Master 6.3.26.xlsx".</t>
        </is>
      </c>
    </row>
    <row r="11" ht="48" customHeight="1">
      <c r="B11" s="3" t="inlineStr">
        <is>
          <t>How to update a price</t>
        </is>
      </c>
      <c r="C11" s="4" t="inlineStr">
        <is>
          <t>Edit the Vendor Cost cells on the Rate Card tab. Put the year of the rate card you used in "Rate Card Year" and today's date in "Last Updated". Do not type into the Client Price columns - they are formulas.</t>
        </is>
      </c>
    </row>
    <row r="12" ht="48" customHeight="1">
      <c r="B12" s="3" t="inlineStr">
        <is>
          <t>How to add a base or option</t>
        </is>
      </c>
      <c r="C12" s="4" t="inlineStr">
        <is>
          <t>Add a row at the bottom of the Rate Card table (the table extends automatically). Fill Base, State, DMA, Branch, Category, Media Type, Size, Description and the vendor costs you know. Leave unknown terms blank.</t>
        </is>
      </c>
    </row>
    <row r="13" ht="48" customHeight="1">
      <c r="B13" s="3" t="inlineStr">
        <is>
          <t>Pricing conventions</t>
        </is>
      </c>
      <c r="C13" s="4" t="inlineStr">
        <is>
          <t>Vendor Cost columns are TOTALS for that term (3 Months = total for a 3-month flight). Where a base only sells a longer term, the 1 Month column is blank and Min Term shows the shortest term sold. Marquees and other per-unit items are priced per unit unless the description says otherwise.</t>
        </is>
      </c>
    </row>
    <row r="14" ht="48" customHeight="1">
      <c r="B14" s="3" t="inlineStr">
        <is>
          <t>Client price rule</t>
        </is>
      </c>
      <c r="C14" s="4" t="inlineStr">
        <is>
          <t>Client Price = Vendor Cost / (1 - margin), rounded to the nearest $25 (Settings tab). Standard military margin is 50% (vendor x 2). Competitive bids may use a lower margin - change it in the proposal builder, not here.</t>
        </is>
      </c>
    </row>
    <row r="15" ht="48" customHeight="1">
      <c r="B15" s="3" t="inlineStr">
        <is>
          <t>Production</t>
        </is>
      </c>
      <c r="C15" s="4" t="inlineStr">
        <is>
          <t>Production is never included in the media price. Standard production (quantity of 1): Poster 22x28 $100, Banner 3x6 $350. Other sizes: inquire. Where a base quoted its own production, it is in the Vendor Production Cost column.</t>
        </is>
      </c>
    </row>
    <row r="16" ht="48" customHeight="1">
      <c r="B16" s="3" t="inlineStr">
        <is>
          <t>Review Flag</t>
        </is>
      </c>
      <c r="C16" s="4" t="inlineStr">
        <is>
          <t>"No price on file" = the base lists the item but we have no cost (inquire). "Rate card older than 2025" = reconfirm with the base before quoting. "Source formula errors" = the old master had #VALUE! in that row; verify against the base rate card in Box &gt; Military &gt; 2 Military Installations.</t>
        </is>
      </c>
    </row>
    <row r="17" ht="48" customHeight="1">
      <c r="B17" s="3" t="inlineStr">
        <is>
          <t>Box source</t>
        </is>
      </c>
      <c r="C17" s="4" t="inlineStr">
        <is>
          <t>Every row carries the Box folder of the installation and the newest rate-card file in it ("Open in Box"). When you take a price from a new file, paste its Box link in the app (Update pricing) or in these columns.</t>
        </is>
      </c>
    </row>
    <row r="18" ht="48" customHeight="1">
      <c r="B18" s="3" t="inlineStr">
        <is>
          <t>Proposal builder</t>
        </is>
      </c>
      <c r="C18" s="4" t="inlineStr">
        <is>
          <t>The web app (military/index.html in the EMC_AI_Tool repo) reads this file: use "Load rate card" in the app to pull in your latest edits, then build the proposal and export the client and internal Excel files.</t>
        </is>
      </c>
    </row>
  </sheetData>
  <pageMargins left="0.75" right="0.75" top="1" bottom="1" header="0.5" footer="0.5"/>
  <pageSetup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52" customWidth="1" min="1" max="1"/>
    <col width="24" customWidth="1" min="2" max="2"/>
    <col width="90" customWidth="1" min="3" max="3"/>
  </cols>
  <sheetData>
    <row r="1" ht="22" customHeight="1">
      <c r="A1" s="5" t="inlineStr">
        <is>
          <t>Setting</t>
        </is>
      </c>
      <c r="B1" s="5" t="inlineStr">
        <is>
          <t>Value</t>
        </is>
      </c>
      <c r="C1" s="5" t="inlineStr">
        <is>
          <t>Notes</t>
        </is>
      </c>
    </row>
    <row r="2">
      <c r="A2" s="6" t="inlineStr">
        <is>
          <t>Standard margin (share of client price kept by Wilkins)</t>
        </is>
      </c>
      <c r="B2" s="7" t="n">
        <v>0.5</v>
      </c>
      <c r="C2" s="8" t="inlineStr">
        <is>
          <t>Client price = Vendor cost / (1 - margin).  50% = vendor x 2, the standard military markup.  Competitive bids have used 30%.</t>
        </is>
      </c>
    </row>
    <row r="3">
      <c r="A3" s="6" t="inlineStr">
        <is>
          <t>Round client prices to nearest</t>
        </is>
      </c>
      <c r="B3" s="9" t="n">
        <v>25</v>
      </c>
      <c r="C3" s="8" t="inlineStr">
        <is>
          <t>Matches the rounding used in the prior master list ($25).</t>
        </is>
      </c>
    </row>
    <row r="4">
      <c r="A4" s="6" t="inlineStr">
        <is>
          <t>Standard production - Poster 22"W x 28"H (client price)</t>
        </is>
      </c>
      <c r="B4" s="9" t="n">
        <v>100</v>
      </c>
      <c r="C4" s="8" t="inlineStr">
        <is>
          <t>Per David, Sep 22 2026 (raised because frames must ship separately).</t>
        </is>
      </c>
    </row>
    <row r="5">
      <c r="A5" s="6" t="inlineStr">
        <is>
          <t>Standard production - Banner 3'H x 6'W (client price)</t>
        </is>
      </c>
      <c r="B5" s="9" t="n">
        <v>350</v>
      </c>
      <c r="C5" s="8" t="inlineStr">
        <is>
          <t>Per David, Sep 22 2026.</t>
        </is>
      </c>
    </row>
    <row r="6">
      <c r="A6" s="6" t="inlineStr">
        <is>
          <t>Est. printer cost - Poster</t>
        </is>
      </c>
      <c r="B6" s="9" t="n">
        <v>50</v>
      </c>
      <c r="C6" s="8" t="inlineStr">
        <is>
          <t>Estimate; update from the printer quote.</t>
        </is>
      </c>
    </row>
    <row r="7">
      <c r="A7" s="6" t="inlineStr">
        <is>
          <t>Est. printer cost - Banner 3x6</t>
        </is>
      </c>
      <c r="B7" s="9" t="n">
        <v>96</v>
      </c>
      <c r="C7" s="8" t="inlineStr">
        <is>
          <t>Printer quote (Cecily): $95.51 with ground shipping.</t>
        </is>
      </c>
    </row>
    <row r="8">
      <c r="A8" s="6" t="inlineStr">
        <is>
          <t>Default campaign length (months)</t>
        </is>
      </c>
      <c r="B8" s="10" t="n">
        <v>3</v>
      </c>
      <c r="C8" s="8" t="inlineStr">
        <is>
          <t>A one-month campaign is not as effective; pricing is quoted on a three-month campaign.</t>
        </is>
      </c>
    </row>
    <row r="9">
      <c r="A9" s="6" t="inlineStr">
        <is>
          <t>Standard pricing method</t>
        </is>
      </c>
      <c r="B9" s="10" t="inlineStr">
        <is>
          <t>Monthly rate x months</t>
        </is>
      </c>
      <c r="C9" s="8" t="inlineStr">
        <is>
          <t>House rule: use the 1-month rate x months (not the discounted term price) unless it is a competitive bid.</t>
        </is>
      </c>
    </row>
    <row r="10">
      <c r="A10" s="6" t="inlineStr">
        <is>
          <t>Rate card year considered current</t>
        </is>
      </c>
      <c r="B10" s="10" t="n">
        <v>2025</v>
      </c>
      <c r="C10" s="8" t="inlineStr">
        <is>
          <t>Cards from 2025/2026 are good; older cards should be reconfirmed with the base.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5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2" customWidth="1" min="3" max="3"/>
    <col width="8" customWidth="1" min="4" max="4"/>
    <col width="24" customWidth="1" min="5" max="5"/>
    <col width="8" customWidth="1" min="6" max="6"/>
    <col width="14" customWidth="1" min="7" max="7"/>
    <col width="18" customWidth="1" min="8" max="8"/>
    <col width="28" customWidth="1" min="9" max="9"/>
    <col width="18" customWidth="1" min="10" max="10"/>
    <col width="50" customWidth="1" min="11" max="11"/>
    <col width="10"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2" customWidth="1" min="23" max="23"/>
    <col width="12" customWidth="1" min="24" max="24"/>
    <col width="10" customWidth="1" min="25" max="25"/>
    <col width="12" customWidth="1" min="26" max="26"/>
    <col width="40" customWidth="1" min="27" max="27"/>
    <col width="30" customWidth="1" min="28" max="28"/>
    <col width="30" customWidth="1" min="29" max="29"/>
    <col width="34" customWidth="1" min="30" max="30"/>
    <col width="26" customWidth="1" min="31" max="31"/>
    <col width="26" customWidth="1" min="32" max="32"/>
  </cols>
  <sheetData>
    <row r="1" ht="42" customHeight="1">
      <c r="A1" s="5" t="inlineStr">
        <is>
          <t>ID</t>
        </is>
      </c>
      <c r="B1" s="5" t="inlineStr">
        <is>
          <t>Base</t>
        </is>
      </c>
      <c r="C1" s="5" t="inlineStr">
        <is>
          <t>Also known as</t>
        </is>
      </c>
      <c r="D1" s="5" t="inlineStr">
        <is>
          <t>State</t>
        </is>
      </c>
      <c r="E1" s="5" t="inlineStr">
        <is>
          <t>DMA / Metro</t>
        </is>
      </c>
      <c r="F1" s="5" t="inlineStr">
        <is>
          <t>Zip</t>
        </is>
      </c>
      <c r="G1" s="5" t="inlineStr">
        <is>
          <t>Branch</t>
        </is>
      </c>
      <c r="H1" s="5" t="inlineStr">
        <is>
          <t>Category</t>
        </is>
      </c>
      <c r="I1" s="5" t="inlineStr">
        <is>
          <t>Media Type</t>
        </is>
      </c>
      <c r="J1" s="5" t="inlineStr">
        <is>
          <t>Ad Unit Size</t>
        </is>
      </c>
      <c r="K1" s="5" t="inlineStr">
        <is>
          <t>Description</t>
        </is>
      </c>
      <c r="L1" s="5" t="inlineStr">
        <is>
          <t>Min Term (mo)</t>
        </is>
      </c>
      <c r="M1" s="5" t="inlineStr">
        <is>
          <t>Vendor Cost 1 Month</t>
        </is>
      </c>
      <c r="N1" s="5" t="inlineStr">
        <is>
          <t>Vendor Cost 3 Months</t>
        </is>
      </c>
      <c r="O1" s="5" t="inlineStr">
        <is>
          <t>Vendor Cost 6 Months</t>
        </is>
      </c>
      <c r="P1" s="5" t="inlineStr">
        <is>
          <t>Vendor Cost 12 Months</t>
        </is>
      </c>
      <c r="Q1" s="5" t="inlineStr">
        <is>
          <t>Vendor Production Cost</t>
        </is>
      </c>
      <c r="R1" s="5" t="inlineStr">
        <is>
          <t>Client Price 1 Month</t>
        </is>
      </c>
      <c r="S1" s="5" t="inlineStr">
        <is>
          <t>Client Price 3 Months</t>
        </is>
      </c>
      <c r="T1" s="5" t="inlineStr">
        <is>
          <t>Client Price 6 Months</t>
        </is>
      </c>
      <c r="U1" s="5" t="inlineStr">
        <is>
          <t>Client Price 12 Months</t>
        </is>
      </c>
      <c r="V1" s="5" t="inlineStr">
        <is>
          <t>Client Production Price</t>
        </is>
      </c>
      <c r="W1" s="5" t="inlineStr">
        <is>
          <t>Active Duty (ref.)</t>
        </is>
      </c>
      <c r="X1" s="5" t="inlineStr">
        <is>
          <t>Dependents (ref.)</t>
        </is>
      </c>
      <c r="Y1" s="5" t="inlineStr">
        <is>
          <t>Rate Card Year</t>
        </is>
      </c>
      <c r="Z1" s="5" t="inlineStr">
        <is>
          <t>Last Updated</t>
        </is>
      </c>
      <c r="AA1" s="5" t="inlineStr">
        <is>
          <t>Notes</t>
        </is>
      </c>
      <c r="AB1" s="5" t="inlineStr">
        <is>
          <t>Review Flag</t>
        </is>
      </c>
      <c r="AC1" s="5" t="inlineStr">
        <is>
          <t>Source</t>
        </is>
      </c>
      <c r="AD1" s="5" t="inlineStr">
        <is>
          <t>Rate card file in Box</t>
        </is>
      </c>
      <c r="AE1" s="5" t="inlineStr">
        <is>
          <t>Link to rate card file</t>
        </is>
      </c>
      <c r="AF1" s="5" t="inlineStr">
        <is>
          <t>Box folder</t>
        </is>
      </c>
    </row>
    <row r="2">
      <c r="A2" s="11" t="inlineStr">
        <is>
          <t>AK-EIELSONA-001</t>
        </is>
      </c>
      <c r="B2" s="8" t="inlineStr">
        <is>
          <t>Eielson AFB</t>
        </is>
      </c>
      <c r="C2" s="11" t="inlineStr"/>
      <c r="D2" s="11" t="inlineStr">
        <is>
          <t>AK</t>
        </is>
      </c>
      <c r="E2" s="11" t="inlineStr">
        <is>
          <t>Fairbanks</t>
        </is>
      </c>
      <c r="F2" s="11" t="inlineStr">
        <is>
          <t>99702</t>
        </is>
      </c>
      <c r="G2" s="11" t="inlineStr">
        <is>
          <t>Air Force</t>
        </is>
      </c>
      <c r="H2" s="11" t="inlineStr">
        <is>
          <t>Digital</t>
        </is>
      </c>
      <c r="I2" s="8" t="inlineStr">
        <is>
          <t>Digital Monitor Network</t>
        </is>
      </c>
      <c r="J2" s="11" t="inlineStr">
        <is>
          <t>1920pxW x 1080pxH</t>
        </is>
      </c>
      <c r="K2" s="8" t="inlineStr">
        <is>
          <t>Your static ad will appear on the indoor digital monitors in on-base facilities.</t>
        </is>
      </c>
      <c r="L2" s="11" t="n">
        <v>1</v>
      </c>
      <c r="M2" s="12" t="n">
        <v>200</v>
      </c>
      <c r="N2" s="12" t="n">
        <v>600</v>
      </c>
      <c r="O2" s="12" t="n">
        <v>1100</v>
      </c>
      <c r="P2" s="12" t="n">
        <v>2100</v>
      </c>
      <c r="Q2" s="12" t="n">
        <v>0</v>
      </c>
      <c r="R2" s="13">
        <f>IF(ISNUMBER(M2),ROUND(M2/(1-Settings!$B$2)/Settings!$B$3,0)*Settings!$B$3,"")</f>
        <v/>
      </c>
      <c r="S2" s="13">
        <f>IF(ISNUMBER(N2),ROUND(N2/(1-Settings!$B$2)/Settings!$B$3,0)*Settings!$B$3,"")</f>
        <v/>
      </c>
      <c r="T2" s="13">
        <f>IF(ISNUMBER(O2),ROUND(O2/(1-Settings!$B$2)/Settings!$B$3,0)*Settings!$B$3,"")</f>
        <v/>
      </c>
      <c r="U2" s="13">
        <f>IF(ISNUMBER(P2),ROUND(P2/(1-Settings!$B$2)/Settings!$B$3,0)*Settings!$B$3,"")</f>
        <v/>
      </c>
      <c r="V2" s="13">
        <f>IF(ISNUMBER(Q2),ROUND(Q2/(1-Settings!$B$2)/Settings!$B$3,0)*Settings!$B$3,"")</f>
        <v/>
      </c>
      <c r="W2" s="14" t="n">
        <v>1958</v>
      </c>
      <c r="X2" s="14" t="n">
        <v>2424</v>
      </c>
      <c r="Y2" s="11" t="inlineStr"/>
      <c r="Z2" s="11" t="inlineStr"/>
      <c r="AA2" s="8" t="inlineStr">
        <is>
          <t>Inventory master 6/2026 lists Digital Marquee at $3,000 (1 mo)</t>
        </is>
      </c>
      <c r="AB2" s="8" t="inlineStr"/>
      <c r="AC2" s="11" t="inlineStr">
        <is>
          <t>MasterMilitaryOnBaseList 12.2.25 NS.xlsx</t>
        </is>
      </c>
      <c r="AD2" s="11" t="inlineStr">
        <is>
          <t>Eielson AFB_Advertising Rates_2026.pptx</t>
        </is>
      </c>
      <c r="AE2" s="15" t="inlineStr">
        <is>
          <t>Open in Box</t>
        </is>
      </c>
      <c r="AF2" s="15" t="inlineStr">
        <is>
          <t>Open in Box</t>
        </is>
      </c>
    </row>
    <row r="3">
      <c r="A3" s="11" t="inlineStr">
        <is>
          <t>AK-EIELSONA-002</t>
        </is>
      </c>
      <c r="B3" s="8" t="inlineStr">
        <is>
          <t>Eielson AFB</t>
        </is>
      </c>
      <c r="C3" s="11" t="inlineStr"/>
      <c r="D3" s="11" t="inlineStr">
        <is>
          <t>AK</t>
        </is>
      </c>
      <c r="E3" s="11" t="inlineStr">
        <is>
          <t>Fairbanks</t>
        </is>
      </c>
      <c r="F3" s="11" t="inlineStr">
        <is>
          <t>99702</t>
        </is>
      </c>
      <c r="G3" s="11" t="inlineStr">
        <is>
          <t>Air Force</t>
        </is>
      </c>
      <c r="H3" s="11" t="inlineStr">
        <is>
          <t>Digital</t>
        </is>
      </c>
      <c r="I3" s="8" t="inlineStr">
        <is>
          <t>Outdoor Marquee</t>
        </is>
      </c>
      <c r="J3" s="11" t="inlineStr">
        <is>
          <t>TBD</t>
        </is>
      </c>
      <c r="K3" s="8" t="inlineStr">
        <is>
          <t>Your ad will appear on one outdoor marquee.</t>
        </is>
      </c>
      <c r="L3" s="11" t="n">
        <v>1</v>
      </c>
      <c r="M3" s="12" t="n">
        <v>1000</v>
      </c>
      <c r="N3" s="12" t="n">
        <v>3000</v>
      </c>
      <c r="O3" s="12" t="n">
        <v>5500</v>
      </c>
      <c r="P3" s="12" t="n">
        <v>10500</v>
      </c>
      <c r="Q3" s="12" t="n">
        <v>0</v>
      </c>
      <c r="R3" s="13">
        <f>IF(ISNUMBER(M3),ROUND(M3/(1-Settings!$B$2)/Settings!$B$3,0)*Settings!$B$3,"")</f>
        <v/>
      </c>
      <c r="S3" s="13">
        <f>IF(ISNUMBER(N3),ROUND(N3/(1-Settings!$B$2)/Settings!$B$3,0)*Settings!$B$3,"")</f>
        <v/>
      </c>
      <c r="T3" s="13">
        <f>IF(ISNUMBER(O3),ROUND(O3/(1-Settings!$B$2)/Settings!$B$3,0)*Settings!$B$3,"")</f>
        <v/>
      </c>
      <c r="U3" s="13">
        <f>IF(ISNUMBER(P3),ROUND(P3/(1-Settings!$B$2)/Settings!$B$3,0)*Settings!$B$3,"")</f>
        <v/>
      </c>
      <c r="V3" s="13">
        <f>IF(ISNUMBER(Q3),ROUND(Q3/(1-Settings!$B$2)/Settings!$B$3,0)*Settings!$B$3,"")</f>
        <v/>
      </c>
      <c r="W3" s="14" t="n">
        <v>1958</v>
      </c>
      <c r="X3" s="14" t="n">
        <v>2424</v>
      </c>
      <c r="Y3" s="11" t="inlineStr"/>
      <c r="Z3" s="11" t="inlineStr"/>
      <c r="AA3" s="8" t="inlineStr">
        <is>
          <t>Inventory master 6/2026 lists Digital Marquee at $3,000 (1 mo)</t>
        </is>
      </c>
      <c r="AB3" s="8" t="inlineStr"/>
      <c r="AC3" s="11" t="inlineStr">
        <is>
          <t>MasterMilitaryOnBaseList 12.2.25 NS.xlsx</t>
        </is>
      </c>
      <c r="AD3" s="11" t="inlineStr">
        <is>
          <t>Eielson AFB_Advertising Rates_2026.pptx</t>
        </is>
      </c>
      <c r="AE3" s="15" t="inlineStr">
        <is>
          <t>Open in Box</t>
        </is>
      </c>
      <c r="AF3" s="15" t="inlineStr">
        <is>
          <t>Open in Box</t>
        </is>
      </c>
    </row>
    <row r="4">
      <c r="A4" s="11" t="inlineStr">
        <is>
          <t>AK-EIELSONA-005</t>
        </is>
      </c>
      <c r="B4" s="8" t="inlineStr">
        <is>
          <t>Eielson AFB</t>
        </is>
      </c>
      <c r="C4" s="11" t="inlineStr"/>
      <c r="D4" s="11" t="inlineStr">
        <is>
          <t>AK</t>
        </is>
      </c>
      <c r="E4" s="11" t="inlineStr">
        <is>
          <t>Fairbanks</t>
        </is>
      </c>
      <c r="F4" s="11" t="inlineStr">
        <is>
          <t>99702</t>
        </is>
      </c>
      <c r="G4" s="11" t="inlineStr">
        <is>
          <t>Air Force</t>
        </is>
      </c>
      <c r="H4" s="11" t="inlineStr">
        <is>
          <t>Print &amp; Publications</t>
        </is>
      </c>
      <c r="I4" s="8" t="inlineStr">
        <is>
          <t>Brochure/Flyer Placement</t>
        </is>
      </c>
      <c r="J4" s="11" t="inlineStr">
        <is>
          <t>TBD</t>
        </is>
      </c>
      <c r="K4" s="8" t="inlineStr">
        <is>
          <t>Your brochure or flyer will be distributed in an approved installation facility.</t>
        </is>
      </c>
      <c r="L4" s="11" t="n">
        <v>1</v>
      </c>
      <c r="M4" s="12" t="n">
        <v>50</v>
      </c>
      <c r="N4" s="12" t="n">
        <v>150</v>
      </c>
      <c r="O4" s="12" t="n">
        <v>275</v>
      </c>
      <c r="P4" s="12" t="n">
        <v>525</v>
      </c>
      <c r="Q4" s="12" t="n">
        <v>0</v>
      </c>
      <c r="R4" s="13">
        <f>IF(ISNUMBER(M4),ROUND(M4/(1-Settings!$B$2)/Settings!$B$3,0)*Settings!$B$3,"")</f>
        <v/>
      </c>
      <c r="S4" s="13">
        <f>IF(ISNUMBER(N4),ROUND(N4/(1-Settings!$B$2)/Settings!$B$3,0)*Settings!$B$3,"")</f>
        <v/>
      </c>
      <c r="T4" s="13">
        <f>IF(ISNUMBER(O4),ROUND(O4/(1-Settings!$B$2)/Settings!$B$3,0)*Settings!$B$3,"")</f>
        <v/>
      </c>
      <c r="U4" s="13">
        <f>IF(ISNUMBER(P4),ROUND(P4/(1-Settings!$B$2)/Settings!$B$3,0)*Settings!$B$3,"")</f>
        <v/>
      </c>
      <c r="V4" s="13">
        <f>IF(ISNUMBER(Q4),ROUND(Q4/(1-Settings!$B$2)/Settings!$B$3,0)*Settings!$B$3,"")</f>
        <v/>
      </c>
      <c r="W4" s="14" t="n">
        <v>1958</v>
      </c>
      <c r="X4" s="14" t="n">
        <v>2424</v>
      </c>
      <c r="Y4" s="11" t="inlineStr"/>
      <c r="Z4" s="11" t="inlineStr"/>
      <c r="AA4" s="8" t="inlineStr"/>
      <c r="AB4" s="8" t="inlineStr"/>
      <c r="AC4" s="11" t="inlineStr">
        <is>
          <t>MasterMilitaryOnBaseList 12.2.25 NS.xlsx</t>
        </is>
      </c>
      <c r="AD4" s="11" t="inlineStr">
        <is>
          <t>Eielson AFB_Advertising Rates_2026.pptx</t>
        </is>
      </c>
      <c r="AE4" s="15" t="inlineStr">
        <is>
          <t>Open in Box</t>
        </is>
      </c>
      <c r="AF4" s="15" t="inlineStr">
        <is>
          <t>Open in Box</t>
        </is>
      </c>
    </row>
    <row r="5">
      <c r="A5" s="11" t="inlineStr">
        <is>
          <t>AK-EIELSONA-006</t>
        </is>
      </c>
      <c r="B5" s="8" t="inlineStr">
        <is>
          <t>Eielson AFB</t>
        </is>
      </c>
      <c r="C5" s="11" t="inlineStr"/>
      <c r="D5" s="11" t="inlineStr">
        <is>
          <t>AK</t>
        </is>
      </c>
      <c r="E5" s="11" t="inlineStr">
        <is>
          <t>Fairbanks</t>
        </is>
      </c>
      <c r="F5" s="11" t="inlineStr">
        <is>
          <t>99702</t>
        </is>
      </c>
      <c r="G5" s="11" t="inlineStr">
        <is>
          <t>Air Force</t>
        </is>
      </c>
      <c r="H5" s="11" t="inlineStr">
        <is>
          <t>Sponsorship &amp; Other</t>
        </is>
      </c>
      <c r="I5" s="8" t="inlineStr">
        <is>
          <t>Newcomers Info Fair</t>
        </is>
      </c>
      <c r="J5" s="11" t="inlineStr">
        <is>
          <t>TBD</t>
        </is>
      </c>
      <c r="K5" s="8" t="inlineStr">
        <is>
          <t>Newcomers Info Fair is held once a month in the Yukon Ballroom</t>
        </is>
      </c>
      <c r="L5" s="11" t="n">
        <v>1</v>
      </c>
      <c r="M5" s="12" t="n">
        <v>50</v>
      </c>
      <c r="N5" s="12" t="n">
        <v>150</v>
      </c>
      <c r="O5" s="12" t="n">
        <v>300</v>
      </c>
      <c r="P5" s="12" t="n">
        <v>600</v>
      </c>
      <c r="Q5" s="12" t="n">
        <v>0</v>
      </c>
      <c r="R5" s="13">
        <f>IF(ISNUMBER(M5),ROUND(M5/(1-Settings!$B$2)/Settings!$B$3,0)*Settings!$B$3,"")</f>
        <v/>
      </c>
      <c r="S5" s="13">
        <f>IF(ISNUMBER(N5),ROUND(N5/(1-Settings!$B$2)/Settings!$B$3,0)*Settings!$B$3,"")</f>
        <v/>
      </c>
      <c r="T5" s="13">
        <f>IF(ISNUMBER(O5),ROUND(O5/(1-Settings!$B$2)/Settings!$B$3,0)*Settings!$B$3,"")</f>
        <v/>
      </c>
      <c r="U5" s="13">
        <f>IF(ISNUMBER(P5),ROUND(P5/(1-Settings!$B$2)/Settings!$B$3,0)*Settings!$B$3,"")</f>
        <v/>
      </c>
      <c r="V5" s="13">
        <f>IF(ISNUMBER(Q5),ROUND(Q5/(1-Settings!$B$2)/Settings!$B$3,0)*Settings!$B$3,"")</f>
        <v/>
      </c>
      <c r="W5" s="14" t="n">
        <v>1958</v>
      </c>
      <c r="X5" s="14" t="n">
        <v>2424</v>
      </c>
      <c r="Y5" s="11" t="inlineStr"/>
      <c r="Z5" s="11" t="inlineStr"/>
      <c r="AA5" s="8" t="inlineStr"/>
      <c r="AB5" s="8" t="inlineStr"/>
      <c r="AC5" s="11" t="inlineStr">
        <is>
          <t>MasterMilitaryOnBaseList 12.2.25 NS.xlsx</t>
        </is>
      </c>
      <c r="AD5" s="11" t="inlineStr">
        <is>
          <t>Eielson AFB_Advertising Rates_2026.pptx</t>
        </is>
      </c>
      <c r="AE5" s="15" t="inlineStr">
        <is>
          <t>Open in Box</t>
        </is>
      </c>
      <c r="AF5" s="15" t="inlineStr">
        <is>
          <t>Open in Box</t>
        </is>
      </c>
    </row>
    <row r="6">
      <c r="A6" s="11" t="inlineStr">
        <is>
          <t>AK-EIELSONA-003</t>
        </is>
      </c>
      <c r="B6" s="8" t="inlineStr">
        <is>
          <t>Eielson AFB</t>
        </is>
      </c>
      <c r="C6" s="11" t="inlineStr"/>
      <c r="D6" s="11" t="inlineStr">
        <is>
          <t>AK</t>
        </is>
      </c>
      <c r="E6" s="11" t="inlineStr">
        <is>
          <t>Fairbanks</t>
        </is>
      </c>
      <c r="F6" s="11" t="inlineStr">
        <is>
          <t>99702</t>
        </is>
      </c>
      <c r="G6" s="11" t="inlineStr">
        <is>
          <t>Air Force</t>
        </is>
      </c>
      <c r="H6" s="11" t="inlineStr">
        <is>
          <t>Standard Media</t>
        </is>
      </c>
      <c r="I6" s="8" t="inlineStr">
        <is>
          <t>Banners</t>
        </is>
      </c>
      <c r="J6" s="11" t="inlineStr">
        <is>
          <t>TBD</t>
        </is>
      </c>
      <c r="K6" s="8" t="inlineStr">
        <is>
          <t>Your Banner will be hung in an approved on base facilities</t>
        </is>
      </c>
      <c r="L6" s="11" t="n">
        <v>1</v>
      </c>
      <c r="M6" s="12" t="n">
        <v>1000</v>
      </c>
      <c r="N6" s="12" t="n">
        <v>3000</v>
      </c>
      <c r="O6" s="12" t="n">
        <v>5500</v>
      </c>
      <c r="P6" s="12" t="n">
        <v>10500</v>
      </c>
      <c r="Q6" s="12" t="n">
        <v>200</v>
      </c>
      <c r="R6" s="13">
        <f>IF(ISNUMBER(M6),ROUND(M6/(1-Settings!$B$2)/Settings!$B$3,0)*Settings!$B$3,"")</f>
        <v/>
      </c>
      <c r="S6" s="13">
        <f>IF(ISNUMBER(N6),ROUND(N6/(1-Settings!$B$2)/Settings!$B$3,0)*Settings!$B$3,"")</f>
        <v/>
      </c>
      <c r="T6" s="13">
        <f>IF(ISNUMBER(O6),ROUND(O6/(1-Settings!$B$2)/Settings!$B$3,0)*Settings!$B$3,"")</f>
        <v/>
      </c>
      <c r="U6" s="13">
        <f>IF(ISNUMBER(P6),ROUND(P6/(1-Settings!$B$2)/Settings!$B$3,0)*Settings!$B$3,"")</f>
        <v/>
      </c>
      <c r="V6" s="13">
        <f>IF(ISNUMBER(Q6),ROUND(Q6/(1-Settings!$B$2)/Settings!$B$3,0)*Settings!$B$3,"")</f>
        <v/>
      </c>
      <c r="W6" s="14" t="n">
        <v>1958</v>
      </c>
      <c r="X6" s="14" t="n">
        <v>2424</v>
      </c>
      <c r="Y6" s="11" t="inlineStr"/>
      <c r="Z6" s="11" t="inlineStr"/>
      <c r="AA6" s="8" t="inlineStr"/>
      <c r="AB6" s="8" t="inlineStr"/>
      <c r="AC6" s="11" t="inlineStr">
        <is>
          <t>MasterMilitaryOnBaseList 12.2.25 NS.xlsx</t>
        </is>
      </c>
      <c r="AD6" s="11" t="inlineStr">
        <is>
          <t>Eielson AFB_Advertising Rates_2026.pptx</t>
        </is>
      </c>
      <c r="AE6" s="15" t="inlineStr">
        <is>
          <t>Open in Box</t>
        </is>
      </c>
      <c r="AF6" s="15" t="inlineStr">
        <is>
          <t>Open in Box</t>
        </is>
      </c>
    </row>
    <row r="7">
      <c r="A7" s="11" t="inlineStr">
        <is>
          <t>AK-EIELSONA-004</t>
        </is>
      </c>
      <c r="B7" s="8" t="inlineStr">
        <is>
          <t>Eielson AFB</t>
        </is>
      </c>
      <c r="C7" s="11" t="inlineStr"/>
      <c r="D7" s="11" t="inlineStr">
        <is>
          <t>AK</t>
        </is>
      </c>
      <c r="E7" s="11" t="inlineStr">
        <is>
          <t>Fairbanks</t>
        </is>
      </c>
      <c r="F7" s="11" t="inlineStr">
        <is>
          <t>99702</t>
        </is>
      </c>
      <c r="G7" s="11" t="inlineStr">
        <is>
          <t>Air Force</t>
        </is>
      </c>
      <c r="H7" s="11" t="inlineStr">
        <is>
          <t>Standard Media</t>
        </is>
      </c>
      <c r="I7" s="8" t="inlineStr">
        <is>
          <t>Product Display</t>
        </is>
      </c>
      <c r="J7" s="11" t="inlineStr"/>
      <c r="K7" s="8" t="inlineStr">
        <is>
          <t>Your product will be displayed at an approved installation facility.</t>
        </is>
      </c>
      <c r="L7" s="11" t="n">
        <v>1</v>
      </c>
      <c r="M7" s="12" t="n">
        <v>1000</v>
      </c>
      <c r="N7" s="12" t="n">
        <v>3000</v>
      </c>
      <c r="O7" s="12" t="n">
        <v>5500</v>
      </c>
      <c r="P7" s="12" t="n">
        <v>10500</v>
      </c>
      <c r="Q7" s="12" t="n">
        <v>0</v>
      </c>
      <c r="R7" s="13">
        <f>IF(ISNUMBER(M7),ROUND(M7/(1-Settings!$B$2)/Settings!$B$3,0)*Settings!$B$3,"")</f>
        <v/>
      </c>
      <c r="S7" s="13">
        <f>IF(ISNUMBER(N7),ROUND(N7/(1-Settings!$B$2)/Settings!$B$3,0)*Settings!$B$3,"")</f>
        <v/>
      </c>
      <c r="T7" s="13">
        <f>IF(ISNUMBER(O7),ROUND(O7/(1-Settings!$B$2)/Settings!$B$3,0)*Settings!$B$3,"")</f>
        <v/>
      </c>
      <c r="U7" s="13">
        <f>IF(ISNUMBER(P7),ROUND(P7/(1-Settings!$B$2)/Settings!$B$3,0)*Settings!$B$3,"")</f>
        <v/>
      </c>
      <c r="V7" s="13">
        <f>IF(ISNUMBER(Q7),ROUND(Q7/(1-Settings!$B$2)/Settings!$B$3,0)*Settings!$B$3,"")</f>
        <v/>
      </c>
      <c r="W7" s="14" t="n">
        <v>1958</v>
      </c>
      <c r="X7" s="14" t="n">
        <v>2424</v>
      </c>
      <c r="Y7" s="11" t="inlineStr"/>
      <c r="Z7" s="11" t="inlineStr"/>
      <c r="AA7" s="8" t="inlineStr"/>
      <c r="AB7" s="8" t="inlineStr"/>
      <c r="AC7" s="11" t="inlineStr">
        <is>
          <t>MasterMilitaryOnBaseList 12.2.25 NS.xlsx</t>
        </is>
      </c>
      <c r="AD7" s="11" t="inlineStr">
        <is>
          <t>Eielson AFB_Advertising Rates_2026.pptx</t>
        </is>
      </c>
      <c r="AE7" s="15" t="inlineStr">
        <is>
          <t>Open in Box</t>
        </is>
      </c>
      <c r="AF7" s="15" t="inlineStr">
        <is>
          <t>Open in Box</t>
        </is>
      </c>
    </row>
    <row r="8">
      <c r="A8" s="11" t="inlineStr">
        <is>
          <t>AK-EIELSONA-008</t>
        </is>
      </c>
      <c r="B8" s="8" t="inlineStr">
        <is>
          <t>Eielson AFB</t>
        </is>
      </c>
      <c r="C8" s="11" t="inlineStr"/>
      <c r="D8" s="11" t="inlineStr">
        <is>
          <t>AK</t>
        </is>
      </c>
      <c r="E8" s="11" t="inlineStr">
        <is>
          <t>Fairbanks</t>
        </is>
      </c>
      <c r="F8" s="11" t="inlineStr"/>
      <c r="G8" s="11" t="inlineStr">
        <is>
          <t>Air Force</t>
        </is>
      </c>
      <c r="H8" s="11" t="inlineStr">
        <is>
          <t>Web &amp; Email</t>
        </is>
      </c>
      <c r="I8" s="8" t="inlineStr">
        <is>
          <t>Web Ad</t>
        </is>
      </c>
      <c r="J8" s="11" t="inlineStr"/>
      <c r="K8" s="8" t="inlineStr">
        <is>
          <t>Your ad will appear on the installation MWR / FSS website.</t>
        </is>
      </c>
      <c r="L8" s="11" t="n">
        <v>1</v>
      </c>
      <c r="M8" s="12" t="n">
        <v>1000</v>
      </c>
      <c r="N8" s="12" t="n"/>
      <c r="O8" s="12" t="n"/>
      <c r="P8" s="12" t="n"/>
      <c r="Q8" s="12" t="n"/>
      <c r="R8" s="13">
        <f>IF(ISNUMBER(M8),ROUND(M8/(1-Settings!$B$2)/Settings!$B$3,0)*Settings!$B$3,"")</f>
        <v/>
      </c>
      <c r="S8" s="13">
        <f>IF(ISNUMBER(N8),ROUND(N8/(1-Settings!$B$2)/Settings!$B$3,0)*Settings!$B$3,"")</f>
        <v/>
      </c>
      <c r="T8" s="13">
        <f>IF(ISNUMBER(O8),ROUND(O8/(1-Settings!$B$2)/Settings!$B$3,0)*Settings!$B$3,"")</f>
        <v/>
      </c>
      <c r="U8" s="13">
        <f>IF(ISNUMBER(P8),ROUND(P8/(1-Settings!$B$2)/Settings!$B$3,0)*Settings!$B$3,"")</f>
        <v/>
      </c>
      <c r="V8" s="13">
        <f>IF(ISNUMBER(Q8),ROUND(Q8/(1-Settings!$B$2)/Settings!$B$3,0)*Settings!$B$3,"")</f>
        <v/>
      </c>
      <c r="W8" s="14" t="n">
        <v>1958</v>
      </c>
      <c r="X8" s="14" t="n">
        <v>2424</v>
      </c>
      <c r="Y8" s="11" t="inlineStr">
        <is>
          <t>2026</t>
        </is>
      </c>
      <c r="Z8" s="11" t="inlineStr">
        <is>
          <t>2026-06</t>
        </is>
      </c>
      <c r="AA8" s="8" t="inlineStr"/>
      <c r="AB8" s="8" t="inlineStr"/>
      <c r="AC8" s="11" t="inlineStr">
        <is>
          <t>Military - National Publication Inventory Master_June 2026.xlsx</t>
        </is>
      </c>
      <c r="AD8" s="11" t="inlineStr">
        <is>
          <t>Eielson AFB_Advertising Rates_2026.pptx</t>
        </is>
      </c>
      <c r="AE8" s="15" t="inlineStr">
        <is>
          <t>Open in Box</t>
        </is>
      </c>
      <c r="AF8" s="15" t="inlineStr">
        <is>
          <t>Open in Box</t>
        </is>
      </c>
    </row>
    <row r="9">
      <c r="A9" s="11" t="inlineStr">
        <is>
          <t>AK-EIELSONA-007</t>
        </is>
      </c>
      <c r="B9" s="8" t="inlineStr">
        <is>
          <t>Eielson AFB</t>
        </is>
      </c>
      <c r="C9" s="11" t="inlineStr"/>
      <c r="D9" s="11" t="inlineStr">
        <is>
          <t>AK</t>
        </is>
      </c>
      <c r="E9" s="11" t="inlineStr">
        <is>
          <t>Fairbanks</t>
        </is>
      </c>
      <c r="F9" s="11" t="inlineStr"/>
      <c r="G9" s="11" t="inlineStr">
        <is>
          <t>Air Force</t>
        </is>
      </c>
      <c r="H9" s="11" t="inlineStr">
        <is>
          <t>Web &amp; Email</t>
        </is>
      </c>
      <c r="I9" s="8" t="inlineStr">
        <is>
          <t>Weekly E-Newsletter Ad</t>
        </is>
      </c>
      <c r="J9" s="11" t="inlineStr"/>
      <c r="K9" s="8" t="inlineStr">
        <is>
          <t>Your ad will appear in the weekly e-newsletter emailed to the installation community.</t>
        </is>
      </c>
      <c r="L9" s="11" t="n">
        <v>1</v>
      </c>
      <c r="M9" s="12" t="n">
        <v>50</v>
      </c>
      <c r="N9" s="12" t="n"/>
      <c r="O9" s="12" t="n"/>
      <c r="P9" s="12" t="n"/>
      <c r="Q9" s="12" t="n"/>
      <c r="R9" s="13">
        <f>IF(ISNUMBER(M9),ROUND(M9/(1-Settings!$B$2)/Settings!$B$3,0)*Settings!$B$3,"")</f>
        <v/>
      </c>
      <c r="S9" s="13">
        <f>IF(ISNUMBER(N9),ROUND(N9/(1-Settings!$B$2)/Settings!$B$3,0)*Settings!$B$3,"")</f>
        <v/>
      </c>
      <c r="T9" s="13">
        <f>IF(ISNUMBER(O9),ROUND(O9/(1-Settings!$B$2)/Settings!$B$3,0)*Settings!$B$3,"")</f>
        <v/>
      </c>
      <c r="U9" s="13">
        <f>IF(ISNUMBER(P9),ROUND(P9/(1-Settings!$B$2)/Settings!$B$3,0)*Settings!$B$3,"")</f>
        <v/>
      </c>
      <c r="V9" s="13">
        <f>IF(ISNUMBER(Q9),ROUND(Q9/(1-Settings!$B$2)/Settings!$B$3,0)*Settings!$B$3,"")</f>
        <v/>
      </c>
      <c r="W9" s="14" t="n">
        <v>1958</v>
      </c>
      <c r="X9" s="14" t="n">
        <v>2424</v>
      </c>
      <c r="Y9" s="11" t="inlineStr">
        <is>
          <t>2026</t>
        </is>
      </c>
      <c r="Z9" s="11" t="inlineStr">
        <is>
          <t>2026-06</t>
        </is>
      </c>
      <c r="AA9" s="8" t="inlineStr"/>
      <c r="AB9" s="8" t="inlineStr"/>
      <c r="AC9" s="11" t="inlineStr">
        <is>
          <t>Military - National Publication Inventory Master_June 2026.xlsx</t>
        </is>
      </c>
      <c r="AD9" s="11" t="inlineStr">
        <is>
          <t>Eielson AFB_Advertising Rates_2026.pptx</t>
        </is>
      </c>
      <c r="AE9" s="15" t="inlineStr">
        <is>
          <t>Open in Box</t>
        </is>
      </c>
      <c r="AF9" s="15" t="inlineStr">
        <is>
          <t>Open in Box</t>
        </is>
      </c>
    </row>
    <row r="10">
      <c r="A10" s="11" t="inlineStr">
        <is>
          <t>AK-FORTGREE-001</t>
        </is>
      </c>
      <c r="B10" s="8" t="inlineStr">
        <is>
          <t>Fort Greely</t>
        </is>
      </c>
      <c r="C10" s="11" t="inlineStr"/>
      <c r="D10" s="11" t="inlineStr">
        <is>
          <t>AK</t>
        </is>
      </c>
      <c r="E10" s="11" t="inlineStr">
        <is>
          <t>Fairbanks, AK</t>
        </is>
      </c>
      <c r="F10" s="11" t="inlineStr"/>
      <c r="G10" s="11" t="inlineStr">
        <is>
          <t>Army</t>
        </is>
      </c>
      <c r="H10" s="11" t="inlineStr">
        <is>
          <t>Digital</t>
        </is>
      </c>
      <c r="I10" s="8" t="inlineStr">
        <is>
          <t>Digital Marquee</t>
        </is>
      </c>
      <c r="J10" s="11" t="inlineStr">
        <is>
          <t>3 screens</t>
        </is>
      </c>
      <c r="K10" s="8" t="inlineStr">
        <is>
          <t>Your ad will appear on the 3-screen digital marquee(s) on the installation.</t>
        </is>
      </c>
      <c r="L10" s="11" t="n">
        <v>1</v>
      </c>
      <c r="M10" s="12" t="n">
        <v>75</v>
      </c>
      <c r="N10" s="12" t="n"/>
      <c r="O10" s="12" t="n"/>
      <c r="P10" s="12" t="n"/>
      <c r="Q10" s="12" t="n"/>
      <c r="R10" s="13">
        <f>IF(ISNUMBER(M10),ROUND(M10/(1-Settings!$B$2)/Settings!$B$3,0)*Settings!$B$3,"")</f>
        <v/>
      </c>
      <c r="S10" s="13">
        <f>IF(ISNUMBER(N10),ROUND(N10/(1-Settings!$B$2)/Settings!$B$3,0)*Settings!$B$3,"")</f>
        <v/>
      </c>
      <c r="T10" s="13">
        <f>IF(ISNUMBER(O10),ROUND(O10/(1-Settings!$B$2)/Settings!$B$3,0)*Settings!$B$3,"")</f>
        <v/>
      </c>
      <c r="U10" s="13">
        <f>IF(ISNUMBER(P10),ROUND(P10/(1-Settings!$B$2)/Settings!$B$3,0)*Settings!$B$3,"")</f>
        <v/>
      </c>
      <c r="V10" s="13">
        <f>IF(ISNUMBER(Q10),ROUND(Q10/(1-Settings!$B$2)/Settings!$B$3,0)*Settings!$B$3,"")</f>
        <v/>
      </c>
      <c r="W10" s="14" t="n"/>
      <c r="X10" s="14" t="n"/>
      <c r="Y10" s="11" t="inlineStr">
        <is>
          <t>2026</t>
        </is>
      </c>
      <c r="Z10" s="11" t="inlineStr">
        <is>
          <t>2026-06</t>
        </is>
      </c>
      <c r="AA10" s="8" t="inlineStr"/>
      <c r="AB10" s="8" t="inlineStr"/>
      <c r="AC10" s="11" t="inlineStr">
        <is>
          <t>Military - National Digital Inventory Master 6.3.26.xlsx</t>
        </is>
      </c>
      <c r="AD10" s="11" t="inlineStr">
        <is>
          <t>USAG Alaska Advertising Flyer_2026.png</t>
        </is>
      </c>
      <c r="AE10" s="15" t="inlineStr">
        <is>
          <t>Open in Box</t>
        </is>
      </c>
      <c r="AF10" s="15" t="inlineStr">
        <is>
          <t>Open in Box</t>
        </is>
      </c>
    </row>
    <row r="11">
      <c r="A11" s="11" t="inlineStr">
        <is>
          <t>AK-FORTGREE-002</t>
        </is>
      </c>
      <c r="B11" s="8" t="inlineStr">
        <is>
          <t>Fort Greely</t>
        </is>
      </c>
      <c r="C11" s="11" t="inlineStr"/>
      <c r="D11" s="11" t="inlineStr">
        <is>
          <t>AK</t>
        </is>
      </c>
      <c r="E11" s="11" t="inlineStr">
        <is>
          <t>Fairbanks, AK</t>
        </is>
      </c>
      <c r="F11" s="11" t="inlineStr"/>
      <c r="G11" s="11" t="inlineStr">
        <is>
          <t>Army</t>
        </is>
      </c>
      <c r="H11" s="11" t="inlineStr">
        <is>
          <t>Web &amp; Email</t>
        </is>
      </c>
      <c r="I11" s="8" t="inlineStr">
        <is>
          <t>Web Ad</t>
        </is>
      </c>
      <c r="J11" s="11" t="inlineStr"/>
      <c r="K11" s="8" t="inlineStr">
        <is>
          <t>Your ad will appear on the installation MWR / FSS website.</t>
        </is>
      </c>
      <c r="L11" s="11" t="n">
        <v>3</v>
      </c>
      <c r="M11" s="12" t="n"/>
      <c r="N11" s="12" t="n">
        <v>50</v>
      </c>
      <c r="O11" s="12" t="n"/>
      <c r="P11" s="12" t="n"/>
      <c r="Q11" s="12" t="n"/>
      <c r="R11" s="13">
        <f>IF(ISNUMBER(M11),ROUND(M11/(1-Settings!$B$2)/Settings!$B$3,0)*Settings!$B$3,"")</f>
        <v/>
      </c>
      <c r="S11" s="13">
        <f>IF(ISNUMBER(N11),ROUND(N11/(1-Settings!$B$2)/Settings!$B$3,0)*Settings!$B$3,"")</f>
        <v/>
      </c>
      <c r="T11" s="13">
        <f>IF(ISNUMBER(O11),ROUND(O11/(1-Settings!$B$2)/Settings!$B$3,0)*Settings!$B$3,"")</f>
        <v/>
      </c>
      <c r="U11" s="13">
        <f>IF(ISNUMBER(P11),ROUND(P11/(1-Settings!$B$2)/Settings!$B$3,0)*Settings!$B$3,"")</f>
        <v/>
      </c>
      <c r="V11" s="13">
        <f>IF(ISNUMBER(Q11),ROUND(Q11/(1-Settings!$B$2)/Settings!$B$3,0)*Settings!$B$3,"")</f>
        <v/>
      </c>
      <c r="W11" s="14" t="n">
        <v>407</v>
      </c>
      <c r="X11" s="14" t="n"/>
      <c r="Y11" s="11" t="inlineStr">
        <is>
          <t>2026</t>
        </is>
      </c>
      <c r="Z11" s="11" t="inlineStr">
        <is>
          <t>2026-06</t>
        </is>
      </c>
      <c r="AA11" s="8" t="inlineStr">
        <is>
          <t>Sold quarterly</t>
        </is>
      </c>
      <c r="AB11" s="8" t="inlineStr"/>
      <c r="AC11" s="11" t="inlineStr">
        <is>
          <t>Military - National Publication Inventory Master_June 2026.xlsx</t>
        </is>
      </c>
      <c r="AD11" s="11" t="inlineStr">
        <is>
          <t>USAG Alaska Advertising Flyer_2026.png</t>
        </is>
      </c>
      <c r="AE11" s="15" t="inlineStr">
        <is>
          <t>Open in Box</t>
        </is>
      </c>
      <c r="AF11" s="15" t="inlineStr">
        <is>
          <t>Open in Box</t>
        </is>
      </c>
    </row>
    <row r="12">
      <c r="A12" s="11" t="inlineStr">
        <is>
          <t>AK-FORTJONA-001</t>
        </is>
      </c>
      <c r="B12" s="8" t="inlineStr">
        <is>
          <t>Fort Jonathan Wainwright</t>
        </is>
      </c>
      <c r="C12" s="11" t="inlineStr"/>
      <c r="D12" s="11" t="inlineStr">
        <is>
          <t>AK</t>
        </is>
      </c>
      <c r="E12" s="11" t="inlineStr">
        <is>
          <t>Fairbanks, AK</t>
        </is>
      </c>
      <c r="F12" s="11" t="inlineStr"/>
      <c r="G12" s="11" t="inlineStr">
        <is>
          <t>Army</t>
        </is>
      </c>
      <c r="H12" s="11" t="inlineStr">
        <is>
          <t>Digital</t>
        </is>
      </c>
      <c r="I12" s="8" t="inlineStr">
        <is>
          <t>Digital Marquee</t>
        </is>
      </c>
      <c r="J12" s="11" t="inlineStr">
        <is>
          <t>7 screens</t>
        </is>
      </c>
      <c r="K12" s="8" t="inlineStr">
        <is>
          <t>Your ad will appear on the 7-screen digital marquee(s) on the installation.</t>
        </is>
      </c>
      <c r="L12" s="11" t="n">
        <v>1</v>
      </c>
      <c r="M12" s="12" t="n">
        <v>700</v>
      </c>
      <c r="N12" s="12" t="n"/>
      <c r="O12" s="12" t="n"/>
      <c r="P12" s="12" t="n"/>
      <c r="Q12" s="12" t="n"/>
      <c r="R12" s="13">
        <f>IF(ISNUMBER(M12),ROUND(M12/(1-Settings!$B$2)/Settings!$B$3,0)*Settings!$B$3,"")</f>
        <v/>
      </c>
      <c r="S12" s="13">
        <f>IF(ISNUMBER(N12),ROUND(N12/(1-Settings!$B$2)/Settings!$B$3,0)*Settings!$B$3,"")</f>
        <v/>
      </c>
      <c r="T12" s="13">
        <f>IF(ISNUMBER(O12),ROUND(O12/(1-Settings!$B$2)/Settings!$B$3,0)*Settings!$B$3,"")</f>
        <v/>
      </c>
      <c r="U12" s="13">
        <f>IF(ISNUMBER(P12),ROUND(P12/(1-Settings!$B$2)/Settings!$B$3,0)*Settings!$B$3,"")</f>
        <v/>
      </c>
      <c r="V12" s="13">
        <f>IF(ISNUMBER(Q12),ROUND(Q12/(1-Settings!$B$2)/Settings!$B$3,0)*Settings!$B$3,"")</f>
        <v/>
      </c>
      <c r="W12" s="14" t="n">
        <v>6117</v>
      </c>
      <c r="X12" s="14" t="n">
        <v>6995</v>
      </c>
      <c r="Y12" s="11" t="inlineStr">
        <is>
          <t>2026</t>
        </is>
      </c>
      <c r="Z12" s="11" t="inlineStr">
        <is>
          <t>2026-06</t>
        </is>
      </c>
      <c r="AA12" s="8" t="inlineStr"/>
      <c r="AB12" s="8" t="inlineStr"/>
      <c r="AC12" s="11" t="inlineStr">
        <is>
          <t>Military - National Digital Inventory Master 6.3.26.xlsx</t>
        </is>
      </c>
      <c r="AD12" s="11" t="inlineStr">
        <is>
          <t>USAG Alaska Advertising Flyer_2026.png</t>
        </is>
      </c>
      <c r="AE12" s="15" t="inlineStr">
        <is>
          <t>Open in Box</t>
        </is>
      </c>
      <c r="AF12" s="15" t="inlineStr">
        <is>
          <t>Open in Box</t>
        </is>
      </c>
    </row>
    <row r="13">
      <c r="A13" s="11" t="inlineStr">
        <is>
          <t>AK-FORTJONA-002</t>
        </is>
      </c>
      <c r="B13" s="8" t="inlineStr">
        <is>
          <t>Fort Jonathan Wainwright</t>
        </is>
      </c>
      <c r="C13" s="11" t="inlineStr"/>
      <c r="D13" s="11" t="inlineStr">
        <is>
          <t>AK</t>
        </is>
      </c>
      <c r="E13" s="11" t="inlineStr">
        <is>
          <t>Fairbanks, AK</t>
        </is>
      </c>
      <c r="F13" s="11" t="inlineStr"/>
      <c r="G13" s="11" t="inlineStr">
        <is>
          <t>Army</t>
        </is>
      </c>
      <c r="H13" s="11" t="inlineStr">
        <is>
          <t>Web &amp; Email</t>
        </is>
      </c>
      <c r="I13" s="8" t="inlineStr">
        <is>
          <t>Web Ad</t>
        </is>
      </c>
      <c r="J13" s="11" t="inlineStr"/>
      <c r="K13" s="8" t="inlineStr">
        <is>
          <t>Your ad will appear on the installation MWR / FSS website.</t>
        </is>
      </c>
      <c r="L13" s="11" t="n">
        <v>3</v>
      </c>
      <c r="M13" s="12" t="n"/>
      <c r="N13" s="12" t="n">
        <v>300</v>
      </c>
      <c r="O13" s="12" t="n"/>
      <c r="P13" s="12" t="n"/>
      <c r="Q13" s="12" t="n"/>
      <c r="R13" s="13">
        <f>IF(ISNUMBER(M13),ROUND(M13/(1-Settings!$B$2)/Settings!$B$3,0)*Settings!$B$3,"")</f>
        <v/>
      </c>
      <c r="S13" s="13">
        <f>IF(ISNUMBER(N13),ROUND(N13/(1-Settings!$B$2)/Settings!$B$3,0)*Settings!$B$3,"")</f>
        <v/>
      </c>
      <c r="T13" s="13">
        <f>IF(ISNUMBER(O13),ROUND(O13/(1-Settings!$B$2)/Settings!$B$3,0)*Settings!$B$3,"")</f>
        <v/>
      </c>
      <c r="U13" s="13">
        <f>IF(ISNUMBER(P13),ROUND(P13/(1-Settings!$B$2)/Settings!$B$3,0)*Settings!$B$3,"")</f>
        <v/>
      </c>
      <c r="V13" s="13">
        <f>IF(ISNUMBER(Q13),ROUND(Q13/(1-Settings!$B$2)/Settings!$B$3,0)*Settings!$B$3,"")</f>
        <v/>
      </c>
      <c r="W13" s="14" t="n">
        <v>6117</v>
      </c>
      <c r="X13" s="14" t="n">
        <v>6995</v>
      </c>
      <c r="Y13" s="11" t="inlineStr">
        <is>
          <t>2026</t>
        </is>
      </c>
      <c r="Z13" s="11" t="inlineStr">
        <is>
          <t>2026-06</t>
        </is>
      </c>
      <c r="AA13" s="8" t="inlineStr">
        <is>
          <t>Sold quarterly</t>
        </is>
      </c>
      <c r="AB13" s="8" t="inlineStr"/>
      <c r="AC13" s="11" t="inlineStr">
        <is>
          <t>Military - National Publication Inventory Master_June 2026.xlsx</t>
        </is>
      </c>
      <c r="AD13" s="11" t="inlineStr">
        <is>
          <t>USAG Alaska Advertising Flyer_2026.png</t>
        </is>
      </c>
      <c r="AE13" s="15" t="inlineStr">
        <is>
          <t>Open in Box</t>
        </is>
      </c>
      <c r="AF13" s="15" t="inlineStr">
        <is>
          <t>Open in Box</t>
        </is>
      </c>
    </row>
    <row r="14">
      <c r="A14" s="11" t="inlineStr">
        <is>
          <t>AK-JBERELME-001</t>
        </is>
      </c>
      <c r="B14" s="8" t="inlineStr">
        <is>
          <t>JBER - Elmendorf AFB</t>
        </is>
      </c>
      <c r="C14" s="11" t="inlineStr">
        <is>
          <t>Joint Base Elmendorf-Richardson</t>
        </is>
      </c>
      <c r="D14" s="11" t="inlineStr">
        <is>
          <t>AK</t>
        </is>
      </c>
      <c r="E14" s="11" t="inlineStr">
        <is>
          <t>Anchorage</t>
        </is>
      </c>
      <c r="F14" s="11" t="inlineStr">
        <is>
          <t>99506</t>
        </is>
      </c>
      <c r="G14" s="11" t="inlineStr">
        <is>
          <t>Air Force</t>
        </is>
      </c>
      <c r="H14" s="11" t="inlineStr">
        <is>
          <t>Digital</t>
        </is>
      </c>
      <c r="I14" s="8" t="inlineStr">
        <is>
          <t>Bowling Score Monitors</t>
        </is>
      </c>
      <c r="J14" s="11" t="inlineStr"/>
      <c r="K14" s="8" t="inlineStr">
        <is>
          <t>Your ad will be shown on the monitors in the largest bowling center in the Air Force</t>
        </is>
      </c>
      <c r="L14" s="11" t="n">
        <v>3</v>
      </c>
      <c r="M14" s="12" t="n"/>
      <c r="N14" s="12" t="n">
        <v>750</v>
      </c>
      <c r="O14" s="12" t="n">
        <v>1500</v>
      </c>
      <c r="P14" s="12" t="n">
        <v>3000</v>
      </c>
      <c r="Q14" s="12" t="n">
        <v>0</v>
      </c>
      <c r="R14" s="13">
        <f>IF(ISNUMBER(M14),ROUND(M14/(1-Settings!$B$2)/Settings!$B$3,0)*Settings!$B$3,"")</f>
        <v/>
      </c>
      <c r="S14" s="13">
        <f>IF(ISNUMBER(N14),ROUND(N14/(1-Settings!$B$2)/Settings!$B$3,0)*Settings!$B$3,"")</f>
        <v/>
      </c>
      <c r="T14" s="13">
        <f>IF(ISNUMBER(O14),ROUND(O14/(1-Settings!$B$2)/Settings!$B$3,0)*Settings!$B$3,"")</f>
        <v/>
      </c>
      <c r="U14" s="13">
        <f>IF(ISNUMBER(P14),ROUND(P14/(1-Settings!$B$2)/Settings!$B$3,0)*Settings!$B$3,"")</f>
        <v/>
      </c>
      <c r="V14" s="13">
        <f>IF(ISNUMBER(Q14),ROUND(Q14/(1-Settings!$B$2)/Settings!$B$3,0)*Settings!$B$3,"")</f>
        <v/>
      </c>
      <c r="W14" s="14" t="n">
        <v>5504</v>
      </c>
      <c r="X14" s="14" t="n">
        <v>7035</v>
      </c>
      <c r="Y14" s="11" t="inlineStr"/>
      <c r="Z14" s="11" t="inlineStr"/>
      <c r="AA14" s="8" t="inlineStr">
        <is>
          <t>Inventory master 6/2026 lists Golf Scorecard Ad at $500 (3 mo)</t>
        </is>
      </c>
      <c r="AB14" s="8" t="inlineStr"/>
      <c r="AC14" s="11" t="inlineStr">
        <is>
          <t>MasterMilitaryOnBaseList 12.2.25 NS.xlsx</t>
        </is>
      </c>
      <c r="AD14" s="11" t="inlineStr">
        <is>
          <t>Sponsorship &amp; Advertising Rate Sheet_2026.pdf</t>
        </is>
      </c>
      <c r="AE14" s="15" t="inlineStr">
        <is>
          <t>Open in Box</t>
        </is>
      </c>
      <c r="AF14" s="15" t="inlineStr">
        <is>
          <t>Open in Box</t>
        </is>
      </c>
    </row>
    <row r="15">
      <c r="A15" s="11" t="inlineStr">
        <is>
          <t>AK-JBERELME-002</t>
        </is>
      </c>
      <c r="B15" s="8" t="inlineStr">
        <is>
          <t>JBER - Elmendorf AFB</t>
        </is>
      </c>
      <c r="C15" s="11" t="inlineStr">
        <is>
          <t>Joint Base Elmendorf-Richardson</t>
        </is>
      </c>
      <c r="D15" s="11" t="inlineStr">
        <is>
          <t>AK</t>
        </is>
      </c>
      <c r="E15" s="11" t="inlineStr">
        <is>
          <t>Anchorage</t>
        </is>
      </c>
      <c r="F15" s="11" t="inlineStr">
        <is>
          <t>99506</t>
        </is>
      </c>
      <c r="G15" s="11" t="inlineStr">
        <is>
          <t>Air Force</t>
        </is>
      </c>
      <c r="H15" s="11" t="inlineStr">
        <is>
          <t>Digital</t>
        </is>
      </c>
      <c r="I15" s="8" t="inlineStr">
        <is>
          <t>Bowling Table Tents</t>
        </is>
      </c>
      <c r="J15" s="11" t="inlineStr"/>
      <c r="K15" s="8" t="inlineStr">
        <is>
          <t>Your ad will be on table tents placed on the tables in the largest bowling center in the Air Force</t>
        </is>
      </c>
      <c r="L15" s="11" t="n">
        <v>3</v>
      </c>
      <c r="M15" s="12" t="n"/>
      <c r="N15" s="12" t="n">
        <v>600</v>
      </c>
      <c r="O15" s="12" t="n">
        <v>1200</v>
      </c>
      <c r="P15" s="12" t="n">
        <v>1000</v>
      </c>
      <c r="Q15" s="12" t="n">
        <v>0</v>
      </c>
      <c r="R15" s="13">
        <f>IF(ISNUMBER(M15),ROUND(M15/(1-Settings!$B$2)/Settings!$B$3,0)*Settings!$B$3,"")</f>
        <v/>
      </c>
      <c r="S15" s="13">
        <f>IF(ISNUMBER(N15),ROUND(N15/(1-Settings!$B$2)/Settings!$B$3,0)*Settings!$B$3,"")</f>
        <v/>
      </c>
      <c r="T15" s="13">
        <f>IF(ISNUMBER(O15),ROUND(O15/(1-Settings!$B$2)/Settings!$B$3,0)*Settings!$B$3,"")</f>
        <v/>
      </c>
      <c r="U15" s="13">
        <f>IF(ISNUMBER(P15),ROUND(P15/(1-Settings!$B$2)/Settings!$B$3,0)*Settings!$B$3,"")</f>
        <v/>
      </c>
      <c r="V15" s="13">
        <f>IF(ISNUMBER(Q15),ROUND(Q15/(1-Settings!$B$2)/Settings!$B$3,0)*Settings!$B$3,"")</f>
        <v/>
      </c>
      <c r="W15" s="14" t="n">
        <v>5504</v>
      </c>
      <c r="X15" s="14" t="n">
        <v>7035</v>
      </c>
      <c r="Y15" s="11" t="inlineStr"/>
      <c r="Z15" s="11" t="inlineStr"/>
      <c r="AA15" s="8" t="inlineStr"/>
      <c r="AB15" s="8" t="inlineStr"/>
      <c r="AC15" s="11" t="inlineStr">
        <is>
          <t>MasterMilitaryOnBaseList 12.2.25 NS.xlsx</t>
        </is>
      </c>
      <c r="AD15" s="11" t="inlineStr">
        <is>
          <t>Sponsorship &amp; Advertising Rate Sheet_2026.pdf</t>
        </is>
      </c>
      <c r="AE15" s="15" t="inlineStr">
        <is>
          <t>Open in Box</t>
        </is>
      </c>
      <c r="AF15" s="15" t="inlineStr">
        <is>
          <t>Open in Box</t>
        </is>
      </c>
    </row>
    <row r="16">
      <c r="A16" s="11" t="inlineStr">
        <is>
          <t>AK-JBERELME-003</t>
        </is>
      </c>
      <c r="B16" s="8" t="inlineStr">
        <is>
          <t>JBER - Elmendorf AFB</t>
        </is>
      </c>
      <c r="C16" s="11" t="inlineStr">
        <is>
          <t>Joint Base Elmendorf-Richardson</t>
        </is>
      </c>
      <c r="D16" s="11" t="inlineStr">
        <is>
          <t>AK</t>
        </is>
      </c>
      <c r="E16" s="11" t="inlineStr">
        <is>
          <t>Anchorage</t>
        </is>
      </c>
      <c r="F16" s="11" t="inlineStr">
        <is>
          <t>99506</t>
        </is>
      </c>
      <c r="G16" s="11" t="inlineStr">
        <is>
          <t>Air Force</t>
        </is>
      </c>
      <c r="H16" s="11" t="inlineStr">
        <is>
          <t>Digital</t>
        </is>
      </c>
      <c r="I16" s="8" t="inlineStr">
        <is>
          <t>Digital Monitor Network</t>
        </is>
      </c>
      <c r="J16" s="11" t="inlineStr"/>
      <c r="K16" s="8" t="inlineStr">
        <is>
          <t>Your ad will appear on 36 digital monitors.</t>
        </is>
      </c>
      <c r="L16" s="11" t="n">
        <v>3</v>
      </c>
      <c r="M16" s="12" t="n"/>
      <c r="N16" s="12" t="n">
        <v>800</v>
      </c>
      <c r="O16" s="12" t="n">
        <v>1600</v>
      </c>
      <c r="P16" s="12" t="n">
        <v>3200</v>
      </c>
      <c r="Q16" s="12" t="n">
        <v>0</v>
      </c>
      <c r="R16" s="13">
        <f>IF(ISNUMBER(M16),ROUND(M16/(1-Settings!$B$2)/Settings!$B$3,0)*Settings!$B$3,"")</f>
        <v/>
      </c>
      <c r="S16" s="13">
        <f>IF(ISNUMBER(N16),ROUND(N16/(1-Settings!$B$2)/Settings!$B$3,0)*Settings!$B$3,"")</f>
        <v/>
      </c>
      <c r="T16" s="13">
        <f>IF(ISNUMBER(O16),ROUND(O16/(1-Settings!$B$2)/Settings!$B$3,0)*Settings!$B$3,"")</f>
        <v/>
      </c>
      <c r="U16" s="13">
        <f>IF(ISNUMBER(P16),ROUND(P16/(1-Settings!$B$2)/Settings!$B$3,0)*Settings!$B$3,"")</f>
        <v/>
      </c>
      <c r="V16" s="13">
        <f>IF(ISNUMBER(Q16),ROUND(Q16/(1-Settings!$B$2)/Settings!$B$3,0)*Settings!$B$3,"")</f>
        <v/>
      </c>
      <c r="W16" s="14" t="n">
        <v>5504</v>
      </c>
      <c r="X16" s="14" t="n">
        <v>7035</v>
      </c>
      <c r="Y16" s="11" t="inlineStr"/>
      <c r="Z16" s="11" t="inlineStr"/>
      <c r="AA16" s="8" t="inlineStr"/>
      <c r="AB16" s="8" t="inlineStr"/>
      <c r="AC16" s="11" t="inlineStr">
        <is>
          <t>MasterMilitaryOnBaseList 12.2.25 NS.xlsx</t>
        </is>
      </c>
      <c r="AD16" s="11" t="inlineStr">
        <is>
          <t>Sponsorship &amp; Advertising Rate Sheet_2026.pdf</t>
        </is>
      </c>
      <c r="AE16" s="15" t="inlineStr">
        <is>
          <t>Open in Box</t>
        </is>
      </c>
      <c r="AF16" s="15" t="inlineStr">
        <is>
          <t>Open in Box</t>
        </is>
      </c>
    </row>
    <row r="17">
      <c r="A17" s="11" t="inlineStr">
        <is>
          <t>AK-JBERELME-004</t>
        </is>
      </c>
      <c r="B17" s="8" t="inlineStr">
        <is>
          <t>JBER - Elmendorf AFB</t>
        </is>
      </c>
      <c r="C17" s="11" t="inlineStr">
        <is>
          <t>Joint Base Elmendorf-Richardson</t>
        </is>
      </c>
      <c r="D17" s="11" t="inlineStr">
        <is>
          <t>AK</t>
        </is>
      </c>
      <c r="E17" s="11" t="inlineStr">
        <is>
          <t>Anchorage</t>
        </is>
      </c>
      <c r="F17" s="11" t="inlineStr">
        <is>
          <t>99506</t>
        </is>
      </c>
      <c r="G17" s="11" t="inlineStr">
        <is>
          <t>Air Force</t>
        </is>
      </c>
      <c r="H17" s="11" t="inlineStr">
        <is>
          <t>Digital</t>
        </is>
      </c>
      <c r="I17" s="8" t="inlineStr">
        <is>
          <t>Lane Sweepers</t>
        </is>
      </c>
      <c r="J17" s="11" t="inlineStr"/>
      <c r="K17" s="8" t="inlineStr">
        <is>
          <t>Your ad will cover 40 lanes</t>
        </is>
      </c>
      <c r="L17" s="11" t="n">
        <v>12</v>
      </c>
      <c r="M17" s="12" t="n"/>
      <c r="N17" s="12" t="n"/>
      <c r="O17" s="12" t="n"/>
      <c r="P17" s="12" t="n">
        <v>5000</v>
      </c>
      <c r="Q17" s="12" t="n">
        <v>0</v>
      </c>
      <c r="R17" s="13">
        <f>IF(ISNUMBER(M17),ROUND(M17/(1-Settings!$B$2)/Settings!$B$3,0)*Settings!$B$3,"")</f>
        <v/>
      </c>
      <c r="S17" s="13">
        <f>IF(ISNUMBER(N17),ROUND(N17/(1-Settings!$B$2)/Settings!$B$3,0)*Settings!$B$3,"")</f>
        <v/>
      </c>
      <c r="T17" s="13">
        <f>IF(ISNUMBER(O17),ROUND(O17/(1-Settings!$B$2)/Settings!$B$3,0)*Settings!$B$3,"")</f>
        <v/>
      </c>
      <c r="U17" s="13">
        <f>IF(ISNUMBER(P17),ROUND(P17/(1-Settings!$B$2)/Settings!$B$3,0)*Settings!$B$3,"")</f>
        <v/>
      </c>
      <c r="V17" s="13">
        <f>IF(ISNUMBER(Q17),ROUND(Q17/(1-Settings!$B$2)/Settings!$B$3,0)*Settings!$B$3,"")</f>
        <v/>
      </c>
      <c r="W17" s="14" t="n">
        <v>5504</v>
      </c>
      <c r="X17" s="14" t="n">
        <v>7035</v>
      </c>
      <c r="Y17" s="11" t="inlineStr"/>
      <c r="Z17" s="11" t="inlineStr"/>
      <c r="AA17" s="8" t="inlineStr"/>
      <c r="AB17" s="8" t="inlineStr"/>
      <c r="AC17" s="11" t="inlineStr">
        <is>
          <t>MasterMilitaryOnBaseList 12.2.25 NS.xlsx</t>
        </is>
      </c>
      <c r="AD17" s="11" t="inlineStr">
        <is>
          <t>Sponsorship &amp; Advertising Rate Sheet_2026.pdf</t>
        </is>
      </c>
      <c r="AE17" s="15" t="inlineStr">
        <is>
          <t>Open in Box</t>
        </is>
      </c>
      <c r="AF17" s="15" t="inlineStr">
        <is>
          <t>Open in Box</t>
        </is>
      </c>
    </row>
    <row r="18">
      <c r="A18" s="11" t="inlineStr">
        <is>
          <t>AK-JBERELME-009</t>
        </is>
      </c>
      <c r="B18" s="8" t="inlineStr">
        <is>
          <t>JBER - Elmendorf AFB</t>
        </is>
      </c>
      <c r="C18" s="11" t="inlineStr">
        <is>
          <t>Joint Base Elmendorf-Richardson</t>
        </is>
      </c>
      <c r="D18" s="11" t="inlineStr">
        <is>
          <t>AK</t>
        </is>
      </c>
      <c r="E18" s="11" t="inlineStr">
        <is>
          <t>Anchorage</t>
        </is>
      </c>
      <c r="F18" s="11" t="inlineStr">
        <is>
          <t>99506</t>
        </is>
      </c>
      <c r="G18" s="11" t="inlineStr">
        <is>
          <t>Air Force</t>
        </is>
      </c>
      <c r="H18" s="11" t="inlineStr">
        <is>
          <t>Large Format</t>
        </is>
      </c>
      <c r="I18" s="8" t="inlineStr">
        <is>
          <t>Snow Fencing</t>
        </is>
      </c>
      <c r="J18" s="11" t="inlineStr"/>
      <c r="K18" s="8" t="inlineStr">
        <is>
          <t>Your ad will appear on a snow fence from November - May at Hillberg Ski Area</t>
        </is>
      </c>
      <c r="L18" s="11" t="n">
        <v>12</v>
      </c>
      <c r="M18" s="12" t="n"/>
      <c r="N18" s="12" t="n"/>
      <c r="O18" s="12" t="n"/>
      <c r="P18" s="12" t="n">
        <v>10000</v>
      </c>
      <c r="Q18" s="12" t="n">
        <v>0</v>
      </c>
      <c r="R18" s="13">
        <f>IF(ISNUMBER(M18),ROUND(M18/(1-Settings!$B$2)/Settings!$B$3,0)*Settings!$B$3,"")</f>
        <v/>
      </c>
      <c r="S18" s="13">
        <f>IF(ISNUMBER(N18),ROUND(N18/(1-Settings!$B$2)/Settings!$B$3,0)*Settings!$B$3,"")</f>
        <v/>
      </c>
      <c r="T18" s="13">
        <f>IF(ISNUMBER(O18),ROUND(O18/(1-Settings!$B$2)/Settings!$B$3,0)*Settings!$B$3,"")</f>
        <v/>
      </c>
      <c r="U18" s="13">
        <f>IF(ISNUMBER(P18),ROUND(P18/(1-Settings!$B$2)/Settings!$B$3,0)*Settings!$B$3,"")</f>
        <v/>
      </c>
      <c r="V18" s="13">
        <f>IF(ISNUMBER(Q18),ROUND(Q18/(1-Settings!$B$2)/Settings!$B$3,0)*Settings!$B$3,"")</f>
        <v/>
      </c>
      <c r="W18" s="14" t="n">
        <v>5504</v>
      </c>
      <c r="X18" s="14" t="n">
        <v>7035</v>
      </c>
      <c r="Y18" s="11" t="inlineStr"/>
      <c r="Z18" s="11" t="inlineStr"/>
      <c r="AA18" s="8" t="inlineStr"/>
      <c r="AB18" s="8" t="inlineStr"/>
      <c r="AC18" s="11" t="inlineStr">
        <is>
          <t>MasterMilitaryOnBaseList 12.2.25 NS.xlsx</t>
        </is>
      </c>
      <c r="AD18" s="11" t="inlineStr">
        <is>
          <t>Sponsorship &amp; Advertising Rate Sheet_2026.pdf</t>
        </is>
      </c>
      <c r="AE18" s="15" t="inlineStr">
        <is>
          <t>Open in Box</t>
        </is>
      </c>
      <c r="AF18" s="15" t="inlineStr">
        <is>
          <t>Open in Box</t>
        </is>
      </c>
    </row>
    <row r="19">
      <c r="A19" s="11" t="inlineStr">
        <is>
          <t>AK-JBERELME-010</t>
        </is>
      </c>
      <c r="B19" s="8" t="inlineStr">
        <is>
          <t>JBER - Elmendorf AFB</t>
        </is>
      </c>
      <c r="C19" s="11" t="inlineStr">
        <is>
          <t>Joint Base Elmendorf-Richardson</t>
        </is>
      </c>
      <c r="D19" s="11" t="inlineStr">
        <is>
          <t>AK</t>
        </is>
      </c>
      <c r="E19" s="11" t="inlineStr">
        <is>
          <t>Anchorage</t>
        </is>
      </c>
      <c r="F19" s="11" t="inlineStr">
        <is>
          <t>99506</t>
        </is>
      </c>
      <c r="G19" s="11" t="inlineStr">
        <is>
          <t>Air Force</t>
        </is>
      </c>
      <c r="H19" s="11" t="inlineStr">
        <is>
          <t>Print &amp; Publications</t>
        </is>
      </c>
      <c r="I19" s="8" t="inlineStr">
        <is>
          <t>Cabin Book Ads</t>
        </is>
      </c>
      <c r="J19" s="11" t="inlineStr"/>
      <c r="K19" s="8" t="inlineStr">
        <is>
          <t>Your ad will appear in the cabin book ads seasonally (May - September)</t>
        </is>
      </c>
      <c r="L19" s="11" t="n">
        <v>3</v>
      </c>
      <c r="M19" s="12" t="n"/>
      <c r="N19" s="12" t="n">
        <v>500</v>
      </c>
      <c r="O19" s="12" t="n"/>
      <c r="P19" s="12" t="n"/>
      <c r="Q19" s="12" t="n">
        <v>0</v>
      </c>
      <c r="R19" s="13">
        <f>IF(ISNUMBER(M19),ROUND(M19/(1-Settings!$B$2)/Settings!$B$3,0)*Settings!$B$3,"")</f>
        <v/>
      </c>
      <c r="S19" s="13">
        <f>IF(ISNUMBER(N19),ROUND(N19/(1-Settings!$B$2)/Settings!$B$3,0)*Settings!$B$3,"")</f>
        <v/>
      </c>
      <c r="T19" s="13">
        <f>IF(ISNUMBER(O19),ROUND(O19/(1-Settings!$B$2)/Settings!$B$3,0)*Settings!$B$3,"")</f>
        <v/>
      </c>
      <c r="U19" s="13">
        <f>IF(ISNUMBER(P19),ROUND(P19/(1-Settings!$B$2)/Settings!$B$3,0)*Settings!$B$3,"")</f>
        <v/>
      </c>
      <c r="V19" s="13">
        <f>IF(ISNUMBER(Q19),ROUND(Q19/(1-Settings!$B$2)/Settings!$B$3,0)*Settings!$B$3,"")</f>
        <v/>
      </c>
      <c r="W19" s="14" t="n">
        <v>5504</v>
      </c>
      <c r="X19" s="14" t="n">
        <v>7035</v>
      </c>
      <c r="Y19" s="11" t="inlineStr"/>
      <c r="Z19" s="11" t="inlineStr"/>
      <c r="AA19" s="8" t="inlineStr"/>
      <c r="AB19" s="8" t="inlineStr"/>
      <c r="AC19" s="11" t="inlineStr">
        <is>
          <t>MasterMilitaryOnBaseList 12.2.25 NS.xlsx</t>
        </is>
      </c>
      <c r="AD19" s="11" t="inlineStr">
        <is>
          <t>Sponsorship &amp; Advertising Rate Sheet_2026.pdf</t>
        </is>
      </c>
      <c r="AE19" s="15" t="inlineStr">
        <is>
          <t>Open in Box</t>
        </is>
      </c>
      <c r="AF19" s="15" t="inlineStr">
        <is>
          <t>Open in Box</t>
        </is>
      </c>
    </row>
    <row r="20">
      <c r="A20" s="11" t="inlineStr">
        <is>
          <t>AK-JBERELME-011</t>
        </is>
      </c>
      <c r="B20" s="8" t="inlineStr">
        <is>
          <t>JBER - Elmendorf AFB</t>
        </is>
      </c>
      <c r="C20" s="11" t="inlineStr">
        <is>
          <t>Joint Base Elmendorf-Richardson</t>
        </is>
      </c>
      <c r="D20" s="11" t="inlineStr">
        <is>
          <t>AK</t>
        </is>
      </c>
      <c r="E20" s="11" t="inlineStr">
        <is>
          <t>Anchorage</t>
        </is>
      </c>
      <c r="F20" s="11" t="inlineStr">
        <is>
          <t>99506</t>
        </is>
      </c>
      <c r="G20" s="11" t="inlineStr">
        <is>
          <t>Air Force</t>
        </is>
      </c>
      <c r="H20" s="11" t="inlineStr">
        <is>
          <t>Print &amp; Publications</t>
        </is>
      </c>
      <c r="I20" s="8" t="inlineStr">
        <is>
          <t>Golf Score Cards</t>
        </is>
      </c>
      <c r="J20" s="11" t="inlineStr"/>
      <c r="K20" s="8" t="inlineStr">
        <is>
          <t>Your ads will appear on the score cards from May - September at the Moose Run Golf Course</t>
        </is>
      </c>
      <c r="L20" s="11" t="n">
        <v>12</v>
      </c>
      <c r="M20" s="12" t="n"/>
      <c r="N20" s="12" t="n"/>
      <c r="O20" s="12" t="n"/>
      <c r="P20" s="12" t="n">
        <v>500</v>
      </c>
      <c r="Q20" s="12" t="n">
        <v>0</v>
      </c>
      <c r="R20" s="13">
        <f>IF(ISNUMBER(M20),ROUND(M20/(1-Settings!$B$2)/Settings!$B$3,0)*Settings!$B$3,"")</f>
        <v/>
      </c>
      <c r="S20" s="13">
        <f>IF(ISNUMBER(N20),ROUND(N20/(1-Settings!$B$2)/Settings!$B$3,0)*Settings!$B$3,"")</f>
        <v/>
      </c>
      <c r="T20" s="13">
        <f>IF(ISNUMBER(O20),ROUND(O20/(1-Settings!$B$2)/Settings!$B$3,0)*Settings!$B$3,"")</f>
        <v/>
      </c>
      <c r="U20" s="13">
        <f>IF(ISNUMBER(P20),ROUND(P20/(1-Settings!$B$2)/Settings!$B$3,0)*Settings!$B$3,"")</f>
        <v/>
      </c>
      <c r="V20" s="13">
        <f>IF(ISNUMBER(Q20),ROUND(Q20/(1-Settings!$B$2)/Settings!$B$3,0)*Settings!$B$3,"")</f>
        <v/>
      </c>
      <c r="W20" s="14" t="n">
        <v>5504</v>
      </c>
      <c r="X20" s="14" t="n">
        <v>7035</v>
      </c>
      <c r="Y20" s="11" t="inlineStr"/>
      <c r="Z20" s="11" t="inlineStr"/>
      <c r="AA20" s="8" t="inlineStr">
        <is>
          <t>Inventory master 6/2026 lists Golf Scorecard Ad at $500 (3 mo)</t>
        </is>
      </c>
      <c r="AB20" s="8" t="inlineStr"/>
      <c r="AC20" s="11" t="inlineStr">
        <is>
          <t>MasterMilitaryOnBaseList 12.2.25 NS.xlsx</t>
        </is>
      </c>
      <c r="AD20" s="11" t="inlineStr">
        <is>
          <t>Sponsorship &amp; Advertising Rate Sheet_2026.pdf</t>
        </is>
      </c>
      <c r="AE20" s="15" t="inlineStr">
        <is>
          <t>Open in Box</t>
        </is>
      </c>
      <c r="AF20" s="15" t="inlineStr">
        <is>
          <t>Open in Box</t>
        </is>
      </c>
    </row>
    <row r="21">
      <c r="A21" s="11" t="inlineStr">
        <is>
          <t>AK-JBERELME-012</t>
        </is>
      </c>
      <c r="B21" s="8" t="inlineStr">
        <is>
          <t>JBER - Elmendorf AFB</t>
        </is>
      </c>
      <c r="C21" s="11" t="inlineStr">
        <is>
          <t>Joint Base Elmendorf-Richardson</t>
        </is>
      </c>
      <c r="D21" s="11" t="inlineStr">
        <is>
          <t>AK</t>
        </is>
      </c>
      <c r="E21" s="11" t="inlineStr">
        <is>
          <t>Anchorage</t>
        </is>
      </c>
      <c r="F21" s="11" t="inlineStr">
        <is>
          <t>99506</t>
        </is>
      </c>
      <c r="G21" s="11" t="inlineStr">
        <is>
          <t>Air Force</t>
        </is>
      </c>
      <c r="H21" s="11" t="inlineStr">
        <is>
          <t>Print &amp; Publications</t>
        </is>
      </c>
      <c r="I21" s="8" t="inlineStr">
        <is>
          <t>Magazine Ad</t>
        </is>
      </c>
      <c r="J21" s="11" t="inlineStr">
        <is>
          <t>Full Page</t>
        </is>
      </c>
      <c r="K21" s="8" t="inlineStr">
        <is>
          <t>Your ad will appear in the JBER Life! Magazine (a 40 page magazine with 5,000 copies distributed across the installation and published online)</t>
        </is>
      </c>
      <c r="L21" s="11" t="n">
        <v>1</v>
      </c>
      <c r="M21" s="12" t="n">
        <v>500</v>
      </c>
      <c r="N21" s="12" t="n">
        <v>1500</v>
      </c>
      <c r="O21" s="12" t="n">
        <v>3000</v>
      </c>
      <c r="P21" s="12" t="n">
        <v>6000</v>
      </c>
      <c r="Q21" s="12" t="n">
        <v>0</v>
      </c>
      <c r="R21" s="13">
        <f>IF(ISNUMBER(M21),ROUND(M21/(1-Settings!$B$2)/Settings!$B$3,0)*Settings!$B$3,"")</f>
        <v/>
      </c>
      <c r="S21" s="13">
        <f>IF(ISNUMBER(N21),ROUND(N21/(1-Settings!$B$2)/Settings!$B$3,0)*Settings!$B$3,"")</f>
        <v/>
      </c>
      <c r="T21" s="13">
        <f>IF(ISNUMBER(O21),ROUND(O21/(1-Settings!$B$2)/Settings!$B$3,0)*Settings!$B$3,"")</f>
        <v/>
      </c>
      <c r="U21" s="13">
        <f>IF(ISNUMBER(P21),ROUND(P21/(1-Settings!$B$2)/Settings!$B$3,0)*Settings!$B$3,"")</f>
        <v/>
      </c>
      <c r="V21" s="13">
        <f>IF(ISNUMBER(Q21),ROUND(Q21/(1-Settings!$B$2)/Settings!$B$3,0)*Settings!$B$3,"")</f>
        <v/>
      </c>
      <c r="W21" s="14" t="n">
        <v>5504</v>
      </c>
      <c r="X21" s="14" t="n">
        <v>7035</v>
      </c>
      <c r="Y21" s="11" t="inlineStr"/>
      <c r="Z21" s="11" t="inlineStr"/>
      <c r="AA21" s="8" t="inlineStr">
        <is>
          <t>Inventory master 6/2026 lists Magazine Ad at $800 (3 mo)</t>
        </is>
      </c>
      <c r="AB21" s="8" t="inlineStr"/>
      <c r="AC21" s="11" t="inlineStr">
        <is>
          <t>MasterMilitaryOnBaseList 12.2.25 NS.xlsx</t>
        </is>
      </c>
      <c r="AD21" s="11" t="inlineStr">
        <is>
          <t>Sponsorship &amp; Advertising Rate Sheet_2026.pdf</t>
        </is>
      </c>
      <c r="AE21" s="15" t="inlineStr">
        <is>
          <t>Open in Box</t>
        </is>
      </c>
      <c r="AF21" s="15" t="inlineStr">
        <is>
          <t>Open in Box</t>
        </is>
      </c>
    </row>
    <row r="22">
      <c r="A22" s="11" t="inlineStr">
        <is>
          <t>AK-JBERELME-013</t>
        </is>
      </c>
      <c r="B22" s="8" t="inlineStr">
        <is>
          <t>JBER - Elmendorf AFB</t>
        </is>
      </c>
      <c r="C22" s="11" t="inlineStr">
        <is>
          <t>Joint Base Elmendorf-Richardson</t>
        </is>
      </c>
      <c r="D22" s="11" t="inlineStr">
        <is>
          <t>AK</t>
        </is>
      </c>
      <c r="E22" s="11" t="inlineStr">
        <is>
          <t>Anchorage</t>
        </is>
      </c>
      <c r="F22" s="11" t="inlineStr">
        <is>
          <t>99506</t>
        </is>
      </c>
      <c r="G22" s="11" t="inlineStr">
        <is>
          <t>Air Force</t>
        </is>
      </c>
      <c r="H22" s="11" t="inlineStr">
        <is>
          <t>Print &amp; Publications</t>
        </is>
      </c>
      <c r="I22" s="8" t="inlineStr">
        <is>
          <t>Summer Outdoor Adventure Guide</t>
        </is>
      </c>
      <c r="J22" s="11" t="inlineStr"/>
      <c r="K22" s="8" t="inlineStr">
        <is>
          <t>10,000 copies combined circulated installation wide and published online. Produced once for summer and once for winter.</t>
        </is>
      </c>
      <c r="L22" s="11" t="n">
        <v>12</v>
      </c>
      <c r="M22" s="12" t="n"/>
      <c r="N22" s="12" t="n"/>
      <c r="O22" s="12" t="n"/>
      <c r="P22" s="12" t="n">
        <v>900</v>
      </c>
      <c r="Q22" s="12" t="n">
        <v>0</v>
      </c>
      <c r="R22" s="13">
        <f>IF(ISNUMBER(M22),ROUND(M22/(1-Settings!$B$2)/Settings!$B$3,0)*Settings!$B$3,"")</f>
        <v/>
      </c>
      <c r="S22" s="13">
        <f>IF(ISNUMBER(N22),ROUND(N22/(1-Settings!$B$2)/Settings!$B$3,0)*Settings!$B$3,"")</f>
        <v/>
      </c>
      <c r="T22" s="13">
        <f>IF(ISNUMBER(O22),ROUND(O22/(1-Settings!$B$2)/Settings!$B$3,0)*Settings!$B$3,"")</f>
        <v/>
      </c>
      <c r="U22" s="13">
        <f>IF(ISNUMBER(P22),ROUND(P22/(1-Settings!$B$2)/Settings!$B$3,0)*Settings!$B$3,"")</f>
        <v/>
      </c>
      <c r="V22" s="13">
        <f>IF(ISNUMBER(Q22),ROUND(Q22/(1-Settings!$B$2)/Settings!$B$3,0)*Settings!$B$3,"")</f>
        <v/>
      </c>
      <c r="W22" s="14" t="n">
        <v>5504</v>
      </c>
      <c r="X22" s="14" t="n">
        <v>7035</v>
      </c>
      <c r="Y22" s="11" t="inlineStr"/>
      <c r="Z22" s="11" t="inlineStr"/>
      <c r="AA22" s="8" t="inlineStr">
        <is>
          <t>Inventory master 6/2026 lists Guide / Map Ad at $900 (3 mo)</t>
        </is>
      </c>
      <c r="AB22" s="8" t="inlineStr"/>
      <c r="AC22" s="11" t="inlineStr">
        <is>
          <t>MasterMilitaryOnBaseList 12.2.25 NS.xlsx</t>
        </is>
      </c>
      <c r="AD22" s="11" t="inlineStr">
        <is>
          <t>Sponsorship &amp; Advertising Rate Sheet_2026.pdf</t>
        </is>
      </c>
      <c r="AE22" s="15" t="inlineStr">
        <is>
          <t>Open in Box</t>
        </is>
      </c>
      <c r="AF22" s="15" t="inlineStr">
        <is>
          <t>Open in Box</t>
        </is>
      </c>
    </row>
    <row r="23">
      <c r="A23" s="11" t="inlineStr">
        <is>
          <t>AK-JBERELME-014</t>
        </is>
      </c>
      <c r="B23" s="8" t="inlineStr">
        <is>
          <t>JBER - Elmendorf AFB</t>
        </is>
      </c>
      <c r="C23" s="11" t="inlineStr">
        <is>
          <t>Joint Base Elmendorf-Richardson</t>
        </is>
      </c>
      <c r="D23" s="11" t="inlineStr">
        <is>
          <t>AK</t>
        </is>
      </c>
      <c r="E23" s="11" t="inlineStr">
        <is>
          <t>Anchorage</t>
        </is>
      </c>
      <c r="F23" s="11" t="inlineStr">
        <is>
          <t>99506</t>
        </is>
      </c>
      <c r="G23" s="11" t="inlineStr">
        <is>
          <t>Air Force</t>
        </is>
      </c>
      <c r="H23" s="11" t="inlineStr">
        <is>
          <t>Print &amp; Publications</t>
        </is>
      </c>
      <c r="I23" s="8" t="inlineStr">
        <is>
          <t>Winter Outdoor Adventure Guide</t>
        </is>
      </c>
      <c r="J23" s="11" t="inlineStr"/>
      <c r="K23" s="8" t="inlineStr">
        <is>
          <t>10,000 copies combined circulated installation wide and published online. $100 discount when you advertise in both books. Deadline: September 15</t>
        </is>
      </c>
      <c r="L23" s="11" t="n">
        <v>12</v>
      </c>
      <c r="M23" s="12" t="n"/>
      <c r="N23" s="12" t="n"/>
      <c r="O23" s="12" t="n"/>
      <c r="P23" s="12" t="n">
        <v>700</v>
      </c>
      <c r="Q23" s="12" t="n">
        <v>0</v>
      </c>
      <c r="R23" s="13">
        <f>IF(ISNUMBER(M23),ROUND(M23/(1-Settings!$B$2)/Settings!$B$3,0)*Settings!$B$3,"")</f>
        <v/>
      </c>
      <c r="S23" s="13">
        <f>IF(ISNUMBER(N23),ROUND(N23/(1-Settings!$B$2)/Settings!$B$3,0)*Settings!$B$3,"")</f>
        <v/>
      </c>
      <c r="T23" s="13">
        <f>IF(ISNUMBER(O23),ROUND(O23/(1-Settings!$B$2)/Settings!$B$3,0)*Settings!$B$3,"")</f>
        <v/>
      </c>
      <c r="U23" s="13">
        <f>IF(ISNUMBER(P23),ROUND(P23/(1-Settings!$B$2)/Settings!$B$3,0)*Settings!$B$3,"")</f>
        <v/>
      </c>
      <c r="V23" s="13">
        <f>IF(ISNUMBER(Q23),ROUND(Q23/(1-Settings!$B$2)/Settings!$B$3,0)*Settings!$B$3,"")</f>
        <v/>
      </c>
      <c r="W23" s="14" t="n">
        <v>5504</v>
      </c>
      <c r="X23" s="14" t="n">
        <v>7035</v>
      </c>
      <c r="Y23" s="11" t="inlineStr"/>
      <c r="Z23" s="11" t="inlineStr"/>
      <c r="AA23" s="8" t="inlineStr">
        <is>
          <t>Inventory master 6/2026 lists Guide / Map Ad at $900 (3 mo)</t>
        </is>
      </c>
      <c r="AB23" s="8" t="inlineStr"/>
      <c r="AC23" s="11" t="inlineStr">
        <is>
          <t>MasterMilitaryOnBaseList 12.2.25 NS.xlsx</t>
        </is>
      </c>
      <c r="AD23" s="11" t="inlineStr">
        <is>
          <t>Sponsorship &amp; Advertising Rate Sheet_2026.pdf</t>
        </is>
      </c>
      <c r="AE23" s="15" t="inlineStr">
        <is>
          <t>Open in Box</t>
        </is>
      </c>
      <c r="AF23" s="15" t="inlineStr">
        <is>
          <t>Open in Box</t>
        </is>
      </c>
    </row>
    <row r="24">
      <c r="A24" s="11" t="inlineStr">
        <is>
          <t>AK-JBERELME-015</t>
        </is>
      </c>
      <c r="B24" s="8" t="inlineStr">
        <is>
          <t>JBER - Elmendorf AFB</t>
        </is>
      </c>
      <c r="C24" s="11" t="inlineStr">
        <is>
          <t>Joint Base Elmendorf-Richardson</t>
        </is>
      </c>
      <c r="D24" s="11" t="inlineStr">
        <is>
          <t>AK</t>
        </is>
      </c>
      <c r="E24" s="11" t="inlineStr">
        <is>
          <t>Anchorage</t>
        </is>
      </c>
      <c r="F24" s="11" t="inlineStr">
        <is>
          <t>99506</t>
        </is>
      </c>
      <c r="G24" s="11" t="inlineStr">
        <is>
          <t>Air Force</t>
        </is>
      </c>
      <c r="H24" s="11" t="inlineStr">
        <is>
          <t>Sponsorship &amp; Other</t>
        </is>
      </c>
      <c r="I24" s="8" t="inlineStr">
        <is>
          <t>Canopy - Golf Course</t>
        </is>
      </c>
      <c r="J24" s="11" t="inlineStr"/>
      <c r="K24" s="8" t="inlineStr">
        <is>
          <t>Your ads will appear on a canopy from May - September at the Moose Run Golf Course</t>
        </is>
      </c>
      <c r="L24" s="11" t="n">
        <v>12</v>
      </c>
      <c r="M24" s="12" t="n"/>
      <c r="N24" s="12" t="n"/>
      <c r="O24" s="12" t="n"/>
      <c r="P24" s="12" t="n">
        <v>1000</v>
      </c>
      <c r="Q24" s="12" t="n">
        <v>0</v>
      </c>
      <c r="R24" s="13">
        <f>IF(ISNUMBER(M24),ROUND(M24/(1-Settings!$B$2)/Settings!$B$3,0)*Settings!$B$3,"")</f>
        <v/>
      </c>
      <c r="S24" s="13">
        <f>IF(ISNUMBER(N24),ROUND(N24/(1-Settings!$B$2)/Settings!$B$3,0)*Settings!$B$3,"")</f>
        <v/>
      </c>
      <c r="T24" s="13">
        <f>IF(ISNUMBER(O24),ROUND(O24/(1-Settings!$B$2)/Settings!$B$3,0)*Settings!$B$3,"")</f>
        <v/>
      </c>
      <c r="U24" s="13">
        <f>IF(ISNUMBER(P24),ROUND(P24/(1-Settings!$B$2)/Settings!$B$3,0)*Settings!$B$3,"")</f>
        <v/>
      </c>
      <c r="V24" s="13">
        <f>IF(ISNUMBER(Q24),ROUND(Q24/(1-Settings!$B$2)/Settings!$B$3,0)*Settings!$B$3,"")</f>
        <v/>
      </c>
      <c r="W24" s="14" t="n">
        <v>5504</v>
      </c>
      <c r="X24" s="14" t="n">
        <v>7035</v>
      </c>
      <c r="Y24" s="11" t="inlineStr"/>
      <c r="Z24" s="11" t="inlineStr"/>
      <c r="AA24" s="8" t="inlineStr"/>
      <c r="AB24" s="8" t="inlineStr"/>
      <c r="AC24" s="11" t="inlineStr">
        <is>
          <t>MasterMilitaryOnBaseList 12.2.25 NS.xlsx</t>
        </is>
      </c>
      <c r="AD24" s="11" t="inlineStr">
        <is>
          <t>Sponsorship &amp; Advertising Rate Sheet_2026.pdf</t>
        </is>
      </c>
      <c r="AE24" s="15" t="inlineStr">
        <is>
          <t>Open in Box</t>
        </is>
      </c>
      <c r="AF24" s="15" t="inlineStr">
        <is>
          <t>Open in Box</t>
        </is>
      </c>
    </row>
    <row r="25">
      <c r="A25" s="11" t="inlineStr">
        <is>
          <t>AK-JBERELME-016</t>
        </is>
      </c>
      <c r="B25" s="8" t="inlineStr">
        <is>
          <t>JBER - Elmendorf AFB</t>
        </is>
      </c>
      <c r="C25" s="11" t="inlineStr">
        <is>
          <t>Joint Base Elmendorf-Richardson</t>
        </is>
      </c>
      <c r="D25" s="11" t="inlineStr">
        <is>
          <t>AK</t>
        </is>
      </c>
      <c r="E25" s="11" t="inlineStr">
        <is>
          <t>Anchorage</t>
        </is>
      </c>
      <c r="F25" s="11" t="inlineStr">
        <is>
          <t>99506</t>
        </is>
      </c>
      <c r="G25" s="11" t="inlineStr">
        <is>
          <t>Air Force</t>
        </is>
      </c>
      <c r="H25" s="11" t="inlineStr">
        <is>
          <t>Sponsorship &amp; Other</t>
        </is>
      </c>
      <c r="I25" s="8" t="inlineStr">
        <is>
          <t>Chairlift - Ski Area</t>
        </is>
      </c>
      <c r="J25" s="11" t="inlineStr"/>
      <c r="K25" s="8" t="inlineStr">
        <is>
          <t>Your ad will appear on a chairlift from November - March at the Hillberg Ski Area</t>
        </is>
      </c>
      <c r="L25" s="11" t="n">
        <v>12</v>
      </c>
      <c r="M25" s="12" t="n"/>
      <c r="N25" s="12" t="n"/>
      <c r="O25" s="12" t="n"/>
      <c r="P25" s="12" t="n">
        <v>500</v>
      </c>
      <c r="Q25" s="12" t="n">
        <v>0</v>
      </c>
      <c r="R25" s="13">
        <f>IF(ISNUMBER(M25),ROUND(M25/(1-Settings!$B$2)/Settings!$B$3,0)*Settings!$B$3,"")</f>
        <v/>
      </c>
      <c r="S25" s="13">
        <f>IF(ISNUMBER(N25),ROUND(N25/(1-Settings!$B$2)/Settings!$B$3,0)*Settings!$B$3,"")</f>
        <v/>
      </c>
      <c r="T25" s="13">
        <f>IF(ISNUMBER(O25),ROUND(O25/(1-Settings!$B$2)/Settings!$B$3,0)*Settings!$B$3,"")</f>
        <v/>
      </c>
      <c r="U25" s="13">
        <f>IF(ISNUMBER(P25),ROUND(P25/(1-Settings!$B$2)/Settings!$B$3,0)*Settings!$B$3,"")</f>
        <v/>
      </c>
      <c r="V25" s="13">
        <f>IF(ISNUMBER(Q25),ROUND(Q25/(1-Settings!$B$2)/Settings!$B$3,0)*Settings!$B$3,"")</f>
        <v/>
      </c>
      <c r="W25" s="14" t="n">
        <v>5504</v>
      </c>
      <c r="X25" s="14" t="n">
        <v>7035</v>
      </c>
      <c r="Y25" s="11" t="inlineStr"/>
      <c r="Z25" s="11" t="inlineStr"/>
      <c r="AA25" s="8" t="inlineStr"/>
      <c r="AB25" s="8" t="inlineStr"/>
      <c r="AC25" s="11" t="inlineStr">
        <is>
          <t>MasterMilitaryOnBaseList 12.2.25 NS.xlsx</t>
        </is>
      </c>
      <c r="AD25" s="11" t="inlineStr">
        <is>
          <t>Sponsorship &amp; Advertising Rate Sheet_2026.pdf</t>
        </is>
      </c>
      <c r="AE25" s="15" t="inlineStr">
        <is>
          <t>Open in Box</t>
        </is>
      </c>
      <c r="AF25" s="15" t="inlineStr">
        <is>
          <t>Open in Box</t>
        </is>
      </c>
    </row>
    <row r="26">
      <c r="A26" s="11" t="inlineStr">
        <is>
          <t>AK-JBERELME-017</t>
        </is>
      </c>
      <c r="B26" s="8" t="inlineStr">
        <is>
          <t>JBER - Elmendorf AFB</t>
        </is>
      </c>
      <c r="C26" s="11" t="inlineStr">
        <is>
          <t>Joint Base Elmendorf-Richardson</t>
        </is>
      </c>
      <c r="D26" s="11" t="inlineStr">
        <is>
          <t>AK</t>
        </is>
      </c>
      <c r="E26" s="11" t="inlineStr">
        <is>
          <t>Anchorage</t>
        </is>
      </c>
      <c r="F26" s="11" t="inlineStr">
        <is>
          <t>99506</t>
        </is>
      </c>
      <c r="G26" s="11" t="inlineStr">
        <is>
          <t>Air Force</t>
        </is>
      </c>
      <c r="H26" s="11" t="inlineStr">
        <is>
          <t>Sponsorship &amp; Other</t>
        </is>
      </c>
      <c r="I26" s="8" t="inlineStr">
        <is>
          <t>Driving Range Dividers</t>
        </is>
      </c>
      <c r="J26" s="11" t="inlineStr"/>
      <c r="K26" s="8" t="inlineStr">
        <is>
          <t>Your ad will appear on a single the driving range dividers at the Moose Run Golf Course from May - September.</t>
        </is>
      </c>
      <c r="L26" s="11" t="n">
        <v>12</v>
      </c>
      <c r="M26" s="12" t="n"/>
      <c r="N26" s="12" t="n"/>
      <c r="O26" s="12" t="n"/>
      <c r="P26" s="12" t="n">
        <v>350</v>
      </c>
      <c r="Q26" s="12" t="n">
        <v>0</v>
      </c>
      <c r="R26" s="13">
        <f>IF(ISNUMBER(M26),ROUND(M26/(1-Settings!$B$2)/Settings!$B$3,0)*Settings!$B$3,"")</f>
        <v/>
      </c>
      <c r="S26" s="13">
        <f>IF(ISNUMBER(N26),ROUND(N26/(1-Settings!$B$2)/Settings!$B$3,0)*Settings!$B$3,"")</f>
        <v/>
      </c>
      <c r="T26" s="13">
        <f>IF(ISNUMBER(O26),ROUND(O26/(1-Settings!$B$2)/Settings!$B$3,0)*Settings!$B$3,"")</f>
        <v/>
      </c>
      <c r="U26" s="13">
        <f>IF(ISNUMBER(P26),ROUND(P26/(1-Settings!$B$2)/Settings!$B$3,0)*Settings!$B$3,"")</f>
        <v/>
      </c>
      <c r="V26" s="13">
        <f>IF(ISNUMBER(Q26),ROUND(Q26/(1-Settings!$B$2)/Settings!$B$3,0)*Settings!$B$3,"")</f>
        <v/>
      </c>
      <c r="W26" s="14" t="n">
        <v>5504</v>
      </c>
      <c r="X26" s="14" t="n">
        <v>7035</v>
      </c>
      <c r="Y26" s="11" t="inlineStr"/>
      <c r="Z26" s="11" t="inlineStr"/>
      <c r="AA26" s="8" t="inlineStr"/>
      <c r="AB26" s="8" t="inlineStr"/>
      <c r="AC26" s="11" t="inlineStr">
        <is>
          <t>MasterMilitaryOnBaseList 12.2.25 NS.xlsx</t>
        </is>
      </c>
      <c r="AD26" s="11" t="inlineStr">
        <is>
          <t>Sponsorship &amp; Advertising Rate Sheet_2026.pdf</t>
        </is>
      </c>
      <c r="AE26" s="15" t="inlineStr">
        <is>
          <t>Open in Box</t>
        </is>
      </c>
      <c r="AF26" s="15" t="inlineStr">
        <is>
          <t>Open in Box</t>
        </is>
      </c>
    </row>
    <row r="27">
      <c r="A27" s="11" t="inlineStr">
        <is>
          <t>AK-JBERELME-018</t>
        </is>
      </c>
      <c r="B27" s="8" t="inlineStr">
        <is>
          <t>JBER - Elmendorf AFB</t>
        </is>
      </c>
      <c r="C27" s="11" t="inlineStr">
        <is>
          <t>Joint Base Elmendorf-Richardson</t>
        </is>
      </c>
      <c r="D27" s="11" t="inlineStr">
        <is>
          <t>AK</t>
        </is>
      </c>
      <c r="E27" s="11" t="inlineStr">
        <is>
          <t>Anchorage</t>
        </is>
      </c>
      <c r="F27" s="11" t="inlineStr">
        <is>
          <t>99506</t>
        </is>
      </c>
      <c r="G27" s="11" t="inlineStr">
        <is>
          <t>Air Force</t>
        </is>
      </c>
      <c r="H27" s="11" t="inlineStr">
        <is>
          <t>Sponsorship &amp; Other</t>
        </is>
      </c>
      <c r="I27" s="8" t="inlineStr">
        <is>
          <t>Newcomers Info Bag</t>
        </is>
      </c>
      <c r="J27" s="11" t="inlineStr"/>
      <c r="K27" s="8" t="inlineStr">
        <is>
          <t>Your ad will appear in the installation newcomers info bags.</t>
        </is>
      </c>
      <c r="L27" s="11" t="n">
        <v>3</v>
      </c>
      <c r="M27" s="12" t="n"/>
      <c r="N27" s="12" t="n">
        <v>525</v>
      </c>
      <c r="O27" s="12" t="n">
        <v>1000</v>
      </c>
      <c r="P27" s="12" t="n">
        <v>2000</v>
      </c>
      <c r="Q27" s="12" t="n">
        <v>0</v>
      </c>
      <c r="R27" s="13">
        <f>IF(ISNUMBER(M27),ROUND(M27/(1-Settings!$B$2)/Settings!$B$3,0)*Settings!$B$3,"")</f>
        <v/>
      </c>
      <c r="S27" s="13">
        <f>IF(ISNUMBER(N27),ROUND(N27/(1-Settings!$B$2)/Settings!$B$3,0)*Settings!$B$3,"")</f>
        <v/>
      </c>
      <c r="T27" s="13">
        <f>IF(ISNUMBER(O27),ROUND(O27/(1-Settings!$B$2)/Settings!$B$3,0)*Settings!$B$3,"")</f>
        <v/>
      </c>
      <c r="U27" s="13">
        <f>IF(ISNUMBER(P27),ROUND(P27/(1-Settings!$B$2)/Settings!$B$3,0)*Settings!$B$3,"")</f>
        <v/>
      </c>
      <c r="V27" s="13">
        <f>IF(ISNUMBER(Q27),ROUND(Q27/(1-Settings!$B$2)/Settings!$B$3,0)*Settings!$B$3,"")</f>
        <v/>
      </c>
      <c r="W27" s="14" t="n">
        <v>5504</v>
      </c>
      <c r="X27" s="14" t="n">
        <v>7035</v>
      </c>
      <c r="Y27" s="11" t="inlineStr"/>
      <c r="Z27" s="11" t="inlineStr"/>
      <c r="AA27" s="8" t="inlineStr"/>
      <c r="AB27" s="8" t="inlineStr"/>
      <c r="AC27" s="11" t="inlineStr">
        <is>
          <t>MasterMilitaryOnBaseList 12.2.25 NS.xlsx</t>
        </is>
      </c>
      <c r="AD27" s="11" t="inlineStr">
        <is>
          <t>Sponsorship &amp; Advertising Rate Sheet_2026.pdf</t>
        </is>
      </c>
      <c r="AE27" s="15" t="inlineStr">
        <is>
          <t>Open in Box</t>
        </is>
      </c>
      <c r="AF27" s="15" t="inlineStr">
        <is>
          <t>Open in Box</t>
        </is>
      </c>
    </row>
    <row r="28">
      <c r="A28" s="11" t="inlineStr">
        <is>
          <t>AK-JBERELME-005</t>
        </is>
      </c>
      <c r="B28" s="8" t="inlineStr">
        <is>
          <t>JBER - Elmendorf AFB</t>
        </is>
      </c>
      <c r="C28" s="11" t="inlineStr">
        <is>
          <t>Joint Base Elmendorf-Richardson</t>
        </is>
      </c>
      <c r="D28" s="11" t="inlineStr">
        <is>
          <t>AK</t>
        </is>
      </c>
      <c r="E28" s="11" t="inlineStr">
        <is>
          <t>Anchorage</t>
        </is>
      </c>
      <c r="F28" s="11" t="inlineStr">
        <is>
          <t>99506</t>
        </is>
      </c>
      <c r="G28" s="11" t="inlineStr">
        <is>
          <t>Air Force</t>
        </is>
      </c>
      <c r="H28" s="11" t="inlineStr">
        <is>
          <t>Standard Media</t>
        </is>
      </c>
      <c r="I28" s="8" t="inlineStr">
        <is>
          <t>Banners</t>
        </is>
      </c>
      <c r="J28" s="11" t="inlineStr"/>
      <c r="K28" s="8" t="inlineStr">
        <is>
          <t>Your ad will apper in an approved installation facility.</t>
        </is>
      </c>
      <c r="L28" s="11" t="n">
        <v>6</v>
      </c>
      <c r="M28" s="12" t="n"/>
      <c r="N28" s="12" t="n"/>
      <c r="O28" s="12" t="n">
        <v>1000</v>
      </c>
      <c r="P28" s="12" t="n">
        <v>2000</v>
      </c>
      <c r="Q28" s="12" t="n">
        <v>200</v>
      </c>
      <c r="R28" s="13">
        <f>IF(ISNUMBER(M28),ROUND(M28/(1-Settings!$B$2)/Settings!$B$3,0)*Settings!$B$3,"")</f>
        <v/>
      </c>
      <c r="S28" s="13">
        <f>IF(ISNUMBER(N28),ROUND(N28/(1-Settings!$B$2)/Settings!$B$3,0)*Settings!$B$3,"")</f>
        <v/>
      </c>
      <c r="T28" s="13">
        <f>IF(ISNUMBER(O28),ROUND(O28/(1-Settings!$B$2)/Settings!$B$3,0)*Settings!$B$3,"")</f>
        <v/>
      </c>
      <c r="U28" s="13">
        <f>IF(ISNUMBER(P28),ROUND(P28/(1-Settings!$B$2)/Settings!$B$3,0)*Settings!$B$3,"")</f>
        <v/>
      </c>
      <c r="V28" s="13">
        <f>IF(ISNUMBER(Q28),ROUND(Q28/(1-Settings!$B$2)/Settings!$B$3,0)*Settings!$B$3,"")</f>
        <v/>
      </c>
      <c r="W28" s="14" t="n">
        <v>5504</v>
      </c>
      <c r="X28" s="14" t="n">
        <v>7035</v>
      </c>
      <c r="Y28" s="11" t="inlineStr"/>
      <c r="Z28" s="11" t="inlineStr"/>
      <c r="AA28" s="8" t="inlineStr"/>
      <c r="AB28" s="8" t="inlineStr"/>
      <c r="AC28" s="11" t="inlineStr">
        <is>
          <t>MasterMilitaryOnBaseList 12.2.25 NS.xlsx</t>
        </is>
      </c>
      <c r="AD28" s="11" t="inlineStr">
        <is>
          <t>Sponsorship &amp; Advertising Rate Sheet_2026.pdf</t>
        </is>
      </c>
      <c r="AE28" s="15" t="inlineStr">
        <is>
          <t>Open in Box</t>
        </is>
      </c>
      <c r="AF28" s="15" t="inlineStr">
        <is>
          <t>Open in Box</t>
        </is>
      </c>
    </row>
    <row r="29">
      <c r="A29" s="11" t="inlineStr">
        <is>
          <t>AK-JBERELME-006</t>
        </is>
      </c>
      <c r="B29" s="8" t="inlineStr">
        <is>
          <t>JBER - Elmendorf AFB</t>
        </is>
      </c>
      <c r="C29" s="11" t="inlineStr">
        <is>
          <t>Joint Base Elmendorf-Richardson</t>
        </is>
      </c>
      <c r="D29" s="11" t="inlineStr">
        <is>
          <t>AK</t>
        </is>
      </c>
      <c r="E29" s="11" t="inlineStr">
        <is>
          <t>Anchorage</t>
        </is>
      </c>
      <c r="F29" s="11" t="inlineStr">
        <is>
          <t>99506</t>
        </is>
      </c>
      <c r="G29" s="11" t="inlineStr">
        <is>
          <t>Air Force</t>
        </is>
      </c>
      <c r="H29" s="11" t="inlineStr">
        <is>
          <t>Standard Media</t>
        </is>
      </c>
      <c r="I29" s="8" t="inlineStr">
        <is>
          <t>Golf Tee Signs</t>
        </is>
      </c>
      <c r="J29" s="11" t="inlineStr"/>
      <c r="K29" s="8" t="inlineStr">
        <is>
          <t>Your ads will appear at one hole during golf season from May - September at the Moose Run Golf Course</t>
        </is>
      </c>
      <c r="L29" s="11" t="n">
        <v>12</v>
      </c>
      <c r="M29" s="12" t="n"/>
      <c r="N29" s="12" t="n"/>
      <c r="O29" s="12" t="n"/>
      <c r="P29" s="12" t="n">
        <v>700</v>
      </c>
      <c r="Q29" s="12" t="n">
        <v>0</v>
      </c>
      <c r="R29" s="13">
        <f>IF(ISNUMBER(M29),ROUND(M29/(1-Settings!$B$2)/Settings!$B$3,0)*Settings!$B$3,"")</f>
        <v/>
      </c>
      <c r="S29" s="13">
        <f>IF(ISNUMBER(N29),ROUND(N29/(1-Settings!$B$2)/Settings!$B$3,0)*Settings!$B$3,"")</f>
        <v/>
      </c>
      <c r="T29" s="13">
        <f>IF(ISNUMBER(O29),ROUND(O29/(1-Settings!$B$2)/Settings!$B$3,0)*Settings!$B$3,"")</f>
        <v/>
      </c>
      <c r="U29" s="13">
        <f>IF(ISNUMBER(P29),ROUND(P29/(1-Settings!$B$2)/Settings!$B$3,0)*Settings!$B$3,"")</f>
        <v/>
      </c>
      <c r="V29" s="13">
        <f>IF(ISNUMBER(Q29),ROUND(Q29/(1-Settings!$B$2)/Settings!$B$3,0)*Settings!$B$3,"")</f>
        <v/>
      </c>
      <c r="W29" s="14" t="n">
        <v>5504</v>
      </c>
      <c r="X29" s="14" t="n">
        <v>7035</v>
      </c>
      <c r="Y29" s="11" t="inlineStr"/>
      <c r="Z29" s="11" t="inlineStr"/>
      <c r="AA29" s="8" t="inlineStr"/>
      <c r="AB29" s="8" t="inlineStr"/>
      <c r="AC29" s="11" t="inlineStr">
        <is>
          <t>MasterMilitaryOnBaseList 12.2.25 NS.xlsx</t>
        </is>
      </c>
      <c r="AD29" s="11" t="inlineStr">
        <is>
          <t>Sponsorship &amp; Advertising Rate Sheet_2026.pdf</t>
        </is>
      </c>
      <c r="AE29" s="15" t="inlineStr">
        <is>
          <t>Open in Box</t>
        </is>
      </c>
      <c r="AF29" s="15" t="inlineStr">
        <is>
          <t>Open in Box</t>
        </is>
      </c>
    </row>
    <row r="30">
      <c r="A30" s="11" t="inlineStr">
        <is>
          <t>AK-JBERELME-007</t>
        </is>
      </c>
      <c r="B30" s="8" t="inlineStr">
        <is>
          <t>JBER - Elmendorf AFB</t>
        </is>
      </c>
      <c r="C30" s="11" t="inlineStr">
        <is>
          <t>Joint Base Elmendorf-Richardson</t>
        </is>
      </c>
      <c r="D30" s="11" t="inlineStr">
        <is>
          <t>AK</t>
        </is>
      </c>
      <c r="E30" s="11" t="inlineStr">
        <is>
          <t>Anchorage</t>
        </is>
      </c>
      <c r="F30" s="11" t="inlineStr">
        <is>
          <t>99506</t>
        </is>
      </c>
      <c r="G30" s="11" t="inlineStr">
        <is>
          <t>Air Force</t>
        </is>
      </c>
      <c r="H30" s="11" t="inlineStr">
        <is>
          <t>Standard Media</t>
        </is>
      </c>
      <c r="I30" s="8" t="inlineStr">
        <is>
          <t>Posters</t>
        </is>
      </c>
      <c r="J30" s="11" t="inlineStr">
        <is>
          <t>22"W x 28"H</t>
        </is>
      </c>
      <c r="K30" s="8" t="inlineStr">
        <is>
          <t>Your ad will appear at an approved installation facility.</t>
        </is>
      </c>
      <c r="L30" s="11" t="n">
        <v>3</v>
      </c>
      <c r="M30" s="12" t="n"/>
      <c r="N30" s="12" t="n">
        <v>300</v>
      </c>
      <c r="O30" s="12" t="n">
        <v>600</v>
      </c>
      <c r="P30" s="12" t="n">
        <v>1200</v>
      </c>
      <c r="Q30" s="12" t="n">
        <v>100</v>
      </c>
      <c r="R30" s="13">
        <f>IF(ISNUMBER(M30),ROUND(M30/(1-Settings!$B$2)/Settings!$B$3,0)*Settings!$B$3,"")</f>
        <v/>
      </c>
      <c r="S30" s="13">
        <f>IF(ISNUMBER(N30),ROUND(N30/(1-Settings!$B$2)/Settings!$B$3,0)*Settings!$B$3,"")</f>
        <v/>
      </c>
      <c r="T30" s="13">
        <f>IF(ISNUMBER(O30),ROUND(O30/(1-Settings!$B$2)/Settings!$B$3,0)*Settings!$B$3,"")</f>
        <v/>
      </c>
      <c r="U30" s="13">
        <f>IF(ISNUMBER(P30),ROUND(P30/(1-Settings!$B$2)/Settings!$B$3,0)*Settings!$B$3,"")</f>
        <v/>
      </c>
      <c r="V30" s="13">
        <f>IF(ISNUMBER(Q30),ROUND(Q30/(1-Settings!$B$2)/Settings!$B$3,0)*Settings!$B$3,"")</f>
        <v/>
      </c>
      <c r="W30" s="14" t="n">
        <v>5504</v>
      </c>
      <c r="X30" s="14" t="n">
        <v>7035</v>
      </c>
      <c r="Y30" s="11" t="inlineStr"/>
      <c r="Z30" s="11" t="inlineStr"/>
      <c r="AA30" s="8" t="inlineStr"/>
      <c r="AB30" s="8" t="inlineStr"/>
      <c r="AC30" s="11" t="inlineStr">
        <is>
          <t>MasterMilitaryOnBaseList 12.2.25 NS.xlsx</t>
        </is>
      </c>
      <c r="AD30" s="11" t="inlineStr">
        <is>
          <t>Sponsorship &amp; Advertising Rate Sheet_2026.pdf</t>
        </is>
      </c>
      <c r="AE30" s="15" t="inlineStr">
        <is>
          <t>Open in Box</t>
        </is>
      </c>
      <c r="AF30" s="15" t="inlineStr">
        <is>
          <t>Open in Box</t>
        </is>
      </c>
    </row>
    <row r="31">
      <c r="A31" s="11" t="inlineStr">
        <is>
          <t>AK-JBERELME-008</t>
        </is>
      </c>
      <c r="B31" s="8" t="inlineStr">
        <is>
          <t>JBER - Elmendorf AFB</t>
        </is>
      </c>
      <c r="C31" s="11" t="inlineStr">
        <is>
          <t>Joint Base Elmendorf-Richardson</t>
        </is>
      </c>
      <c r="D31" s="11" t="inlineStr">
        <is>
          <t>AK</t>
        </is>
      </c>
      <c r="E31" s="11" t="inlineStr">
        <is>
          <t>Anchorage</t>
        </is>
      </c>
      <c r="F31" s="11" t="inlineStr">
        <is>
          <t>99507</t>
        </is>
      </c>
      <c r="G31" s="11" t="inlineStr">
        <is>
          <t>Air Force</t>
        </is>
      </c>
      <c r="H31" s="11" t="inlineStr">
        <is>
          <t>Standard Media</t>
        </is>
      </c>
      <c r="I31" s="8" t="inlineStr">
        <is>
          <t>Posters</t>
        </is>
      </c>
      <c r="J31" s="11" t="inlineStr">
        <is>
          <t>24"W x 36"H</t>
        </is>
      </c>
      <c r="K31" s="8" t="inlineStr">
        <is>
          <t>Your ad will appear at an approved installation facility.</t>
        </is>
      </c>
      <c r="L31" s="11" t="n">
        <v>3</v>
      </c>
      <c r="M31" s="12" t="n"/>
      <c r="N31" s="12" t="n">
        <v>400</v>
      </c>
      <c r="O31" s="12" t="n">
        <v>800</v>
      </c>
      <c r="P31" s="12" t="n">
        <v>1600</v>
      </c>
      <c r="Q31" s="12" t="n">
        <v>101</v>
      </c>
      <c r="R31" s="13">
        <f>IF(ISNUMBER(M31),ROUND(M31/(1-Settings!$B$2)/Settings!$B$3,0)*Settings!$B$3,"")</f>
        <v/>
      </c>
      <c r="S31" s="13">
        <f>IF(ISNUMBER(N31),ROUND(N31/(1-Settings!$B$2)/Settings!$B$3,0)*Settings!$B$3,"")</f>
        <v/>
      </c>
      <c r="T31" s="13">
        <f>IF(ISNUMBER(O31),ROUND(O31/(1-Settings!$B$2)/Settings!$B$3,0)*Settings!$B$3,"")</f>
        <v/>
      </c>
      <c r="U31" s="13">
        <f>IF(ISNUMBER(P31),ROUND(P31/(1-Settings!$B$2)/Settings!$B$3,0)*Settings!$B$3,"")</f>
        <v/>
      </c>
      <c r="V31" s="13">
        <f>IF(ISNUMBER(Q31),ROUND(Q31/(1-Settings!$B$2)/Settings!$B$3,0)*Settings!$B$3,"")</f>
        <v/>
      </c>
      <c r="W31" s="14" t="n">
        <v>5504</v>
      </c>
      <c r="X31" s="14" t="n">
        <v>7035</v>
      </c>
      <c r="Y31" s="11" t="inlineStr"/>
      <c r="Z31" s="11" t="inlineStr"/>
      <c r="AA31" s="8" t="inlineStr"/>
      <c r="AB31" s="8" t="inlineStr"/>
      <c r="AC31" s="11" t="inlineStr">
        <is>
          <t>MasterMilitaryOnBaseList 12.2.25 NS.xlsx</t>
        </is>
      </c>
      <c r="AD31" s="11" t="inlineStr">
        <is>
          <t>Sponsorship &amp; Advertising Rate Sheet_2026.pdf</t>
        </is>
      </c>
      <c r="AE31" s="15" t="inlineStr">
        <is>
          <t>Open in Box</t>
        </is>
      </c>
      <c r="AF31" s="15" t="inlineStr">
        <is>
          <t>Open in Box</t>
        </is>
      </c>
    </row>
    <row r="32">
      <c r="A32" s="11" t="inlineStr">
        <is>
          <t>AK-JBERELME-019</t>
        </is>
      </c>
      <c r="B32" s="8" t="inlineStr">
        <is>
          <t>JBER - Elmendorf AFB</t>
        </is>
      </c>
      <c r="C32" s="11" t="inlineStr"/>
      <c r="D32" s="11" t="inlineStr">
        <is>
          <t>AK</t>
        </is>
      </c>
      <c r="E32" s="11" t="inlineStr">
        <is>
          <t>Anchorage</t>
        </is>
      </c>
      <c r="F32" s="11" t="inlineStr"/>
      <c r="G32" s="11" t="inlineStr">
        <is>
          <t>Air Force</t>
        </is>
      </c>
      <c r="H32" s="11" t="inlineStr">
        <is>
          <t>Web &amp; Email</t>
        </is>
      </c>
      <c r="I32" s="8" t="inlineStr">
        <is>
          <t>Web Ad</t>
        </is>
      </c>
      <c r="J32" s="11" t="inlineStr"/>
      <c r="K32" s="8" t="inlineStr">
        <is>
          <t>Your ad will appear on the installation MWR / FSS website.</t>
        </is>
      </c>
      <c r="L32" s="11" t="n">
        <v>3</v>
      </c>
      <c r="M32" s="12" t="n"/>
      <c r="N32" s="12" t="n">
        <v>800</v>
      </c>
      <c r="O32" s="12" t="n"/>
      <c r="P32" s="12" t="n"/>
      <c r="Q32" s="12" t="n"/>
      <c r="R32" s="13">
        <f>IF(ISNUMBER(M32),ROUND(M32/(1-Settings!$B$2)/Settings!$B$3,0)*Settings!$B$3,"")</f>
        <v/>
      </c>
      <c r="S32" s="13">
        <f>IF(ISNUMBER(N32),ROUND(N32/(1-Settings!$B$2)/Settings!$B$3,0)*Settings!$B$3,"")</f>
        <v/>
      </c>
      <c r="T32" s="13">
        <f>IF(ISNUMBER(O32),ROUND(O32/(1-Settings!$B$2)/Settings!$B$3,0)*Settings!$B$3,"")</f>
        <v/>
      </c>
      <c r="U32" s="13">
        <f>IF(ISNUMBER(P32),ROUND(P32/(1-Settings!$B$2)/Settings!$B$3,0)*Settings!$B$3,"")</f>
        <v/>
      </c>
      <c r="V32" s="13">
        <f>IF(ISNUMBER(Q32),ROUND(Q32/(1-Settings!$B$2)/Settings!$B$3,0)*Settings!$B$3,"")</f>
        <v/>
      </c>
      <c r="W32" s="14" t="n">
        <v>5504</v>
      </c>
      <c r="X32" s="14" t="n">
        <v>7035</v>
      </c>
      <c r="Y32" s="11" t="inlineStr">
        <is>
          <t>2026</t>
        </is>
      </c>
      <c r="Z32" s="11" t="inlineStr">
        <is>
          <t>2026-06</t>
        </is>
      </c>
      <c r="AA32" s="8" t="inlineStr">
        <is>
          <t>Sold quarterly</t>
        </is>
      </c>
      <c r="AB32" s="8" t="inlineStr"/>
      <c r="AC32" s="11" t="inlineStr">
        <is>
          <t>Military - National Publication Inventory Master_June 2026.xlsx</t>
        </is>
      </c>
      <c r="AD32" s="11" t="inlineStr">
        <is>
          <t>Sponsorship &amp; Advertising Rate Sheet_2026.pdf</t>
        </is>
      </c>
      <c r="AE32" s="15" t="inlineStr">
        <is>
          <t>Open in Box</t>
        </is>
      </c>
      <c r="AF32" s="15" t="inlineStr">
        <is>
          <t>Open in Box</t>
        </is>
      </c>
    </row>
    <row r="33">
      <c r="A33" s="11" t="inlineStr">
        <is>
          <t>AL-FORTNOVO-001</t>
        </is>
      </c>
      <c r="B33" s="8" t="inlineStr">
        <is>
          <t>Fort Novosel</t>
        </is>
      </c>
      <c r="C33" s="11" t="inlineStr">
        <is>
          <t>Fort Rucker</t>
        </is>
      </c>
      <c r="D33" s="11" t="inlineStr">
        <is>
          <t>AL</t>
        </is>
      </c>
      <c r="E33" s="11" t="inlineStr">
        <is>
          <t>Montgomery</t>
        </is>
      </c>
      <c r="F33" s="11" t="inlineStr">
        <is>
          <t>36323</t>
        </is>
      </c>
      <c r="G33" s="11" t="inlineStr">
        <is>
          <t>Army</t>
        </is>
      </c>
      <c r="H33" s="11" t="inlineStr">
        <is>
          <t>Digital</t>
        </is>
      </c>
      <c r="I33" s="8" t="inlineStr">
        <is>
          <t>Bowling Scoring Monitors</t>
        </is>
      </c>
      <c r="J33" s="11" t="inlineStr"/>
      <c r="K33" s="8" t="inlineStr">
        <is>
          <t>Your ad will appear on all digital scoring monitors.</t>
        </is>
      </c>
      <c r="L33" s="11" t="n">
        <v>1</v>
      </c>
      <c r="M33" s="12" t="n">
        <v>200</v>
      </c>
      <c r="N33" s="12" t="n">
        <v>600</v>
      </c>
      <c r="O33" s="12" t="n">
        <v>1200</v>
      </c>
      <c r="P33" s="12" t="n">
        <v>2400</v>
      </c>
      <c r="Q33" s="12" t="n">
        <v>0</v>
      </c>
      <c r="R33" s="13">
        <f>IF(ISNUMBER(M33),ROUND(M33/(1-Settings!$B$2)/Settings!$B$3,0)*Settings!$B$3,"")</f>
        <v/>
      </c>
      <c r="S33" s="13">
        <f>IF(ISNUMBER(N33),ROUND(N33/(1-Settings!$B$2)/Settings!$B$3,0)*Settings!$B$3,"")</f>
        <v/>
      </c>
      <c r="T33" s="13">
        <f>IF(ISNUMBER(O33),ROUND(O33/(1-Settings!$B$2)/Settings!$B$3,0)*Settings!$B$3,"")</f>
        <v/>
      </c>
      <c r="U33" s="13">
        <f>IF(ISNUMBER(P33),ROUND(P33/(1-Settings!$B$2)/Settings!$B$3,0)*Settings!$B$3,"")</f>
        <v/>
      </c>
      <c r="V33" s="13">
        <f>IF(ISNUMBER(Q33),ROUND(Q33/(1-Settings!$B$2)/Settings!$B$3,0)*Settings!$B$3,"")</f>
        <v/>
      </c>
      <c r="W33" s="14" t="n">
        <v>3860</v>
      </c>
      <c r="X33" s="14" t="n">
        <v>5945</v>
      </c>
      <c r="Y33" s="11" t="inlineStr"/>
      <c r="Z33" s="11" t="inlineStr"/>
      <c r="AA33" s="8" t="inlineStr"/>
      <c r="AB33" s="8" t="inlineStr"/>
      <c r="AC33" s="11" t="inlineStr">
        <is>
          <t>MasterMilitaryOnBaseList 12.2.25 NS.xlsx</t>
        </is>
      </c>
      <c r="AD33" s="11" t="inlineStr">
        <is>
          <t>Gate Marquees - Rucker_Specs.docx</t>
        </is>
      </c>
      <c r="AE33" s="15" t="inlineStr">
        <is>
          <t>Open in Box</t>
        </is>
      </c>
      <c r="AF33" s="15" t="inlineStr">
        <is>
          <t>Open in Box</t>
        </is>
      </c>
    </row>
    <row r="34">
      <c r="A34" s="11" t="inlineStr">
        <is>
          <t>AL-FORTNOVO-002</t>
        </is>
      </c>
      <c r="B34" s="8" t="inlineStr">
        <is>
          <t>Fort Novosel</t>
        </is>
      </c>
      <c r="C34" s="11" t="inlineStr">
        <is>
          <t>Fort Rucker</t>
        </is>
      </c>
      <c r="D34" s="11" t="inlineStr">
        <is>
          <t>AL</t>
        </is>
      </c>
      <c r="E34" s="11" t="inlineStr">
        <is>
          <t>Montgomery</t>
        </is>
      </c>
      <c r="F34" s="11" t="inlineStr">
        <is>
          <t>36322</t>
        </is>
      </c>
      <c r="G34" s="11" t="inlineStr">
        <is>
          <t>Army</t>
        </is>
      </c>
      <c r="H34" s="11" t="inlineStr">
        <is>
          <t>Digital</t>
        </is>
      </c>
      <c r="I34" s="8" t="inlineStr">
        <is>
          <t>Digital Monitor Network</t>
        </is>
      </c>
      <c r="J34" s="11" t="inlineStr"/>
      <c r="K34" s="8" t="inlineStr">
        <is>
          <t>Your ad will appear on 11 digital monitors in approved installation facilities.</t>
        </is>
      </c>
      <c r="L34" s="11" t="n">
        <v>1</v>
      </c>
      <c r="M34" s="12" t="n">
        <v>250</v>
      </c>
      <c r="N34" s="12" t="n">
        <v>600</v>
      </c>
      <c r="O34" s="12" t="n">
        <v>1050</v>
      </c>
      <c r="P34" s="12" t="n">
        <v>1800</v>
      </c>
      <c r="Q34" s="12" t="n">
        <v>0</v>
      </c>
      <c r="R34" s="13">
        <f>IF(ISNUMBER(M34),ROUND(M34/(1-Settings!$B$2)/Settings!$B$3,0)*Settings!$B$3,"")</f>
        <v/>
      </c>
      <c r="S34" s="13">
        <f>IF(ISNUMBER(N34),ROUND(N34/(1-Settings!$B$2)/Settings!$B$3,0)*Settings!$B$3,"")</f>
        <v/>
      </c>
      <c r="T34" s="13">
        <f>IF(ISNUMBER(O34),ROUND(O34/(1-Settings!$B$2)/Settings!$B$3,0)*Settings!$B$3,"")</f>
        <v/>
      </c>
      <c r="U34" s="13">
        <f>IF(ISNUMBER(P34),ROUND(P34/(1-Settings!$B$2)/Settings!$B$3,0)*Settings!$B$3,"")</f>
        <v/>
      </c>
      <c r="V34" s="13">
        <f>IF(ISNUMBER(Q34),ROUND(Q34/(1-Settings!$B$2)/Settings!$B$3,0)*Settings!$B$3,"")</f>
        <v/>
      </c>
      <c r="W34" s="14" t="n">
        <v>3860</v>
      </c>
      <c r="X34" s="14" t="n">
        <v>5945</v>
      </c>
      <c r="Y34" s="11" t="inlineStr"/>
      <c r="Z34" s="11" t="inlineStr"/>
      <c r="AA34" s="8" t="inlineStr"/>
      <c r="AB34" s="8" t="inlineStr"/>
      <c r="AC34" s="11" t="inlineStr">
        <is>
          <t>MasterMilitaryOnBaseList 12.2.25 NS.xlsx</t>
        </is>
      </c>
      <c r="AD34" s="11" t="inlineStr">
        <is>
          <t>Gate Marquees - Rucker_Specs.docx</t>
        </is>
      </c>
      <c r="AE34" s="15" t="inlineStr">
        <is>
          <t>Open in Box</t>
        </is>
      </c>
      <c r="AF34" s="15" t="inlineStr">
        <is>
          <t>Open in Box</t>
        </is>
      </c>
    </row>
    <row r="35">
      <c r="A35" s="11" t="inlineStr">
        <is>
          <t>AL-FORTNOVO-003</t>
        </is>
      </c>
      <c r="B35" s="8" t="inlineStr">
        <is>
          <t>Fort Novosel</t>
        </is>
      </c>
      <c r="C35" s="11" t="inlineStr">
        <is>
          <t>Fort Rucker</t>
        </is>
      </c>
      <c r="D35" s="11" t="inlineStr">
        <is>
          <t>AL</t>
        </is>
      </c>
      <c r="E35" s="11" t="inlineStr">
        <is>
          <t>Montgomery</t>
        </is>
      </c>
      <c r="F35" s="11" t="inlineStr">
        <is>
          <t>36322</t>
        </is>
      </c>
      <c r="G35" s="11" t="inlineStr">
        <is>
          <t>Army</t>
        </is>
      </c>
      <c r="H35" s="11" t="inlineStr">
        <is>
          <t>Digital</t>
        </is>
      </c>
      <c r="I35" s="8" t="inlineStr">
        <is>
          <t>Digital Signage (Gate Marquees)</t>
        </is>
      </c>
      <c r="J35" s="11" t="inlineStr"/>
      <c r="K35" s="8" t="inlineStr">
        <is>
          <t>Your ad will appear on the digital gate marquees at the Ozark, Daleville, and Enterprise entrances reaching 26,000+ daily visitors.</t>
        </is>
      </c>
      <c r="L35" s="11" t="n">
        <v>1</v>
      </c>
      <c r="M35" s="12" t="n">
        <v>1000</v>
      </c>
      <c r="N35" s="12" t="n">
        <v>3000</v>
      </c>
      <c r="O35" s="12" t="n">
        <v>6000</v>
      </c>
      <c r="P35" s="12" t="n">
        <v>12000</v>
      </c>
      <c r="Q35" s="12" t="n"/>
      <c r="R35" s="13">
        <f>IF(ISNUMBER(M35),ROUND(M35/(1-Settings!$B$2)/Settings!$B$3,0)*Settings!$B$3,"")</f>
        <v/>
      </c>
      <c r="S35" s="13">
        <f>IF(ISNUMBER(N35),ROUND(N35/(1-Settings!$B$2)/Settings!$B$3,0)*Settings!$B$3,"")</f>
        <v/>
      </c>
      <c r="T35" s="13">
        <f>IF(ISNUMBER(O35),ROUND(O35/(1-Settings!$B$2)/Settings!$B$3,0)*Settings!$B$3,"")</f>
        <v/>
      </c>
      <c r="U35" s="13">
        <f>IF(ISNUMBER(P35),ROUND(P35/(1-Settings!$B$2)/Settings!$B$3,0)*Settings!$B$3,"")</f>
        <v/>
      </c>
      <c r="V35" s="13">
        <f>IF(ISNUMBER(Q35),ROUND(Q35/(1-Settings!$B$2)/Settings!$B$3,0)*Settings!$B$3,"")</f>
        <v/>
      </c>
      <c r="W35" s="14" t="n">
        <v>3860</v>
      </c>
      <c r="X35" s="14" t="n">
        <v>5945</v>
      </c>
      <c r="Y35" s="11" t="inlineStr"/>
      <c r="Z35" s="11" t="inlineStr"/>
      <c r="AA35" s="8" t="inlineStr"/>
      <c r="AB35" s="8" t="inlineStr"/>
      <c r="AC35" s="11" t="inlineStr">
        <is>
          <t>MasterMilitaryOnBaseList 12.2.25 NS.xlsx</t>
        </is>
      </c>
      <c r="AD35" s="11" t="inlineStr">
        <is>
          <t>Gate Marquees - Rucker_Specs.docx</t>
        </is>
      </c>
      <c r="AE35" s="15" t="inlineStr">
        <is>
          <t>Open in Box</t>
        </is>
      </c>
      <c r="AF35" s="15" t="inlineStr">
        <is>
          <t>Open in Box</t>
        </is>
      </c>
    </row>
    <row r="36">
      <c r="A36" s="11" t="inlineStr">
        <is>
          <t>AL-FORTNOVO-004</t>
        </is>
      </c>
      <c r="B36" s="8" t="inlineStr">
        <is>
          <t>Fort Novosel</t>
        </is>
      </c>
      <c r="C36" s="11" t="inlineStr">
        <is>
          <t>Fort Rucker</t>
        </is>
      </c>
      <c r="D36" s="11" t="inlineStr">
        <is>
          <t>AL</t>
        </is>
      </c>
      <c r="E36" s="11" t="inlineStr">
        <is>
          <t>Montgomery</t>
        </is>
      </c>
      <c r="F36" s="11" t="inlineStr">
        <is>
          <t>36322</t>
        </is>
      </c>
      <c r="G36" s="11" t="inlineStr">
        <is>
          <t>Army</t>
        </is>
      </c>
      <c r="H36" s="11" t="inlineStr">
        <is>
          <t>Digital</t>
        </is>
      </c>
      <c r="I36" s="8" t="inlineStr">
        <is>
          <t>Digital Signage (Gate Marquees)</t>
        </is>
      </c>
      <c r="J36" s="11" t="inlineStr"/>
      <c r="K36" s="8" t="inlineStr">
        <is>
          <t>Your ad will appear on the digital gate marquees at the Ozark, Daleville, and Enterprise entrances reaching 26,000+ daily visitors plus Silver Wings Golf Club marquee.</t>
        </is>
      </c>
      <c r="L36" s="11" t="n">
        <v>1</v>
      </c>
      <c r="M36" s="12" t="n">
        <v>1200</v>
      </c>
      <c r="N36" s="12" t="n">
        <v>3600</v>
      </c>
      <c r="O36" s="12" t="n">
        <v>7200</v>
      </c>
      <c r="P36" s="12" t="n">
        <v>14400</v>
      </c>
      <c r="Q36" s="12" t="n"/>
      <c r="R36" s="13">
        <f>IF(ISNUMBER(M36),ROUND(M36/(1-Settings!$B$2)/Settings!$B$3,0)*Settings!$B$3,"")</f>
        <v/>
      </c>
      <c r="S36" s="13">
        <f>IF(ISNUMBER(N36),ROUND(N36/(1-Settings!$B$2)/Settings!$B$3,0)*Settings!$B$3,"")</f>
        <v/>
      </c>
      <c r="T36" s="13">
        <f>IF(ISNUMBER(O36),ROUND(O36/(1-Settings!$B$2)/Settings!$B$3,0)*Settings!$B$3,"")</f>
        <v/>
      </c>
      <c r="U36" s="13">
        <f>IF(ISNUMBER(P36),ROUND(P36/(1-Settings!$B$2)/Settings!$B$3,0)*Settings!$B$3,"")</f>
        <v/>
      </c>
      <c r="V36" s="13">
        <f>IF(ISNUMBER(Q36),ROUND(Q36/(1-Settings!$B$2)/Settings!$B$3,0)*Settings!$B$3,"")</f>
        <v/>
      </c>
      <c r="W36" s="14" t="n">
        <v>3860</v>
      </c>
      <c r="X36" s="14" t="n">
        <v>5945</v>
      </c>
      <c r="Y36" s="11" t="inlineStr"/>
      <c r="Z36" s="11" t="inlineStr"/>
      <c r="AA36" s="8" t="inlineStr"/>
      <c r="AB36" s="8" t="inlineStr"/>
      <c r="AC36" s="11" t="inlineStr">
        <is>
          <t>MasterMilitaryOnBaseList 12.2.25 NS.xlsx</t>
        </is>
      </c>
      <c r="AD36" s="11" t="inlineStr">
        <is>
          <t>Gate Marquees - Rucker_Specs.docx</t>
        </is>
      </c>
      <c r="AE36" s="15" t="inlineStr">
        <is>
          <t>Open in Box</t>
        </is>
      </c>
      <c r="AF36" s="15" t="inlineStr">
        <is>
          <t>Open in Box</t>
        </is>
      </c>
    </row>
    <row r="37">
      <c r="A37" s="11" t="inlineStr">
        <is>
          <t>AL-FORTNOVO-005</t>
        </is>
      </c>
      <c r="B37" s="8" t="inlineStr">
        <is>
          <t>Fort Novosel</t>
        </is>
      </c>
      <c r="C37" s="11" t="inlineStr">
        <is>
          <t>Fort Rucker</t>
        </is>
      </c>
      <c r="D37" s="11" t="inlineStr">
        <is>
          <t>AL</t>
        </is>
      </c>
      <c r="E37" s="11" t="inlineStr">
        <is>
          <t>Montgomery</t>
        </is>
      </c>
      <c r="F37" s="11" t="inlineStr">
        <is>
          <t>36322</t>
        </is>
      </c>
      <c r="G37" s="11" t="inlineStr">
        <is>
          <t>Army</t>
        </is>
      </c>
      <c r="H37" s="11" t="inlineStr">
        <is>
          <t>Digital</t>
        </is>
      </c>
      <c r="I37" s="8" t="inlineStr">
        <is>
          <t>Digital Signage (Gate Marquees)</t>
        </is>
      </c>
      <c r="J37" s="11" t="inlineStr"/>
      <c r="K37" s="8" t="inlineStr">
        <is>
          <t>Your ad will appear on the Silver Wings Golf Club outdoor digital marquee</t>
        </is>
      </c>
      <c r="L37" s="11" t="n">
        <v>1</v>
      </c>
      <c r="M37" s="12" t="n">
        <v>400</v>
      </c>
      <c r="N37" s="12" t="n">
        <v>1200</v>
      </c>
      <c r="O37" s="12" t="n">
        <v>2400</v>
      </c>
      <c r="P37" s="12" t="n">
        <v>4800</v>
      </c>
      <c r="Q37" s="12" t="n"/>
      <c r="R37" s="13">
        <f>IF(ISNUMBER(M37),ROUND(M37/(1-Settings!$B$2)/Settings!$B$3,0)*Settings!$B$3,"")</f>
        <v/>
      </c>
      <c r="S37" s="13">
        <f>IF(ISNUMBER(N37),ROUND(N37/(1-Settings!$B$2)/Settings!$B$3,0)*Settings!$B$3,"")</f>
        <v/>
      </c>
      <c r="T37" s="13">
        <f>IF(ISNUMBER(O37),ROUND(O37/(1-Settings!$B$2)/Settings!$B$3,0)*Settings!$B$3,"")</f>
        <v/>
      </c>
      <c r="U37" s="13">
        <f>IF(ISNUMBER(P37),ROUND(P37/(1-Settings!$B$2)/Settings!$B$3,0)*Settings!$B$3,"")</f>
        <v/>
      </c>
      <c r="V37" s="13">
        <f>IF(ISNUMBER(Q37),ROUND(Q37/(1-Settings!$B$2)/Settings!$B$3,0)*Settings!$B$3,"")</f>
        <v/>
      </c>
      <c r="W37" s="14" t="n">
        <v>3860</v>
      </c>
      <c r="X37" s="14" t="n">
        <v>5945</v>
      </c>
      <c r="Y37" s="11" t="inlineStr"/>
      <c r="Z37" s="11" t="inlineStr"/>
      <c r="AA37" s="8" t="inlineStr"/>
      <c r="AB37" s="8" t="inlineStr"/>
      <c r="AC37" s="11" t="inlineStr">
        <is>
          <t>MasterMilitaryOnBaseList 12.2.25 NS.xlsx</t>
        </is>
      </c>
      <c r="AD37" s="11" t="inlineStr">
        <is>
          <t>Gate Marquees - Rucker_Specs.docx</t>
        </is>
      </c>
      <c r="AE37" s="15" t="inlineStr">
        <is>
          <t>Open in Box</t>
        </is>
      </c>
      <c r="AF37" s="15" t="inlineStr">
        <is>
          <t>Open in Box</t>
        </is>
      </c>
    </row>
    <row r="38">
      <c r="A38" s="11" t="inlineStr">
        <is>
          <t>AL-FORTNOVO-009</t>
        </is>
      </c>
      <c r="B38" s="8" t="inlineStr">
        <is>
          <t>Fort Novosel</t>
        </is>
      </c>
      <c r="C38" s="11" t="inlineStr">
        <is>
          <t>Fort Rucker</t>
        </is>
      </c>
      <c r="D38" s="11" t="inlineStr">
        <is>
          <t>AL</t>
        </is>
      </c>
      <c r="E38" s="11" t="inlineStr">
        <is>
          <t>Montgomery</t>
        </is>
      </c>
      <c r="F38" s="11" t="inlineStr">
        <is>
          <t>36322</t>
        </is>
      </c>
      <c r="G38" s="11" t="inlineStr">
        <is>
          <t>Army</t>
        </is>
      </c>
      <c r="H38" s="11" t="inlineStr">
        <is>
          <t>Large Format</t>
        </is>
      </c>
      <c r="I38" s="8" t="inlineStr">
        <is>
          <t>Indoor Vinyl Banner and Counter Wraps</t>
        </is>
      </c>
      <c r="J38" s="11" t="inlineStr">
        <is>
          <t>Sizes Vary</t>
        </is>
      </c>
      <c r="K38" s="8" t="inlineStr">
        <is>
          <t>Your signs will be placed on the fencing that surrounds the ball fields, Lake Tholocco, the Lemon Lot, and The Flightline.</t>
        </is>
      </c>
      <c r="L38" s="11" t="n">
        <v>1</v>
      </c>
      <c r="M38" s="12" t="n">
        <v>1000</v>
      </c>
      <c r="N38" s="12" t="n">
        <v>3000</v>
      </c>
      <c r="O38" s="12" t="n">
        <v>6000</v>
      </c>
      <c r="P38" s="12" t="n">
        <v>12000</v>
      </c>
      <c r="Q38" s="12" t="n"/>
      <c r="R38" s="13">
        <f>IF(ISNUMBER(M38),ROUND(M38/(1-Settings!$B$2)/Settings!$B$3,0)*Settings!$B$3,"")</f>
        <v/>
      </c>
      <c r="S38" s="13">
        <f>IF(ISNUMBER(N38),ROUND(N38/(1-Settings!$B$2)/Settings!$B$3,0)*Settings!$B$3,"")</f>
        <v/>
      </c>
      <c r="T38" s="13">
        <f>IF(ISNUMBER(O38),ROUND(O38/(1-Settings!$B$2)/Settings!$B$3,0)*Settings!$B$3,"")</f>
        <v/>
      </c>
      <c r="U38" s="13">
        <f>IF(ISNUMBER(P38),ROUND(P38/(1-Settings!$B$2)/Settings!$B$3,0)*Settings!$B$3,"")</f>
        <v/>
      </c>
      <c r="V38" s="13">
        <f>IF(ISNUMBER(Q38),ROUND(Q38/(1-Settings!$B$2)/Settings!$B$3,0)*Settings!$B$3,"")</f>
        <v/>
      </c>
      <c r="W38" s="14" t="n">
        <v>3860</v>
      </c>
      <c r="X38" s="14" t="n">
        <v>5945</v>
      </c>
      <c r="Y38" s="11" t="inlineStr"/>
      <c r="Z38" s="11" t="inlineStr"/>
      <c r="AA38" s="8" t="inlineStr"/>
      <c r="AB38" s="8" t="inlineStr"/>
      <c r="AC38" s="11" t="inlineStr">
        <is>
          <t>MasterMilitaryOnBaseList 12.2.25 NS.xlsx</t>
        </is>
      </c>
      <c r="AD38" s="11" t="inlineStr">
        <is>
          <t>Gate Marquees - Rucker_Specs.docx</t>
        </is>
      </c>
      <c r="AE38" s="15" t="inlineStr">
        <is>
          <t>Open in Box</t>
        </is>
      </c>
      <c r="AF38" s="15" t="inlineStr">
        <is>
          <t>Open in Box</t>
        </is>
      </c>
    </row>
    <row r="39">
      <c r="A39" s="11" t="inlineStr">
        <is>
          <t>AL-FORTNOVO-016</t>
        </is>
      </c>
      <c r="B39" s="8" t="inlineStr">
        <is>
          <t>Fort Novosel</t>
        </is>
      </c>
      <c r="C39" s="11" t="inlineStr"/>
      <c r="D39" s="11" t="inlineStr">
        <is>
          <t>AL</t>
        </is>
      </c>
      <c r="E39" s="11" t="inlineStr">
        <is>
          <t>Montgomery</t>
        </is>
      </c>
      <c r="F39" s="11" t="inlineStr"/>
      <c r="G39" s="11" t="inlineStr">
        <is>
          <t>Army</t>
        </is>
      </c>
      <c r="H39" s="11" t="inlineStr">
        <is>
          <t>Print &amp; Publications</t>
        </is>
      </c>
      <c r="I39" s="8" t="inlineStr">
        <is>
          <t>Calendar Ad</t>
        </is>
      </c>
      <c r="J39" s="11" t="inlineStr"/>
      <c r="K39" s="8" t="inlineStr">
        <is>
          <t>Your ad will appear in the installation events calendar.</t>
        </is>
      </c>
      <c r="L39" s="11" t="n">
        <v>1</v>
      </c>
      <c r="M39" s="12" t="n">
        <v>200</v>
      </c>
      <c r="N39" s="12" t="n"/>
      <c r="O39" s="12" t="n"/>
      <c r="P39" s="12" t="n"/>
      <c r="Q39" s="12" t="n"/>
      <c r="R39" s="13">
        <f>IF(ISNUMBER(M39),ROUND(M39/(1-Settings!$B$2)/Settings!$B$3,0)*Settings!$B$3,"")</f>
        <v/>
      </c>
      <c r="S39" s="13">
        <f>IF(ISNUMBER(N39),ROUND(N39/(1-Settings!$B$2)/Settings!$B$3,0)*Settings!$B$3,"")</f>
        <v/>
      </c>
      <c r="T39" s="13">
        <f>IF(ISNUMBER(O39),ROUND(O39/(1-Settings!$B$2)/Settings!$B$3,0)*Settings!$B$3,"")</f>
        <v/>
      </c>
      <c r="U39" s="13">
        <f>IF(ISNUMBER(P39),ROUND(P39/(1-Settings!$B$2)/Settings!$B$3,0)*Settings!$B$3,"")</f>
        <v/>
      </c>
      <c r="V39" s="13">
        <f>IF(ISNUMBER(Q39),ROUND(Q39/(1-Settings!$B$2)/Settings!$B$3,0)*Settings!$B$3,"")</f>
        <v/>
      </c>
      <c r="W39" s="14" t="n">
        <v>3860</v>
      </c>
      <c r="X39" s="14" t="n">
        <v>5945</v>
      </c>
      <c r="Y39" s="11" t="inlineStr">
        <is>
          <t>2026</t>
        </is>
      </c>
      <c r="Z39" s="11" t="inlineStr">
        <is>
          <t>2026-06</t>
        </is>
      </c>
      <c r="AA39" s="8" t="inlineStr"/>
      <c r="AB39" s="8" t="inlineStr"/>
      <c r="AC39" s="11" t="inlineStr">
        <is>
          <t>Military - National Publication Inventory Master_June 2026.xlsx</t>
        </is>
      </c>
      <c r="AD39" s="11" t="inlineStr">
        <is>
          <t>Gate Marquees - Rucker_Specs.docx</t>
        </is>
      </c>
      <c r="AE39" s="15" t="inlineStr">
        <is>
          <t>Open in Box</t>
        </is>
      </c>
      <c r="AF39" s="15" t="inlineStr">
        <is>
          <t>Open in Box</t>
        </is>
      </c>
    </row>
    <row r="40">
      <c r="A40" s="11" t="inlineStr">
        <is>
          <t>AL-FORTNOVO-010</t>
        </is>
      </c>
      <c r="B40" s="8" t="inlineStr">
        <is>
          <t>Fort Novosel</t>
        </is>
      </c>
      <c r="C40" s="11" t="inlineStr">
        <is>
          <t>Fort Rucker</t>
        </is>
      </c>
      <c r="D40" s="11" t="inlineStr">
        <is>
          <t>AL</t>
        </is>
      </c>
      <c r="E40" s="11" t="inlineStr">
        <is>
          <t>Montgomery</t>
        </is>
      </c>
      <c r="F40" s="11" t="inlineStr">
        <is>
          <t>36322</t>
        </is>
      </c>
      <c r="G40" s="11" t="inlineStr">
        <is>
          <t>Army</t>
        </is>
      </c>
      <c r="H40" s="11" t="inlineStr">
        <is>
          <t>Print &amp; Publications</t>
        </is>
      </c>
      <c r="I40" s="8" t="inlineStr">
        <is>
          <t>Real Estate/Magazine Racks</t>
        </is>
      </c>
      <c r="J40" s="11" t="inlineStr"/>
      <c r="K40" s="8" t="inlineStr">
        <is>
          <t>Your publication will be placed at one or more of the following locations on post (AAFES PX, Soldier Service Center, Silver Wings Golf Club, Shoppette/Mini Mall, Commissary, Lyster Health Clinic) *Price is per location</t>
        </is>
      </c>
      <c r="L40" s="11" t="n">
        <v>12</v>
      </c>
      <c r="M40" s="12" t="n"/>
      <c r="N40" s="12" t="n"/>
      <c r="O40" s="12" t="n"/>
      <c r="P40" s="12" t="n">
        <v>250</v>
      </c>
      <c r="Q40" s="12" t="n"/>
      <c r="R40" s="13">
        <f>IF(ISNUMBER(M40),ROUND(M40/(1-Settings!$B$2)/Settings!$B$3,0)*Settings!$B$3,"")</f>
        <v/>
      </c>
      <c r="S40" s="13">
        <f>IF(ISNUMBER(N40),ROUND(N40/(1-Settings!$B$2)/Settings!$B$3,0)*Settings!$B$3,"")</f>
        <v/>
      </c>
      <c r="T40" s="13">
        <f>IF(ISNUMBER(O40),ROUND(O40/(1-Settings!$B$2)/Settings!$B$3,0)*Settings!$B$3,"")</f>
        <v/>
      </c>
      <c r="U40" s="13">
        <f>IF(ISNUMBER(P40),ROUND(P40/(1-Settings!$B$2)/Settings!$B$3,0)*Settings!$B$3,"")</f>
        <v/>
      </c>
      <c r="V40" s="13">
        <f>IF(ISNUMBER(Q40),ROUND(Q40/(1-Settings!$B$2)/Settings!$B$3,0)*Settings!$B$3,"")</f>
        <v/>
      </c>
      <c r="W40" s="14" t="n">
        <v>3860</v>
      </c>
      <c r="X40" s="14" t="n">
        <v>5945</v>
      </c>
      <c r="Y40" s="11" t="inlineStr"/>
      <c r="Z40" s="11" t="inlineStr"/>
      <c r="AA40" s="8" t="inlineStr">
        <is>
          <t>Inventory master 6/2026 lists Magazine Ad at $1,200 (1 mo)</t>
        </is>
      </c>
      <c r="AB40" s="8" t="inlineStr"/>
      <c r="AC40" s="11" t="inlineStr">
        <is>
          <t>MasterMilitaryOnBaseList 12.2.25 NS.xlsx</t>
        </is>
      </c>
      <c r="AD40" s="11" t="inlineStr">
        <is>
          <t>Gate Marquees - Rucker_Specs.docx</t>
        </is>
      </c>
      <c r="AE40" s="15" t="inlineStr">
        <is>
          <t>Open in Box</t>
        </is>
      </c>
      <c r="AF40" s="15" t="inlineStr">
        <is>
          <t>Open in Box</t>
        </is>
      </c>
    </row>
    <row r="41">
      <c r="A41" s="11" t="inlineStr">
        <is>
          <t>AL-FORTNOVO-014</t>
        </is>
      </c>
      <c r="B41" s="8" t="inlineStr">
        <is>
          <t>Fort Novosel</t>
        </is>
      </c>
      <c r="C41" s="11" t="inlineStr">
        <is>
          <t>Fort Rucker</t>
        </is>
      </c>
      <c r="D41" s="11" t="inlineStr">
        <is>
          <t>AL</t>
        </is>
      </c>
      <c r="E41" s="11" t="inlineStr">
        <is>
          <t>Montgomery</t>
        </is>
      </c>
      <c r="F41" s="11" t="inlineStr">
        <is>
          <t>36322</t>
        </is>
      </c>
      <c r="G41" s="11" t="inlineStr">
        <is>
          <t>Army</t>
        </is>
      </c>
      <c r="H41" s="11" t="inlineStr">
        <is>
          <t>Sponsorship &amp; Other</t>
        </is>
      </c>
      <c r="I41" s="8" t="inlineStr">
        <is>
          <t>Welcome Packet Ad</t>
        </is>
      </c>
      <c r="J41" s="11" t="inlineStr"/>
      <c r="K41" s="8" t="inlineStr">
        <is>
          <t>Your ad will appear in the Fort Novosel Welcome Packet distributed to each soldier that attends the Newcomer's Welcome Briefing.</t>
        </is>
      </c>
      <c r="L41" s="11" t="n">
        <v>3</v>
      </c>
      <c r="M41" s="12" t="n"/>
      <c r="N41" s="12" t="n">
        <v>200</v>
      </c>
      <c r="O41" s="12" t="n">
        <v>300</v>
      </c>
      <c r="P41" s="12" t="n">
        <v>500</v>
      </c>
      <c r="Q41" s="12" t="n">
        <v>0</v>
      </c>
      <c r="R41" s="13">
        <f>IF(ISNUMBER(M41),ROUND(M41/(1-Settings!$B$2)/Settings!$B$3,0)*Settings!$B$3,"")</f>
        <v/>
      </c>
      <c r="S41" s="13">
        <f>IF(ISNUMBER(N41),ROUND(N41/(1-Settings!$B$2)/Settings!$B$3,0)*Settings!$B$3,"")</f>
        <v/>
      </c>
      <c r="T41" s="13">
        <f>IF(ISNUMBER(O41),ROUND(O41/(1-Settings!$B$2)/Settings!$B$3,0)*Settings!$B$3,"")</f>
        <v/>
      </c>
      <c r="U41" s="13">
        <f>IF(ISNUMBER(P41),ROUND(P41/(1-Settings!$B$2)/Settings!$B$3,0)*Settings!$B$3,"")</f>
        <v/>
      </c>
      <c r="V41" s="13">
        <f>IF(ISNUMBER(Q41),ROUND(Q41/(1-Settings!$B$2)/Settings!$B$3,0)*Settings!$B$3,"")</f>
        <v/>
      </c>
      <c r="W41" s="14" t="n">
        <v>3860</v>
      </c>
      <c r="X41" s="14" t="n">
        <v>5945</v>
      </c>
      <c r="Y41" s="11" t="inlineStr"/>
      <c r="Z41" s="11" t="inlineStr"/>
      <c r="AA41" s="8" t="inlineStr"/>
      <c r="AB41" s="8" t="inlineStr"/>
      <c r="AC41" s="11" t="inlineStr">
        <is>
          <t>MasterMilitaryOnBaseList 12.2.25 NS.xlsx</t>
        </is>
      </c>
      <c r="AD41" s="11" t="inlineStr">
        <is>
          <t>Gate Marquees - Rucker_Specs.docx</t>
        </is>
      </c>
      <c r="AE41" s="15" t="inlineStr">
        <is>
          <t>Open in Box</t>
        </is>
      </c>
      <c r="AF41" s="15" t="inlineStr">
        <is>
          <t>Open in Box</t>
        </is>
      </c>
    </row>
    <row r="42">
      <c r="A42" s="11" t="inlineStr">
        <is>
          <t>AL-FORTNOVO-006</t>
        </is>
      </c>
      <c r="B42" s="8" t="inlineStr">
        <is>
          <t>Fort Novosel</t>
        </is>
      </c>
      <c r="C42" s="11" t="inlineStr">
        <is>
          <t>Fort Rucker</t>
        </is>
      </c>
      <c r="D42" s="11" t="inlineStr">
        <is>
          <t>AL</t>
        </is>
      </c>
      <c r="E42" s="11" t="inlineStr">
        <is>
          <t>Montgomery</t>
        </is>
      </c>
      <c r="F42" s="11" t="inlineStr">
        <is>
          <t>36322</t>
        </is>
      </c>
      <c r="G42" s="11" t="inlineStr">
        <is>
          <t>Army</t>
        </is>
      </c>
      <c r="H42" s="11" t="inlineStr">
        <is>
          <t>Standard Media</t>
        </is>
      </c>
      <c r="I42" s="8" t="inlineStr">
        <is>
          <t>Outdoor Banner</t>
        </is>
      </c>
      <c r="J42" s="11" t="inlineStr">
        <is>
          <t>4'W x 8'H</t>
        </is>
      </c>
      <c r="K42" s="8" t="inlineStr">
        <is>
          <t>Your signs will be placed on the fencing that surrounds the ball fields, Lake Tholocco, the Lemon Lot, and The Flightline.</t>
        </is>
      </c>
      <c r="L42" s="11" t="n">
        <v>1</v>
      </c>
      <c r="M42" s="12" t="n">
        <v>200</v>
      </c>
      <c r="N42" s="12" t="n">
        <v>600</v>
      </c>
      <c r="O42" s="12" t="n">
        <v>1200</v>
      </c>
      <c r="P42" s="12" t="n">
        <v>2400</v>
      </c>
      <c r="Q42" s="12" t="n">
        <v>200</v>
      </c>
      <c r="R42" s="13">
        <f>IF(ISNUMBER(M42),ROUND(M42/(1-Settings!$B$2)/Settings!$B$3,0)*Settings!$B$3,"")</f>
        <v/>
      </c>
      <c r="S42" s="13">
        <f>IF(ISNUMBER(N42),ROUND(N42/(1-Settings!$B$2)/Settings!$B$3,0)*Settings!$B$3,"")</f>
        <v/>
      </c>
      <c r="T42" s="13">
        <f>IF(ISNUMBER(O42),ROUND(O42/(1-Settings!$B$2)/Settings!$B$3,0)*Settings!$B$3,"")</f>
        <v/>
      </c>
      <c r="U42" s="13">
        <f>IF(ISNUMBER(P42),ROUND(P42/(1-Settings!$B$2)/Settings!$B$3,0)*Settings!$B$3,"")</f>
        <v/>
      </c>
      <c r="V42" s="13">
        <f>IF(ISNUMBER(Q42),ROUND(Q42/(1-Settings!$B$2)/Settings!$B$3,0)*Settings!$B$3,"")</f>
        <v/>
      </c>
      <c r="W42" s="14" t="n">
        <v>3860</v>
      </c>
      <c r="X42" s="14" t="n">
        <v>5945</v>
      </c>
      <c r="Y42" s="11" t="inlineStr"/>
      <c r="Z42" s="11" t="inlineStr"/>
      <c r="AA42" s="8" t="inlineStr"/>
      <c r="AB42" s="8" t="inlineStr"/>
      <c r="AC42" s="11" t="inlineStr">
        <is>
          <t>MasterMilitaryOnBaseList 12.2.25 NS.xlsx</t>
        </is>
      </c>
      <c r="AD42" s="11" t="inlineStr">
        <is>
          <t>Gate Marquees - Rucker_Specs.docx</t>
        </is>
      </c>
      <c r="AE42" s="15" t="inlineStr">
        <is>
          <t>Open in Box</t>
        </is>
      </c>
      <c r="AF42" s="15" t="inlineStr">
        <is>
          <t>Open in Box</t>
        </is>
      </c>
    </row>
    <row r="43">
      <c r="A43" s="11" t="inlineStr">
        <is>
          <t>AL-FORTNOVO-007</t>
        </is>
      </c>
      <c r="B43" s="8" t="inlineStr">
        <is>
          <t>Fort Novosel</t>
        </is>
      </c>
      <c r="C43" s="11" t="inlineStr">
        <is>
          <t>Fort Rucker</t>
        </is>
      </c>
      <c r="D43" s="11" t="inlineStr">
        <is>
          <t>AL</t>
        </is>
      </c>
      <c r="E43" s="11" t="inlineStr">
        <is>
          <t>Montgomery</t>
        </is>
      </c>
      <c r="F43" s="11" t="inlineStr">
        <is>
          <t>36322</t>
        </is>
      </c>
      <c r="G43" s="11" t="inlineStr">
        <is>
          <t>Army</t>
        </is>
      </c>
      <c r="H43" s="11" t="inlineStr">
        <is>
          <t>Standard Media</t>
        </is>
      </c>
      <c r="I43" s="8" t="inlineStr">
        <is>
          <t>Outdoor Metal Sign</t>
        </is>
      </c>
      <c r="J43" s="11" t="inlineStr">
        <is>
          <t>4'W x 8'H</t>
        </is>
      </c>
      <c r="K43" s="8" t="inlineStr">
        <is>
          <t>Your signs will be placed on the fencing that surrounds the ball fields, Lake Tholocco, the Lemon Lot, and The Flightline.</t>
        </is>
      </c>
      <c r="L43" s="11" t="n">
        <v>1</v>
      </c>
      <c r="M43" s="12" t="n">
        <v>200</v>
      </c>
      <c r="N43" s="12" t="n">
        <v>600</v>
      </c>
      <c r="O43" s="12" t="n">
        <v>1200</v>
      </c>
      <c r="P43" s="12" t="n">
        <v>2400</v>
      </c>
      <c r="Q43" s="12" t="n">
        <v>200</v>
      </c>
      <c r="R43" s="13">
        <f>IF(ISNUMBER(M43),ROUND(M43/(1-Settings!$B$2)/Settings!$B$3,0)*Settings!$B$3,"")</f>
        <v/>
      </c>
      <c r="S43" s="13">
        <f>IF(ISNUMBER(N43),ROUND(N43/(1-Settings!$B$2)/Settings!$B$3,0)*Settings!$B$3,"")</f>
        <v/>
      </c>
      <c r="T43" s="13">
        <f>IF(ISNUMBER(O43),ROUND(O43/(1-Settings!$B$2)/Settings!$B$3,0)*Settings!$B$3,"")</f>
        <v/>
      </c>
      <c r="U43" s="13">
        <f>IF(ISNUMBER(P43),ROUND(P43/(1-Settings!$B$2)/Settings!$B$3,0)*Settings!$B$3,"")</f>
        <v/>
      </c>
      <c r="V43" s="13">
        <f>IF(ISNUMBER(Q43),ROUND(Q43/(1-Settings!$B$2)/Settings!$B$3,0)*Settings!$B$3,"")</f>
        <v/>
      </c>
      <c r="W43" s="14" t="n">
        <v>3860</v>
      </c>
      <c r="X43" s="14" t="n">
        <v>5945</v>
      </c>
      <c r="Y43" s="11" t="inlineStr"/>
      <c r="Z43" s="11" t="inlineStr"/>
      <c r="AA43" s="8" t="inlineStr"/>
      <c r="AB43" s="8" t="inlineStr"/>
      <c r="AC43" s="11" t="inlineStr">
        <is>
          <t>MasterMilitaryOnBaseList 12.2.25 NS.xlsx</t>
        </is>
      </c>
      <c r="AD43" s="11" t="inlineStr">
        <is>
          <t>Gate Marquees - Rucker_Specs.docx</t>
        </is>
      </c>
      <c r="AE43" s="15" t="inlineStr">
        <is>
          <t>Open in Box</t>
        </is>
      </c>
      <c r="AF43" s="15" t="inlineStr">
        <is>
          <t>Open in Box</t>
        </is>
      </c>
    </row>
    <row r="44">
      <c r="A44" s="11" t="inlineStr">
        <is>
          <t>AL-FORTNOVO-008</t>
        </is>
      </c>
      <c r="B44" s="8" t="inlineStr">
        <is>
          <t>Fort Novosel</t>
        </is>
      </c>
      <c r="C44" s="11" t="inlineStr">
        <is>
          <t>Fort Rucker</t>
        </is>
      </c>
      <c r="D44" s="11" t="inlineStr">
        <is>
          <t>AL</t>
        </is>
      </c>
      <c r="E44" s="11" t="inlineStr">
        <is>
          <t>Montgomery</t>
        </is>
      </c>
      <c r="F44" s="11" t="inlineStr">
        <is>
          <t>36322</t>
        </is>
      </c>
      <c r="G44" s="11" t="inlineStr">
        <is>
          <t>Army</t>
        </is>
      </c>
      <c r="H44" s="11" t="inlineStr">
        <is>
          <t>Standard Media</t>
        </is>
      </c>
      <c r="I44" s="8" t="inlineStr">
        <is>
          <t>Posters</t>
        </is>
      </c>
      <c r="J44" s="11" t="inlineStr"/>
      <c r="K44" s="8" t="inlineStr">
        <is>
          <t>Your posters will be placed inside high traffic facilities and MWR program locations (building 5700 Soldier Service Center, AAFES PX, Lyster Army Medical Center, Shoppette, Center Library, Arts and Crafts Center, Physical Fitness Centers, Outdoor Recreation, The Flightline, Silver Wings Golf Club, Big Mike’s, Youth Center, and the Youth Fitness Center)</t>
        </is>
      </c>
      <c r="L44" s="11" t="n">
        <v>1</v>
      </c>
      <c r="M44" s="12" t="n">
        <v>100</v>
      </c>
      <c r="N44" s="12" t="n">
        <v>300</v>
      </c>
      <c r="O44" s="12" t="n">
        <v>600</v>
      </c>
      <c r="P44" s="12" t="n">
        <v>1200</v>
      </c>
      <c r="Q44" s="12" t="n">
        <v>100</v>
      </c>
      <c r="R44" s="13">
        <f>IF(ISNUMBER(M44),ROUND(M44/(1-Settings!$B$2)/Settings!$B$3,0)*Settings!$B$3,"")</f>
        <v/>
      </c>
      <c r="S44" s="13">
        <f>IF(ISNUMBER(N44),ROUND(N44/(1-Settings!$B$2)/Settings!$B$3,0)*Settings!$B$3,"")</f>
        <v/>
      </c>
      <c r="T44" s="13">
        <f>IF(ISNUMBER(O44),ROUND(O44/(1-Settings!$B$2)/Settings!$B$3,0)*Settings!$B$3,"")</f>
        <v/>
      </c>
      <c r="U44" s="13">
        <f>IF(ISNUMBER(P44),ROUND(P44/(1-Settings!$B$2)/Settings!$B$3,0)*Settings!$B$3,"")</f>
        <v/>
      </c>
      <c r="V44" s="13">
        <f>IF(ISNUMBER(Q44),ROUND(Q44/(1-Settings!$B$2)/Settings!$B$3,0)*Settings!$B$3,"")</f>
        <v/>
      </c>
      <c r="W44" s="14" t="n">
        <v>3860</v>
      </c>
      <c r="X44" s="14" t="n">
        <v>5945</v>
      </c>
      <c r="Y44" s="11" t="inlineStr"/>
      <c r="Z44" s="11" t="inlineStr"/>
      <c r="AA44" s="8" t="inlineStr"/>
      <c r="AB44" s="8" t="inlineStr"/>
      <c r="AC44" s="11" t="inlineStr">
        <is>
          <t>MasterMilitaryOnBaseList 12.2.25 NS.xlsx</t>
        </is>
      </c>
      <c r="AD44" s="11" t="inlineStr">
        <is>
          <t>Gate Marquees - Rucker_Specs.docx</t>
        </is>
      </c>
      <c r="AE44" s="15" t="inlineStr">
        <is>
          <t>Open in Box</t>
        </is>
      </c>
      <c r="AF44" s="15" t="inlineStr">
        <is>
          <t>Open in Box</t>
        </is>
      </c>
    </row>
    <row r="45">
      <c r="A45" s="11" t="inlineStr">
        <is>
          <t>AL-FORTNOVO-011</t>
        </is>
      </c>
      <c r="B45" s="8" t="inlineStr">
        <is>
          <t>Fort Novosel</t>
        </is>
      </c>
      <c r="C45" s="11" t="inlineStr">
        <is>
          <t>Fort Rucker</t>
        </is>
      </c>
      <c r="D45" s="11" t="inlineStr">
        <is>
          <t>AL</t>
        </is>
      </c>
      <c r="E45" s="11" t="inlineStr">
        <is>
          <t>Montgomery</t>
        </is>
      </c>
      <c r="F45" s="11" t="inlineStr">
        <is>
          <t>36322</t>
        </is>
      </c>
      <c r="G45" s="11" t="inlineStr">
        <is>
          <t>Army</t>
        </is>
      </c>
      <c r="H45" s="11" t="inlineStr">
        <is>
          <t>Web &amp; Email</t>
        </is>
      </c>
      <c r="I45" s="8" t="inlineStr">
        <is>
          <t>Facebook Page Exposure (1 post/week)</t>
        </is>
      </c>
      <c r="J45" s="11" t="inlineStr">
        <is>
          <t>1080x1080px or higher</t>
        </is>
      </c>
      <c r="K45" s="8" t="inlineStr">
        <is>
          <t>Your ad will appear on Fort Novosel's Facebook page reaching an audience of 23,000 and growing including military soldiers, family members, civilians, and retirees.</t>
        </is>
      </c>
      <c r="L45" s="11" t="n">
        <v>1</v>
      </c>
      <c r="M45" s="12" t="n">
        <v>150</v>
      </c>
      <c r="N45" s="12" t="n">
        <v>450</v>
      </c>
      <c r="O45" s="12" t="n">
        <v>900</v>
      </c>
      <c r="P45" s="12" t="n">
        <v>1000</v>
      </c>
      <c r="Q45" s="12" t="n">
        <v>0</v>
      </c>
      <c r="R45" s="13">
        <f>IF(ISNUMBER(M45),ROUND(M45/(1-Settings!$B$2)/Settings!$B$3,0)*Settings!$B$3,"")</f>
        <v/>
      </c>
      <c r="S45" s="13">
        <f>IF(ISNUMBER(N45),ROUND(N45/(1-Settings!$B$2)/Settings!$B$3,0)*Settings!$B$3,"")</f>
        <v/>
      </c>
      <c r="T45" s="13">
        <f>IF(ISNUMBER(O45),ROUND(O45/(1-Settings!$B$2)/Settings!$B$3,0)*Settings!$B$3,"")</f>
        <v/>
      </c>
      <c r="U45" s="13">
        <f>IF(ISNUMBER(P45),ROUND(P45/(1-Settings!$B$2)/Settings!$B$3,0)*Settings!$B$3,"")</f>
        <v/>
      </c>
      <c r="V45" s="13">
        <f>IF(ISNUMBER(Q45),ROUND(Q45/(1-Settings!$B$2)/Settings!$B$3,0)*Settings!$B$3,"")</f>
        <v/>
      </c>
      <c r="W45" s="14" t="n">
        <v>3860</v>
      </c>
      <c r="X45" s="14" t="n">
        <v>5945</v>
      </c>
      <c r="Y45" s="11" t="inlineStr"/>
      <c r="Z45" s="11" t="inlineStr"/>
      <c r="AA45" s="8" t="inlineStr"/>
      <c r="AB45" s="8" t="inlineStr"/>
      <c r="AC45" s="11" t="inlineStr">
        <is>
          <t>MasterMilitaryOnBaseList 12.2.25 NS.xlsx</t>
        </is>
      </c>
      <c r="AD45" s="11" t="inlineStr">
        <is>
          <t>Gate Marquees - Rucker_Specs.docx</t>
        </is>
      </c>
      <c r="AE45" s="15" t="inlineStr">
        <is>
          <t>Open in Box</t>
        </is>
      </c>
      <c r="AF45" s="15" t="inlineStr">
        <is>
          <t>Open in Box</t>
        </is>
      </c>
    </row>
    <row r="46">
      <c r="A46" s="11" t="inlineStr">
        <is>
          <t>AL-FORTNOVO-012</t>
        </is>
      </c>
      <c r="B46" s="8" t="inlineStr">
        <is>
          <t>Fort Novosel</t>
        </is>
      </c>
      <c r="C46" s="11" t="inlineStr">
        <is>
          <t>Fort Rucker</t>
        </is>
      </c>
      <c r="D46" s="11" t="inlineStr">
        <is>
          <t>AL</t>
        </is>
      </c>
      <c r="E46" s="11" t="inlineStr">
        <is>
          <t>Montgomery</t>
        </is>
      </c>
      <c r="F46" s="11" t="inlineStr">
        <is>
          <t>36322</t>
        </is>
      </c>
      <c r="G46" s="11" t="inlineStr">
        <is>
          <t>Army</t>
        </is>
      </c>
      <c r="H46" s="11" t="inlineStr">
        <is>
          <t>Web &amp; Email</t>
        </is>
      </c>
      <c r="I46" s="8" t="inlineStr">
        <is>
          <t>Facebook Page Exposure (2 posts/week)</t>
        </is>
      </c>
      <c r="J46" s="11" t="inlineStr">
        <is>
          <t>1080x1080px or higher</t>
        </is>
      </c>
      <c r="K46" s="8" t="inlineStr">
        <is>
          <t>Your ad will appear on Fort Novosel's Facebook page reaching an audience of 23,000 and growing including military soldiers, family members, civilians, and retirees.</t>
        </is>
      </c>
      <c r="L46" s="11" t="n">
        <v>1</v>
      </c>
      <c r="M46" s="12" t="n">
        <v>250</v>
      </c>
      <c r="N46" s="12" t="n">
        <v>750</v>
      </c>
      <c r="O46" s="12" t="n">
        <v>1500</v>
      </c>
      <c r="P46" s="12" t="n">
        <v>3000</v>
      </c>
      <c r="Q46" s="12" t="n">
        <v>0</v>
      </c>
      <c r="R46" s="13">
        <f>IF(ISNUMBER(M46),ROUND(M46/(1-Settings!$B$2)/Settings!$B$3,0)*Settings!$B$3,"")</f>
        <v/>
      </c>
      <c r="S46" s="13">
        <f>IF(ISNUMBER(N46),ROUND(N46/(1-Settings!$B$2)/Settings!$B$3,0)*Settings!$B$3,"")</f>
        <v/>
      </c>
      <c r="T46" s="13">
        <f>IF(ISNUMBER(O46),ROUND(O46/(1-Settings!$B$2)/Settings!$B$3,0)*Settings!$B$3,"")</f>
        <v/>
      </c>
      <c r="U46" s="13">
        <f>IF(ISNUMBER(P46),ROUND(P46/(1-Settings!$B$2)/Settings!$B$3,0)*Settings!$B$3,"")</f>
        <v/>
      </c>
      <c r="V46" s="13">
        <f>IF(ISNUMBER(Q46),ROUND(Q46/(1-Settings!$B$2)/Settings!$B$3,0)*Settings!$B$3,"")</f>
        <v/>
      </c>
      <c r="W46" s="14" t="n">
        <v>3860</v>
      </c>
      <c r="X46" s="14" t="n">
        <v>5945</v>
      </c>
      <c r="Y46" s="11" t="inlineStr"/>
      <c r="Z46" s="11" t="inlineStr"/>
      <c r="AA46" s="8" t="inlineStr"/>
      <c r="AB46" s="8" t="inlineStr"/>
      <c r="AC46" s="11" t="inlineStr">
        <is>
          <t>MasterMilitaryOnBaseList 12.2.25 NS.xlsx</t>
        </is>
      </c>
      <c r="AD46" s="11" t="inlineStr">
        <is>
          <t>Gate Marquees - Rucker_Specs.docx</t>
        </is>
      </c>
      <c r="AE46" s="15" t="inlineStr">
        <is>
          <t>Open in Box</t>
        </is>
      </c>
      <c r="AF46" s="15" t="inlineStr">
        <is>
          <t>Open in Box</t>
        </is>
      </c>
    </row>
    <row r="47">
      <c r="A47" s="11" t="inlineStr">
        <is>
          <t>AL-FORTNOVO-013</t>
        </is>
      </c>
      <c r="B47" s="8" t="inlineStr">
        <is>
          <t>Fort Novosel</t>
        </is>
      </c>
      <c r="C47" s="11" t="inlineStr">
        <is>
          <t>Fort Rucker</t>
        </is>
      </c>
      <c r="D47" s="11" t="inlineStr">
        <is>
          <t>AL</t>
        </is>
      </c>
      <c r="E47" s="11" t="inlineStr">
        <is>
          <t>Montgomery</t>
        </is>
      </c>
      <c r="F47" s="11" t="inlineStr">
        <is>
          <t>36322</t>
        </is>
      </c>
      <c r="G47" s="11" t="inlineStr">
        <is>
          <t>Army</t>
        </is>
      </c>
      <c r="H47" s="11" t="inlineStr">
        <is>
          <t>Web &amp; Email</t>
        </is>
      </c>
      <c r="I47" s="8" t="inlineStr">
        <is>
          <t>Facebook Page Exposure (3 posts/week)</t>
        </is>
      </c>
      <c r="J47" s="11" t="inlineStr">
        <is>
          <t>1080x1080px or higher</t>
        </is>
      </c>
      <c r="K47" s="8" t="inlineStr">
        <is>
          <t>Your ad will appear on Fort Novosel's Facebook page reaching an audience of 23,000 and growing including military soldiers, family members, civilians, and retirees.</t>
        </is>
      </c>
      <c r="L47" s="11" t="n">
        <v>1</v>
      </c>
      <c r="M47" s="12" t="n">
        <v>325</v>
      </c>
      <c r="N47" s="12" t="n">
        <v>975</v>
      </c>
      <c r="O47" s="12" t="n">
        <v>1950</v>
      </c>
      <c r="P47" s="12" t="n">
        <v>3900</v>
      </c>
      <c r="Q47" s="12" t="n">
        <v>0</v>
      </c>
      <c r="R47" s="13">
        <f>IF(ISNUMBER(M47),ROUND(M47/(1-Settings!$B$2)/Settings!$B$3,0)*Settings!$B$3,"")</f>
        <v/>
      </c>
      <c r="S47" s="13">
        <f>IF(ISNUMBER(N47),ROUND(N47/(1-Settings!$B$2)/Settings!$B$3,0)*Settings!$B$3,"")</f>
        <v/>
      </c>
      <c r="T47" s="13">
        <f>IF(ISNUMBER(O47),ROUND(O47/(1-Settings!$B$2)/Settings!$B$3,0)*Settings!$B$3,"")</f>
        <v/>
      </c>
      <c r="U47" s="13">
        <f>IF(ISNUMBER(P47),ROUND(P47/(1-Settings!$B$2)/Settings!$B$3,0)*Settings!$B$3,"")</f>
        <v/>
      </c>
      <c r="V47" s="13">
        <f>IF(ISNUMBER(Q47),ROUND(Q47/(1-Settings!$B$2)/Settings!$B$3,0)*Settings!$B$3,"")</f>
        <v/>
      </c>
      <c r="W47" s="14" t="n">
        <v>3860</v>
      </c>
      <c r="X47" s="14" t="n">
        <v>5945</v>
      </c>
      <c r="Y47" s="11" t="inlineStr"/>
      <c r="Z47" s="11" t="inlineStr"/>
      <c r="AA47" s="8" t="inlineStr"/>
      <c r="AB47" s="8" t="inlineStr"/>
      <c r="AC47" s="11" t="inlineStr">
        <is>
          <t>MasterMilitaryOnBaseList 12.2.25 NS.xlsx</t>
        </is>
      </c>
      <c r="AD47" s="11" t="inlineStr">
        <is>
          <t>Gate Marquees - Rucker_Specs.docx</t>
        </is>
      </c>
      <c r="AE47" s="15" t="inlineStr">
        <is>
          <t>Open in Box</t>
        </is>
      </c>
      <c r="AF47" s="15" t="inlineStr">
        <is>
          <t>Open in Box</t>
        </is>
      </c>
    </row>
    <row r="48">
      <c r="A48" s="11" t="inlineStr">
        <is>
          <t>AL-FORTNOVO-015</t>
        </is>
      </c>
      <c r="B48" s="8" t="inlineStr">
        <is>
          <t>Fort Novosel</t>
        </is>
      </c>
      <c r="C48" s="11" t="inlineStr"/>
      <c r="D48" s="11" t="inlineStr">
        <is>
          <t>AL</t>
        </is>
      </c>
      <c r="E48" s="11" t="inlineStr">
        <is>
          <t>Montgomery</t>
        </is>
      </c>
      <c r="F48" s="11" t="inlineStr"/>
      <c r="G48" s="11" t="inlineStr">
        <is>
          <t>Army</t>
        </is>
      </c>
      <c r="H48" s="11" t="inlineStr">
        <is>
          <t>Web &amp; Email</t>
        </is>
      </c>
      <c r="I48" s="8" t="inlineStr">
        <is>
          <t>Weekly E-Newsletter Ad</t>
        </is>
      </c>
      <c r="J48" s="11" t="inlineStr"/>
      <c r="K48" s="8" t="inlineStr">
        <is>
          <t>Your ad will appear in the weekly e-newsletter emailed to the installation community.</t>
        </is>
      </c>
      <c r="L48" s="11" t="n">
        <v>1</v>
      </c>
      <c r="M48" s="12" t="n">
        <v>250</v>
      </c>
      <c r="N48" s="12" t="n"/>
      <c r="O48" s="12" t="n"/>
      <c r="P48" s="12" t="n"/>
      <c r="Q48" s="12" t="n"/>
      <c r="R48" s="13">
        <f>IF(ISNUMBER(M48),ROUND(M48/(1-Settings!$B$2)/Settings!$B$3,0)*Settings!$B$3,"")</f>
        <v/>
      </c>
      <c r="S48" s="13">
        <f>IF(ISNUMBER(N48),ROUND(N48/(1-Settings!$B$2)/Settings!$B$3,0)*Settings!$B$3,"")</f>
        <v/>
      </c>
      <c r="T48" s="13">
        <f>IF(ISNUMBER(O48),ROUND(O48/(1-Settings!$B$2)/Settings!$B$3,0)*Settings!$B$3,"")</f>
        <v/>
      </c>
      <c r="U48" s="13">
        <f>IF(ISNUMBER(P48),ROUND(P48/(1-Settings!$B$2)/Settings!$B$3,0)*Settings!$B$3,"")</f>
        <v/>
      </c>
      <c r="V48" s="13">
        <f>IF(ISNUMBER(Q48),ROUND(Q48/(1-Settings!$B$2)/Settings!$B$3,0)*Settings!$B$3,"")</f>
        <v/>
      </c>
      <c r="W48" s="14" t="n">
        <v>3860</v>
      </c>
      <c r="X48" s="14" t="n">
        <v>5945</v>
      </c>
      <c r="Y48" s="11" t="inlineStr">
        <is>
          <t>2026</t>
        </is>
      </c>
      <c r="Z48" s="11" t="inlineStr">
        <is>
          <t>2026-06</t>
        </is>
      </c>
      <c r="AA48" s="8" t="inlineStr"/>
      <c r="AB48" s="8" t="inlineStr"/>
      <c r="AC48" s="11" t="inlineStr">
        <is>
          <t>Military - National Publication Inventory Master_June 2026.xlsx</t>
        </is>
      </c>
      <c r="AD48" s="11" t="inlineStr">
        <is>
          <t>Gate Marquees - Rucker_Specs.docx</t>
        </is>
      </c>
      <c r="AE48" s="15" t="inlineStr">
        <is>
          <t>Open in Box</t>
        </is>
      </c>
      <c r="AF48" s="15" t="inlineStr">
        <is>
          <t>Open in Box</t>
        </is>
      </c>
    </row>
    <row r="49">
      <c r="A49" s="11" t="inlineStr">
        <is>
          <t>AL-MAXWELLA-001</t>
        </is>
      </c>
      <c r="B49" s="8" t="inlineStr">
        <is>
          <t>Maxwell AFB (Incl. Gunter)</t>
        </is>
      </c>
      <c r="C49" s="11" t="inlineStr">
        <is>
          <t>Maxwell-Gunter AFB</t>
        </is>
      </c>
      <c r="D49" s="11" t="inlineStr">
        <is>
          <t>AL</t>
        </is>
      </c>
      <c r="E49" s="11" t="inlineStr">
        <is>
          <t>Montgomery-Selma</t>
        </is>
      </c>
      <c r="F49" s="11" t="inlineStr">
        <is>
          <t>36112</t>
        </is>
      </c>
      <c r="G49" s="11" t="inlineStr">
        <is>
          <t>Air Force</t>
        </is>
      </c>
      <c r="H49" s="11" t="inlineStr">
        <is>
          <t>Digital</t>
        </is>
      </c>
      <c r="I49" s="8" t="inlineStr">
        <is>
          <t>Bowling Center Monitors</t>
        </is>
      </c>
      <c r="J49" s="11" t="inlineStr"/>
      <c r="K49" s="8" t="inlineStr">
        <is>
          <t>Your static ad will appear on 10 monitors in the on-base Gunter Lanes</t>
        </is>
      </c>
      <c r="L49" s="11" t="n">
        <v>3</v>
      </c>
      <c r="M49" s="12" t="n"/>
      <c r="N49" s="12" t="n">
        <v>300</v>
      </c>
      <c r="O49" s="12" t="n">
        <v>500</v>
      </c>
      <c r="P49" s="12" t="n">
        <v>900</v>
      </c>
      <c r="Q49" s="12" t="n">
        <v>0</v>
      </c>
      <c r="R49" s="13">
        <f>IF(ISNUMBER(M49),ROUND(M49/(1-Settings!$B$2)/Settings!$B$3,0)*Settings!$B$3,"")</f>
        <v/>
      </c>
      <c r="S49" s="13">
        <f>IF(ISNUMBER(N49),ROUND(N49/(1-Settings!$B$2)/Settings!$B$3,0)*Settings!$B$3,"")</f>
        <v/>
      </c>
      <c r="T49" s="13">
        <f>IF(ISNUMBER(O49),ROUND(O49/(1-Settings!$B$2)/Settings!$B$3,0)*Settings!$B$3,"")</f>
        <v/>
      </c>
      <c r="U49" s="13">
        <f>IF(ISNUMBER(P49),ROUND(P49/(1-Settings!$B$2)/Settings!$B$3,0)*Settings!$B$3,"")</f>
        <v/>
      </c>
      <c r="V49" s="13">
        <f>IF(ISNUMBER(Q49),ROUND(Q49/(1-Settings!$B$2)/Settings!$B$3,0)*Settings!$B$3,"")</f>
        <v/>
      </c>
      <c r="W49" s="14" t="n">
        <v>3012</v>
      </c>
      <c r="X49" s="14" t="n">
        <v>5336</v>
      </c>
      <c r="Y49" s="11" t="inlineStr"/>
      <c r="Z49" s="11" t="inlineStr"/>
      <c r="AA49" s="8" t="inlineStr"/>
      <c r="AB49" s="16" t="inlineStr">
        <is>
          <t>Source formula errors</t>
        </is>
      </c>
      <c r="AC49" s="11" t="inlineStr">
        <is>
          <t>MasterMilitaryOnBaseList 12.2.25 NS.xlsx</t>
        </is>
      </c>
      <c r="AD49" s="11" t="inlineStr">
        <is>
          <t>2026 Advertising Rates.pdf</t>
        </is>
      </c>
      <c r="AE49" s="15" t="inlineStr">
        <is>
          <t>Open in Box</t>
        </is>
      </c>
      <c r="AF49" s="15" t="inlineStr">
        <is>
          <t>Open in Box</t>
        </is>
      </c>
    </row>
    <row r="50">
      <c r="A50" s="11" t="inlineStr">
        <is>
          <t>AL-MAXWELLA-002</t>
        </is>
      </c>
      <c r="B50" s="8" t="inlineStr">
        <is>
          <t>Maxwell AFB (Incl. Gunter)</t>
        </is>
      </c>
      <c r="C50" s="11" t="inlineStr">
        <is>
          <t>Maxwell-Gunter AFB</t>
        </is>
      </c>
      <c r="D50" s="11" t="inlineStr">
        <is>
          <t>AL</t>
        </is>
      </c>
      <c r="E50" s="11" t="inlineStr">
        <is>
          <t>Montgomery-Selma</t>
        </is>
      </c>
      <c r="F50" s="11" t="inlineStr">
        <is>
          <t>36112</t>
        </is>
      </c>
      <c r="G50" s="11" t="inlineStr">
        <is>
          <t>Air Force</t>
        </is>
      </c>
      <c r="H50" s="11" t="inlineStr">
        <is>
          <t>Digital</t>
        </is>
      </c>
      <c r="I50" s="8" t="inlineStr">
        <is>
          <t>Digital Kiosk Network</t>
        </is>
      </c>
      <c r="J50" s="11" t="inlineStr">
        <is>
          <t>1080pxW x 1920pxH</t>
        </is>
      </c>
      <c r="K50" s="8" t="inlineStr">
        <is>
          <t>Your ad will appear on digital screens in high traffic areas on Maxwell and Gunter. (Screens located at the Airman &amp; Family Readiness Center, Range 42 Bar &amp; Grill, Maxwell Club and Event Center, Aviation Cadet Pool, Rickenbacker’s Coffee Shop, Hangar 42 Coffee Shop, University Inn/Lodging, Military Personnel Flight Section Lobbies, Outdoor Recreation Office, Fitness Centers, Child Development Centers, Maxwell and Gunter Youth Centers and Gunter Lanes)</t>
        </is>
      </c>
      <c r="L50" s="11" t="n">
        <v>1</v>
      </c>
      <c r="M50" s="12" t="n">
        <v>200</v>
      </c>
      <c r="N50" s="12" t="n">
        <v>500</v>
      </c>
      <c r="O50" s="12" t="n">
        <v>900</v>
      </c>
      <c r="P50" s="12" t="n">
        <v>1500</v>
      </c>
      <c r="Q50" s="12" t="n">
        <v>0</v>
      </c>
      <c r="R50" s="13">
        <f>IF(ISNUMBER(M50),ROUND(M50/(1-Settings!$B$2)/Settings!$B$3,0)*Settings!$B$3,"")</f>
        <v/>
      </c>
      <c r="S50" s="13">
        <f>IF(ISNUMBER(N50),ROUND(N50/(1-Settings!$B$2)/Settings!$B$3,0)*Settings!$B$3,"")</f>
        <v/>
      </c>
      <c r="T50" s="13">
        <f>IF(ISNUMBER(O50),ROUND(O50/(1-Settings!$B$2)/Settings!$B$3,0)*Settings!$B$3,"")</f>
        <v/>
      </c>
      <c r="U50" s="13">
        <f>IF(ISNUMBER(P50),ROUND(P50/(1-Settings!$B$2)/Settings!$B$3,0)*Settings!$B$3,"")</f>
        <v/>
      </c>
      <c r="V50" s="13">
        <f>IF(ISNUMBER(Q50),ROUND(Q50/(1-Settings!$B$2)/Settings!$B$3,0)*Settings!$B$3,"")</f>
        <v/>
      </c>
      <c r="W50" s="14" t="n">
        <v>3012</v>
      </c>
      <c r="X50" s="14" t="n">
        <v>5336</v>
      </c>
      <c r="Y50" s="11" t="inlineStr"/>
      <c r="Z50" s="11" t="inlineStr"/>
      <c r="AA50" s="8" t="inlineStr"/>
      <c r="AB50" s="8" t="inlineStr"/>
      <c r="AC50" s="11" t="inlineStr">
        <is>
          <t>MasterMilitaryOnBaseList 12.2.25 NS.xlsx</t>
        </is>
      </c>
      <c r="AD50" s="11" t="inlineStr">
        <is>
          <t>2026 Advertising Rates.pdf</t>
        </is>
      </c>
      <c r="AE50" s="15" t="inlineStr">
        <is>
          <t>Open in Box</t>
        </is>
      </c>
      <c r="AF50" s="15" t="inlineStr">
        <is>
          <t>Open in Box</t>
        </is>
      </c>
    </row>
    <row r="51">
      <c r="A51" s="11" t="inlineStr">
        <is>
          <t>AL-MAXWELLA-003</t>
        </is>
      </c>
      <c r="B51" s="8" t="inlineStr">
        <is>
          <t>Maxwell AFB (Incl. Gunter)</t>
        </is>
      </c>
      <c r="C51" s="11" t="inlineStr">
        <is>
          <t>Maxwell-Gunter AFB</t>
        </is>
      </c>
      <c r="D51" s="11" t="inlineStr">
        <is>
          <t>AL</t>
        </is>
      </c>
      <c r="E51" s="11" t="inlineStr">
        <is>
          <t>Montgomery-Selma</t>
        </is>
      </c>
      <c r="F51" s="11" t="inlineStr">
        <is>
          <t>36112</t>
        </is>
      </c>
      <c r="G51" s="11" t="inlineStr">
        <is>
          <t>Air Force</t>
        </is>
      </c>
      <c r="H51" s="11" t="inlineStr">
        <is>
          <t>Digital</t>
        </is>
      </c>
      <c r="I51" s="8" t="inlineStr">
        <is>
          <t>Digital Monitor Network</t>
        </is>
      </c>
      <c r="J51" s="11" t="inlineStr">
        <is>
          <t>1632oxW x 864pxH</t>
        </is>
      </c>
      <c r="K51" s="8" t="inlineStr">
        <is>
          <t>Your ad will appear on digital screens in high traffic areas on Maxwell and Gunter. (Screens located at the Airman &amp; Family Readiness Center, Range 42 Bar &amp; Grill, Maxwell Club and Event Center, Aviation Cadet Pool, Rickenbacker’s Coffee Shop, Hangar 42 Coffee Shop, University Inn/Lodging, Military Personnel Flight Section Lobbies, Outdoor Recreation Office, Fitness Centers, Child Development Centers, Maxwell and Gunter Youth Centers and Gunter Lanes)</t>
        </is>
      </c>
      <c r="L51" s="11" t="n">
        <v>1</v>
      </c>
      <c r="M51" s="12" t="n">
        <v>200</v>
      </c>
      <c r="N51" s="12" t="n">
        <v>500</v>
      </c>
      <c r="O51" s="12" t="n">
        <v>900</v>
      </c>
      <c r="P51" s="12" t="n">
        <v>1500</v>
      </c>
      <c r="Q51" s="12" t="n">
        <v>0</v>
      </c>
      <c r="R51" s="13">
        <f>IF(ISNUMBER(M51),ROUND(M51/(1-Settings!$B$2)/Settings!$B$3,0)*Settings!$B$3,"")</f>
        <v/>
      </c>
      <c r="S51" s="13">
        <f>IF(ISNUMBER(N51),ROUND(N51/(1-Settings!$B$2)/Settings!$B$3,0)*Settings!$B$3,"")</f>
        <v/>
      </c>
      <c r="T51" s="13">
        <f>IF(ISNUMBER(O51),ROUND(O51/(1-Settings!$B$2)/Settings!$B$3,0)*Settings!$B$3,"")</f>
        <v/>
      </c>
      <c r="U51" s="13">
        <f>IF(ISNUMBER(P51),ROUND(P51/(1-Settings!$B$2)/Settings!$B$3,0)*Settings!$B$3,"")</f>
        <v/>
      </c>
      <c r="V51" s="13">
        <f>IF(ISNUMBER(Q51),ROUND(Q51/(1-Settings!$B$2)/Settings!$B$3,0)*Settings!$B$3,"")</f>
        <v/>
      </c>
      <c r="W51" s="14" t="n">
        <v>3012</v>
      </c>
      <c r="X51" s="14" t="n">
        <v>5336</v>
      </c>
      <c r="Y51" s="11" t="inlineStr"/>
      <c r="Z51" s="11" t="inlineStr"/>
      <c r="AA51" s="8" t="inlineStr"/>
      <c r="AB51" s="8" t="inlineStr"/>
      <c r="AC51" s="11" t="inlineStr">
        <is>
          <t>MasterMilitaryOnBaseList 12.2.25 NS.xlsx</t>
        </is>
      </c>
      <c r="AD51" s="11" t="inlineStr">
        <is>
          <t>2026 Advertising Rates.pdf</t>
        </is>
      </c>
      <c r="AE51" s="15" t="inlineStr">
        <is>
          <t>Open in Box</t>
        </is>
      </c>
      <c r="AF51" s="15" t="inlineStr">
        <is>
          <t>Open in Box</t>
        </is>
      </c>
    </row>
    <row r="52">
      <c r="A52" s="11" t="inlineStr">
        <is>
          <t>AL-MAXWELLA-004</t>
        </is>
      </c>
      <c r="B52" s="8" t="inlineStr">
        <is>
          <t>Maxwell AFB (Incl. Gunter)</t>
        </is>
      </c>
      <c r="C52" s="11" t="inlineStr">
        <is>
          <t>Maxwell-Gunter AFB</t>
        </is>
      </c>
      <c r="D52" s="11" t="inlineStr">
        <is>
          <t>AL</t>
        </is>
      </c>
      <c r="E52" s="11" t="inlineStr">
        <is>
          <t>Montgomery-Selma</t>
        </is>
      </c>
      <c r="F52" s="11" t="inlineStr">
        <is>
          <t>36112</t>
        </is>
      </c>
      <c r="G52" s="11" t="inlineStr">
        <is>
          <t>Air Force</t>
        </is>
      </c>
      <c r="H52" s="11" t="inlineStr">
        <is>
          <t>Print &amp; Publications</t>
        </is>
      </c>
      <c r="I52" s="8" t="inlineStr">
        <is>
          <t>Weekly Newsletter Ad</t>
        </is>
      </c>
      <c r="J52" s="11" t="inlineStr">
        <is>
          <t>580pxW x 325pxH</t>
        </is>
      </c>
      <c r="K52" s="8" t="inlineStr">
        <is>
          <t>Your ad will appear in the Life at the Max newsletter. Ad will contain a click-through link to the advertiser's website. Price is for 4 issues</t>
        </is>
      </c>
      <c r="L52" s="11" t="n">
        <v>1</v>
      </c>
      <c r="M52" s="12" t="n">
        <v>60</v>
      </c>
      <c r="N52" s="12" t="n">
        <v>180</v>
      </c>
      <c r="O52" s="12" t="n">
        <v>360</v>
      </c>
      <c r="P52" s="12" t="n">
        <v>720</v>
      </c>
      <c r="Q52" s="12" t="n">
        <v>0</v>
      </c>
      <c r="R52" s="13">
        <f>IF(ISNUMBER(M52),ROUND(M52/(1-Settings!$B$2)/Settings!$B$3,0)*Settings!$B$3,"")</f>
        <v/>
      </c>
      <c r="S52" s="13">
        <f>IF(ISNUMBER(N52),ROUND(N52/(1-Settings!$B$2)/Settings!$B$3,0)*Settings!$B$3,"")</f>
        <v/>
      </c>
      <c r="T52" s="13">
        <f>IF(ISNUMBER(O52),ROUND(O52/(1-Settings!$B$2)/Settings!$B$3,0)*Settings!$B$3,"")</f>
        <v/>
      </c>
      <c r="U52" s="13">
        <f>IF(ISNUMBER(P52),ROUND(P52/(1-Settings!$B$2)/Settings!$B$3,0)*Settings!$B$3,"")</f>
        <v/>
      </c>
      <c r="V52" s="13">
        <f>IF(ISNUMBER(Q52),ROUND(Q52/(1-Settings!$B$2)/Settings!$B$3,0)*Settings!$B$3,"")</f>
        <v/>
      </c>
      <c r="W52" s="14" t="n">
        <v>3012</v>
      </c>
      <c r="X52" s="14" t="n">
        <v>5336</v>
      </c>
      <c r="Y52" s="11" t="inlineStr"/>
      <c r="Z52" s="11" t="inlineStr"/>
      <c r="AA52" s="8" t="inlineStr"/>
      <c r="AB52" s="8" t="inlineStr"/>
      <c r="AC52" s="11" t="inlineStr">
        <is>
          <t>MasterMilitaryOnBaseList 12.2.25 NS.xlsx</t>
        </is>
      </c>
      <c r="AD52" s="11" t="inlineStr">
        <is>
          <t>2026 Advertising Rates.pdf</t>
        </is>
      </c>
      <c r="AE52" s="15" t="inlineStr">
        <is>
          <t>Open in Box</t>
        </is>
      </c>
      <c r="AF52" s="15" t="inlineStr">
        <is>
          <t>Open in Box</t>
        </is>
      </c>
    </row>
    <row r="53">
      <c r="A53" s="11" t="inlineStr">
        <is>
          <t>AL-MAXWELLA-005</t>
        </is>
      </c>
      <c r="B53" s="8" t="inlineStr">
        <is>
          <t>Maxwell AFB (Incl. Gunter)</t>
        </is>
      </c>
      <c r="C53" s="11" t="inlineStr"/>
      <c r="D53" s="11" t="inlineStr">
        <is>
          <t>AL</t>
        </is>
      </c>
      <c r="E53" s="11" t="inlineStr">
        <is>
          <t>Montgomery-Selma</t>
        </is>
      </c>
      <c r="F53" s="11" t="inlineStr"/>
      <c r="G53" s="11" t="inlineStr">
        <is>
          <t>Air Force</t>
        </is>
      </c>
      <c r="H53" s="11" t="inlineStr">
        <is>
          <t>Web &amp; Email</t>
        </is>
      </c>
      <c r="I53" s="8" t="inlineStr">
        <is>
          <t>Web Ad</t>
        </is>
      </c>
      <c r="J53" s="11" t="inlineStr"/>
      <c r="K53" s="8" t="inlineStr">
        <is>
          <t>Your ad will appear on the installation MWR / FSS website.</t>
        </is>
      </c>
      <c r="L53" s="11" t="n">
        <v>1</v>
      </c>
      <c r="M53" s="12" t="n">
        <v>200</v>
      </c>
      <c r="N53" s="12" t="n"/>
      <c r="O53" s="12" t="n"/>
      <c r="P53" s="12" t="n"/>
      <c r="Q53" s="12" t="n"/>
      <c r="R53" s="13">
        <f>IF(ISNUMBER(M53),ROUND(M53/(1-Settings!$B$2)/Settings!$B$3,0)*Settings!$B$3,"")</f>
        <v/>
      </c>
      <c r="S53" s="13">
        <f>IF(ISNUMBER(N53),ROUND(N53/(1-Settings!$B$2)/Settings!$B$3,0)*Settings!$B$3,"")</f>
        <v/>
      </c>
      <c r="T53" s="13">
        <f>IF(ISNUMBER(O53),ROUND(O53/(1-Settings!$B$2)/Settings!$B$3,0)*Settings!$B$3,"")</f>
        <v/>
      </c>
      <c r="U53" s="13">
        <f>IF(ISNUMBER(P53),ROUND(P53/(1-Settings!$B$2)/Settings!$B$3,0)*Settings!$B$3,"")</f>
        <v/>
      </c>
      <c r="V53" s="13">
        <f>IF(ISNUMBER(Q53),ROUND(Q53/(1-Settings!$B$2)/Settings!$B$3,0)*Settings!$B$3,"")</f>
        <v/>
      </c>
      <c r="W53" s="14" t="n">
        <v>3012</v>
      </c>
      <c r="X53" s="14" t="n">
        <v>5336</v>
      </c>
      <c r="Y53" s="11" t="inlineStr">
        <is>
          <t>2026</t>
        </is>
      </c>
      <c r="Z53" s="11" t="inlineStr">
        <is>
          <t>2026-06</t>
        </is>
      </c>
      <c r="AA53" s="8" t="inlineStr">
        <is>
          <t>Sent weekly, but price is per month</t>
        </is>
      </c>
      <c r="AB53" s="8" t="inlineStr"/>
      <c r="AC53" s="11" t="inlineStr">
        <is>
          <t>Military - National Publication Inventory Master_June 2026.xlsx</t>
        </is>
      </c>
      <c r="AD53" s="11" t="inlineStr">
        <is>
          <t>2026 Advertising Rates.pdf</t>
        </is>
      </c>
      <c r="AE53" s="15" t="inlineStr">
        <is>
          <t>Open in Box</t>
        </is>
      </c>
      <c r="AF53" s="15" t="inlineStr">
        <is>
          <t>Open in Box</t>
        </is>
      </c>
    </row>
    <row r="54">
      <c r="A54" s="11" t="inlineStr">
        <is>
          <t>AL-REDSTONE-001</t>
        </is>
      </c>
      <c r="B54" s="8" t="inlineStr">
        <is>
          <t>Redstone Arsenal</t>
        </is>
      </c>
      <c r="C54" s="11" t="inlineStr"/>
      <c r="D54" s="11" t="inlineStr">
        <is>
          <t>AL</t>
        </is>
      </c>
      <c r="E54" s="11" t="inlineStr">
        <is>
          <t>Huntsville-Decatur (Flor)</t>
        </is>
      </c>
      <c r="F54" s="11" t="inlineStr">
        <is>
          <t>35898</t>
        </is>
      </c>
      <c r="G54" s="11" t="inlineStr">
        <is>
          <t>Army</t>
        </is>
      </c>
      <c r="H54" s="11" t="inlineStr">
        <is>
          <t>Digital</t>
        </is>
      </c>
      <c r="I54" s="8" t="inlineStr">
        <is>
          <t>Bowling Scoring Monitors</t>
        </is>
      </c>
      <c r="J54" s="11" t="inlineStr"/>
      <c r="K54" s="8" t="inlineStr">
        <is>
          <t>Your ad will appear on 32 digital bowling scoring monitors.</t>
        </is>
      </c>
      <c r="L54" s="11" t="n">
        <v>1</v>
      </c>
      <c r="M54" s="12" t="n">
        <v>1000</v>
      </c>
      <c r="N54" s="12" t="n">
        <v>2500</v>
      </c>
      <c r="O54" s="12" t="n">
        <v>4000</v>
      </c>
      <c r="P54" s="12" t="n">
        <v>6000</v>
      </c>
      <c r="Q54" s="12" t="n">
        <v>0</v>
      </c>
      <c r="R54" s="13">
        <f>IF(ISNUMBER(M54),ROUND(M54/(1-Settings!$B$2)/Settings!$B$3,0)*Settings!$B$3,"")</f>
        <v/>
      </c>
      <c r="S54" s="13">
        <f>IF(ISNUMBER(N54),ROUND(N54/(1-Settings!$B$2)/Settings!$B$3,0)*Settings!$B$3,"")</f>
        <v/>
      </c>
      <c r="T54" s="13">
        <f>IF(ISNUMBER(O54),ROUND(O54/(1-Settings!$B$2)/Settings!$B$3,0)*Settings!$B$3,"")</f>
        <v/>
      </c>
      <c r="U54" s="13">
        <f>IF(ISNUMBER(P54),ROUND(P54/(1-Settings!$B$2)/Settings!$B$3,0)*Settings!$B$3,"")</f>
        <v/>
      </c>
      <c r="V54" s="13">
        <f>IF(ISNUMBER(Q54),ROUND(Q54/(1-Settings!$B$2)/Settings!$B$3,0)*Settings!$B$3,"")</f>
        <v/>
      </c>
      <c r="W54" s="14" t="n">
        <v>588</v>
      </c>
      <c r="X54" s="14" t="n">
        <v>1518</v>
      </c>
      <c r="Y54" s="11" t="inlineStr"/>
      <c r="Z54" s="11" t="inlineStr"/>
      <c r="AA54" s="8" t="inlineStr"/>
      <c r="AB54" s="8" t="inlineStr"/>
      <c r="AC54" s="11" t="inlineStr">
        <is>
          <t>MasterMilitaryOnBaseList 12.2.25 NS.xlsx</t>
        </is>
      </c>
      <c r="AD54" s="11" t="inlineStr">
        <is>
          <t>Gate 8 (Goss Road) Billboard Specs &amp; Map.pdf</t>
        </is>
      </c>
      <c r="AE54" s="15" t="inlineStr">
        <is>
          <t>Open in Box</t>
        </is>
      </c>
      <c r="AF54" s="15" t="inlineStr">
        <is>
          <t>Open in Box</t>
        </is>
      </c>
    </row>
    <row r="55">
      <c r="A55" s="11" t="inlineStr">
        <is>
          <t>AL-REDSTONE-002</t>
        </is>
      </c>
      <c r="B55" s="8" t="inlineStr">
        <is>
          <t>Redstone Arsenal</t>
        </is>
      </c>
      <c r="C55" s="11" t="inlineStr"/>
      <c r="D55" s="11" t="inlineStr">
        <is>
          <t>AL</t>
        </is>
      </c>
      <c r="E55" s="11" t="inlineStr">
        <is>
          <t>Huntsville-Decatur (Flor)</t>
        </is>
      </c>
      <c r="F55" s="11" t="inlineStr">
        <is>
          <t>35898</t>
        </is>
      </c>
      <c r="G55" s="11" t="inlineStr">
        <is>
          <t>Army</t>
        </is>
      </c>
      <c r="H55" s="11" t="inlineStr">
        <is>
          <t>Digital</t>
        </is>
      </c>
      <c r="I55" s="8" t="inlineStr">
        <is>
          <t>Digital Billboard Static Ad</t>
        </is>
      </c>
      <c r="J55" s="11" t="inlineStr">
        <is>
          <t>200pxW x 500pxH</t>
        </is>
      </c>
      <c r="K55" s="8" t="inlineStr">
        <is>
          <t>Your ad will appear on the digital billboard located at Gate 9/Goss Road.</t>
        </is>
      </c>
      <c r="L55" s="11" t="n">
        <v>1</v>
      </c>
      <c r="M55" s="12" t="n">
        <v>3000</v>
      </c>
      <c r="N55" s="12" t="n">
        <v>4000</v>
      </c>
      <c r="O55" s="12" t="n">
        <v>8000</v>
      </c>
      <c r="P55" s="12" t="n">
        <v>16000</v>
      </c>
      <c r="Q55" s="12" t="n">
        <v>0</v>
      </c>
      <c r="R55" s="13">
        <f>IF(ISNUMBER(M55),ROUND(M55/(1-Settings!$B$2)/Settings!$B$3,0)*Settings!$B$3,"")</f>
        <v/>
      </c>
      <c r="S55" s="13">
        <f>IF(ISNUMBER(N55),ROUND(N55/(1-Settings!$B$2)/Settings!$B$3,0)*Settings!$B$3,"")</f>
        <v/>
      </c>
      <c r="T55" s="13">
        <f>IF(ISNUMBER(O55),ROUND(O55/(1-Settings!$B$2)/Settings!$B$3,0)*Settings!$B$3,"")</f>
        <v/>
      </c>
      <c r="U55" s="13">
        <f>IF(ISNUMBER(P55),ROUND(P55/(1-Settings!$B$2)/Settings!$B$3,0)*Settings!$B$3,"")</f>
        <v/>
      </c>
      <c r="V55" s="13">
        <f>IF(ISNUMBER(Q55),ROUND(Q55/(1-Settings!$B$2)/Settings!$B$3,0)*Settings!$B$3,"")</f>
        <v/>
      </c>
      <c r="W55" s="14" t="n">
        <v>588</v>
      </c>
      <c r="X55" s="14" t="n">
        <v>1518</v>
      </c>
      <c r="Y55" s="11" t="inlineStr"/>
      <c r="Z55" s="11" t="inlineStr"/>
      <c r="AA55" s="8" t="inlineStr"/>
      <c r="AB55" s="8" t="inlineStr"/>
      <c r="AC55" s="11" t="inlineStr">
        <is>
          <t>MasterMilitaryOnBaseList 12.2.25 NS.xlsx</t>
        </is>
      </c>
      <c r="AD55" s="11" t="inlineStr">
        <is>
          <t>Gate 8 (Goss Road) Billboard Specs &amp; Map.pdf</t>
        </is>
      </c>
      <c r="AE55" s="15" t="inlineStr">
        <is>
          <t>Open in Box</t>
        </is>
      </c>
      <c r="AF55" s="15" t="inlineStr">
        <is>
          <t>Open in Box</t>
        </is>
      </c>
    </row>
    <row r="56">
      <c r="A56" s="11" t="inlineStr">
        <is>
          <t>AL-REDSTONE-003</t>
        </is>
      </c>
      <c r="B56" s="8" t="inlineStr">
        <is>
          <t>Redstone Arsenal</t>
        </is>
      </c>
      <c r="C56" s="11" t="inlineStr"/>
      <c r="D56" s="11" t="inlineStr">
        <is>
          <t>AL</t>
        </is>
      </c>
      <c r="E56" s="11" t="inlineStr">
        <is>
          <t>Huntsville-Decatur (Flor)</t>
        </is>
      </c>
      <c r="F56" s="11" t="inlineStr">
        <is>
          <t>35898</t>
        </is>
      </c>
      <c r="G56" s="11" t="inlineStr">
        <is>
          <t>Army</t>
        </is>
      </c>
      <c r="H56" s="11" t="inlineStr">
        <is>
          <t>Digital</t>
        </is>
      </c>
      <c r="I56" s="8" t="inlineStr">
        <is>
          <t>Digital Billboard Video Ad</t>
        </is>
      </c>
      <c r="J56" s="11" t="inlineStr">
        <is>
          <t>30FPS / H.264</t>
        </is>
      </c>
      <c r="K56" s="8" t="inlineStr">
        <is>
          <t>Your ad will appear on the digital billboard located at Gate 9/Goss Road.</t>
        </is>
      </c>
      <c r="L56" s="11" t="n">
        <v>1</v>
      </c>
      <c r="M56" s="12" t="n">
        <v>4000</v>
      </c>
      <c r="N56" s="12" t="n">
        <v>5000</v>
      </c>
      <c r="O56" s="12" t="n">
        <v>9000</v>
      </c>
      <c r="P56" s="12" t="n">
        <v>17000</v>
      </c>
      <c r="Q56" s="12" t="n">
        <v>0</v>
      </c>
      <c r="R56" s="13">
        <f>IF(ISNUMBER(M56),ROUND(M56/(1-Settings!$B$2)/Settings!$B$3,0)*Settings!$B$3,"")</f>
        <v/>
      </c>
      <c r="S56" s="13">
        <f>IF(ISNUMBER(N56),ROUND(N56/(1-Settings!$B$2)/Settings!$B$3,0)*Settings!$B$3,"")</f>
        <v/>
      </c>
      <c r="T56" s="13">
        <f>IF(ISNUMBER(O56),ROUND(O56/(1-Settings!$B$2)/Settings!$B$3,0)*Settings!$B$3,"")</f>
        <v/>
      </c>
      <c r="U56" s="13">
        <f>IF(ISNUMBER(P56),ROUND(P56/(1-Settings!$B$2)/Settings!$B$3,0)*Settings!$B$3,"")</f>
        <v/>
      </c>
      <c r="V56" s="13">
        <f>IF(ISNUMBER(Q56),ROUND(Q56/(1-Settings!$B$2)/Settings!$B$3,0)*Settings!$B$3,"")</f>
        <v/>
      </c>
      <c r="W56" s="14" t="n">
        <v>588</v>
      </c>
      <c r="X56" s="14" t="n">
        <v>1518</v>
      </c>
      <c r="Y56" s="11" t="inlineStr"/>
      <c r="Z56" s="11" t="inlineStr"/>
      <c r="AA56" s="8" t="inlineStr"/>
      <c r="AB56" s="8" t="inlineStr"/>
      <c r="AC56" s="11" t="inlineStr">
        <is>
          <t>MasterMilitaryOnBaseList 12.2.25 NS.xlsx</t>
        </is>
      </c>
      <c r="AD56" s="11" t="inlineStr">
        <is>
          <t>Gate 8 (Goss Road) Billboard Specs &amp; Map.pdf</t>
        </is>
      </c>
      <c r="AE56" s="15" t="inlineStr">
        <is>
          <t>Open in Box</t>
        </is>
      </c>
      <c r="AF56" s="15" t="inlineStr">
        <is>
          <t>Open in Box</t>
        </is>
      </c>
    </row>
    <row r="57">
      <c r="A57" s="11" t="inlineStr">
        <is>
          <t>AL-REDSTONE-004</t>
        </is>
      </c>
      <c r="B57" s="8" t="inlineStr">
        <is>
          <t>Redstone Arsenal</t>
        </is>
      </c>
      <c r="C57" s="11" t="inlineStr"/>
      <c r="D57" s="11" t="inlineStr">
        <is>
          <t>AL</t>
        </is>
      </c>
      <c r="E57" s="11" t="inlineStr">
        <is>
          <t>Huntsville-Decatur (Flor)</t>
        </is>
      </c>
      <c r="F57" s="11" t="inlineStr">
        <is>
          <t>35898</t>
        </is>
      </c>
      <c r="G57" s="11" t="inlineStr">
        <is>
          <t>Army</t>
        </is>
      </c>
      <c r="H57" s="11" t="inlineStr">
        <is>
          <t>Digital</t>
        </is>
      </c>
      <c r="I57" s="8" t="inlineStr">
        <is>
          <t>Digital Monitor Network</t>
        </is>
      </c>
      <c r="J57" s="11" t="inlineStr">
        <is>
          <t>1080pxW x 807pxW</t>
        </is>
      </c>
      <c r="K57" s="8" t="inlineStr">
        <is>
          <t>Your ad will appear on digital monitors in approved installation facilities.</t>
        </is>
      </c>
      <c r="L57" s="11" t="n">
        <v>1</v>
      </c>
      <c r="M57" s="12" t="n">
        <v>4000</v>
      </c>
      <c r="N57" s="12" t="n">
        <v>6000</v>
      </c>
      <c r="O57" s="12" t="n">
        <v>8000</v>
      </c>
      <c r="P57" s="12" t="n">
        <v>10000</v>
      </c>
      <c r="Q57" s="12" t="n">
        <v>0</v>
      </c>
      <c r="R57" s="13">
        <f>IF(ISNUMBER(M57),ROUND(M57/(1-Settings!$B$2)/Settings!$B$3,0)*Settings!$B$3,"")</f>
        <v/>
      </c>
      <c r="S57" s="13">
        <f>IF(ISNUMBER(N57),ROUND(N57/(1-Settings!$B$2)/Settings!$B$3,0)*Settings!$B$3,"")</f>
        <v/>
      </c>
      <c r="T57" s="13">
        <f>IF(ISNUMBER(O57),ROUND(O57/(1-Settings!$B$2)/Settings!$B$3,0)*Settings!$B$3,"")</f>
        <v/>
      </c>
      <c r="U57" s="13">
        <f>IF(ISNUMBER(P57),ROUND(P57/(1-Settings!$B$2)/Settings!$B$3,0)*Settings!$B$3,"")</f>
        <v/>
      </c>
      <c r="V57" s="13">
        <f>IF(ISNUMBER(Q57),ROUND(Q57/(1-Settings!$B$2)/Settings!$B$3,0)*Settings!$B$3,"")</f>
        <v/>
      </c>
      <c r="W57" s="14" t="n">
        <v>588</v>
      </c>
      <c r="X57" s="14" t="n">
        <v>1518</v>
      </c>
      <c r="Y57" s="11" t="inlineStr"/>
      <c r="Z57" s="11" t="inlineStr"/>
      <c r="AA57" s="8" t="inlineStr"/>
      <c r="AB57" s="8" t="inlineStr"/>
      <c r="AC57" s="11" t="inlineStr">
        <is>
          <t>MasterMilitaryOnBaseList 12.2.25 NS.xlsx</t>
        </is>
      </c>
      <c r="AD57" s="11" t="inlineStr">
        <is>
          <t>Gate 8 (Goss Road) Billboard Specs &amp; Map.pdf</t>
        </is>
      </c>
      <c r="AE57" s="15" t="inlineStr">
        <is>
          <t>Open in Box</t>
        </is>
      </c>
      <c r="AF57" s="15" t="inlineStr">
        <is>
          <t>Open in Box</t>
        </is>
      </c>
    </row>
    <row r="58">
      <c r="A58" s="11" t="inlineStr">
        <is>
          <t>AL-REDSTONE-005</t>
        </is>
      </c>
      <c r="B58" s="8" t="inlineStr">
        <is>
          <t>Redstone Arsenal</t>
        </is>
      </c>
      <c r="C58" s="11" t="inlineStr"/>
      <c r="D58" s="11" t="inlineStr">
        <is>
          <t>AL</t>
        </is>
      </c>
      <c r="E58" s="11" t="inlineStr">
        <is>
          <t>Huntsville-Decatur (Flor)</t>
        </is>
      </c>
      <c r="F58" s="11" t="inlineStr">
        <is>
          <t>35898</t>
        </is>
      </c>
      <c r="G58" s="11" t="inlineStr">
        <is>
          <t>Army</t>
        </is>
      </c>
      <c r="H58" s="11" t="inlineStr">
        <is>
          <t>Digital</t>
        </is>
      </c>
      <c r="I58" s="8" t="inlineStr">
        <is>
          <t>Pin Sweeps</t>
        </is>
      </c>
      <c r="J58" s="11" t="inlineStr"/>
      <c r="K58" s="8" t="inlineStr">
        <is>
          <t>Your ad will appear on 32 pin sweeps in the Redstone Bowling Lanes</t>
        </is>
      </c>
      <c r="L58" s="11" t="n">
        <v>6</v>
      </c>
      <c r="M58" s="12" t="n"/>
      <c r="N58" s="12" t="n"/>
      <c r="O58" s="12" t="n">
        <v>2500</v>
      </c>
      <c r="P58" s="12" t="n">
        <v>4000</v>
      </c>
      <c r="Q58" s="12" t="n">
        <v>0</v>
      </c>
      <c r="R58" s="13">
        <f>IF(ISNUMBER(M58),ROUND(M58/(1-Settings!$B$2)/Settings!$B$3,0)*Settings!$B$3,"")</f>
        <v/>
      </c>
      <c r="S58" s="13">
        <f>IF(ISNUMBER(N58),ROUND(N58/(1-Settings!$B$2)/Settings!$B$3,0)*Settings!$B$3,"")</f>
        <v/>
      </c>
      <c r="T58" s="13">
        <f>IF(ISNUMBER(O58),ROUND(O58/(1-Settings!$B$2)/Settings!$B$3,0)*Settings!$B$3,"")</f>
        <v/>
      </c>
      <c r="U58" s="13">
        <f>IF(ISNUMBER(P58),ROUND(P58/(1-Settings!$B$2)/Settings!$B$3,0)*Settings!$B$3,"")</f>
        <v/>
      </c>
      <c r="V58" s="13">
        <f>IF(ISNUMBER(Q58),ROUND(Q58/(1-Settings!$B$2)/Settings!$B$3,0)*Settings!$B$3,"")</f>
        <v/>
      </c>
      <c r="W58" s="14" t="n">
        <v>588</v>
      </c>
      <c r="X58" s="14" t="n">
        <v>1518</v>
      </c>
      <c r="Y58" s="11" t="inlineStr"/>
      <c r="Z58" s="11" t="inlineStr"/>
      <c r="AA58" s="8" t="inlineStr"/>
      <c r="AB58" s="8" t="inlineStr"/>
      <c r="AC58" s="11" t="inlineStr">
        <is>
          <t>MasterMilitaryOnBaseList 12.2.25 NS.xlsx</t>
        </is>
      </c>
      <c r="AD58" s="11" t="inlineStr">
        <is>
          <t>Gate 8 (Goss Road) Billboard Specs &amp; Map.pdf</t>
        </is>
      </c>
      <c r="AE58" s="15" t="inlineStr">
        <is>
          <t>Open in Box</t>
        </is>
      </c>
      <c r="AF58" s="15" t="inlineStr">
        <is>
          <t>Open in Box</t>
        </is>
      </c>
    </row>
    <row r="59">
      <c r="A59" s="11" t="inlineStr">
        <is>
          <t>AL-REDSTONE-010</t>
        </is>
      </c>
      <c r="B59" s="8" t="inlineStr">
        <is>
          <t>Redstone Arsenal</t>
        </is>
      </c>
      <c r="C59" s="11" t="inlineStr"/>
      <c r="D59" s="11" t="inlineStr">
        <is>
          <t>AL</t>
        </is>
      </c>
      <c r="E59" s="11" t="inlineStr">
        <is>
          <t>Huntsville-Decatur (Flor)</t>
        </is>
      </c>
      <c r="F59" s="11" t="inlineStr">
        <is>
          <t>35898</t>
        </is>
      </c>
      <c r="G59" s="11" t="inlineStr">
        <is>
          <t>Army</t>
        </is>
      </c>
      <c r="H59" s="11" t="inlineStr">
        <is>
          <t>Large Format</t>
        </is>
      </c>
      <c r="I59" s="8" t="inlineStr">
        <is>
          <t>Beverage Cart Wraps</t>
        </is>
      </c>
      <c r="J59" s="11" t="inlineStr"/>
      <c r="K59" s="8" t="inlineStr">
        <is>
          <t>Your ad will appear on a beverage cart wrap at The Links at Redstone</t>
        </is>
      </c>
      <c r="L59" s="11" t="n">
        <v>12</v>
      </c>
      <c r="M59" s="12" t="n"/>
      <c r="N59" s="12" t="n"/>
      <c r="O59" s="12" t="n"/>
      <c r="P59" s="12" t="n">
        <v>5000</v>
      </c>
      <c r="Q59" s="12" t="n">
        <v>0</v>
      </c>
      <c r="R59" s="13">
        <f>IF(ISNUMBER(M59),ROUND(M59/(1-Settings!$B$2)/Settings!$B$3,0)*Settings!$B$3,"")</f>
        <v/>
      </c>
      <c r="S59" s="13">
        <f>IF(ISNUMBER(N59),ROUND(N59/(1-Settings!$B$2)/Settings!$B$3,0)*Settings!$B$3,"")</f>
        <v/>
      </c>
      <c r="T59" s="13">
        <f>IF(ISNUMBER(O59),ROUND(O59/(1-Settings!$B$2)/Settings!$B$3,0)*Settings!$B$3,"")</f>
        <v/>
      </c>
      <c r="U59" s="13">
        <f>IF(ISNUMBER(P59),ROUND(P59/(1-Settings!$B$2)/Settings!$B$3,0)*Settings!$B$3,"")</f>
        <v/>
      </c>
      <c r="V59" s="13">
        <f>IF(ISNUMBER(Q59),ROUND(Q59/(1-Settings!$B$2)/Settings!$B$3,0)*Settings!$B$3,"")</f>
        <v/>
      </c>
      <c r="W59" s="14" t="n">
        <v>588</v>
      </c>
      <c r="X59" s="14" t="n">
        <v>1518</v>
      </c>
      <c r="Y59" s="11" t="inlineStr"/>
      <c r="Z59" s="11" t="inlineStr"/>
      <c r="AA59" s="8" t="inlineStr"/>
      <c r="AB59" s="8" t="inlineStr"/>
      <c r="AC59" s="11" t="inlineStr">
        <is>
          <t>MasterMilitaryOnBaseList 12.2.25 NS.xlsx</t>
        </is>
      </c>
      <c r="AD59" s="11" t="inlineStr">
        <is>
          <t>Gate 8 (Goss Road) Billboard Specs &amp; Map.pdf</t>
        </is>
      </c>
      <c r="AE59" s="15" t="inlineStr">
        <is>
          <t>Open in Box</t>
        </is>
      </c>
      <c r="AF59" s="15" t="inlineStr">
        <is>
          <t>Open in Box</t>
        </is>
      </c>
    </row>
    <row r="60">
      <c r="A60" s="11" t="inlineStr">
        <is>
          <t>AL-REDSTONE-011</t>
        </is>
      </c>
      <c r="B60" s="8" t="inlineStr">
        <is>
          <t>Redstone Arsenal</t>
        </is>
      </c>
      <c r="C60" s="11" t="inlineStr"/>
      <c r="D60" s="11" t="inlineStr">
        <is>
          <t>AL</t>
        </is>
      </c>
      <c r="E60" s="11" t="inlineStr">
        <is>
          <t>Huntsville-Decatur (Flor)</t>
        </is>
      </c>
      <c r="F60" s="11" t="inlineStr">
        <is>
          <t>35898</t>
        </is>
      </c>
      <c r="G60" s="11" t="inlineStr">
        <is>
          <t>Army</t>
        </is>
      </c>
      <c r="H60" s="11" t="inlineStr">
        <is>
          <t>Large Format</t>
        </is>
      </c>
      <c r="I60" s="8" t="inlineStr">
        <is>
          <t>Counter Wrap</t>
        </is>
      </c>
      <c r="J60" s="11" t="inlineStr">
        <is>
          <t>TBD</t>
        </is>
      </c>
      <c r="K60" s="8" t="inlineStr">
        <is>
          <t>Your ad will appear in an approved installation facility.</t>
        </is>
      </c>
      <c r="L60" s="11" t="n">
        <v>1</v>
      </c>
      <c r="M60" s="12" t="n">
        <v>3000</v>
      </c>
      <c r="N60" s="12" t="n">
        <v>4000</v>
      </c>
      <c r="O60" s="12" t="n">
        <v>6000</v>
      </c>
      <c r="P60" s="12" t="n">
        <v>8000</v>
      </c>
      <c r="Q60" s="12" t="n"/>
      <c r="R60" s="13">
        <f>IF(ISNUMBER(M60),ROUND(M60/(1-Settings!$B$2)/Settings!$B$3,0)*Settings!$B$3,"")</f>
        <v/>
      </c>
      <c r="S60" s="13">
        <f>IF(ISNUMBER(N60),ROUND(N60/(1-Settings!$B$2)/Settings!$B$3,0)*Settings!$B$3,"")</f>
        <v/>
      </c>
      <c r="T60" s="13">
        <f>IF(ISNUMBER(O60),ROUND(O60/(1-Settings!$B$2)/Settings!$B$3,0)*Settings!$B$3,"")</f>
        <v/>
      </c>
      <c r="U60" s="13">
        <f>IF(ISNUMBER(P60),ROUND(P60/(1-Settings!$B$2)/Settings!$B$3,0)*Settings!$B$3,"")</f>
        <v/>
      </c>
      <c r="V60" s="13">
        <f>IF(ISNUMBER(Q60),ROUND(Q60/(1-Settings!$B$2)/Settings!$B$3,0)*Settings!$B$3,"")</f>
        <v/>
      </c>
      <c r="W60" s="14" t="n">
        <v>588</v>
      </c>
      <c r="X60" s="14" t="n">
        <v>1518</v>
      </c>
      <c r="Y60" s="11" t="inlineStr"/>
      <c r="Z60" s="11" t="inlineStr"/>
      <c r="AA60" s="8" t="inlineStr"/>
      <c r="AB60" s="8" t="inlineStr"/>
      <c r="AC60" s="11" t="inlineStr">
        <is>
          <t>MasterMilitaryOnBaseList 12.2.25 NS.xlsx</t>
        </is>
      </c>
      <c r="AD60" s="11" t="inlineStr">
        <is>
          <t>Gate 8 (Goss Road) Billboard Specs &amp; Map.pdf</t>
        </is>
      </c>
      <c r="AE60" s="15" t="inlineStr">
        <is>
          <t>Open in Box</t>
        </is>
      </c>
      <c r="AF60" s="15" t="inlineStr">
        <is>
          <t>Open in Box</t>
        </is>
      </c>
    </row>
    <row r="61">
      <c r="A61" s="11" t="inlineStr">
        <is>
          <t>AL-REDSTONE-012</t>
        </is>
      </c>
      <c r="B61" s="8" t="inlineStr">
        <is>
          <t>Redstone Arsenal</t>
        </is>
      </c>
      <c r="C61" s="11" t="inlineStr"/>
      <c r="D61" s="11" t="inlineStr">
        <is>
          <t>AL</t>
        </is>
      </c>
      <c r="E61" s="11" t="inlineStr">
        <is>
          <t>Huntsville-Decatur (Flor)</t>
        </is>
      </c>
      <c r="F61" s="11" t="inlineStr">
        <is>
          <t>35898</t>
        </is>
      </c>
      <c r="G61" s="11" t="inlineStr">
        <is>
          <t>Army</t>
        </is>
      </c>
      <c r="H61" s="11" t="inlineStr">
        <is>
          <t>Large Format</t>
        </is>
      </c>
      <c r="I61" s="8" t="inlineStr">
        <is>
          <t>Window Clings</t>
        </is>
      </c>
      <c r="J61" s="11" t="inlineStr"/>
      <c r="K61" s="8" t="inlineStr">
        <is>
          <t>Your ad will appear in one location as a window cling.</t>
        </is>
      </c>
      <c r="L61" s="11" t="n">
        <v>12</v>
      </c>
      <c r="M61" s="12" t="n"/>
      <c r="N61" s="12" t="n"/>
      <c r="O61" s="12" t="n"/>
      <c r="P61" s="12" t="n">
        <v>12000</v>
      </c>
      <c r="Q61" s="12" t="n">
        <v>0</v>
      </c>
      <c r="R61" s="13">
        <f>IF(ISNUMBER(M61),ROUND(M61/(1-Settings!$B$2)/Settings!$B$3,0)*Settings!$B$3,"")</f>
        <v/>
      </c>
      <c r="S61" s="13">
        <f>IF(ISNUMBER(N61),ROUND(N61/(1-Settings!$B$2)/Settings!$B$3,0)*Settings!$B$3,"")</f>
        <v/>
      </c>
      <c r="T61" s="13">
        <f>IF(ISNUMBER(O61),ROUND(O61/(1-Settings!$B$2)/Settings!$B$3,0)*Settings!$B$3,"")</f>
        <v/>
      </c>
      <c r="U61" s="13">
        <f>IF(ISNUMBER(P61),ROUND(P61/(1-Settings!$B$2)/Settings!$B$3,0)*Settings!$B$3,"")</f>
        <v/>
      </c>
      <c r="V61" s="13">
        <f>IF(ISNUMBER(Q61),ROUND(Q61/(1-Settings!$B$2)/Settings!$B$3,0)*Settings!$B$3,"")</f>
        <v/>
      </c>
      <c r="W61" s="14" t="n">
        <v>588</v>
      </c>
      <c r="X61" s="14" t="n">
        <v>1518</v>
      </c>
      <c r="Y61" s="11" t="inlineStr"/>
      <c r="Z61" s="11" t="inlineStr"/>
      <c r="AA61" s="8" t="inlineStr"/>
      <c r="AB61" s="8" t="inlineStr"/>
      <c r="AC61" s="11" t="inlineStr">
        <is>
          <t>MasterMilitaryOnBaseList 12.2.25 NS.xlsx</t>
        </is>
      </c>
      <c r="AD61" s="11" t="inlineStr">
        <is>
          <t>Gate 8 (Goss Road) Billboard Specs &amp; Map.pdf</t>
        </is>
      </c>
      <c r="AE61" s="15" t="inlineStr">
        <is>
          <t>Open in Box</t>
        </is>
      </c>
      <c r="AF61" s="15" t="inlineStr">
        <is>
          <t>Open in Box</t>
        </is>
      </c>
    </row>
    <row r="62">
      <c r="A62" s="11" t="inlineStr">
        <is>
          <t>AL-REDSTONE-013</t>
        </is>
      </c>
      <c r="B62" s="8" t="inlineStr">
        <is>
          <t>Redstone Arsenal</t>
        </is>
      </c>
      <c r="C62" s="11" t="inlineStr"/>
      <c r="D62" s="11" t="inlineStr">
        <is>
          <t>AL</t>
        </is>
      </c>
      <c r="E62" s="11" t="inlineStr">
        <is>
          <t>Huntsville-Decatur (Flor)</t>
        </is>
      </c>
      <c r="F62" s="11" t="inlineStr">
        <is>
          <t>35898</t>
        </is>
      </c>
      <c r="G62" s="11" t="inlineStr">
        <is>
          <t>Army</t>
        </is>
      </c>
      <c r="H62" s="11" t="inlineStr">
        <is>
          <t>Print &amp; Publications</t>
        </is>
      </c>
      <c r="I62" s="8" t="inlineStr">
        <is>
          <t>Brochure/Insert</t>
        </is>
      </c>
      <c r="J62" s="11" t="inlineStr"/>
      <c r="K62" s="8" t="inlineStr">
        <is>
          <t>Your ad will appear in a brochure / flyer distributed at 4 approved installation facilities.</t>
        </is>
      </c>
      <c r="L62" s="11" t="n">
        <v>1</v>
      </c>
      <c r="M62" s="12" t="n">
        <v>800</v>
      </c>
      <c r="N62" s="12" t="n">
        <v>1200</v>
      </c>
      <c r="O62" s="12" t="n">
        <v>1600</v>
      </c>
      <c r="P62" s="12" t="n">
        <v>2000</v>
      </c>
      <c r="Q62" s="12" t="n"/>
      <c r="R62" s="13">
        <f>IF(ISNUMBER(M62),ROUND(M62/(1-Settings!$B$2)/Settings!$B$3,0)*Settings!$B$3,"")</f>
        <v/>
      </c>
      <c r="S62" s="13">
        <f>IF(ISNUMBER(N62),ROUND(N62/(1-Settings!$B$2)/Settings!$B$3,0)*Settings!$B$3,"")</f>
        <v/>
      </c>
      <c r="T62" s="13">
        <f>IF(ISNUMBER(O62),ROUND(O62/(1-Settings!$B$2)/Settings!$B$3,0)*Settings!$B$3,"")</f>
        <v/>
      </c>
      <c r="U62" s="13">
        <f>IF(ISNUMBER(P62),ROUND(P62/(1-Settings!$B$2)/Settings!$B$3,0)*Settings!$B$3,"")</f>
        <v/>
      </c>
      <c r="V62" s="13">
        <f>IF(ISNUMBER(Q62),ROUND(Q62/(1-Settings!$B$2)/Settings!$B$3,0)*Settings!$B$3,"")</f>
        <v/>
      </c>
      <c r="W62" s="14" t="n">
        <v>588</v>
      </c>
      <c r="X62" s="14" t="n">
        <v>1518</v>
      </c>
      <c r="Y62" s="11" t="inlineStr"/>
      <c r="Z62" s="11" t="inlineStr"/>
      <c r="AA62" s="8" t="inlineStr"/>
      <c r="AB62" s="8" t="inlineStr"/>
      <c r="AC62" s="11" t="inlineStr">
        <is>
          <t>MasterMilitaryOnBaseList 12.2.25 NS.xlsx</t>
        </is>
      </c>
      <c r="AD62" s="11" t="inlineStr">
        <is>
          <t>Gate 8 (Goss Road) Billboard Specs &amp; Map.pdf</t>
        </is>
      </c>
      <c r="AE62" s="15" t="inlineStr">
        <is>
          <t>Open in Box</t>
        </is>
      </c>
      <c r="AF62" s="15" t="inlineStr">
        <is>
          <t>Open in Box</t>
        </is>
      </c>
    </row>
    <row r="63">
      <c r="A63" s="11" t="inlineStr">
        <is>
          <t>AL-REDSTONE-014</t>
        </is>
      </c>
      <c r="B63" s="8" t="inlineStr">
        <is>
          <t>Redstone Arsenal</t>
        </is>
      </c>
      <c r="C63" s="11" t="inlineStr"/>
      <c r="D63" s="11" t="inlineStr">
        <is>
          <t>AL</t>
        </is>
      </c>
      <c r="E63" s="11" t="inlineStr">
        <is>
          <t>Huntsville-Decatur (Flor)</t>
        </is>
      </c>
      <c r="F63" s="11" t="inlineStr">
        <is>
          <t>35898</t>
        </is>
      </c>
      <c r="G63" s="11" t="inlineStr">
        <is>
          <t>Army</t>
        </is>
      </c>
      <c r="H63" s="11" t="inlineStr">
        <is>
          <t>Sponsorship &amp; Other</t>
        </is>
      </c>
      <c r="I63" s="8" t="inlineStr">
        <is>
          <t>Wi-Fi Splash Page</t>
        </is>
      </c>
      <c r="J63" s="11" t="inlineStr">
        <is>
          <t>400pxW x 150pxH</t>
        </is>
      </c>
      <c r="K63" s="8" t="inlineStr">
        <is>
          <t>Your ad will appear on the Wi-Fi Splash Page which anyone accessing Wi-Fi on-base must visit.</t>
        </is>
      </c>
      <c r="L63" s="11" t="n">
        <v>1</v>
      </c>
      <c r="M63" s="12" t="n">
        <v>4000</v>
      </c>
      <c r="N63" s="12" t="n">
        <v>5000</v>
      </c>
      <c r="O63" s="12" t="n">
        <v>7000</v>
      </c>
      <c r="P63" s="12" t="n">
        <v>9000</v>
      </c>
      <c r="Q63" s="12" t="n">
        <v>0</v>
      </c>
      <c r="R63" s="13">
        <f>IF(ISNUMBER(M63),ROUND(M63/(1-Settings!$B$2)/Settings!$B$3,0)*Settings!$B$3,"")</f>
        <v/>
      </c>
      <c r="S63" s="13">
        <f>IF(ISNUMBER(N63),ROUND(N63/(1-Settings!$B$2)/Settings!$B$3,0)*Settings!$B$3,"")</f>
        <v/>
      </c>
      <c r="T63" s="13">
        <f>IF(ISNUMBER(O63),ROUND(O63/(1-Settings!$B$2)/Settings!$B$3,0)*Settings!$B$3,"")</f>
        <v/>
      </c>
      <c r="U63" s="13">
        <f>IF(ISNUMBER(P63),ROUND(P63/(1-Settings!$B$2)/Settings!$B$3,0)*Settings!$B$3,"")</f>
        <v/>
      </c>
      <c r="V63" s="13">
        <f>IF(ISNUMBER(Q63),ROUND(Q63/(1-Settings!$B$2)/Settings!$B$3,0)*Settings!$B$3,"")</f>
        <v/>
      </c>
      <c r="W63" s="14" t="n">
        <v>588</v>
      </c>
      <c r="X63" s="14" t="n">
        <v>1518</v>
      </c>
      <c r="Y63" s="11" t="inlineStr"/>
      <c r="Z63" s="11" t="inlineStr"/>
      <c r="AA63" s="8" t="inlineStr"/>
      <c r="AB63" s="8" t="inlineStr"/>
      <c r="AC63" s="11" t="inlineStr">
        <is>
          <t>MasterMilitaryOnBaseList 12.2.25 NS.xlsx</t>
        </is>
      </c>
      <c r="AD63" s="11" t="inlineStr">
        <is>
          <t>Gate 8 (Goss Road) Billboard Specs &amp; Map.pdf</t>
        </is>
      </c>
      <c r="AE63" s="15" t="inlineStr">
        <is>
          <t>Open in Box</t>
        </is>
      </c>
      <c r="AF63" s="15" t="inlineStr">
        <is>
          <t>Open in Box</t>
        </is>
      </c>
    </row>
    <row r="64">
      <c r="A64" s="11" t="inlineStr">
        <is>
          <t>AL-REDSTONE-006</t>
        </is>
      </c>
      <c r="B64" s="8" t="inlineStr">
        <is>
          <t>Redstone Arsenal</t>
        </is>
      </c>
      <c r="C64" s="11" t="inlineStr"/>
      <c r="D64" s="11" t="inlineStr">
        <is>
          <t>AL</t>
        </is>
      </c>
      <c r="E64" s="11" t="inlineStr">
        <is>
          <t>Huntsville-Decatur (Flor)</t>
        </is>
      </c>
      <c r="F64" s="11" t="inlineStr">
        <is>
          <t>35898</t>
        </is>
      </c>
      <c r="G64" s="11" t="inlineStr">
        <is>
          <t>Army</t>
        </is>
      </c>
      <c r="H64" s="11" t="inlineStr">
        <is>
          <t>Standard Media</t>
        </is>
      </c>
      <c r="I64" s="8" t="inlineStr">
        <is>
          <t>Banner</t>
        </is>
      </c>
      <c r="J64" s="11" t="inlineStr">
        <is>
          <t>3'x5'</t>
        </is>
      </c>
      <c r="K64" s="8" t="inlineStr">
        <is>
          <t>Your ad will appear in an approved installation facility.</t>
        </is>
      </c>
      <c r="L64" s="11" t="n">
        <v>1</v>
      </c>
      <c r="M64" s="12" t="n">
        <v>1000</v>
      </c>
      <c r="N64" s="12" t="n">
        <v>2000</v>
      </c>
      <c r="O64" s="12" t="n">
        <v>3000</v>
      </c>
      <c r="P64" s="12" t="n">
        <v>3000</v>
      </c>
      <c r="Q64" s="12" t="n">
        <v>200</v>
      </c>
      <c r="R64" s="13">
        <f>IF(ISNUMBER(M64),ROUND(M64/(1-Settings!$B$2)/Settings!$B$3,0)*Settings!$B$3,"")</f>
        <v/>
      </c>
      <c r="S64" s="13">
        <f>IF(ISNUMBER(N64),ROUND(N64/(1-Settings!$B$2)/Settings!$B$3,0)*Settings!$B$3,"")</f>
        <v/>
      </c>
      <c r="T64" s="13">
        <f>IF(ISNUMBER(O64),ROUND(O64/(1-Settings!$B$2)/Settings!$B$3,0)*Settings!$B$3,"")</f>
        <v/>
      </c>
      <c r="U64" s="13">
        <f>IF(ISNUMBER(P64),ROUND(P64/(1-Settings!$B$2)/Settings!$B$3,0)*Settings!$B$3,"")</f>
        <v/>
      </c>
      <c r="V64" s="13">
        <f>IF(ISNUMBER(Q64),ROUND(Q64/(1-Settings!$B$2)/Settings!$B$3,0)*Settings!$B$3,"")</f>
        <v/>
      </c>
      <c r="W64" s="14" t="n">
        <v>588</v>
      </c>
      <c r="X64" s="14" t="n">
        <v>1518</v>
      </c>
      <c r="Y64" s="11" t="inlineStr"/>
      <c r="Z64" s="11" t="inlineStr"/>
      <c r="AA64" s="8" t="inlineStr"/>
      <c r="AB64" s="8" t="inlineStr"/>
      <c r="AC64" s="11" t="inlineStr">
        <is>
          <t>MasterMilitaryOnBaseList 12.2.25 NS.xlsx</t>
        </is>
      </c>
      <c r="AD64" s="11" t="inlineStr">
        <is>
          <t>Gate 8 (Goss Road) Billboard Specs &amp; Map.pdf</t>
        </is>
      </c>
      <c r="AE64" s="15" t="inlineStr">
        <is>
          <t>Open in Box</t>
        </is>
      </c>
      <c r="AF64" s="15" t="inlineStr">
        <is>
          <t>Open in Box</t>
        </is>
      </c>
    </row>
    <row r="65">
      <c r="A65" s="11" t="inlineStr">
        <is>
          <t>AL-REDSTONE-007</t>
        </is>
      </c>
      <c r="B65" s="8" t="inlineStr">
        <is>
          <t>Redstone Arsenal</t>
        </is>
      </c>
      <c r="C65" s="11" t="inlineStr"/>
      <c r="D65" s="11" t="inlineStr">
        <is>
          <t>AL</t>
        </is>
      </c>
      <c r="E65" s="11" t="inlineStr">
        <is>
          <t>Huntsville-Decatur (Flor)</t>
        </is>
      </c>
      <c r="F65" s="11" t="inlineStr">
        <is>
          <t>35898</t>
        </is>
      </c>
      <c r="G65" s="11" t="inlineStr">
        <is>
          <t>Army</t>
        </is>
      </c>
      <c r="H65" s="11" t="inlineStr">
        <is>
          <t>Standard Media</t>
        </is>
      </c>
      <c r="I65" s="8" t="inlineStr">
        <is>
          <t>Framed Poster</t>
        </is>
      </c>
      <c r="J65" s="11" t="inlineStr">
        <is>
          <t>22"W x 28"H</t>
        </is>
      </c>
      <c r="K65" s="8" t="inlineStr">
        <is>
          <t>Your ad will appear in an approved installation facility.</t>
        </is>
      </c>
      <c r="L65" s="11" t="n">
        <v>1</v>
      </c>
      <c r="M65" s="12" t="n">
        <v>400</v>
      </c>
      <c r="N65" s="12" t="n">
        <v>800</v>
      </c>
      <c r="O65" s="12" t="n">
        <v>1000</v>
      </c>
      <c r="P65" s="12" t="n">
        <v>3000</v>
      </c>
      <c r="Q65" s="12" t="n">
        <v>100</v>
      </c>
      <c r="R65" s="13">
        <f>IF(ISNUMBER(M65),ROUND(M65/(1-Settings!$B$2)/Settings!$B$3,0)*Settings!$B$3,"")</f>
        <v/>
      </c>
      <c r="S65" s="13">
        <f>IF(ISNUMBER(N65),ROUND(N65/(1-Settings!$B$2)/Settings!$B$3,0)*Settings!$B$3,"")</f>
        <v/>
      </c>
      <c r="T65" s="13">
        <f>IF(ISNUMBER(O65),ROUND(O65/(1-Settings!$B$2)/Settings!$B$3,0)*Settings!$B$3,"")</f>
        <v/>
      </c>
      <c r="U65" s="13">
        <f>IF(ISNUMBER(P65),ROUND(P65/(1-Settings!$B$2)/Settings!$B$3,0)*Settings!$B$3,"")</f>
        <v/>
      </c>
      <c r="V65" s="13">
        <f>IF(ISNUMBER(Q65),ROUND(Q65/(1-Settings!$B$2)/Settings!$B$3,0)*Settings!$B$3,"")</f>
        <v/>
      </c>
      <c r="W65" s="14" t="n">
        <v>588</v>
      </c>
      <c r="X65" s="14" t="n">
        <v>1518</v>
      </c>
      <c r="Y65" s="11" t="inlineStr"/>
      <c r="Z65" s="11" t="inlineStr"/>
      <c r="AA65" s="8" t="inlineStr"/>
      <c r="AB65" s="8" t="inlineStr"/>
      <c r="AC65" s="11" t="inlineStr">
        <is>
          <t>MasterMilitaryOnBaseList 12.2.25 NS.xlsx</t>
        </is>
      </c>
      <c r="AD65" s="11" t="inlineStr">
        <is>
          <t>Gate 8 (Goss Road) Billboard Specs &amp; Map.pdf</t>
        </is>
      </c>
      <c r="AE65" s="15" t="inlineStr">
        <is>
          <t>Open in Box</t>
        </is>
      </c>
      <c r="AF65" s="15" t="inlineStr">
        <is>
          <t>Open in Box</t>
        </is>
      </c>
    </row>
    <row r="66">
      <c r="A66" s="11" t="inlineStr">
        <is>
          <t>AL-REDSTONE-008</t>
        </is>
      </c>
      <c r="B66" s="8" t="inlineStr">
        <is>
          <t>Redstone Arsenal</t>
        </is>
      </c>
      <c r="C66" s="11" t="inlineStr"/>
      <c r="D66" s="11" t="inlineStr">
        <is>
          <t>AL</t>
        </is>
      </c>
      <c r="E66" s="11" t="inlineStr">
        <is>
          <t>Huntsville-Decatur (Flor)</t>
        </is>
      </c>
      <c r="F66" s="11" t="inlineStr">
        <is>
          <t>35898</t>
        </is>
      </c>
      <c r="G66" s="11" t="inlineStr">
        <is>
          <t>Army</t>
        </is>
      </c>
      <c r="H66" s="11" t="inlineStr">
        <is>
          <t>Standard Media</t>
        </is>
      </c>
      <c r="I66" s="8" t="inlineStr">
        <is>
          <t>Lightbox Advertisement</t>
        </is>
      </c>
      <c r="J66" s="11" t="inlineStr"/>
      <c r="K66" s="8" t="inlineStr">
        <is>
          <t>Your ad will appear on a Lightbox Sign at an extrance or exit.</t>
        </is>
      </c>
      <c r="L66" s="11" t="n">
        <v>1</v>
      </c>
      <c r="M66" s="12" t="n">
        <v>1000</v>
      </c>
      <c r="N66" s="12" t="n">
        <v>2000</v>
      </c>
      <c r="O66" s="12" t="n">
        <v>3000</v>
      </c>
      <c r="P66" s="12" t="n">
        <v>4000</v>
      </c>
      <c r="Q66" s="12" t="n">
        <v>0</v>
      </c>
      <c r="R66" s="13">
        <f>IF(ISNUMBER(M66),ROUND(M66/(1-Settings!$B$2)/Settings!$B$3,0)*Settings!$B$3,"")</f>
        <v/>
      </c>
      <c r="S66" s="13">
        <f>IF(ISNUMBER(N66),ROUND(N66/(1-Settings!$B$2)/Settings!$B$3,0)*Settings!$B$3,"")</f>
        <v/>
      </c>
      <c r="T66" s="13">
        <f>IF(ISNUMBER(O66),ROUND(O66/(1-Settings!$B$2)/Settings!$B$3,0)*Settings!$B$3,"")</f>
        <v/>
      </c>
      <c r="U66" s="13">
        <f>IF(ISNUMBER(P66),ROUND(P66/(1-Settings!$B$2)/Settings!$B$3,0)*Settings!$B$3,"")</f>
        <v/>
      </c>
      <c r="V66" s="13">
        <f>IF(ISNUMBER(Q66),ROUND(Q66/(1-Settings!$B$2)/Settings!$B$3,0)*Settings!$B$3,"")</f>
        <v/>
      </c>
      <c r="W66" s="14" t="n">
        <v>588</v>
      </c>
      <c r="X66" s="14" t="n">
        <v>1518</v>
      </c>
      <c r="Y66" s="11" t="inlineStr"/>
      <c r="Z66" s="11" t="inlineStr"/>
      <c r="AA66" s="8" t="inlineStr"/>
      <c r="AB66" s="8" t="inlineStr"/>
      <c r="AC66" s="11" t="inlineStr">
        <is>
          <t>MasterMilitaryOnBaseList 12.2.25 NS.xlsx</t>
        </is>
      </c>
      <c r="AD66" s="11" t="inlineStr">
        <is>
          <t>Gate 8 (Goss Road) Billboard Specs &amp; Map.pdf</t>
        </is>
      </c>
      <c r="AE66" s="15" t="inlineStr">
        <is>
          <t>Open in Box</t>
        </is>
      </c>
      <c r="AF66" s="15" t="inlineStr">
        <is>
          <t>Open in Box</t>
        </is>
      </c>
    </row>
    <row r="67">
      <c r="A67" s="11" t="inlineStr">
        <is>
          <t>AL-REDSTONE-009</t>
        </is>
      </c>
      <c r="B67" s="8" t="inlineStr">
        <is>
          <t>Redstone Arsenal</t>
        </is>
      </c>
      <c r="C67" s="11" t="inlineStr"/>
      <c r="D67" s="11" t="inlineStr">
        <is>
          <t>AL</t>
        </is>
      </c>
      <c r="E67" s="11" t="inlineStr">
        <is>
          <t>Huntsville-Decatur (Flor)</t>
        </is>
      </c>
      <c r="F67" s="11" t="inlineStr">
        <is>
          <t>35898</t>
        </is>
      </c>
      <c r="G67" s="11" t="inlineStr">
        <is>
          <t>Army</t>
        </is>
      </c>
      <c r="H67" s="11" t="inlineStr">
        <is>
          <t>Standard Media</t>
        </is>
      </c>
      <c r="I67" s="8" t="inlineStr">
        <is>
          <t>Tee Marker Set</t>
        </is>
      </c>
      <c r="J67" s="11" t="inlineStr">
        <is>
          <t>12"W x 12"H</t>
        </is>
      </c>
      <c r="K67" s="8" t="inlineStr">
        <is>
          <t>Your ad will appear on a Tee Marker Set at The Links at Redstone</t>
        </is>
      </c>
      <c r="L67" s="11" t="n">
        <v>12</v>
      </c>
      <c r="M67" s="12" t="n"/>
      <c r="N67" s="12" t="n"/>
      <c r="O67" s="12" t="n"/>
      <c r="P67" s="12" t="n">
        <v>2000</v>
      </c>
      <c r="Q67" s="12" t="n"/>
      <c r="R67" s="13">
        <f>IF(ISNUMBER(M67),ROUND(M67/(1-Settings!$B$2)/Settings!$B$3,0)*Settings!$B$3,"")</f>
        <v/>
      </c>
      <c r="S67" s="13">
        <f>IF(ISNUMBER(N67),ROUND(N67/(1-Settings!$B$2)/Settings!$B$3,0)*Settings!$B$3,"")</f>
        <v/>
      </c>
      <c r="T67" s="13">
        <f>IF(ISNUMBER(O67),ROUND(O67/(1-Settings!$B$2)/Settings!$B$3,0)*Settings!$B$3,"")</f>
        <v/>
      </c>
      <c r="U67" s="13">
        <f>IF(ISNUMBER(P67),ROUND(P67/(1-Settings!$B$2)/Settings!$B$3,0)*Settings!$B$3,"")</f>
        <v/>
      </c>
      <c r="V67" s="13">
        <f>IF(ISNUMBER(Q67),ROUND(Q67/(1-Settings!$B$2)/Settings!$B$3,0)*Settings!$B$3,"")</f>
        <v/>
      </c>
      <c r="W67" s="14" t="n">
        <v>588</v>
      </c>
      <c r="X67" s="14" t="n">
        <v>1518</v>
      </c>
      <c r="Y67" s="11" t="inlineStr"/>
      <c r="Z67" s="11" t="inlineStr"/>
      <c r="AA67" s="8" t="inlineStr"/>
      <c r="AB67" s="8" t="inlineStr"/>
      <c r="AC67" s="11" t="inlineStr">
        <is>
          <t>MasterMilitaryOnBaseList 12.2.25 NS.xlsx</t>
        </is>
      </c>
      <c r="AD67" s="11" t="inlineStr">
        <is>
          <t>Gate 8 (Goss Road) Billboard Specs &amp; Map.pdf</t>
        </is>
      </c>
      <c r="AE67" s="15" t="inlineStr">
        <is>
          <t>Open in Box</t>
        </is>
      </c>
      <c r="AF67" s="15" t="inlineStr">
        <is>
          <t>Open in Box</t>
        </is>
      </c>
    </row>
    <row r="68">
      <c r="A68" s="11" t="inlineStr">
        <is>
          <t>AL-REDSTONE-016</t>
        </is>
      </c>
      <c r="B68" s="8" t="inlineStr">
        <is>
          <t>Redstone Arsenal</t>
        </is>
      </c>
      <c r="C68" s="11" t="inlineStr"/>
      <c r="D68" s="11" t="inlineStr">
        <is>
          <t>AL</t>
        </is>
      </c>
      <c r="E68" s="11" t="inlineStr">
        <is>
          <t>Huntsville-Decatur (Flor)</t>
        </is>
      </c>
      <c r="F68" s="11" t="inlineStr"/>
      <c r="G68" s="11" t="inlineStr">
        <is>
          <t>Army</t>
        </is>
      </c>
      <c r="H68" s="11" t="inlineStr">
        <is>
          <t>Web &amp; Email</t>
        </is>
      </c>
      <c r="I68" s="8" t="inlineStr">
        <is>
          <t>Web Ad</t>
        </is>
      </c>
      <c r="J68" s="11" t="inlineStr"/>
      <c r="K68" s="8" t="inlineStr">
        <is>
          <t>Your ad will appear on the installation MWR / FSS website.</t>
        </is>
      </c>
      <c r="L68" s="11" t="n">
        <v>1</v>
      </c>
      <c r="M68" s="12" t="n">
        <v>800</v>
      </c>
      <c r="N68" s="12" t="n"/>
      <c r="O68" s="12" t="n"/>
      <c r="P68" s="12" t="n"/>
      <c r="Q68" s="12" t="n"/>
      <c r="R68" s="13">
        <f>IF(ISNUMBER(M68),ROUND(M68/(1-Settings!$B$2)/Settings!$B$3,0)*Settings!$B$3,"")</f>
        <v/>
      </c>
      <c r="S68" s="13">
        <f>IF(ISNUMBER(N68),ROUND(N68/(1-Settings!$B$2)/Settings!$B$3,0)*Settings!$B$3,"")</f>
        <v/>
      </c>
      <c r="T68" s="13">
        <f>IF(ISNUMBER(O68),ROUND(O68/(1-Settings!$B$2)/Settings!$B$3,0)*Settings!$B$3,"")</f>
        <v/>
      </c>
      <c r="U68" s="13">
        <f>IF(ISNUMBER(P68),ROUND(P68/(1-Settings!$B$2)/Settings!$B$3,0)*Settings!$B$3,"")</f>
        <v/>
      </c>
      <c r="V68" s="13">
        <f>IF(ISNUMBER(Q68),ROUND(Q68/(1-Settings!$B$2)/Settings!$B$3,0)*Settings!$B$3,"")</f>
        <v/>
      </c>
      <c r="W68" s="14" t="n">
        <v>588</v>
      </c>
      <c r="X68" s="14" t="n">
        <v>1518</v>
      </c>
      <c r="Y68" s="11" t="inlineStr">
        <is>
          <t>2026</t>
        </is>
      </c>
      <c r="Z68" s="11" t="inlineStr">
        <is>
          <t>2026-06</t>
        </is>
      </c>
      <c r="AA68" s="8" t="inlineStr">
        <is>
          <t>Sent weekly, but price is per month</t>
        </is>
      </c>
      <c r="AB68" s="8" t="inlineStr"/>
      <c r="AC68" s="11" t="inlineStr">
        <is>
          <t>Military - National Publication Inventory Master_June 2026.xlsx</t>
        </is>
      </c>
      <c r="AD68" s="11" t="inlineStr">
        <is>
          <t>Gate 8 (Goss Road) Billboard Specs &amp; Map.pdf</t>
        </is>
      </c>
      <c r="AE68" s="15" t="inlineStr">
        <is>
          <t>Open in Box</t>
        </is>
      </c>
      <c r="AF68" s="15" t="inlineStr">
        <is>
          <t>Open in Box</t>
        </is>
      </c>
    </row>
    <row r="69">
      <c r="A69" s="11" t="inlineStr">
        <is>
          <t>AL-REDSTONE-015</t>
        </is>
      </c>
      <c r="B69" s="8" t="inlineStr">
        <is>
          <t>Redstone Arsenal</t>
        </is>
      </c>
      <c r="C69" s="11" t="inlineStr"/>
      <c r="D69" s="11" t="inlineStr">
        <is>
          <t>AL</t>
        </is>
      </c>
      <c r="E69" s="11" t="inlineStr">
        <is>
          <t>Huntsville-Decatur (Flor)</t>
        </is>
      </c>
      <c r="F69" s="11" t="inlineStr"/>
      <c r="G69" s="11" t="inlineStr">
        <is>
          <t>Army</t>
        </is>
      </c>
      <c r="H69" s="11" t="inlineStr">
        <is>
          <t>Web &amp; Email</t>
        </is>
      </c>
      <c r="I69" s="8" t="inlineStr">
        <is>
          <t>Weekly E-Newsletter Ad</t>
        </is>
      </c>
      <c r="J69" s="11" t="inlineStr"/>
      <c r="K69" s="8" t="inlineStr">
        <is>
          <t>Your ad will appear in the weekly e-newsletter emailed to the installation community.</t>
        </is>
      </c>
      <c r="L69" s="11" t="n">
        <v>1</v>
      </c>
      <c r="M69" s="12" t="n">
        <v>2500</v>
      </c>
      <c r="N69" s="12" t="n"/>
      <c r="O69" s="12" t="n"/>
      <c r="P69" s="12" t="n"/>
      <c r="Q69" s="12" t="n"/>
      <c r="R69" s="13">
        <f>IF(ISNUMBER(M69),ROUND(M69/(1-Settings!$B$2)/Settings!$B$3,0)*Settings!$B$3,"")</f>
        <v/>
      </c>
      <c r="S69" s="13">
        <f>IF(ISNUMBER(N69),ROUND(N69/(1-Settings!$B$2)/Settings!$B$3,0)*Settings!$B$3,"")</f>
        <v/>
      </c>
      <c r="T69" s="13">
        <f>IF(ISNUMBER(O69),ROUND(O69/(1-Settings!$B$2)/Settings!$B$3,0)*Settings!$B$3,"")</f>
        <v/>
      </c>
      <c r="U69" s="13">
        <f>IF(ISNUMBER(P69),ROUND(P69/(1-Settings!$B$2)/Settings!$B$3,0)*Settings!$B$3,"")</f>
        <v/>
      </c>
      <c r="V69" s="13">
        <f>IF(ISNUMBER(Q69),ROUND(Q69/(1-Settings!$B$2)/Settings!$B$3,0)*Settings!$B$3,"")</f>
        <v/>
      </c>
      <c r="W69" s="14" t="n">
        <v>588</v>
      </c>
      <c r="X69" s="14" t="n">
        <v>1518</v>
      </c>
      <c r="Y69" s="11" t="inlineStr">
        <is>
          <t>2026</t>
        </is>
      </c>
      <c r="Z69" s="11" t="inlineStr">
        <is>
          <t>2026-06</t>
        </is>
      </c>
      <c r="AA69" s="8" t="inlineStr">
        <is>
          <t>Sent weekly, but price is per month</t>
        </is>
      </c>
      <c r="AB69" s="8" t="inlineStr"/>
      <c r="AC69" s="11" t="inlineStr">
        <is>
          <t>Military - National Publication Inventory Master_June 2026.xlsx</t>
        </is>
      </c>
      <c r="AD69" s="11" t="inlineStr">
        <is>
          <t>Gate 8 (Goss Road) Billboard Specs &amp; Map.pdf</t>
        </is>
      </c>
      <c r="AE69" s="15" t="inlineStr">
        <is>
          <t>Open in Box</t>
        </is>
      </c>
      <c r="AF69" s="15" t="inlineStr">
        <is>
          <t>Open in Box</t>
        </is>
      </c>
    </row>
    <row r="70">
      <c r="A70" s="11" t="inlineStr">
        <is>
          <t>AR-FORTNOVO-001</t>
        </is>
      </c>
      <c r="B70" s="8" t="inlineStr">
        <is>
          <t>Fort Novosel</t>
        </is>
      </c>
      <c r="C70" s="11" t="inlineStr">
        <is>
          <t>Fort Rucker</t>
        </is>
      </c>
      <c r="D70" s="11" t="inlineStr">
        <is>
          <t>AR</t>
        </is>
      </c>
      <c r="E70" s="11" t="inlineStr">
        <is>
          <t>Montgomery</t>
        </is>
      </c>
      <c r="F70" s="11" t="inlineStr">
        <is>
          <t>36322</t>
        </is>
      </c>
      <c r="G70" s="11" t="inlineStr">
        <is>
          <t>Army</t>
        </is>
      </c>
      <c r="H70" s="11" t="inlineStr">
        <is>
          <t>Print &amp; Publications</t>
        </is>
      </c>
      <c r="I70" s="8" t="inlineStr">
        <is>
          <t>Welcome Guide Ad</t>
        </is>
      </c>
      <c r="J70" s="11" t="inlineStr">
        <is>
          <t>Full Page</t>
        </is>
      </c>
      <c r="K70" s="8" t="inlineStr">
        <is>
          <t>Your ad will appear in the Fort Novosel Family &amp; MWR Welcome Guide distributed in all Family &amp; MWR Facilities, Welcome Packets, Soldiers' units, Area Chambers of Commerce, and Welcome Centers.</t>
        </is>
      </c>
      <c r="L70" s="11" t="n">
        <v>12</v>
      </c>
      <c r="M70" s="12" t="n"/>
      <c r="N70" s="12" t="n"/>
      <c r="O70" s="12" t="n"/>
      <c r="P70" s="12" t="n">
        <v>1800</v>
      </c>
      <c r="Q70" s="12" t="n">
        <v>0</v>
      </c>
      <c r="R70" s="13">
        <f>IF(ISNUMBER(M70),ROUND(M70/(1-Settings!$B$2)/Settings!$B$3,0)*Settings!$B$3,"")</f>
        <v/>
      </c>
      <c r="S70" s="13">
        <f>IF(ISNUMBER(N70),ROUND(N70/(1-Settings!$B$2)/Settings!$B$3,0)*Settings!$B$3,"")</f>
        <v/>
      </c>
      <c r="T70" s="13">
        <f>IF(ISNUMBER(O70),ROUND(O70/(1-Settings!$B$2)/Settings!$B$3,0)*Settings!$B$3,"")</f>
        <v/>
      </c>
      <c r="U70" s="13">
        <f>IF(ISNUMBER(P70),ROUND(P70/(1-Settings!$B$2)/Settings!$B$3,0)*Settings!$B$3,"")</f>
        <v/>
      </c>
      <c r="V70" s="13">
        <f>IF(ISNUMBER(Q70),ROUND(Q70/(1-Settings!$B$2)/Settings!$B$3,0)*Settings!$B$3,"")</f>
        <v/>
      </c>
      <c r="W70" s="14" t="n">
        <v>3860</v>
      </c>
      <c r="X70" s="14" t="n">
        <v>5945</v>
      </c>
      <c r="Y70" s="11" t="inlineStr"/>
      <c r="Z70" s="11" t="inlineStr"/>
      <c r="AA70" s="8" t="inlineStr"/>
      <c r="AB70" s="8" t="inlineStr"/>
      <c r="AC70" s="11" t="inlineStr">
        <is>
          <t>MasterMilitaryOnBaseList 12.2.25 NS.xlsx</t>
        </is>
      </c>
      <c r="AD70" s="11" t="inlineStr">
        <is>
          <t>Gate Marquees - Rucker_Specs.docx</t>
        </is>
      </c>
      <c r="AE70" s="15" t="inlineStr">
        <is>
          <t>Open in Box</t>
        </is>
      </c>
      <c r="AF70" s="15" t="inlineStr">
        <is>
          <t>Open in Box</t>
        </is>
      </c>
    </row>
    <row r="71">
      <c r="A71" s="11" t="inlineStr">
        <is>
          <t>AR-LITTLERO-001</t>
        </is>
      </c>
      <c r="B71" s="8" t="inlineStr">
        <is>
          <t>Little Rock AFB</t>
        </is>
      </c>
      <c r="C71" s="11" t="inlineStr"/>
      <c r="D71" s="11" t="inlineStr">
        <is>
          <t>AR</t>
        </is>
      </c>
      <c r="E71" s="11" t="inlineStr">
        <is>
          <t>Little Rock-Pine Bluff</t>
        </is>
      </c>
      <c r="F71" s="11" t="inlineStr">
        <is>
          <t>72099</t>
        </is>
      </c>
      <c r="G71" s="11" t="inlineStr">
        <is>
          <t>Air Force</t>
        </is>
      </c>
      <c r="H71" s="11" t="inlineStr">
        <is>
          <t>Digital</t>
        </is>
      </c>
      <c r="I71" s="8" t="inlineStr">
        <is>
          <t>Bowling Lane Sweepers</t>
        </is>
      </c>
      <c r="J71" s="11" t="inlineStr">
        <is>
          <t>Lanes 1-8: 44"W x 3.5"H, Lanes 9-24: 47.5"W x 4.5"H</t>
        </is>
      </c>
      <c r="K71" s="8" t="inlineStr">
        <is>
          <t>Your ad will appear on lane sweepers at the Little Rock AFB bowling center</t>
        </is>
      </c>
      <c r="L71" s="11" t="n">
        <v>3</v>
      </c>
      <c r="M71" s="12" t="n"/>
      <c r="N71" s="12" t="n">
        <v>600</v>
      </c>
      <c r="O71" s="12" t="n">
        <v>800</v>
      </c>
      <c r="P71" s="12" t="n">
        <v>1600</v>
      </c>
      <c r="Q71" s="12" t="n"/>
      <c r="R71" s="13">
        <f>IF(ISNUMBER(M71),ROUND(M71/(1-Settings!$B$2)/Settings!$B$3,0)*Settings!$B$3,"")</f>
        <v/>
      </c>
      <c r="S71" s="13">
        <f>IF(ISNUMBER(N71),ROUND(N71/(1-Settings!$B$2)/Settings!$B$3,0)*Settings!$B$3,"")</f>
        <v/>
      </c>
      <c r="T71" s="13">
        <f>IF(ISNUMBER(O71),ROUND(O71/(1-Settings!$B$2)/Settings!$B$3,0)*Settings!$B$3,"")</f>
        <v/>
      </c>
      <c r="U71" s="13">
        <f>IF(ISNUMBER(P71),ROUND(P71/(1-Settings!$B$2)/Settings!$B$3,0)*Settings!$B$3,"")</f>
        <v/>
      </c>
      <c r="V71" s="13">
        <f>IF(ISNUMBER(Q71),ROUND(Q71/(1-Settings!$B$2)/Settings!$B$3,0)*Settings!$B$3,"")</f>
        <v/>
      </c>
      <c r="W71" s="14" t="n">
        <v>3536</v>
      </c>
      <c r="X71" s="14" t="n">
        <v>4572</v>
      </c>
      <c r="Y71" s="11" t="inlineStr"/>
      <c r="Z71" s="11" t="inlineStr"/>
      <c r="AA71" s="8" t="inlineStr"/>
      <c r="AB71" s="8" t="inlineStr"/>
      <c r="AC71" s="11" t="inlineStr">
        <is>
          <t>MasterMilitaryOnBaseList 12.2.25 NS.xlsx</t>
        </is>
      </c>
      <c r="AD71" s="11" t="inlineStr">
        <is>
          <t>2027_AdvertisingRateSheet.pdf</t>
        </is>
      </c>
      <c r="AE71" s="15" t="inlineStr">
        <is>
          <t>Open in Box</t>
        </is>
      </c>
      <c r="AF71" s="15" t="inlineStr">
        <is>
          <t>Open in Box</t>
        </is>
      </c>
    </row>
    <row r="72">
      <c r="A72" s="11" t="inlineStr">
        <is>
          <t>AR-LITTLERO-002</t>
        </is>
      </c>
      <c r="B72" s="8" t="inlineStr">
        <is>
          <t>Little Rock AFB</t>
        </is>
      </c>
      <c r="C72" s="11" t="inlineStr"/>
      <c r="D72" s="11" t="inlineStr">
        <is>
          <t>AR</t>
        </is>
      </c>
      <c r="E72" s="11" t="inlineStr">
        <is>
          <t>Little Rock-Pine Bluff</t>
        </is>
      </c>
      <c r="F72" s="11" t="inlineStr">
        <is>
          <t>72099</t>
        </is>
      </c>
      <c r="G72" s="11" t="inlineStr">
        <is>
          <t>Air Force</t>
        </is>
      </c>
      <c r="H72" s="11" t="inlineStr">
        <is>
          <t>Digital</t>
        </is>
      </c>
      <c r="I72" s="8" t="inlineStr">
        <is>
          <t>Bowling Scoring Monitors</t>
        </is>
      </c>
      <c r="J72" s="11" t="inlineStr">
        <is>
          <t>2775pxW x 1575pxH and 1080pxW x 1920pxH</t>
        </is>
      </c>
      <c r="K72" s="8" t="inlineStr">
        <is>
          <t>Your ad will appear on 48 digital scoring monitors.</t>
        </is>
      </c>
      <c r="L72" s="11" t="n">
        <v>1</v>
      </c>
      <c r="M72" s="12" t="n">
        <v>90</v>
      </c>
      <c r="N72" s="12" t="n">
        <v>255</v>
      </c>
      <c r="O72" s="12" t="n">
        <v>500</v>
      </c>
      <c r="P72" s="12" t="n">
        <v>1000</v>
      </c>
      <c r="Q72" s="12" t="n"/>
      <c r="R72" s="13">
        <f>IF(ISNUMBER(M72),ROUND(M72/(1-Settings!$B$2)/Settings!$B$3,0)*Settings!$B$3,"")</f>
        <v/>
      </c>
      <c r="S72" s="13">
        <f>IF(ISNUMBER(N72),ROUND(N72/(1-Settings!$B$2)/Settings!$B$3,0)*Settings!$B$3,"")</f>
        <v/>
      </c>
      <c r="T72" s="13">
        <f>IF(ISNUMBER(O72),ROUND(O72/(1-Settings!$B$2)/Settings!$B$3,0)*Settings!$B$3,"")</f>
        <v/>
      </c>
      <c r="U72" s="13">
        <f>IF(ISNUMBER(P72),ROUND(P72/(1-Settings!$B$2)/Settings!$B$3,0)*Settings!$B$3,"")</f>
        <v/>
      </c>
      <c r="V72" s="13">
        <f>IF(ISNUMBER(Q72),ROUND(Q72/(1-Settings!$B$2)/Settings!$B$3,0)*Settings!$B$3,"")</f>
        <v/>
      </c>
      <c r="W72" s="14" t="n">
        <v>3536</v>
      </c>
      <c r="X72" s="14" t="n">
        <v>4572</v>
      </c>
      <c r="Y72" s="11" t="inlineStr"/>
      <c r="Z72" s="11" t="inlineStr"/>
      <c r="AA72" s="8" t="inlineStr"/>
      <c r="AB72" s="8" t="inlineStr"/>
      <c r="AC72" s="11" t="inlineStr">
        <is>
          <t>MasterMilitaryOnBaseList 12.2.25 NS.xlsx</t>
        </is>
      </c>
      <c r="AD72" s="11" t="inlineStr">
        <is>
          <t>2027_AdvertisingRateSheet.pdf</t>
        </is>
      </c>
      <c r="AE72" s="15" t="inlineStr">
        <is>
          <t>Open in Box</t>
        </is>
      </c>
      <c r="AF72" s="15" t="inlineStr">
        <is>
          <t>Open in Box</t>
        </is>
      </c>
    </row>
    <row r="73">
      <c r="A73" s="11" t="inlineStr">
        <is>
          <t>AR-LITTLERO-003</t>
        </is>
      </c>
      <c r="B73" s="8" t="inlineStr">
        <is>
          <t>Little Rock AFB</t>
        </is>
      </c>
      <c r="C73" s="11" t="inlineStr"/>
      <c r="D73" s="11" t="inlineStr">
        <is>
          <t>AR</t>
        </is>
      </c>
      <c r="E73" s="11" t="inlineStr">
        <is>
          <t>Little Rock-Pine Bluff</t>
        </is>
      </c>
      <c r="F73" s="11" t="inlineStr">
        <is>
          <t>72099</t>
        </is>
      </c>
      <c r="G73" s="11" t="inlineStr">
        <is>
          <t>Air Force</t>
        </is>
      </c>
      <c r="H73" s="11" t="inlineStr">
        <is>
          <t>Digital</t>
        </is>
      </c>
      <c r="I73" s="8" t="inlineStr">
        <is>
          <t>Bowling Special (Full service table tents, shoe ad s, and digital screen placement on the bowling alley monitors)</t>
        </is>
      </c>
      <c r="J73" s="11" t="inlineStr"/>
      <c r="K73" s="8" t="inlineStr">
        <is>
          <t>Your ads will appear on table tents and bowling alley monitors and promo materials will be given away with rented shoes</t>
        </is>
      </c>
      <c r="L73" s="11" t="n">
        <v>3</v>
      </c>
      <c r="M73" s="12" t="n"/>
      <c r="N73" s="12" t="n">
        <v>635</v>
      </c>
      <c r="O73" s="12" t="n">
        <v>845</v>
      </c>
      <c r="P73" s="12" t="n"/>
      <c r="Q73" s="12" t="n">
        <v>0</v>
      </c>
      <c r="R73" s="13">
        <f>IF(ISNUMBER(M73),ROUND(M73/(1-Settings!$B$2)/Settings!$B$3,0)*Settings!$B$3,"")</f>
        <v/>
      </c>
      <c r="S73" s="13">
        <f>IF(ISNUMBER(N73),ROUND(N73/(1-Settings!$B$2)/Settings!$B$3,0)*Settings!$B$3,"")</f>
        <v/>
      </c>
      <c r="T73" s="13">
        <f>IF(ISNUMBER(O73),ROUND(O73/(1-Settings!$B$2)/Settings!$B$3,0)*Settings!$B$3,"")</f>
        <v/>
      </c>
      <c r="U73" s="13">
        <f>IF(ISNUMBER(P73),ROUND(P73/(1-Settings!$B$2)/Settings!$B$3,0)*Settings!$B$3,"")</f>
        <v/>
      </c>
      <c r="V73" s="13">
        <f>IF(ISNUMBER(Q73),ROUND(Q73/(1-Settings!$B$2)/Settings!$B$3,0)*Settings!$B$3,"")</f>
        <v/>
      </c>
      <c r="W73" s="14" t="n">
        <v>3536</v>
      </c>
      <c r="X73" s="14" t="n">
        <v>4572</v>
      </c>
      <c r="Y73" s="11" t="inlineStr"/>
      <c r="Z73" s="11" t="inlineStr"/>
      <c r="AA73" s="8" t="inlineStr"/>
      <c r="AB73" s="8" t="inlineStr"/>
      <c r="AC73" s="11" t="inlineStr">
        <is>
          <t>MasterMilitaryOnBaseList 12.2.25 NS.xlsx</t>
        </is>
      </c>
      <c r="AD73" s="11" t="inlineStr">
        <is>
          <t>2027_AdvertisingRateSheet.pdf</t>
        </is>
      </c>
      <c r="AE73" s="15" t="inlineStr">
        <is>
          <t>Open in Box</t>
        </is>
      </c>
      <c r="AF73" s="15" t="inlineStr">
        <is>
          <t>Open in Box</t>
        </is>
      </c>
    </row>
    <row r="74">
      <c r="A74" s="11" t="inlineStr">
        <is>
          <t>AR-LITTLERO-004</t>
        </is>
      </c>
      <c r="B74" s="8" t="inlineStr">
        <is>
          <t>Little Rock AFB</t>
        </is>
      </c>
      <c r="C74" s="11" t="inlineStr"/>
      <c r="D74" s="11" t="inlineStr">
        <is>
          <t>AR</t>
        </is>
      </c>
      <c r="E74" s="11" t="inlineStr">
        <is>
          <t>Little Rock-Pine Bluff</t>
        </is>
      </c>
      <c r="F74" s="11" t="inlineStr">
        <is>
          <t>72099</t>
        </is>
      </c>
      <c r="G74" s="11" t="inlineStr">
        <is>
          <t>Air Force</t>
        </is>
      </c>
      <c r="H74" s="11" t="inlineStr">
        <is>
          <t>Digital</t>
        </is>
      </c>
      <c r="I74" s="8" t="inlineStr">
        <is>
          <t>Digital Monitor Network</t>
        </is>
      </c>
      <c r="J74" s="11" t="inlineStr">
        <is>
          <t>2775pxW x 1575pxH and 1080pxW x 1920pxH</t>
        </is>
      </c>
      <c r="K74" s="8" t="inlineStr">
        <is>
          <t>Your ad will appear on digital monitors throughout the Little Rock AFB in high traffic areas</t>
        </is>
      </c>
      <c r="L74" s="11" t="n">
        <v>1</v>
      </c>
      <c r="M74" s="12" t="n">
        <v>440</v>
      </c>
      <c r="N74" s="12" t="n">
        <v>1300</v>
      </c>
      <c r="O74" s="12" t="n">
        <v>1500</v>
      </c>
      <c r="P74" s="12" t="n">
        <v>3000</v>
      </c>
      <c r="Q74" s="12" t="n">
        <v>0</v>
      </c>
      <c r="R74" s="13">
        <f>IF(ISNUMBER(M74),ROUND(M74/(1-Settings!$B$2)/Settings!$B$3,0)*Settings!$B$3,"")</f>
        <v/>
      </c>
      <c r="S74" s="13">
        <f>IF(ISNUMBER(N74),ROUND(N74/(1-Settings!$B$2)/Settings!$B$3,0)*Settings!$B$3,"")</f>
        <v/>
      </c>
      <c r="T74" s="13">
        <f>IF(ISNUMBER(O74),ROUND(O74/(1-Settings!$B$2)/Settings!$B$3,0)*Settings!$B$3,"")</f>
        <v/>
      </c>
      <c r="U74" s="13">
        <f>IF(ISNUMBER(P74),ROUND(P74/(1-Settings!$B$2)/Settings!$B$3,0)*Settings!$B$3,"")</f>
        <v/>
      </c>
      <c r="V74" s="13">
        <f>IF(ISNUMBER(Q74),ROUND(Q74/(1-Settings!$B$2)/Settings!$B$3,0)*Settings!$B$3,"")</f>
        <v/>
      </c>
      <c r="W74" s="14" t="n">
        <v>3536</v>
      </c>
      <c r="X74" s="14" t="n">
        <v>4572</v>
      </c>
      <c r="Y74" s="11" t="inlineStr"/>
      <c r="Z74" s="11" t="inlineStr"/>
      <c r="AA74" s="8" t="inlineStr">
        <is>
          <t>Inventory master 6/2026 lists Digital Monitor Network at $715 (1 mo)</t>
        </is>
      </c>
      <c r="AB74" s="8" t="inlineStr"/>
      <c r="AC74" s="11" t="inlineStr">
        <is>
          <t>MasterMilitaryOnBaseList 12.2.25 NS.xlsx</t>
        </is>
      </c>
      <c r="AD74" s="11" t="inlineStr">
        <is>
          <t>2027_AdvertisingRateSheet.pdf</t>
        </is>
      </c>
      <c r="AE74" s="15" t="inlineStr">
        <is>
          <t>Open in Box</t>
        </is>
      </c>
      <c r="AF74" s="15" t="inlineStr">
        <is>
          <t>Open in Box</t>
        </is>
      </c>
    </row>
    <row r="75">
      <c r="A75" s="11" t="inlineStr">
        <is>
          <t>AR-LITTLERO-005</t>
        </is>
      </c>
      <c r="B75" s="8" t="inlineStr">
        <is>
          <t>Little Rock AFB</t>
        </is>
      </c>
      <c r="C75" s="11" t="inlineStr"/>
      <c r="D75" s="11" t="inlineStr">
        <is>
          <t>AR</t>
        </is>
      </c>
      <c r="E75" s="11" t="inlineStr">
        <is>
          <t>Little Rock-Pine Bluff</t>
        </is>
      </c>
      <c r="F75" s="11" t="inlineStr">
        <is>
          <t>72099</t>
        </is>
      </c>
      <c r="G75" s="11" t="inlineStr">
        <is>
          <t>Air Force</t>
        </is>
      </c>
      <c r="H75" s="11" t="inlineStr">
        <is>
          <t>Digital</t>
        </is>
      </c>
      <c r="I75" s="8" t="inlineStr">
        <is>
          <t>Lodging Digital Monitor Network</t>
        </is>
      </c>
      <c r="J75" s="11" t="inlineStr">
        <is>
          <t>2,775W x 1,575H px (High res JPG or PDF, max of 300 dpi)</t>
        </is>
      </c>
      <c r="K75" s="8" t="inlineStr">
        <is>
          <t>Your ad will appear on monitors located in all 196 rooms across seven lodging buildings</t>
        </is>
      </c>
      <c r="L75" s="11" t="n">
        <v>1</v>
      </c>
      <c r="M75" s="12" t="n">
        <v>275</v>
      </c>
      <c r="N75" s="12" t="n">
        <v>800</v>
      </c>
      <c r="O75" s="12" t="n">
        <v>1500</v>
      </c>
      <c r="P75" s="12" t="n">
        <v>3000</v>
      </c>
      <c r="Q75" s="12" t="n">
        <v>0</v>
      </c>
      <c r="R75" s="13">
        <f>IF(ISNUMBER(M75),ROUND(M75/(1-Settings!$B$2)/Settings!$B$3,0)*Settings!$B$3,"")</f>
        <v/>
      </c>
      <c r="S75" s="13">
        <f>IF(ISNUMBER(N75),ROUND(N75/(1-Settings!$B$2)/Settings!$B$3,0)*Settings!$B$3,"")</f>
        <v/>
      </c>
      <c r="T75" s="13">
        <f>IF(ISNUMBER(O75),ROUND(O75/(1-Settings!$B$2)/Settings!$B$3,0)*Settings!$B$3,"")</f>
        <v/>
      </c>
      <c r="U75" s="13">
        <f>IF(ISNUMBER(P75),ROUND(P75/(1-Settings!$B$2)/Settings!$B$3,0)*Settings!$B$3,"")</f>
        <v/>
      </c>
      <c r="V75" s="13">
        <f>IF(ISNUMBER(Q75),ROUND(Q75/(1-Settings!$B$2)/Settings!$B$3,0)*Settings!$B$3,"")</f>
        <v/>
      </c>
      <c r="W75" s="14" t="n">
        <v>3536</v>
      </c>
      <c r="X75" s="14" t="n">
        <v>4572</v>
      </c>
      <c r="Y75" s="11" t="inlineStr"/>
      <c r="Z75" s="11" t="inlineStr"/>
      <c r="AA75" s="8" t="inlineStr">
        <is>
          <t>Inventory master 6/2026 lists Digital Monitor Network at $715 (1 mo)</t>
        </is>
      </c>
      <c r="AB75" s="8" t="inlineStr"/>
      <c r="AC75" s="11" t="inlineStr">
        <is>
          <t>MasterMilitaryOnBaseList 12.2.25 NS.xlsx</t>
        </is>
      </c>
      <c r="AD75" s="11" t="inlineStr">
        <is>
          <t>2027_AdvertisingRateSheet.pdf</t>
        </is>
      </c>
      <c r="AE75" s="15" t="inlineStr">
        <is>
          <t>Open in Box</t>
        </is>
      </c>
      <c r="AF75" s="15" t="inlineStr">
        <is>
          <t>Open in Box</t>
        </is>
      </c>
    </row>
    <row r="76">
      <c r="A76" s="11" t="inlineStr">
        <is>
          <t>AR-LITTLERO-006</t>
        </is>
      </c>
      <c r="B76" s="8" t="inlineStr">
        <is>
          <t>Little Rock AFB</t>
        </is>
      </c>
      <c r="C76" s="11" t="inlineStr"/>
      <c r="D76" s="11" t="inlineStr">
        <is>
          <t>AR</t>
        </is>
      </c>
      <c r="E76" s="11" t="inlineStr">
        <is>
          <t>Little Rock-Pine Bluff</t>
        </is>
      </c>
      <c r="F76" s="11" t="inlineStr">
        <is>
          <t>72099</t>
        </is>
      </c>
      <c r="G76" s="11" t="inlineStr">
        <is>
          <t>Air Force</t>
        </is>
      </c>
      <c r="H76" s="11" t="inlineStr">
        <is>
          <t>Digital</t>
        </is>
      </c>
      <c r="I76" s="8" t="inlineStr">
        <is>
          <t>Shoe Rental Promotional materials (Full service)</t>
        </is>
      </c>
      <c r="J76" s="11" t="inlineStr"/>
      <c r="K76" s="8" t="inlineStr">
        <is>
          <t>Your promotional materials will be handed out with every pair of bowling shoes rented (Full service: the Little Rock AFB team takes care of design, production, and ensures compliance)</t>
        </is>
      </c>
      <c r="L76" s="11" t="n">
        <v>1</v>
      </c>
      <c r="M76" s="12" t="n">
        <v>215</v>
      </c>
      <c r="N76" s="12" t="n">
        <v>385</v>
      </c>
      <c r="O76" s="12" t="n">
        <v>595</v>
      </c>
      <c r="P76" s="12" t="n">
        <v>1190</v>
      </c>
      <c r="Q76" s="12" t="n"/>
      <c r="R76" s="13">
        <f>IF(ISNUMBER(M76),ROUND(M76/(1-Settings!$B$2)/Settings!$B$3,0)*Settings!$B$3,"")</f>
        <v/>
      </c>
      <c r="S76" s="13">
        <f>IF(ISNUMBER(N76),ROUND(N76/(1-Settings!$B$2)/Settings!$B$3,0)*Settings!$B$3,"")</f>
        <v/>
      </c>
      <c r="T76" s="13">
        <f>IF(ISNUMBER(O76),ROUND(O76/(1-Settings!$B$2)/Settings!$B$3,0)*Settings!$B$3,"")</f>
        <v/>
      </c>
      <c r="U76" s="13">
        <f>IF(ISNUMBER(P76),ROUND(P76/(1-Settings!$B$2)/Settings!$B$3,0)*Settings!$B$3,"")</f>
        <v/>
      </c>
      <c r="V76" s="13">
        <f>IF(ISNUMBER(Q76),ROUND(Q76/(1-Settings!$B$2)/Settings!$B$3,0)*Settings!$B$3,"")</f>
        <v/>
      </c>
      <c r="W76" s="14" t="n">
        <v>3536</v>
      </c>
      <c r="X76" s="14" t="n">
        <v>4572</v>
      </c>
      <c r="Y76" s="11" t="inlineStr"/>
      <c r="Z76" s="11" t="inlineStr"/>
      <c r="AA76" s="8" t="inlineStr"/>
      <c r="AB76" s="8" t="inlineStr"/>
      <c r="AC76" s="11" t="inlineStr">
        <is>
          <t>MasterMilitaryOnBaseList 12.2.25 NS.xlsx</t>
        </is>
      </c>
      <c r="AD76" s="11" t="inlineStr">
        <is>
          <t>2027_AdvertisingRateSheet.pdf</t>
        </is>
      </c>
      <c r="AE76" s="15" t="inlineStr">
        <is>
          <t>Open in Box</t>
        </is>
      </c>
      <c r="AF76" s="15" t="inlineStr">
        <is>
          <t>Open in Box</t>
        </is>
      </c>
    </row>
    <row r="77">
      <c r="A77" s="11" t="inlineStr">
        <is>
          <t>AR-LITTLERO-010</t>
        </is>
      </c>
      <c r="B77" s="8" t="inlineStr">
        <is>
          <t>Little Rock AFB</t>
        </is>
      </c>
      <c r="C77" s="11" t="inlineStr"/>
      <c r="D77" s="11" t="inlineStr">
        <is>
          <t>AR</t>
        </is>
      </c>
      <c r="E77" s="11" t="inlineStr">
        <is>
          <t>Little Rock-Pine Bluff</t>
        </is>
      </c>
      <c r="F77" s="11" t="inlineStr">
        <is>
          <t>72099</t>
        </is>
      </c>
      <c r="G77" s="11" t="inlineStr">
        <is>
          <t>Air Force</t>
        </is>
      </c>
      <c r="H77" s="11" t="inlineStr">
        <is>
          <t>Large Format</t>
        </is>
      </c>
      <c r="I77" s="8" t="inlineStr">
        <is>
          <t>Counter Wrap (Auto Hobby)</t>
        </is>
      </c>
      <c r="J77" s="11" t="inlineStr"/>
      <c r="K77" s="8" t="inlineStr">
        <is>
          <t>Your ad will appear on a counter wrap in the Auto Hobby facility</t>
        </is>
      </c>
      <c r="L77" s="11" t="n">
        <v>12</v>
      </c>
      <c r="M77" s="12" t="n"/>
      <c r="N77" s="12" t="n"/>
      <c r="O77" s="12" t="n"/>
      <c r="P77" s="12" t="n">
        <v>1500</v>
      </c>
      <c r="Q77" s="12" t="n"/>
      <c r="R77" s="13">
        <f>IF(ISNUMBER(M77),ROUND(M77/(1-Settings!$B$2)/Settings!$B$3,0)*Settings!$B$3,"")</f>
        <v/>
      </c>
      <c r="S77" s="13">
        <f>IF(ISNUMBER(N77),ROUND(N77/(1-Settings!$B$2)/Settings!$B$3,0)*Settings!$B$3,"")</f>
        <v/>
      </c>
      <c r="T77" s="13">
        <f>IF(ISNUMBER(O77),ROUND(O77/(1-Settings!$B$2)/Settings!$B$3,0)*Settings!$B$3,"")</f>
        <v/>
      </c>
      <c r="U77" s="13">
        <f>IF(ISNUMBER(P77),ROUND(P77/(1-Settings!$B$2)/Settings!$B$3,0)*Settings!$B$3,"")</f>
        <v/>
      </c>
      <c r="V77" s="13">
        <f>IF(ISNUMBER(Q77),ROUND(Q77/(1-Settings!$B$2)/Settings!$B$3,0)*Settings!$B$3,"")</f>
        <v/>
      </c>
      <c r="W77" s="14" t="n">
        <v>3536</v>
      </c>
      <c r="X77" s="14" t="n">
        <v>4572</v>
      </c>
      <c r="Y77" s="11" t="inlineStr"/>
      <c r="Z77" s="11" t="inlineStr"/>
      <c r="AA77" s="8" t="inlineStr"/>
      <c r="AB77" s="8" t="inlineStr"/>
      <c r="AC77" s="11" t="inlineStr">
        <is>
          <t>MasterMilitaryOnBaseList 12.2.25 NS.xlsx</t>
        </is>
      </c>
      <c r="AD77" s="11" t="inlineStr">
        <is>
          <t>2027_AdvertisingRateSheet.pdf</t>
        </is>
      </c>
      <c r="AE77" s="15" t="inlineStr">
        <is>
          <t>Open in Box</t>
        </is>
      </c>
      <c r="AF77" s="15" t="inlineStr">
        <is>
          <t>Open in Box</t>
        </is>
      </c>
    </row>
    <row r="78">
      <c r="A78" s="11" t="inlineStr">
        <is>
          <t>AR-LITTLERO-011</t>
        </is>
      </c>
      <c r="B78" s="8" t="inlineStr">
        <is>
          <t>Little Rock AFB</t>
        </is>
      </c>
      <c r="C78" s="11" t="inlineStr"/>
      <c r="D78" s="11" t="inlineStr">
        <is>
          <t>AR</t>
        </is>
      </c>
      <c r="E78" s="11" t="inlineStr">
        <is>
          <t>Little Rock-Pine Bluff</t>
        </is>
      </c>
      <c r="F78" s="11" t="inlineStr">
        <is>
          <t>72099</t>
        </is>
      </c>
      <c r="G78" s="11" t="inlineStr">
        <is>
          <t>Air Force</t>
        </is>
      </c>
      <c r="H78" s="11" t="inlineStr">
        <is>
          <t>Large Format</t>
        </is>
      </c>
      <c r="I78" s="8" t="inlineStr">
        <is>
          <t>Counter Wrap (Fitness Center)</t>
        </is>
      </c>
      <c r="J78" s="11" t="inlineStr"/>
      <c r="K78" s="8" t="inlineStr">
        <is>
          <t>Your ad will appear on a counter wrap in the Little Rock AFB Fitness Center</t>
        </is>
      </c>
      <c r="L78" s="11" t="n">
        <v>12</v>
      </c>
      <c r="M78" s="12" t="n"/>
      <c r="N78" s="12" t="n"/>
      <c r="O78" s="12" t="n"/>
      <c r="P78" s="12" t="n">
        <v>3000</v>
      </c>
      <c r="Q78" s="12" t="n"/>
      <c r="R78" s="13">
        <f>IF(ISNUMBER(M78),ROUND(M78/(1-Settings!$B$2)/Settings!$B$3,0)*Settings!$B$3,"")</f>
        <v/>
      </c>
      <c r="S78" s="13">
        <f>IF(ISNUMBER(N78),ROUND(N78/(1-Settings!$B$2)/Settings!$B$3,0)*Settings!$B$3,"")</f>
        <v/>
      </c>
      <c r="T78" s="13">
        <f>IF(ISNUMBER(O78),ROUND(O78/(1-Settings!$B$2)/Settings!$B$3,0)*Settings!$B$3,"")</f>
        <v/>
      </c>
      <c r="U78" s="13">
        <f>IF(ISNUMBER(P78),ROUND(P78/(1-Settings!$B$2)/Settings!$B$3,0)*Settings!$B$3,"")</f>
        <v/>
      </c>
      <c r="V78" s="13">
        <f>IF(ISNUMBER(Q78),ROUND(Q78/(1-Settings!$B$2)/Settings!$B$3,0)*Settings!$B$3,"")</f>
        <v/>
      </c>
      <c r="W78" s="14" t="n">
        <v>3536</v>
      </c>
      <c r="X78" s="14" t="n">
        <v>4572</v>
      </c>
      <c r="Y78" s="11" t="inlineStr"/>
      <c r="Z78" s="11" t="inlineStr"/>
      <c r="AA78" s="8" t="inlineStr"/>
      <c r="AB78" s="8" t="inlineStr"/>
      <c r="AC78" s="11" t="inlineStr">
        <is>
          <t>MasterMilitaryOnBaseList 12.2.25 NS.xlsx</t>
        </is>
      </c>
      <c r="AD78" s="11" t="inlineStr">
        <is>
          <t>2027_AdvertisingRateSheet.pdf</t>
        </is>
      </c>
      <c r="AE78" s="15" t="inlineStr">
        <is>
          <t>Open in Box</t>
        </is>
      </c>
      <c r="AF78" s="15" t="inlineStr">
        <is>
          <t>Open in Box</t>
        </is>
      </c>
    </row>
    <row r="79">
      <c r="A79" s="11" t="inlineStr">
        <is>
          <t>AR-LITTLERO-012</t>
        </is>
      </c>
      <c r="B79" s="8" t="inlineStr">
        <is>
          <t>Little Rock AFB</t>
        </is>
      </c>
      <c r="C79" s="11" t="inlineStr"/>
      <c r="D79" s="11" t="inlineStr">
        <is>
          <t>AR</t>
        </is>
      </c>
      <c r="E79" s="11" t="inlineStr">
        <is>
          <t>Little Rock-Pine Bluff</t>
        </is>
      </c>
      <c r="F79" s="11" t="inlineStr">
        <is>
          <t>72099</t>
        </is>
      </c>
      <c r="G79" s="11" t="inlineStr">
        <is>
          <t>Air Force</t>
        </is>
      </c>
      <c r="H79" s="11" t="inlineStr">
        <is>
          <t>Large Format</t>
        </is>
      </c>
      <c r="I79" s="8" t="inlineStr">
        <is>
          <t>Counter Wrap (Hangar 1080)</t>
        </is>
      </c>
      <c r="J79" s="11" t="inlineStr"/>
      <c r="K79" s="8" t="inlineStr">
        <is>
          <t>Your ad will appear on a counter wrap in Hangar 1080</t>
        </is>
      </c>
      <c r="L79" s="11" t="n">
        <v>12</v>
      </c>
      <c r="M79" s="12" t="n"/>
      <c r="N79" s="12" t="n"/>
      <c r="O79" s="12" t="n"/>
      <c r="P79" s="12" t="n">
        <v>1500</v>
      </c>
      <c r="Q79" s="12" t="n"/>
      <c r="R79" s="13">
        <f>IF(ISNUMBER(M79),ROUND(M79/(1-Settings!$B$2)/Settings!$B$3,0)*Settings!$B$3,"")</f>
        <v/>
      </c>
      <c r="S79" s="13">
        <f>IF(ISNUMBER(N79),ROUND(N79/(1-Settings!$B$2)/Settings!$B$3,0)*Settings!$B$3,"")</f>
        <v/>
      </c>
      <c r="T79" s="13">
        <f>IF(ISNUMBER(O79),ROUND(O79/(1-Settings!$B$2)/Settings!$B$3,0)*Settings!$B$3,"")</f>
        <v/>
      </c>
      <c r="U79" s="13">
        <f>IF(ISNUMBER(P79),ROUND(P79/(1-Settings!$B$2)/Settings!$B$3,0)*Settings!$B$3,"")</f>
        <v/>
      </c>
      <c r="V79" s="13">
        <f>IF(ISNUMBER(Q79),ROUND(Q79/(1-Settings!$B$2)/Settings!$B$3,0)*Settings!$B$3,"")</f>
        <v/>
      </c>
      <c r="W79" s="14" t="n">
        <v>3536</v>
      </c>
      <c r="X79" s="14" t="n">
        <v>4572</v>
      </c>
      <c r="Y79" s="11" t="inlineStr"/>
      <c r="Z79" s="11" t="inlineStr"/>
      <c r="AA79" s="8" t="inlineStr"/>
      <c r="AB79" s="8" t="inlineStr"/>
      <c r="AC79" s="11" t="inlineStr">
        <is>
          <t>MasterMilitaryOnBaseList 12.2.25 NS.xlsx</t>
        </is>
      </c>
      <c r="AD79" s="11" t="inlineStr">
        <is>
          <t>2027_AdvertisingRateSheet.pdf</t>
        </is>
      </c>
      <c r="AE79" s="15" t="inlineStr">
        <is>
          <t>Open in Box</t>
        </is>
      </c>
      <c r="AF79" s="15" t="inlineStr">
        <is>
          <t>Open in Box</t>
        </is>
      </c>
    </row>
    <row r="80">
      <c r="A80" s="11" t="inlineStr">
        <is>
          <t>AR-LITTLERO-013</t>
        </is>
      </c>
      <c r="B80" s="8" t="inlineStr">
        <is>
          <t>Little Rock AFB</t>
        </is>
      </c>
      <c r="C80" s="11" t="inlineStr"/>
      <c r="D80" s="11" t="inlineStr">
        <is>
          <t>AR</t>
        </is>
      </c>
      <c r="E80" s="11" t="inlineStr">
        <is>
          <t>Little Rock-Pine Bluff</t>
        </is>
      </c>
      <c r="F80" s="11" t="inlineStr">
        <is>
          <t>72099</t>
        </is>
      </c>
      <c r="G80" s="11" t="inlineStr">
        <is>
          <t>Air Force</t>
        </is>
      </c>
      <c r="H80" s="11" t="inlineStr">
        <is>
          <t>Large Format</t>
        </is>
      </c>
      <c r="I80" s="8" t="inlineStr">
        <is>
          <t>Counter Wrap (Outdoor Recreation)</t>
        </is>
      </c>
      <c r="J80" s="11" t="inlineStr"/>
      <c r="K80" s="8" t="inlineStr">
        <is>
          <t>Your ad will appear on a counter wrap in the Little Rock AFB Outdoor Recreation facility</t>
        </is>
      </c>
      <c r="L80" s="11" t="n">
        <v>12</v>
      </c>
      <c r="M80" s="12" t="n"/>
      <c r="N80" s="12" t="n"/>
      <c r="O80" s="12" t="n"/>
      <c r="P80" s="12" t="n">
        <v>1500</v>
      </c>
      <c r="Q80" s="12" t="n"/>
      <c r="R80" s="13">
        <f>IF(ISNUMBER(M80),ROUND(M80/(1-Settings!$B$2)/Settings!$B$3,0)*Settings!$B$3,"")</f>
        <v/>
      </c>
      <c r="S80" s="13">
        <f>IF(ISNUMBER(N80),ROUND(N80/(1-Settings!$B$2)/Settings!$B$3,0)*Settings!$B$3,"")</f>
        <v/>
      </c>
      <c r="T80" s="13">
        <f>IF(ISNUMBER(O80),ROUND(O80/(1-Settings!$B$2)/Settings!$B$3,0)*Settings!$B$3,"")</f>
        <v/>
      </c>
      <c r="U80" s="13">
        <f>IF(ISNUMBER(P80),ROUND(P80/(1-Settings!$B$2)/Settings!$B$3,0)*Settings!$B$3,"")</f>
        <v/>
      </c>
      <c r="V80" s="13">
        <f>IF(ISNUMBER(Q80),ROUND(Q80/(1-Settings!$B$2)/Settings!$B$3,0)*Settings!$B$3,"")</f>
        <v/>
      </c>
      <c r="W80" s="14" t="n">
        <v>3536</v>
      </c>
      <c r="X80" s="14" t="n">
        <v>4572</v>
      </c>
      <c r="Y80" s="11" t="inlineStr"/>
      <c r="Z80" s="11" t="inlineStr"/>
      <c r="AA80" s="8" t="inlineStr"/>
      <c r="AB80" s="8" t="inlineStr"/>
      <c r="AC80" s="11" t="inlineStr">
        <is>
          <t>MasterMilitaryOnBaseList 12.2.25 NS.xlsx</t>
        </is>
      </c>
      <c r="AD80" s="11" t="inlineStr">
        <is>
          <t>2027_AdvertisingRateSheet.pdf</t>
        </is>
      </c>
      <c r="AE80" s="15" t="inlineStr">
        <is>
          <t>Open in Box</t>
        </is>
      </c>
      <c r="AF80" s="15" t="inlineStr">
        <is>
          <t>Open in Box</t>
        </is>
      </c>
    </row>
    <row r="81">
      <c r="A81" s="11" t="inlineStr">
        <is>
          <t>AR-LITTLERO-014</t>
        </is>
      </c>
      <c r="B81" s="8" t="inlineStr">
        <is>
          <t>Little Rock AFB</t>
        </is>
      </c>
      <c r="C81" s="11" t="inlineStr"/>
      <c r="D81" s="11" t="inlineStr">
        <is>
          <t>AR</t>
        </is>
      </c>
      <c r="E81" s="11" t="inlineStr">
        <is>
          <t>Little Rock-Pine Bluff</t>
        </is>
      </c>
      <c r="F81" s="11" t="inlineStr">
        <is>
          <t>72099</t>
        </is>
      </c>
      <c r="G81" s="11" t="inlineStr">
        <is>
          <t>Air Force</t>
        </is>
      </c>
      <c r="H81" s="11" t="inlineStr">
        <is>
          <t>Large Format</t>
        </is>
      </c>
      <c r="I81" s="8" t="inlineStr">
        <is>
          <t>Window Clings (Fitness Center)</t>
        </is>
      </c>
      <c r="J81" s="11" t="inlineStr"/>
      <c r="K81" s="8" t="inlineStr">
        <is>
          <t>Your ad will appear on a window cling on the Fitness Center front door</t>
        </is>
      </c>
      <c r="L81" s="11" t="n">
        <v>3</v>
      </c>
      <c r="M81" s="12" t="n"/>
      <c r="N81" s="12" t="n">
        <v>350</v>
      </c>
      <c r="O81" s="12" t="n">
        <v>700</v>
      </c>
      <c r="P81" s="12" t="n">
        <v>1400</v>
      </c>
      <c r="Q81" s="12" t="n"/>
      <c r="R81" s="13">
        <f>IF(ISNUMBER(M81),ROUND(M81/(1-Settings!$B$2)/Settings!$B$3,0)*Settings!$B$3,"")</f>
        <v/>
      </c>
      <c r="S81" s="13">
        <f>IF(ISNUMBER(N81),ROUND(N81/(1-Settings!$B$2)/Settings!$B$3,0)*Settings!$B$3,"")</f>
        <v/>
      </c>
      <c r="T81" s="13">
        <f>IF(ISNUMBER(O81),ROUND(O81/(1-Settings!$B$2)/Settings!$B$3,0)*Settings!$B$3,"")</f>
        <v/>
      </c>
      <c r="U81" s="13">
        <f>IF(ISNUMBER(P81),ROUND(P81/(1-Settings!$B$2)/Settings!$B$3,0)*Settings!$B$3,"")</f>
        <v/>
      </c>
      <c r="V81" s="13">
        <f>IF(ISNUMBER(Q81),ROUND(Q81/(1-Settings!$B$2)/Settings!$B$3,0)*Settings!$B$3,"")</f>
        <v/>
      </c>
      <c r="W81" s="14" t="n">
        <v>3536</v>
      </c>
      <c r="X81" s="14" t="n">
        <v>4572</v>
      </c>
      <c r="Y81" s="11" t="inlineStr"/>
      <c r="Z81" s="11" t="inlineStr"/>
      <c r="AA81" s="8" t="inlineStr"/>
      <c r="AB81" s="8" t="inlineStr"/>
      <c r="AC81" s="11" t="inlineStr">
        <is>
          <t>MasterMilitaryOnBaseList 12.2.25 NS.xlsx</t>
        </is>
      </c>
      <c r="AD81" s="11" t="inlineStr">
        <is>
          <t>2027_AdvertisingRateSheet.pdf</t>
        </is>
      </c>
      <c r="AE81" s="15" t="inlineStr">
        <is>
          <t>Open in Box</t>
        </is>
      </c>
      <c r="AF81" s="15" t="inlineStr">
        <is>
          <t>Open in Box</t>
        </is>
      </c>
    </row>
    <row r="82">
      <c r="A82" s="11" t="inlineStr">
        <is>
          <t>AR-LITTLERO-015</t>
        </is>
      </c>
      <c r="B82" s="8" t="inlineStr">
        <is>
          <t>Little Rock AFB</t>
        </is>
      </c>
      <c r="C82" s="11" t="inlineStr"/>
      <c r="D82" s="11" t="inlineStr">
        <is>
          <t>AR</t>
        </is>
      </c>
      <c r="E82" s="11" t="inlineStr">
        <is>
          <t>Little Rock-Pine Bluff</t>
        </is>
      </c>
      <c r="F82" s="11" t="inlineStr">
        <is>
          <t>72099</t>
        </is>
      </c>
      <c r="G82" s="11" t="inlineStr">
        <is>
          <t>Air Force</t>
        </is>
      </c>
      <c r="H82" s="11" t="inlineStr">
        <is>
          <t>Large Format</t>
        </is>
      </c>
      <c r="I82" s="8" t="inlineStr">
        <is>
          <t>Window Clings (Outdoor Recreation)</t>
        </is>
      </c>
      <c r="J82" s="11" t="inlineStr"/>
      <c r="K82" s="8" t="inlineStr">
        <is>
          <t>Your ad will appear on a window cling on the Outdoor Recreation front door</t>
        </is>
      </c>
      <c r="L82" s="11" t="n">
        <v>3</v>
      </c>
      <c r="M82" s="12" t="n"/>
      <c r="N82" s="12" t="n">
        <v>200</v>
      </c>
      <c r="O82" s="12" t="n">
        <v>400</v>
      </c>
      <c r="P82" s="12" t="n">
        <v>800</v>
      </c>
      <c r="Q82" s="12" t="n"/>
      <c r="R82" s="13">
        <f>IF(ISNUMBER(M82),ROUND(M82/(1-Settings!$B$2)/Settings!$B$3,0)*Settings!$B$3,"")</f>
        <v/>
      </c>
      <c r="S82" s="13">
        <f>IF(ISNUMBER(N82),ROUND(N82/(1-Settings!$B$2)/Settings!$B$3,0)*Settings!$B$3,"")</f>
        <v/>
      </c>
      <c r="T82" s="13">
        <f>IF(ISNUMBER(O82),ROUND(O82/(1-Settings!$B$2)/Settings!$B$3,0)*Settings!$B$3,"")</f>
        <v/>
      </c>
      <c r="U82" s="13">
        <f>IF(ISNUMBER(P82),ROUND(P82/(1-Settings!$B$2)/Settings!$B$3,0)*Settings!$B$3,"")</f>
        <v/>
      </c>
      <c r="V82" s="13">
        <f>IF(ISNUMBER(Q82),ROUND(Q82/(1-Settings!$B$2)/Settings!$B$3,0)*Settings!$B$3,"")</f>
        <v/>
      </c>
      <c r="W82" s="14" t="n">
        <v>3536</v>
      </c>
      <c r="X82" s="14" t="n">
        <v>4572</v>
      </c>
      <c r="Y82" s="11" t="inlineStr"/>
      <c r="Z82" s="11" t="inlineStr"/>
      <c r="AA82" s="8" t="inlineStr"/>
      <c r="AB82" s="8" t="inlineStr"/>
      <c r="AC82" s="11" t="inlineStr">
        <is>
          <t>MasterMilitaryOnBaseList 12.2.25 NS.xlsx</t>
        </is>
      </c>
      <c r="AD82" s="11" t="inlineStr">
        <is>
          <t>2027_AdvertisingRateSheet.pdf</t>
        </is>
      </c>
      <c r="AE82" s="15" t="inlineStr">
        <is>
          <t>Open in Box</t>
        </is>
      </c>
      <c r="AF82" s="15" t="inlineStr">
        <is>
          <t>Open in Box</t>
        </is>
      </c>
    </row>
    <row r="83">
      <c r="A83" s="11" t="inlineStr">
        <is>
          <t>AR-LITTLERO-016</t>
        </is>
      </c>
      <c r="B83" s="8" t="inlineStr">
        <is>
          <t>Little Rock AFB</t>
        </is>
      </c>
      <c r="C83" s="11" t="inlineStr"/>
      <c r="D83" s="11" t="inlineStr">
        <is>
          <t>AR</t>
        </is>
      </c>
      <c r="E83" s="11" t="inlineStr">
        <is>
          <t>Little Rock-Pine Bluff</t>
        </is>
      </c>
      <c r="F83" s="11" t="inlineStr">
        <is>
          <t>72099</t>
        </is>
      </c>
      <c r="G83" s="11" t="inlineStr">
        <is>
          <t>Air Force</t>
        </is>
      </c>
      <c r="H83" s="11" t="inlineStr">
        <is>
          <t>Large Format</t>
        </is>
      </c>
      <c r="I83" s="8" t="inlineStr">
        <is>
          <t>Window Clings (Skills Center)</t>
        </is>
      </c>
      <c r="J83" s="11" t="inlineStr"/>
      <c r="K83" s="8" t="inlineStr">
        <is>
          <t>Your ad will appear on a window cling on the Skills Center front door</t>
        </is>
      </c>
      <c r="L83" s="11" t="n">
        <v>3</v>
      </c>
      <c r="M83" s="12" t="n"/>
      <c r="N83" s="12" t="n">
        <v>200</v>
      </c>
      <c r="O83" s="12" t="n">
        <v>400</v>
      </c>
      <c r="P83" s="12" t="n">
        <v>800</v>
      </c>
      <c r="Q83" s="12" t="n"/>
      <c r="R83" s="13">
        <f>IF(ISNUMBER(M83),ROUND(M83/(1-Settings!$B$2)/Settings!$B$3,0)*Settings!$B$3,"")</f>
        <v/>
      </c>
      <c r="S83" s="13">
        <f>IF(ISNUMBER(N83),ROUND(N83/(1-Settings!$B$2)/Settings!$B$3,0)*Settings!$B$3,"")</f>
        <v/>
      </c>
      <c r="T83" s="13">
        <f>IF(ISNUMBER(O83),ROUND(O83/(1-Settings!$B$2)/Settings!$B$3,0)*Settings!$B$3,"")</f>
        <v/>
      </c>
      <c r="U83" s="13">
        <f>IF(ISNUMBER(P83),ROUND(P83/(1-Settings!$B$2)/Settings!$B$3,0)*Settings!$B$3,"")</f>
        <v/>
      </c>
      <c r="V83" s="13">
        <f>IF(ISNUMBER(Q83),ROUND(Q83/(1-Settings!$B$2)/Settings!$B$3,0)*Settings!$B$3,"")</f>
        <v/>
      </c>
      <c r="W83" s="14" t="n">
        <v>3536</v>
      </c>
      <c r="X83" s="14" t="n">
        <v>4572</v>
      </c>
      <c r="Y83" s="11" t="inlineStr"/>
      <c r="Z83" s="11" t="inlineStr"/>
      <c r="AA83" s="8" t="inlineStr"/>
      <c r="AB83" s="8" t="inlineStr"/>
      <c r="AC83" s="11" t="inlineStr">
        <is>
          <t>MasterMilitaryOnBaseList 12.2.25 NS.xlsx</t>
        </is>
      </c>
      <c r="AD83" s="11" t="inlineStr">
        <is>
          <t>2027_AdvertisingRateSheet.pdf</t>
        </is>
      </c>
      <c r="AE83" s="15" t="inlineStr">
        <is>
          <t>Open in Box</t>
        </is>
      </c>
      <c r="AF83" s="15" t="inlineStr">
        <is>
          <t>Open in Box</t>
        </is>
      </c>
    </row>
    <row r="84">
      <c r="A84" s="11" t="inlineStr">
        <is>
          <t>AR-LITTLERO-018</t>
        </is>
      </c>
      <c r="B84" s="8" t="inlineStr">
        <is>
          <t>Little Rock AFB</t>
        </is>
      </c>
      <c r="C84" s="11" t="inlineStr"/>
      <c r="D84" s="11" t="inlineStr">
        <is>
          <t>AR</t>
        </is>
      </c>
      <c r="E84" s="11" t="inlineStr">
        <is>
          <t>Little Rock-Pine Bluff</t>
        </is>
      </c>
      <c r="F84" s="11" t="inlineStr">
        <is>
          <t>72099</t>
        </is>
      </c>
      <c r="G84" s="11" t="inlineStr">
        <is>
          <t>Air Force</t>
        </is>
      </c>
      <c r="H84" s="11" t="inlineStr">
        <is>
          <t>Sponsorship &amp; Other</t>
        </is>
      </c>
      <c r="I84" s="8" t="inlineStr">
        <is>
          <t>Newcomers Orientation Promo Materials</t>
        </is>
      </c>
      <c r="J84" s="11" t="inlineStr"/>
      <c r="K84" s="8" t="inlineStr">
        <is>
          <t>Your promotional materials (ranging from pamphlets to brand-labelled goodies) will be given out to new Airmen and their families at the bi-weekly newcomers orientations</t>
        </is>
      </c>
      <c r="L84" s="11" t="n">
        <v>3</v>
      </c>
      <c r="M84" s="12" t="n"/>
      <c r="N84" s="12" t="n">
        <v>300</v>
      </c>
      <c r="O84" s="12" t="n">
        <v>500</v>
      </c>
      <c r="P84" s="12" t="n">
        <v>800</v>
      </c>
      <c r="Q84" s="12" t="n"/>
      <c r="R84" s="13">
        <f>IF(ISNUMBER(M84),ROUND(M84/(1-Settings!$B$2)/Settings!$B$3,0)*Settings!$B$3,"")</f>
        <v/>
      </c>
      <c r="S84" s="13">
        <f>IF(ISNUMBER(N84),ROUND(N84/(1-Settings!$B$2)/Settings!$B$3,0)*Settings!$B$3,"")</f>
        <v/>
      </c>
      <c r="T84" s="13">
        <f>IF(ISNUMBER(O84),ROUND(O84/(1-Settings!$B$2)/Settings!$B$3,0)*Settings!$B$3,"")</f>
        <v/>
      </c>
      <c r="U84" s="13">
        <f>IF(ISNUMBER(P84),ROUND(P84/(1-Settings!$B$2)/Settings!$B$3,0)*Settings!$B$3,"")</f>
        <v/>
      </c>
      <c r="V84" s="13">
        <f>IF(ISNUMBER(Q84),ROUND(Q84/(1-Settings!$B$2)/Settings!$B$3,0)*Settings!$B$3,"")</f>
        <v/>
      </c>
      <c r="W84" s="14" t="n">
        <v>3536</v>
      </c>
      <c r="X84" s="14" t="n">
        <v>4572</v>
      </c>
      <c r="Y84" s="11" t="inlineStr"/>
      <c r="Z84" s="11" t="inlineStr"/>
      <c r="AA84" s="8" t="inlineStr"/>
      <c r="AB84" s="8" t="inlineStr"/>
      <c r="AC84" s="11" t="inlineStr">
        <is>
          <t>MasterMilitaryOnBaseList 12.2.25 NS.xlsx</t>
        </is>
      </c>
      <c r="AD84" s="11" t="inlineStr">
        <is>
          <t>2027_AdvertisingRateSheet.pdf</t>
        </is>
      </c>
      <c r="AE84" s="15" t="inlineStr">
        <is>
          <t>Open in Box</t>
        </is>
      </c>
      <c r="AF84" s="15" t="inlineStr">
        <is>
          <t>Open in Box</t>
        </is>
      </c>
    </row>
    <row r="85">
      <c r="A85" s="11" t="inlineStr">
        <is>
          <t>AR-LITTLERO-007</t>
        </is>
      </c>
      <c r="B85" s="8" t="inlineStr">
        <is>
          <t>Little Rock AFB</t>
        </is>
      </c>
      <c r="C85" s="11" t="inlineStr"/>
      <c r="D85" s="11" t="inlineStr">
        <is>
          <t>AR</t>
        </is>
      </c>
      <c r="E85" s="11" t="inlineStr">
        <is>
          <t>Little Rock-Pine Bluff</t>
        </is>
      </c>
      <c r="F85" s="11" t="inlineStr">
        <is>
          <t>72099</t>
        </is>
      </c>
      <c r="G85" s="11" t="inlineStr">
        <is>
          <t>Air Force</t>
        </is>
      </c>
      <c r="H85" s="11" t="inlineStr">
        <is>
          <t>Standard Media</t>
        </is>
      </c>
      <c r="I85" s="8" t="inlineStr">
        <is>
          <t>Banners</t>
        </is>
      </c>
      <c r="J85" s="11" t="inlineStr">
        <is>
          <t>6'W x 3'H</t>
        </is>
      </c>
      <c r="K85" s="8" t="inlineStr">
        <is>
          <t>Your ad will appear at an approved installation facility.</t>
        </is>
      </c>
      <c r="L85" s="11" t="n">
        <v>1</v>
      </c>
      <c r="M85" s="12" t="n">
        <v>140</v>
      </c>
      <c r="N85" s="12" t="n">
        <v>275</v>
      </c>
      <c r="O85" s="12" t="n">
        <v>500</v>
      </c>
      <c r="P85" s="12" t="n">
        <v>1000</v>
      </c>
      <c r="Q85" s="12" t="n">
        <v>200</v>
      </c>
      <c r="R85" s="13">
        <f>IF(ISNUMBER(M85),ROUND(M85/(1-Settings!$B$2)/Settings!$B$3,0)*Settings!$B$3,"")</f>
        <v/>
      </c>
      <c r="S85" s="13">
        <f>IF(ISNUMBER(N85),ROUND(N85/(1-Settings!$B$2)/Settings!$B$3,0)*Settings!$B$3,"")</f>
        <v/>
      </c>
      <c r="T85" s="13">
        <f>IF(ISNUMBER(O85),ROUND(O85/(1-Settings!$B$2)/Settings!$B$3,0)*Settings!$B$3,"")</f>
        <v/>
      </c>
      <c r="U85" s="13">
        <f>IF(ISNUMBER(P85),ROUND(P85/(1-Settings!$B$2)/Settings!$B$3,0)*Settings!$B$3,"")</f>
        <v/>
      </c>
      <c r="V85" s="13">
        <f>IF(ISNUMBER(Q85),ROUND(Q85/(1-Settings!$B$2)/Settings!$B$3,0)*Settings!$B$3,"")</f>
        <v/>
      </c>
      <c r="W85" s="14" t="n">
        <v>3536</v>
      </c>
      <c r="X85" s="14" t="n">
        <v>4572</v>
      </c>
      <c r="Y85" s="11" t="inlineStr"/>
      <c r="Z85" s="11" t="inlineStr"/>
      <c r="AA85" s="8" t="inlineStr"/>
      <c r="AB85" s="8" t="inlineStr"/>
      <c r="AC85" s="11" t="inlineStr">
        <is>
          <t>MasterMilitaryOnBaseList 12.2.25 NS.xlsx</t>
        </is>
      </c>
      <c r="AD85" s="11" t="inlineStr">
        <is>
          <t>2027_AdvertisingRateSheet.pdf</t>
        </is>
      </c>
      <c r="AE85" s="15" t="inlineStr">
        <is>
          <t>Open in Box</t>
        </is>
      </c>
      <c r="AF85" s="15" t="inlineStr">
        <is>
          <t>Open in Box</t>
        </is>
      </c>
    </row>
    <row r="86">
      <c r="A86" s="11" t="inlineStr">
        <is>
          <t>AR-LITTLERO-008</t>
        </is>
      </c>
      <c r="B86" s="8" t="inlineStr">
        <is>
          <t>Little Rock AFB</t>
        </is>
      </c>
      <c r="C86" s="11" t="inlineStr"/>
      <c r="D86" s="11" t="inlineStr">
        <is>
          <t>AR</t>
        </is>
      </c>
      <c r="E86" s="11" t="inlineStr">
        <is>
          <t>Little Rock-Pine Bluff</t>
        </is>
      </c>
      <c r="F86" s="11" t="inlineStr">
        <is>
          <t>72099</t>
        </is>
      </c>
      <c r="G86" s="11" t="inlineStr">
        <is>
          <t>Air Force</t>
        </is>
      </c>
      <c r="H86" s="11" t="inlineStr">
        <is>
          <t>Standard Media</t>
        </is>
      </c>
      <c r="I86" s="8" t="inlineStr">
        <is>
          <t>Posters</t>
        </is>
      </c>
      <c r="J86" s="11" t="inlineStr">
        <is>
          <t>24"W x 29"H</t>
        </is>
      </c>
      <c r="K86" s="8" t="inlineStr">
        <is>
          <t>Your ad will appear at an approved installation facility.</t>
        </is>
      </c>
      <c r="L86" s="11" t="n">
        <v>1</v>
      </c>
      <c r="M86" s="12" t="n">
        <v>140</v>
      </c>
      <c r="N86" s="12" t="n">
        <v>275</v>
      </c>
      <c r="O86" s="12" t="n">
        <v>500</v>
      </c>
      <c r="P86" s="12" t="n">
        <v>1000</v>
      </c>
      <c r="Q86" s="12" t="n">
        <v>100</v>
      </c>
      <c r="R86" s="13">
        <f>IF(ISNUMBER(M86),ROUND(M86/(1-Settings!$B$2)/Settings!$B$3,0)*Settings!$B$3,"")</f>
        <v/>
      </c>
      <c r="S86" s="13">
        <f>IF(ISNUMBER(N86),ROUND(N86/(1-Settings!$B$2)/Settings!$B$3,0)*Settings!$B$3,"")</f>
        <v/>
      </c>
      <c r="T86" s="13">
        <f>IF(ISNUMBER(O86),ROUND(O86/(1-Settings!$B$2)/Settings!$B$3,0)*Settings!$B$3,"")</f>
        <v/>
      </c>
      <c r="U86" s="13">
        <f>IF(ISNUMBER(P86),ROUND(P86/(1-Settings!$B$2)/Settings!$B$3,0)*Settings!$B$3,"")</f>
        <v/>
      </c>
      <c r="V86" s="13">
        <f>IF(ISNUMBER(Q86),ROUND(Q86/(1-Settings!$B$2)/Settings!$B$3,0)*Settings!$B$3,"")</f>
        <v/>
      </c>
      <c r="W86" s="14" t="n">
        <v>3536</v>
      </c>
      <c r="X86" s="14" t="n">
        <v>4572</v>
      </c>
      <c r="Y86" s="11" t="inlineStr"/>
      <c r="Z86" s="11" t="inlineStr"/>
      <c r="AA86" s="8" t="inlineStr"/>
      <c r="AB86" s="8" t="inlineStr"/>
      <c r="AC86" s="11" t="inlineStr">
        <is>
          <t>MasterMilitaryOnBaseList 12.2.25 NS.xlsx</t>
        </is>
      </c>
      <c r="AD86" s="11" t="inlineStr">
        <is>
          <t>2027_AdvertisingRateSheet.pdf</t>
        </is>
      </c>
      <c r="AE86" s="15" t="inlineStr">
        <is>
          <t>Open in Box</t>
        </is>
      </c>
      <c r="AF86" s="15" t="inlineStr">
        <is>
          <t>Open in Box</t>
        </is>
      </c>
    </row>
    <row r="87">
      <c r="A87" s="11" t="inlineStr">
        <is>
          <t>AR-LITTLERO-009</t>
        </is>
      </c>
      <c r="B87" s="8" t="inlineStr">
        <is>
          <t>Little Rock AFB</t>
        </is>
      </c>
      <c r="C87" s="11" t="inlineStr"/>
      <c r="D87" s="11" t="inlineStr">
        <is>
          <t>AR</t>
        </is>
      </c>
      <c r="E87" s="11" t="inlineStr">
        <is>
          <t>Little Rock-Pine Bluff</t>
        </is>
      </c>
      <c r="F87" s="11" t="inlineStr">
        <is>
          <t>72099</t>
        </is>
      </c>
      <c r="G87" s="11" t="inlineStr">
        <is>
          <t>Air Force</t>
        </is>
      </c>
      <c r="H87" s="11" t="inlineStr">
        <is>
          <t>Standard Media</t>
        </is>
      </c>
      <c r="I87" s="8" t="inlineStr">
        <is>
          <t>Table Tents (Full Service)</t>
        </is>
      </c>
      <c r="J87" s="11" t="inlineStr"/>
      <c r="K87" s="8" t="inlineStr">
        <is>
          <t>Your ad will appear on table tents on every table in the bowling alley (Full Service: the Little Rock AFB team takes care of design, table tents, and ensures compliance)</t>
        </is>
      </c>
      <c r="L87" s="11" t="n">
        <v>1</v>
      </c>
      <c r="M87" s="12" t="n">
        <v>220</v>
      </c>
      <c r="N87" s="12" t="n">
        <v>390</v>
      </c>
      <c r="O87" s="12" t="n">
        <v>600</v>
      </c>
      <c r="P87" s="12" t="n">
        <v>1200</v>
      </c>
      <c r="Q87" s="12" t="n"/>
      <c r="R87" s="13">
        <f>IF(ISNUMBER(M87),ROUND(M87/(1-Settings!$B$2)/Settings!$B$3,0)*Settings!$B$3,"")</f>
        <v/>
      </c>
      <c r="S87" s="13">
        <f>IF(ISNUMBER(N87),ROUND(N87/(1-Settings!$B$2)/Settings!$B$3,0)*Settings!$B$3,"")</f>
        <v/>
      </c>
      <c r="T87" s="13">
        <f>IF(ISNUMBER(O87),ROUND(O87/(1-Settings!$B$2)/Settings!$B$3,0)*Settings!$B$3,"")</f>
        <v/>
      </c>
      <c r="U87" s="13">
        <f>IF(ISNUMBER(P87),ROUND(P87/(1-Settings!$B$2)/Settings!$B$3,0)*Settings!$B$3,"")</f>
        <v/>
      </c>
      <c r="V87" s="13">
        <f>IF(ISNUMBER(Q87),ROUND(Q87/(1-Settings!$B$2)/Settings!$B$3,0)*Settings!$B$3,"")</f>
        <v/>
      </c>
      <c r="W87" s="14" t="n">
        <v>3536</v>
      </c>
      <c r="X87" s="14" t="n">
        <v>4572</v>
      </c>
      <c r="Y87" s="11" t="inlineStr"/>
      <c r="Z87" s="11" t="inlineStr"/>
      <c r="AA87" s="8" t="inlineStr"/>
      <c r="AB87" s="8" t="inlineStr"/>
      <c r="AC87" s="11" t="inlineStr">
        <is>
          <t>MasterMilitaryOnBaseList 12.2.25 NS.xlsx</t>
        </is>
      </c>
      <c r="AD87" s="11" t="inlineStr">
        <is>
          <t>2027_AdvertisingRateSheet.pdf</t>
        </is>
      </c>
      <c r="AE87" s="15" t="inlineStr">
        <is>
          <t>Open in Box</t>
        </is>
      </c>
      <c r="AF87" s="15" t="inlineStr">
        <is>
          <t>Open in Box</t>
        </is>
      </c>
    </row>
    <row r="88">
      <c r="A88" s="11" t="inlineStr">
        <is>
          <t>AR-LITTLERO-017</t>
        </is>
      </c>
      <c r="B88" s="8" t="inlineStr">
        <is>
          <t>Little Rock AFB</t>
        </is>
      </c>
      <c r="C88" s="11" t="inlineStr"/>
      <c r="D88" s="11" t="inlineStr">
        <is>
          <t>AR</t>
        </is>
      </c>
      <c r="E88" s="11" t="inlineStr">
        <is>
          <t>Little Rock-Pine Bluff</t>
        </is>
      </c>
      <c r="F88" s="11" t="inlineStr">
        <is>
          <t>72099</t>
        </is>
      </c>
      <c r="G88" s="11" t="inlineStr">
        <is>
          <t>Air Force</t>
        </is>
      </c>
      <c r="H88" s="11" t="inlineStr">
        <is>
          <t>Web &amp; Email</t>
        </is>
      </c>
      <c r="I88" s="8" t="inlineStr">
        <is>
          <t>E-Newsletter</t>
        </is>
      </c>
      <c r="J88" s="11" t="inlineStr">
        <is>
          <t>728W x 210H px (High res JPG or PDF, max of 150 dpi)</t>
        </is>
      </c>
      <c r="K88" s="8" t="inlineStr">
        <is>
          <t>Your ad will appear in the "Rockin' Rundown" E-Newsletter, sent out on a weekly basis</t>
        </is>
      </c>
      <c r="L88" s="11" t="n">
        <v>1</v>
      </c>
      <c r="M88" s="12" t="n">
        <v>150</v>
      </c>
      <c r="N88" s="12" t="n">
        <v>320</v>
      </c>
      <c r="O88" s="12" t="n">
        <v>530</v>
      </c>
      <c r="P88" s="12" t="n">
        <v>1060</v>
      </c>
      <c r="Q88" s="12" t="n">
        <v>0</v>
      </c>
      <c r="R88" s="13">
        <f>IF(ISNUMBER(M88),ROUND(M88/(1-Settings!$B$2)/Settings!$B$3,0)*Settings!$B$3,"")</f>
        <v/>
      </c>
      <c r="S88" s="13">
        <f>IF(ISNUMBER(N88),ROUND(N88/(1-Settings!$B$2)/Settings!$B$3,0)*Settings!$B$3,"")</f>
        <v/>
      </c>
      <c r="T88" s="13">
        <f>IF(ISNUMBER(O88),ROUND(O88/(1-Settings!$B$2)/Settings!$B$3,0)*Settings!$B$3,"")</f>
        <v/>
      </c>
      <c r="U88" s="13">
        <f>IF(ISNUMBER(P88),ROUND(P88/(1-Settings!$B$2)/Settings!$B$3,0)*Settings!$B$3,"")</f>
        <v/>
      </c>
      <c r="V88" s="13">
        <f>IF(ISNUMBER(Q88),ROUND(Q88/(1-Settings!$B$2)/Settings!$B$3,0)*Settings!$B$3,"")</f>
        <v/>
      </c>
      <c r="W88" s="14" t="n">
        <v>3536</v>
      </c>
      <c r="X88" s="14" t="n">
        <v>4572</v>
      </c>
      <c r="Y88" s="11" t="inlineStr"/>
      <c r="Z88" s="11" t="inlineStr"/>
      <c r="AA88" s="8" t="inlineStr"/>
      <c r="AB88" s="8" t="inlineStr"/>
      <c r="AC88" s="11" t="inlineStr">
        <is>
          <t>MasterMilitaryOnBaseList 12.2.25 NS.xlsx</t>
        </is>
      </c>
      <c r="AD88" s="11" t="inlineStr">
        <is>
          <t>2027_AdvertisingRateSheet.pdf</t>
        </is>
      </c>
      <c r="AE88" s="15" t="inlineStr">
        <is>
          <t>Open in Box</t>
        </is>
      </c>
      <c r="AF88" s="15" t="inlineStr">
        <is>
          <t>Open in Box</t>
        </is>
      </c>
    </row>
    <row r="89">
      <c r="A89" s="11" t="inlineStr">
        <is>
          <t>AR-LITTLERO-019</t>
        </is>
      </c>
      <c r="B89" s="8" t="inlineStr">
        <is>
          <t>Little Rock AFB</t>
        </is>
      </c>
      <c r="C89" s="11" t="inlineStr"/>
      <c r="D89" s="11" t="inlineStr">
        <is>
          <t>AR</t>
        </is>
      </c>
      <c r="E89" s="11" t="inlineStr">
        <is>
          <t>Little Rock-Pine Bluff</t>
        </is>
      </c>
      <c r="F89" s="11" t="inlineStr"/>
      <c r="G89" s="11" t="inlineStr">
        <is>
          <t>Air Force</t>
        </is>
      </c>
      <c r="H89" s="11" t="inlineStr">
        <is>
          <t>Web &amp; Email</t>
        </is>
      </c>
      <c r="I89" s="8" t="inlineStr">
        <is>
          <t>Web Ad</t>
        </is>
      </c>
      <c r="J89" s="11" t="inlineStr"/>
      <c r="K89" s="8" t="inlineStr">
        <is>
          <t>Your ad will appear on the installation MWR / FSS website.</t>
        </is>
      </c>
      <c r="L89" s="11" t="n">
        <v>1</v>
      </c>
      <c r="M89" s="12" t="n">
        <v>200</v>
      </c>
      <c r="N89" s="12" t="n"/>
      <c r="O89" s="12" t="n"/>
      <c r="P89" s="12" t="n"/>
      <c r="Q89" s="12" t="n"/>
      <c r="R89" s="13">
        <f>IF(ISNUMBER(M89),ROUND(M89/(1-Settings!$B$2)/Settings!$B$3,0)*Settings!$B$3,"")</f>
        <v/>
      </c>
      <c r="S89" s="13">
        <f>IF(ISNUMBER(N89),ROUND(N89/(1-Settings!$B$2)/Settings!$B$3,0)*Settings!$B$3,"")</f>
        <v/>
      </c>
      <c r="T89" s="13">
        <f>IF(ISNUMBER(O89),ROUND(O89/(1-Settings!$B$2)/Settings!$B$3,0)*Settings!$B$3,"")</f>
        <v/>
      </c>
      <c r="U89" s="13">
        <f>IF(ISNUMBER(P89),ROUND(P89/(1-Settings!$B$2)/Settings!$B$3,0)*Settings!$B$3,"")</f>
        <v/>
      </c>
      <c r="V89" s="13">
        <f>IF(ISNUMBER(Q89),ROUND(Q89/(1-Settings!$B$2)/Settings!$B$3,0)*Settings!$B$3,"")</f>
        <v/>
      </c>
      <c r="W89" s="14" t="n">
        <v>3536</v>
      </c>
      <c r="X89" s="14" t="n">
        <v>4572</v>
      </c>
      <c r="Y89" s="11" t="inlineStr">
        <is>
          <t>2026</t>
        </is>
      </c>
      <c r="Z89" s="11" t="inlineStr">
        <is>
          <t>2026-06</t>
        </is>
      </c>
      <c r="AA89" s="8" t="inlineStr"/>
      <c r="AB89" s="8" t="inlineStr"/>
      <c r="AC89" s="11" t="inlineStr">
        <is>
          <t>Military - National Publication Inventory Master_June 2026.xlsx</t>
        </is>
      </c>
      <c r="AD89" s="11" t="inlineStr">
        <is>
          <t>2027_AdvertisingRateSheet.pdf</t>
        </is>
      </c>
      <c r="AE89" s="15" t="inlineStr">
        <is>
          <t>Open in Box</t>
        </is>
      </c>
      <c r="AF89" s="15" t="inlineStr">
        <is>
          <t>Open in Box</t>
        </is>
      </c>
    </row>
    <row r="90">
      <c r="A90" s="11" t="inlineStr">
        <is>
          <t>AZ-DAVISMON-001</t>
        </is>
      </c>
      <c r="B90" s="8" t="inlineStr">
        <is>
          <t>Davis-Monthan Air Force Base</t>
        </is>
      </c>
      <c r="C90" s="11" t="inlineStr"/>
      <c r="D90" s="11" t="inlineStr">
        <is>
          <t>AZ</t>
        </is>
      </c>
      <c r="E90" s="11" t="inlineStr">
        <is>
          <t>Tucson (Sierra Vista), AZ</t>
        </is>
      </c>
      <c r="F90" s="11" t="inlineStr"/>
      <c r="G90" s="11" t="inlineStr">
        <is>
          <t>Air Force</t>
        </is>
      </c>
      <c r="H90" s="11" t="inlineStr">
        <is>
          <t>Digital</t>
        </is>
      </c>
      <c r="I90" s="8" t="inlineStr">
        <is>
          <t>Digital Monitor Network</t>
        </is>
      </c>
      <c r="J90" s="11" t="inlineStr">
        <is>
          <t>12 screens</t>
        </is>
      </c>
      <c r="K90" s="8" t="inlineStr">
        <is>
          <t>Your ad will appear on the 12-screen digital monitor network in approved installation facilities.</t>
        </is>
      </c>
      <c r="L90" s="11" t="n">
        <v>1</v>
      </c>
      <c r="M90" s="12" t="n">
        <v>2500</v>
      </c>
      <c r="N90" s="12" t="n"/>
      <c r="O90" s="12" t="n"/>
      <c r="P90" s="12" t="n"/>
      <c r="Q90" s="12" t="n"/>
      <c r="R90" s="13">
        <f>IF(ISNUMBER(M90),ROUND(M90/(1-Settings!$B$2)/Settings!$B$3,0)*Settings!$B$3,"")</f>
        <v/>
      </c>
      <c r="S90" s="13">
        <f>IF(ISNUMBER(N90),ROUND(N90/(1-Settings!$B$2)/Settings!$B$3,0)*Settings!$B$3,"")</f>
        <v/>
      </c>
      <c r="T90" s="13">
        <f>IF(ISNUMBER(O90),ROUND(O90/(1-Settings!$B$2)/Settings!$B$3,0)*Settings!$B$3,"")</f>
        <v/>
      </c>
      <c r="U90" s="13">
        <f>IF(ISNUMBER(P90),ROUND(P90/(1-Settings!$B$2)/Settings!$B$3,0)*Settings!$B$3,"")</f>
        <v/>
      </c>
      <c r="V90" s="13">
        <f>IF(ISNUMBER(Q90),ROUND(Q90/(1-Settings!$B$2)/Settings!$B$3,0)*Settings!$B$3,"")</f>
        <v/>
      </c>
      <c r="W90" s="14" t="n">
        <v>5995</v>
      </c>
      <c r="X90" s="14" t="n">
        <v>6924</v>
      </c>
      <c r="Y90" s="11" t="inlineStr">
        <is>
          <t>2026</t>
        </is>
      </c>
      <c r="Z90" s="11" t="inlineStr">
        <is>
          <t>2026-06</t>
        </is>
      </c>
      <c r="AA90" s="8" t="inlineStr"/>
      <c r="AB90" s="8" t="inlineStr"/>
      <c r="AC90" s="11" t="inlineStr">
        <is>
          <t>Military - National Digital Inventory Master 6.3.26.xlsx</t>
        </is>
      </c>
      <c r="AD90" s="11" t="inlineStr">
        <is>
          <t>2026 Advertising Rates.pptx</t>
        </is>
      </c>
      <c r="AE90" s="15" t="inlineStr">
        <is>
          <t>Open in Box</t>
        </is>
      </c>
      <c r="AF90" s="15" t="inlineStr">
        <is>
          <t>Open in Box</t>
        </is>
      </c>
    </row>
    <row r="91">
      <c r="A91" s="11" t="inlineStr">
        <is>
          <t>AZ-DAVISMON-003</t>
        </is>
      </c>
      <c r="B91" s="8" t="inlineStr">
        <is>
          <t>Davis-Monthan Air Force Base</t>
        </is>
      </c>
      <c r="C91" s="11" t="inlineStr"/>
      <c r="D91" s="11" t="inlineStr">
        <is>
          <t>AZ</t>
        </is>
      </c>
      <c r="E91" s="11" t="inlineStr">
        <is>
          <t>Tucson (Sierra Vista), AZ</t>
        </is>
      </c>
      <c r="F91" s="11" t="inlineStr"/>
      <c r="G91" s="11" t="inlineStr">
        <is>
          <t>Air Force</t>
        </is>
      </c>
      <c r="H91" s="11" t="inlineStr">
        <is>
          <t>Print &amp; Publications</t>
        </is>
      </c>
      <c r="I91" s="8" t="inlineStr">
        <is>
          <t>Magazine Ad</t>
        </is>
      </c>
      <c r="J91" s="11" t="inlineStr"/>
      <c r="K91" s="8" t="inlineStr">
        <is>
          <t>Your ad will appear in the installation magazine.</t>
        </is>
      </c>
      <c r="L91" s="11" t="n">
        <v>3</v>
      </c>
      <c r="M91" s="12" t="n"/>
      <c r="N91" s="12" t="n">
        <v>450</v>
      </c>
      <c r="O91" s="12" t="n"/>
      <c r="P91" s="12" t="n"/>
      <c r="Q91" s="12" t="n"/>
      <c r="R91" s="13">
        <f>IF(ISNUMBER(M91),ROUND(M91/(1-Settings!$B$2)/Settings!$B$3,0)*Settings!$B$3,"")</f>
        <v/>
      </c>
      <c r="S91" s="13">
        <f>IF(ISNUMBER(N91),ROUND(N91/(1-Settings!$B$2)/Settings!$B$3,0)*Settings!$B$3,"")</f>
        <v/>
      </c>
      <c r="T91" s="13">
        <f>IF(ISNUMBER(O91),ROUND(O91/(1-Settings!$B$2)/Settings!$B$3,0)*Settings!$B$3,"")</f>
        <v/>
      </c>
      <c r="U91" s="13">
        <f>IF(ISNUMBER(P91),ROUND(P91/(1-Settings!$B$2)/Settings!$B$3,0)*Settings!$B$3,"")</f>
        <v/>
      </c>
      <c r="V91" s="13">
        <f>IF(ISNUMBER(Q91),ROUND(Q91/(1-Settings!$B$2)/Settings!$B$3,0)*Settings!$B$3,"")</f>
        <v/>
      </c>
      <c r="W91" s="14" t="n">
        <v>5995</v>
      </c>
      <c r="X91" s="14" t="n">
        <v>6924</v>
      </c>
      <c r="Y91" s="11" t="inlineStr">
        <is>
          <t>2026</t>
        </is>
      </c>
      <c r="Z91" s="11" t="inlineStr">
        <is>
          <t>2026-06</t>
        </is>
      </c>
      <c r="AA91" s="8" t="inlineStr">
        <is>
          <t>3-month commitment</t>
        </is>
      </c>
      <c r="AB91" s="8" t="inlineStr"/>
      <c r="AC91" s="11" t="inlineStr">
        <is>
          <t>Military - National Publication Inventory Master_June 2026.xlsx</t>
        </is>
      </c>
      <c r="AD91" s="11" t="inlineStr">
        <is>
          <t>2026 Advertising Rates.pptx</t>
        </is>
      </c>
      <c r="AE91" s="15" t="inlineStr">
        <is>
          <t>Open in Box</t>
        </is>
      </c>
      <c r="AF91" s="15" t="inlineStr">
        <is>
          <t>Open in Box</t>
        </is>
      </c>
    </row>
    <row r="92">
      <c r="A92" s="11" t="inlineStr">
        <is>
          <t>AZ-DAVISMON-002</t>
        </is>
      </c>
      <c r="B92" s="8" t="inlineStr">
        <is>
          <t>Davis-Monthan Air Force Base</t>
        </is>
      </c>
      <c r="C92" s="11" t="inlineStr"/>
      <c r="D92" s="11" t="inlineStr">
        <is>
          <t>AZ</t>
        </is>
      </c>
      <c r="E92" s="11" t="inlineStr">
        <is>
          <t>Tucson (Sierra Vista), AZ</t>
        </is>
      </c>
      <c r="F92" s="11" t="inlineStr"/>
      <c r="G92" s="11" t="inlineStr">
        <is>
          <t>Air Force</t>
        </is>
      </c>
      <c r="H92" s="11" t="inlineStr">
        <is>
          <t>Web &amp; Email</t>
        </is>
      </c>
      <c r="I92" s="8" t="inlineStr">
        <is>
          <t>Web Ad</t>
        </is>
      </c>
      <c r="J92" s="11" t="inlineStr"/>
      <c r="K92" s="8" t="inlineStr">
        <is>
          <t>Your ad will appear on the installation MWR / FSS website.</t>
        </is>
      </c>
      <c r="L92" s="11" t="n">
        <v>3</v>
      </c>
      <c r="M92" s="12" t="n"/>
      <c r="N92" s="12" t="n">
        <v>375</v>
      </c>
      <c r="O92" s="12" t="n"/>
      <c r="P92" s="12" t="n"/>
      <c r="Q92" s="12" t="n"/>
      <c r="R92" s="13">
        <f>IF(ISNUMBER(M92),ROUND(M92/(1-Settings!$B$2)/Settings!$B$3,0)*Settings!$B$3,"")</f>
        <v/>
      </c>
      <c r="S92" s="13">
        <f>IF(ISNUMBER(N92),ROUND(N92/(1-Settings!$B$2)/Settings!$B$3,0)*Settings!$B$3,"")</f>
        <v/>
      </c>
      <c r="T92" s="13">
        <f>IF(ISNUMBER(O92),ROUND(O92/(1-Settings!$B$2)/Settings!$B$3,0)*Settings!$B$3,"")</f>
        <v/>
      </c>
      <c r="U92" s="13">
        <f>IF(ISNUMBER(P92),ROUND(P92/(1-Settings!$B$2)/Settings!$B$3,0)*Settings!$B$3,"")</f>
        <v/>
      </c>
      <c r="V92" s="13">
        <f>IF(ISNUMBER(Q92),ROUND(Q92/(1-Settings!$B$2)/Settings!$B$3,0)*Settings!$B$3,"")</f>
        <v/>
      </c>
      <c r="W92" s="14" t="n">
        <v>5995</v>
      </c>
      <c r="X92" s="14" t="n">
        <v>6924</v>
      </c>
      <c r="Y92" s="11" t="inlineStr">
        <is>
          <t>2026</t>
        </is>
      </c>
      <c r="Z92" s="11" t="inlineStr">
        <is>
          <t>2026-06</t>
        </is>
      </c>
      <c r="AA92" s="8" t="inlineStr">
        <is>
          <t>3-month commitment</t>
        </is>
      </c>
      <c r="AB92" s="8" t="inlineStr"/>
      <c r="AC92" s="11" t="inlineStr">
        <is>
          <t>Military - National Publication Inventory Master_June 2026.xlsx</t>
        </is>
      </c>
      <c r="AD92" s="11" t="inlineStr">
        <is>
          <t>2026 Advertising Rates.pptx</t>
        </is>
      </c>
      <c r="AE92" s="15" t="inlineStr">
        <is>
          <t>Open in Box</t>
        </is>
      </c>
      <c r="AF92" s="15" t="inlineStr">
        <is>
          <t>Open in Box</t>
        </is>
      </c>
    </row>
    <row r="93">
      <c r="A93" s="11" t="inlineStr">
        <is>
          <t>AZ-FORTHUAC-001</t>
        </is>
      </c>
      <c r="B93" s="8" t="inlineStr">
        <is>
          <t>Fort Huachuca</t>
        </is>
      </c>
      <c r="C93" s="11" t="inlineStr"/>
      <c r="D93" s="11" t="inlineStr">
        <is>
          <t>AZ</t>
        </is>
      </c>
      <c r="E93" s="11" t="inlineStr">
        <is>
          <t>Tucson (Sierra Vista), AZ</t>
        </is>
      </c>
      <c r="F93" s="11" t="inlineStr"/>
      <c r="G93" s="11" t="inlineStr">
        <is>
          <t>Army</t>
        </is>
      </c>
      <c r="H93" s="11" t="inlineStr">
        <is>
          <t>Digital</t>
        </is>
      </c>
      <c r="I93" s="8" t="inlineStr">
        <is>
          <t>Bowling Scoring Monitors</t>
        </is>
      </c>
      <c r="J93" s="11" t="inlineStr">
        <is>
          <t>24 screens</t>
        </is>
      </c>
      <c r="K93" s="8" t="inlineStr">
        <is>
          <t>Your ad will appear on the 24-screen scoring monitors in the installation bowling center.</t>
        </is>
      </c>
      <c r="L93" s="11" t="n">
        <v>1</v>
      </c>
      <c r="M93" s="12" t="n">
        <v>150</v>
      </c>
      <c r="N93" s="12" t="n"/>
      <c r="O93" s="12" t="n"/>
      <c r="P93" s="12" t="n"/>
      <c r="Q93" s="12" t="n"/>
      <c r="R93" s="13">
        <f>IF(ISNUMBER(M93),ROUND(M93/(1-Settings!$B$2)/Settings!$B$3,0)*Settings!$B$3,"")</f>
        <v/>
      </c>
      <c r="S93" s="13">
        <f>IF(ISNUMBER(N93),ROUND(N93/(1-Settings!$B$2)/Settings!$B$3,0)*Settings!$B$3,"")</f>
        <v/>
      </c>
      <c r="T93" s="13">
        <f>IF(ISNUMBER(O93),ROUND(O93/(1-Settings!$B$2)/Settings!$B$3,0)*Settings!$B$3,"")</f>
        <v/>
      </c>
      <c r="U93" s="13">
        <f>IF(ISNUMBER(P93),ROUND(P93/(1-Settings!$B$2)/Settings!$B$3,0)*Settings!$B$3,"")</f>
        <v/>
      </c>
      <c r="V93" s="13">
        <f>IF(ISNUMBER(Q93),ROUND(Q93/(1-Settings!$B$2)/Settings!$B$3,0)*Settings!$B$3,"")</f>
        <v/>
      </c>
      <c r="W93" s="14" t="n">
        <v>4139</v>
      </c>
      <c r="X93" s="14" t="n">
        <v>5163</v>
      </c>
      <c r="Y93" s="11" t="inlineStr">
        <is>
          <t>2026</t>
        </is>
      </c>
      <c r="Z93" s="11" t="inlineStr">
        <is>
          <t>2026-06</t>
        </is>
      </c>
      <c r="AA93" s="8" t="inlineStr"/>
      <c r="AB93" s="8" t="inlineStr"/>
      <c r="AC93" s="11" t="inlineStr">
        <is>
          <t>Military - National Digital Inventory Master 6.3.26.xlsx</t>
        </is>
      </c>
      <c r="AD93" s="11" t="inlineStr">
        <is>
          <t>2026_Rate_Card.pdf</t>
        </is>
      </c>
      <c r="AE93" s="15" t="inlineStr">
        <is>
          <t>Open in Box</t>
        </is>
      </c>
      <c r="AF93" s="15" t="inlineStr">
        <is>
          <t>Open in Box</t>
        </is>
      </c>
    </row>
    <row r="94">
      <c r="A94" s="11" t="inlineStr">
        <is>
          <t>AZ-FORTHUAC-003</t>
        </is>
      </c>
      <c r="B94" s="8" t="inlineStr">
        <is>
          <t>Fort Huachuca</t>
        </is>
      </c>
      <c r="C94" s="11" t="inlineStr"/>
      <c r="D94" s="11" t="inlineStr">
        <is>
          <t>AZ</t>
        </is>
      </c>
      <c r="E94" s="11" t="inlineStr">
        <is>
          <t>Tucson (Sierra Vista), AZ</t>
        </is>
      </c>
      <c r="F94" s="11" t="inlineStr"/>
      <c r="G94" s="11" t="inlineStr">
        <is>
          <t>Army</t>
        </is>
      </c>
      <c r="H94" s="11" t="inlineStr">
        <is>
          <t>Print &amp; Publications</t>
        </is>
      </c>
      <c r="I94" s="8" t="inlineStr">
        <is>
          <t>Magazine Ad</t>
        </is>
      </c>
      <c r="J94" s="11" t="inlineStr"/>
      <c r="K94" s="8" t="inlineStr">
        <is>
          <t>Your ad will appear in the installation magazine.</t>
        </is>
      </c>
      <c r="L94" s="11" t="n">
        <v>12</v>
      </c>
      <c r="M94" s="12" t="n"/>
      <c r="N94" s="12" t="n"/>
      <c r="O94" s="12" t="n"/>
      <c r="P94" s="12" t="n">
        <v>600</v>
      </c>
      <c r="Q94" s="12" t="n"/>
      <c r="R94" s="13">
        <f>IF(ISNUMBER(M94),ROUND(M94/(1-Settings!$B$2)/Settings!$B$3,0)*Settings!$B$3,"")</f>
        <v/>
      </c>
      <c r="S94" s="13">
        <f>IF(ISNUMBER(N94),ROUND(N94/(1-Settings!$B$2)/Settings!$B$3,0)*Settings!$B$3,"")</f>
        <v/>
      </c>
      <c r="T94" s="13">
        <f>IF(ISNUMBER(O94),ROUND(O94/(1-Settings!$B$2)/Settings!$B$3,0)*Settings!$B$3,"")</f>
        <v/>
      </c>
      <c r="U94" s="13">
        <f>IF(ISNUMBER(P94),ROUND(P94/(1-Settings!$B$2)/Settings!$B$3,0)*Settings!$B$3,"")</f>
        <v/>
      </c>
      <c r="V94" s="13">
        <f>IF(ISNUMBER(Q94),ROUND(Q94/(1-Settings!$B$2)/Settings!$B$3,0)*Settings!$B$3,"")</f>
        <v/>
      </c>
      <c r="W94" s="14" t="n">
        <v>4139</v>
      </c>
      <c r="X94" s="14" t="n">
        <v>5163</v>
      </c>
      <c r="Y94" s="11" t="inlineStr">
        <is>
          <t>2026</t>
        </is>
      </c>
      <c r="Z94" s="11" t="inlineStr">
        <is>
          <t>2026-06</t>
        </is>
      </c>
      <c r="AA94" s="8" t="inlineStr">
        <is>
          <t>Sold annually; Magazine printed quarterly</t>
        </is>
      </c>
      <c r="AB94" s="8" t="inlineStr"/>
      <c r="AC94" s="11" t="inlineStr">
        <is>
          <t>Military - National Publication Inventory Master_June 2026.xlsx</t>
        </is>
      </c>
      <c r="AD94" s="11" t="inlineStr">
        <is>
          <t>2026_Rate_Card.pdf</t>
        </is>
      </c>
      <c r="AE94" s="15" t="inlineStr">
        <is>
          <t>Open in Box</t>
        </is>
      </c>
      <c r="AF94" s="15" t="inlineStr">
        <is>
          <t>Open in Box</t>
        </is>
      </c>
    </row>
    <row r="95">
      <c r="A95" s="11" t="inlineStr">
        <is>
          <t>AZ-FORTHUAC-002</t>
        </is>
      </c>
      <c r="B95" s="8" t="inlineStr">
        <is>
          <t>Fort Huachuca</t>
        </is>
      </c>
      <c r="C95" s="11" t="inlineStr"/>
      <c r="D95" s="11" t="inlineStr">
        <is>
          <t>AZ</t>
        </is>
      </c>
      <c r="E95" s="11" t="inlineStr">
        <is>
          <t>Tucson (Sierra Vista), AZ</t>
        </is>
      </c>
      <c r="F95" s="11" t="inlineStr"/>
      <c r="G95" s="11" t="inlineStr">
        <is>
          <t>Army</t>
        </is>
      </c>
      <c r="H95" s="11" t="inlineStr">
        <is>
          <t>Web &amp; Email</t>
        </is>
      </c>
      <c r="I95" s="8" t="inlineStr">
        <is>
          <t>Web Ad</t>
        </is>
      </c>
      <c r="J95" s="11" t="inlineStr"/>
      <c r="K95" s="8" t="inlineStr">
        <is>
          <t>Your ad will appear on the installation MWR / FSS website.</t>
        </is>
      </c>
      <c r="L95" s="11" t="n">
        <v>12</v>
      </c>
      <c r="M95" s="12" t="n"/>
      <c r="N95" s="12" t="n"/>
      <c r="O95" s="12" t="n"/>
      <c r="P95" s="12" t="n">
        <v>1500</v>
      </c>
      <c r="Q95" s="12" t="n"/>
      <c r="R95" s="13">
        <f>IF(ISNUMBER(M95),ROUND(M95/(1-Settings!$B$2)/Settings!$B$3,0)*Settings!$B$3,"")</f>
        <v/>
      </c>
      <c r="S95" s="13">
        <f>IF(ISNUMBER(N95),ROUND(N95/(1-Settings!$B$2)/Settings!$B$3,0)*Settings!$B$3,"")</f>
        <v/>
      </c>
      <c r="T95" s="13">
        <f>IF(ISNUMBER(O95),ROUND(O95/(1-Settings!$B$2)/Settings!$B$3,0)*Settings!$B$3,"")</f>
        <v/>
      </c>
      <c r="U95" s="13">
        <f>IF(ISNUMBER(P95),ROUND(P95/(1-Settings!$B$2)/Settings!$B$3,0)*Settings!$B$3,"")</f>
        <v/>
      </c>
      <c r="V95" s="13">
        <f>IF(ISNUMBER(Q95),ROUND(Q95/(1-Settings!$B$2)/Settings!$B$3,0)*Settings!$B$3,"")</f>
        <v/>
      </c>
      <c r="W95" s="14" t="n">
        <v>4139</v>
      </c>
      <c r="X95" s="14" t="n">
        <v>5163</v>
      </c>
      <c r="Y95" s="11" t="inlineStr">
        <is>
          <t>2026</t>
        </is>
      </c>
      <c r="Z95" s="11" t="inlineStr">
        <is>
          <t>2026-06</t>
        </is>
      </c>
      <c r="AA95" s="8" t="inlineStr">
        <is>
          <t>Sold annually; Magazine printed quarterly</t>
        </is>
      </c>
      <c r="AB95" s="8" t="inlineStr"/>
      <c r="AC95" s="11" t="inlineStr">
        <is>
          <t>Military - National Publication Inventory Master_June 2026.xlsx</t>
        </is>
      </c>
      <c r="AD95" s="11" t="inlineStr">
        <is>
          <t>2026_Rate_Card.pdf</t>
        </is>
      </c>
      <c r="AE95" s="15" t="inlineStr">
        <is>
          <t>Open in Box</t>
        </is>
      </c>
      <c r="AF95" s="15" t="inlineStr">
        <is>
          <t>Open in Box</t>
        </is>
      </c>
    </row>
    <row r="96">
      <c r="A96" s="11" t="inlineStr">
        <is>
          <t>AZ-FORTNOVO-001</t>
        </is>
      </c>
      <c r="B96" s="8" t="inlineStr">
        <is>
          <t>Fort Novosel</t>
        </is>
      </c>
      <c r="C96" s="11" t="inlineStr">
        <is>
          <t>Fort Rucker</t>
        </is>
      </c>
      <c r="D96" s="11" t="inlineStr">
        <is>
          <t>AZ</t>
        </is>
      </c>
      <c r="E96" s="11" t="inlineStr">
        <is>
          <t>Montgomery</t>
        </is>
      </c>
      <c r="F96" s="11" t="inlineStr">
        <is>
          <t>36322</t>
        </is>
      </c>
      <c r="G96" s="11" t="inlineStr">
        <is>
          <t>Army</t>
        </is>
      </c>
      <c r="H96" s="11" t="inlineStr">
        <is>
          <t>Print &amp; Publications</t>
        </is>
      </c>
      <c r="I96" s="8" t="inlineStr">
        <is>
          <t>Restaurant &amp; Entertainment Guide</t>
        </is>
      </c>
      <c r="J96" s="11" t="inlineStr">
        <is>
          <t>Full Page</t>
        </is>
      </c>
      <c r="K96" s="8" t="inlineStr">
        <is>
          <t>Your ad will appear in the Restaurant &amp; Entertainment Guide. This is one of the only opportunities for off post restaurants and entertainment facilities to advertise on Fort Novosel. Distributed at the Newcomer's Welcome Briefing and inside multiple MWR facilities throughout the year.</t>
        </is>
      </c>
      <c r="L96" s="11" t="n">
        <v>12</v>
      </c>
      <c r="M96" s="12" t="n"/>
      <c r="N96" s="12" t="n"/>
      <c r="O96" s="12" t="n"/>
      <c r="P96" s="12" t="n">
        <v>1800</v>
      </c>
      <c r="Q96" s="12" t="n">
        <v>0</v>
      </c>
      <c r="R96" s="13">
        <f>IF(ISNUMBER(M96),ROUND(M96/(1-Settings!$B$2)/Settings!$B$3,0)*Settings!$B$3,"")</f>
        <v/>
      </c>
      <c r="S96" s="13">
        <f>IF(ISNUMBER(N96),ROUND(N96/(1-Settings!$B$2)/Settings!$B$3,0)*Settings!$B$3,"")</f>
        <v/>
      </c>
      <c r="T96" s="13">
        <f>IF(ISNUMBER(O96),ROUND(O96/(1-Settings!$B$2)/Settings!$B$3,0)*Settings!$B$3,"")</f>
        <v/>
      </c>
      <c r="U96" s="13">
        <f>IF(ISNUMBER(P96),ROUND(P96/(1-Settings!$B$2)/Settings!$B$3,0)*Settings!$B$3,"")</f>
        <v/>
      </c>
      <c r="V96" s="13">
        <f>IF(ISNUMBER(Q96),ROUND(Q96/(1-Settings!$B$2)/Settings!$B$3,0)*Settings!$B$3,"")</f>
        <v/>
      </c>
      <c r="W96" s="14" t="n">
        <v>3860</v>
      </c>
      <c r="X96" s="14" t="n">
        <v>5945</v>
      </c>
      <c r="Y96" s="11" t="inlineStr"/>
      <c r="Z96" s="11" t="inlineStr"/>
      <c r="AA96" s="8" t="inlineStr"/>
      <c r="AB96" s="8" t="inlineStr"/>
      <c r="AC96" s="11" t="inlineStr">
        <is>
          <t>MasterMilitaryOnBaseList 12.2.25 NS.xlsx</t>
        </is>
      </c>
      <c r="AD96" s="11" t="inlineStr">
        <is>
          <t>Gate Marquees - Rucker_Specs.docx</t>
        </is>
      </c>
      <c r="AE96" s="15" t="inlineStr">
        <is>
          <t>Open in Box</t>
        </is>
      </c>
      <c r="AF96" s="15" t="inlineStr">
        <is>
          <t>Open in Box</t>
        </is>
      </c>
    </row>
    <row r="97">
      <c r="A97" s="11" t="inlineStr">
        <is>
          <t>AZ-LUKEAFB-001</t>
        </is>
      </c>
      <c r="B97" s="8" t="inlineStr">
        <is>
          <t>Luke AFB</t>
        </is>
      </c>
      <c r="C97" s="11" t="inlineStr"/>
      <c r="D97" s="11" t="inlineStr">
        <is>
          <t>AZ</t>
        </is>
      </c>
      <c r="E97" s="11" t="inlineStr">
        <is>
          <t>Phoenix (Prescott)</t>
        </is>
      </c>
      <c r="F97" s="11" t="inlineStr">
        <is>
          <t>85309</t>
        </is>
      </c>
      <c r="G97" s="11" t="inlineStr">
        <is>
          <t>Air Force</t>
        </is>
      </c>
      <c r="H97" s="11" t="inlineStr">
        <is>
          <t>Digital</t>
        </is>
      </c>
      <c r="I97" s="8" t="inlineStr">
        <is>
          <t>Base Theatre Preview</t>
        </is>
      </c>
      <c r="J97" s="11" t="inlineStr">
        <is>
          <t>1920pxW x1080pxH</t>
        </is>
      </c>
      <c r="K97" s="8" t="inlineStr">
        <is>
          <t>Your ad will appear as a Base Theatre Preview</t>
        </is>
      </c>
      <c r="L97" s="11" t="n">
        <v>1</v>
      </c>
      <c r="M97" s="12" t="n">
        <v>200</v>
      </c>
      <c r="N97" s="12" t="n">
        <v>150</v>
      </c>
      <c r="O97" s="12" t="n">
        <v>100</v>
      </c>
      <c r="P97" s="12" t="n">
        <v>200</v>
      </c>
      <c r="Q97" s="12" t="n">
        <v>0</v>
      </c>
      <c r="R97" s="13">
        <f>IF(ISNUMBER(M97),ROUND(M97/(1-Settings!$B$2)/Settings!$B$3,0)*Settings!$B$3,"")</f>
        <v/>
      </c>
      <c r="S97" s="13">
        <f>IF(ISNUMBER(N97),ROUND(N97/(1-Settings!$B$2)/Settings!$B$3,0)*Settings!$B$3,"")</f>
        <v/>
      </c>
      <c r="T97" s="13">
        <f>IF(ISNUMBER(O97),ROUND(O97/(1-Settings!$B$2)/Settings!$B$3,0)*Settings!$B$3,"")</f>
        <v/>
      </c>
      <c r="U97" s="13">
        <f>IF(ISNUMBER(P97),ROUND(P97/(1-Settings!$B$2)/Settings!$B$3,0)*Settings!$B$3,"")</f>
        <v/>
      </c>
      <c r="V97" s="13">
        <f>IF(ISNUMBER(Q97),ROUND(Q97/(1-Settings!$B$2)/Settings!$B$3,0)*Settings!$B$3,"")</f>
        <v/>
      </c>
      <c r="W97" s="14" t="n">
        <v>4607</v>
      </c>
      <c r="X97" s="14" t="n">
        <v>5689</v>
      </c>
      <c r="Y97" s="11" t="inlineStr"/>
      <c r="Z97" s="11" t="inlineStr"/>
      <c r="AA97" s="8" t="inlineStr">
        <is>
          <t>Inventory master 6/2026 lists Movie Theater Ad at $150 (1 mo)</t>
        </is>
      </c>
      <c r="AB97" s="8" t="inlineStr"/>
      <c r="AC97" s="11" t="inlineStr">
        <is>
          <t>MasterMilitaryOnBaseList 12.2.25 NS.xlsx</t>
        </is>
      </c>
      <c r="AD97" s="11" t="inlineStr">
        <is>
          <t>Luke Days 2026 - C Advertising &amp; Exhibitors.pdf</t>
        </is>
      </c>
      <c r="AE97" s="15" t="inlineStr">
        <is>
          <t>Open in Box</t>
        </is>
      </c>
      <c r="AF97" s="15" t="inlineStr">
        <is>
          <t>Open in Box</t>
        </is>
      </c>
    </row>
    <row r="98">
      <c r="A98" s="11" t="inlineStr">
        <is>
          <t>AZ-LUKEAFB-002</t>
        </is>
      </c>
      <c r="B98" s="8" t="inlineStr">
        <is>
          <t>Luke AFB</t>
        </is>
      </c>
      <c r="C98" s="11" t="inlineStr"/>
      <c r="D98" s="11" t="inlineStr">
        <is>
          <t>AZ</t>
        </is>
      </c>
      <c r="E98" s="11" t="inlineStr">
        <is>
          <t>Phoenix (Prescott)</t>
        </is>
      </c>
      <c r="F98" s="11" t="inlineStr">
        <is>
          <t>85309</t>
        </is>
      </c>
      <c r="G98" s="11" t="inlineStr">
        <is>
          <t>Air Force</t>
        </is>
      </c>
      <c r="H98" s="11" t="inlineStr">
        <is>
          <t>Digital</t>
        </is>
      </c>
      <c r="I98" s="8" t="inlineStr">
        <is>
          <t>Digital Monitors</t>
        </is>
      </c>
      <c r="J98" s="11" t="inlineStr">
        <is>
          <t>12" tall x 21' wide (No Bleed)</t>
        </is>
      </c>
      <c r="K98" s="8" t="inlineStr">
        <is>
          <t>Your ad will appear on digtal monitors in Luke AFB facilities</t>
        </is>
      </c>
      <c r="L98" s="11" t="n">
        <v>1</v>
      </c>
      <c r="M98" s="12" t="n">
        <v>400</v>
      </c>
      <c r="N98" s="12" t="n">
        <v>350</v>
      </c>
      <c r="O98" s="12" t="n">
        <v>300</v>
      </c>
      <c r="P98" s="12" t="n">
        <v>600</v>
      </c>
      <c r="Q98" s="12" t="n">
        <v>0</v>
      </c>
      <c r="R98" s="13">
        <f>IF(ISNUMBER(M98),ROUND(M98/(1-Settings!$B$2)/Settings!$B$3,0)*Settings!$B$3,"")</f>
        <v/>
      </c>
      <c r="S98" s="13">
        <f>IF(ISNUMBER(N98),ROUND(N98/(1-Settings!$B$2)/Settings!$B$3,0)*Settings!$B$3,"")</f>
        <v/>
      </c>
      <c r="T98" s="13">
        <f>IF(ISNUMBER(O98),ROUND(O98/(1-Settings!$B$2)/Settings!$B$3,0)*Settings!$B$3,"")</f>
        <v/>
      </c>
      <c r="U98" s="13">
        <f>IF(ISNUMBER(P98),ROUND(P98/(1-Settings!$B$2)/Settings!$B$3,0)*Settings!$B$3,"")</f>
        <v/>
      </c>
      <c r="V98" s="13">
        <f>IF(ISNUMBER(Q98),ROUND(Q98/(1-Settings!$B$2)/Settings!$B$3,0)*Settings!$B$3,"")</f>
        <v/>
      </c>
      <c r="W98" s="14" t="n">
        <v>4607</v>
      </c>
      <c r="X98" s="14" t="n">
        <v>5689</v>
      </c>
      <c r="Y98" s="11" t="inlineStr"/>
      <c r="Z98" s="11" t="inlineStr"/>
      <c r="AA98" s="8" t="inlineStr"/>
      <c r="AB98" s="8" t="inlineStr"/>
      <c r="AC98" s="11" t="inlineStr">
        <is>
          <t>MasterMilitaryOnBaseList 12.2.25 NS.xlsx</t>
        </is>
      </c>
      <c r="AD98" s="11" t="inlineStr">
        <is>
          <t>Luke Days 2026 - C Advertising &amp; Exhibitors.pdf</t>
        </is>
      </c>
      <c r="AE98" s="15" t="inlineStr">
        <is>
          <t>Open in Box</t>
        </is>
      </c>
      <c r="AF98" s="15" t="inlineStr">
        <is>
          <t>Open in Box</t>
        </is>
      </c>
    </row>
    <row r="99">
      <c r="A99" s="11" t="inlineStr">
        <is>
          <t>AZ-LUKEAFB-006</t>
        </is>
      </c>
      <c r="B99" s="8" t="inlineStr">
        <is>
          <t>Luke AFB</t>
        </is>
      </c>
      <c r="C99" s="11" t="inlineStr"/>
      <c r="D99" s="11" t="inlineStr">
        <is>
          <t>AZ</t>
        </is>
      </c>
      <c r="E99" s="11" t="inlineStr">
        <is>
          <t>Phoenix (Prescott)</t>
        </is>
      </c>
      <c r="F99" s="11" t="inlineStr">
        <is>
          <t>85309</t>
        </is>
      </c>
      <c r="G99" s="11" t="inlineStr">
        <is>
          <t>Air Force</t>
        </is>
      </c>
      <c r="H99" s="11" t="inlineStr">
        <is>
          <t>Print &amp; Publications</t>
        </is>
      </c>
      <c r="I99" s="8" t="inlineStr">
        <is>
          <t>Magazine Ad - Back Cover</t>
        </is>
      </c>
      <c r="J99" s="11" t="inlineStr">
        <is>
          <t>8"W x10.25"H (No Bleed), 8.5"W x11"H (Bleed)</t>
        </is>
      </c>
      <c r="K99" s="8" t="inlineStr">
        <is>
          <t>Your ad will appear on the back cover of "The Bolt" Magazine.</t>
        </is>
      </c>
      <c r="L99" s="11" t="n">
        <v>1</v>
      </c>
      <c r="M99" s="12" t="n">
        <v>800</v>
      </c>
      <c r="N99" s="12" t="n"/>
      <c r="O99" s="12" t="n"/>
      <c r="P99" s="12" t="n"/>
      <c r="Q99" s="12" t="n"/>
      <c r="R99" s="13">
        <f>IF(ISNUMBER(M99),ROUND(M99/(1-Settings!$B$2)/Settings!$B$3,0)*Settings!$B$3,"")</f>
        <v/>
      </c>
      <c r="S99" s="13">
        <f>IF(ISNUMBER(N99),ROUND(N99/(1-Settings!$B$2)/Settings!$B$3,0)*Settings!$B$3,"")</f>
        <v/>
      </c>
      <c r="T99" s="13">
        <f>IF(ISNUMBER(O99),ROUND(O99/(1-Settings!$B$2)/Settings!$B$3,0)*Settings!$B$3,"")</f>
        <v/>
      </c>
      <c r="U99" s="13">
        <f>IF(ISNUMBER(P99),ROUND(P99/(1-Settings!$B$2)/Settings!$B$3,0)*Settings!$B$3,"")</f>
        <v/>
      </c>
      <c r="V99" s="13">
        <f>IF(ISNUMBER(Q99),ROUND(Q99/(1-Settings!$B$2)/Settings!$B$3,0)*Settings!$B$3,"")</f>
        <v/>
      </c>
      <c r="W99" s="14" t="n">
        <v>4607</v>
      </c>
      <c r="X99" s="14" t="n">
        <v>5689</v>
      </c>
      <c r="Y99" s="11" t="inlineStr"/>
      <c r="Z99" s="11" t="inlineStr"/>
      <c r="AA99" s="8" t="inlineStr"/>
      <c r="AB99" s="8" t="inlineStr"/>
      <c r="AC99" s="11" t="inlineStr">
        <is>
          <t>MasterMilitaryOnBaseList 12.2.25 NS.xlsx</t>
        </is>
      </c>
      <c r="AD99" s="11" t="inlineStr">
        <is>
          <t>Luke Days 2026 - C Advertising &amp; Exhibitors.pdf</t>
        </is>
      </c>
      <c r="AE99" s="15" t="inlineStr">
        <is>
          <t>Open in Box</t>
        </is>
      </c>
      <c r="AF99" s="15" t="inlineStr">
        <is>
          <t>Open in Box</t>
        </is>
      </c>
    </row>
    <row r="100">
      <c r="A100" s="11" t="inlineStr">
        <is>
          <t>AZ-LUKEAFB-007</t>
        </is>
      </c>
      <c r="B100" s="8" t="inlineStr">
        <is>
          <t>Luke AFB</t>
        </is>
      </c>
      <c r="C100" s="11" t="inlineStr"/>
      <c r="D100" s="11" t="inlineStr">
        <is>
          <t>AZ</t>
        </is>
      </c>
      <c r="E100" s="11" t="inlineStr">
        <is>
          <t>Phoenix (Prescott)</t>
        </is>
      </c>
      <c r="F100" s="11" t="inlineStr">
        <is>
          <t>85309</t>
        </is>
      </c>
      <c r="G100" s="11" t="inlineStr">
        <is>
          <t>Air Force</t>
        </is>
      </c>
      <c r="H100" s="11" t="inlineStr">
        <is>
          <t>Print &amp; Publications</t>
        </is>
      </c>
      <c r="I100" s="8" t="inlineStr">
        <is>
          <t>Magazine Ad - Full Page</t>
        </is>
      </c>
      <c r="J100" s="11" t="inlineStr">
        <is>
          <t>8"W x10.25"H (No Bleed), 8.5"W x11"H (Bleed)</t>
        </is>
      </c>
      <c r="K100" s="8" t="inlineStr">
        <is>
          <t>Your ad will appear as a full page inside "The Bolt" Magazine.</t>
        </is>
      </c>
      <c r="L100" s="11" t="n">
        <v>1</v>
      </c>
      <c r="M100" s="12" t="n">
        <v>650</v>
      </c>
      <c r="N100" s="12" t="n">
        <v>600</v>
      </c>
      <c r="O100" s="12" t="n">
        <v>550</v>
      </c>
      <c r="P100" s="12" t="n"/>
      <c r="Q100" s="12" t="n">
        <v>0</v>
      </c>
      <c r="R100" s="13">
        <f>IF(ISNUMBER(M100),ROUND(M100/(1-Settings!$B$2)/Settings!$B$3,0)*Settings!$B$3,"")</f>
        <v/>
      </c>
      <c r="S100" s="13">
        <f>IF(ISNUMBER(N100),ROUND(N100/(1-Settings!$B$2)/Settings!$B$3,0)*Settings!$B$3,"")</f>
        <v/>
      </c>
      <c r="T100" s="13">
        <f>IF(ISNUMBER(O100),ROUND(O100/(1-Settings!$B$2)/Settings!$B$3,0)*Settings!$B$3,"")</f>
        <v/>
      </c>
      <c r="U100" s="13">
        <f>IF(ISNUMBER(P100),ROUND(P100/(1-Settings!$B$2)/Settings!$B$3,0)*Settings!$B$3,"")</f>
        <v/>
      </c>
      <c r="V100" s="13">
        <f>IF(ISNUMBER(Q100),ROUND(Q100/(1-Settings!$B$2)/Settings!$B$3,0)*Settings!$B$3,"")</f>
        <v/>
      </c>
      <c r="W100" s="14" t="n">
        <v>4607</v>
      </c>
      <c r="X100" s="14" t="n">
        <v>5689</v>
      </c>
      <c r="Y100" s="11" t="inlineStr"/>
      <c r="Z100" s="11" t="inlineStr"/>
      <c r="AA100" s="8" t="inlineStr"/>
      <c r="AB100" s="8" t="inlineStr"/>
      <c r="AC100" s="11" t="inlineStr">
        <is>
          <t>MasterMilitaryOnBaseList 12.2.25 NS.xlsx</t>
        </is>
      </c>
      <c r="AD100" s="11" t="inlineStr">
        <is>
          <t>Luke Days 2026 - C Advertising &amp; Exhibitors.pdf</t>
        </is>
      </c>
      <c r="AE100" s="15" t="inlineStr">
        <is>
          <t>Open in Box</t>
        </is>
      </c>
      <c r="AF100" s="15" t="inlineStr">
        <is>
          <t>Open in Box</t>
        </is>
      </c>
    </row>
    <row r="101">
      <c r="A101" s="11" t="inlineStr">
        <is>
          <t>AZ-LUKEAFB-008</t>
        </is>
      </c>
      <c r="B101" s="8" t="inlineStr">
        <is>
          <t>Luke AFB</t>
        </is>
      </c>
      <c r="C101" s="11" t="inlineStr"/>
      <c r="D101" s="11" t="inlineStr">
        <is>
          <t>AZ</t>
        </is>
      </c>
      <c r="E101" s="11" t="inlineStr">
        <is>
          <t>Phoenix (Prescott)</t>
        </is>
      </c>
      <c r="F101" s="11" t="inlineStr">
        <is>
          <t>85309</t>
        </is>
      </c>
      <c r="G101" s="11" t="inlineStr">
        <is>
          <t>Air Force</t>
        </is>
      </c>
      <c r="H101" s="11" t="inlineStr">
        <is>
          <t>Print &amp; Publications</t>
        </is>
      </c>
      <c r="I101" s="8" t="inlineStr">
        <is>
          <t>Magazine Ad - Half Page</t>
        </is>
      </c>
      <c r="J101" s="11" t="inlineStr">
        <is>
          <t>8"W x10.25"H (No Bleed), 8.5"W x11"H (Bleed)</t>
        </is>
      </c>
      <c r="K101" s="8" t="inlineStr">
        <is>
          <t>Your ad will appear as a half page inside "The Bolt" Magazine.</t>
        </is>
      </c>
      <c r="L101" s="11" t="n">
        <v>1</v>
      </c>
      <c r="M101" s="12" t="n">
        <v>550</v>
      </c>
      <c r="N101" s="12" t="n">
        <v>500</v>
      </c>
      <c r="O101" s="12" t="n">
        <v>450</v>
      </c>
      <c r="P101" s="12" t="n"/>
      <c r="Q101" s="12" t="n">
        <v>0</v>
      </c>
      <c r="R101" s="13">
        <f>IF(ISNUMBER(M101),ROUND(M101/(1-Settings!$B$2)/Settings!$B$3,0)*Settings!$B$3,"")</f>
        <v/>
      </c>
      <c r="S101" s="13">
        <f>IF(ISNUMBER(N101),ROUND(N101/(1-Settings!$B$2)/Settings!$B$3,0)*Settings!$B$3,"")</f>
        <v/>
      </c>
      <c r="T101" s="13">
        <f>IF(ISNUMBER(O101),ROUND(O101/(1-Settings!$B$2)/Settings!$B$3,0)*Settings!$B$3,"")</f>
        <v/>
      </c>
      <c r="U101" s="13">
        <f>IF(ISNUMBER(P101),ROUND(P101/(1-Settings!$B$2)/Settings!$B$3,0)*Settings!$B$3,"")</f>
        <v/>
      </c>
      <c r="V101" s="13">
        <f>IF(ISNUMBER(Q101),ROUND(Q101/(1-Settings!$B$2)/Settings!$B$3,0)*Settings!$B$3,"")</f>
        <v/>
      </c>
      <c r="W101" s="14" t="n">
        <v>4607</v>
      </c>
      <c r="X101" s="14" t="n">
        <v>5689</v>
      </c>
      <c r="Y101" s="11" t="inlineStr"/>
      <c r="Z101" s="11" t="inlineStr"/>
      <c r="AA101" s="8" t="inlineStr"/>
      <c r="AB101" s="8" t="inlineStr"/>
      <c r="AC101" s="11" t="inlineStr">
        <is>
          <t>MasterMilitaryOnBaseList 12.2.25 NS.xlsx</t>
        </is>
      </c>
      <c r="AD101" s="11" t="inlineStr">
        <is>
          <t>Luke Days 2026 - C Advertising &amp; Exhibitors.pdf</t>
        </is>
      </c>
      <c r="AE101" s="15" t="inlineStr">
        <is>
          <t>Open in Box</t>
        </is>
      </c>
      <c r="AF101" s="15" t="inlineStr">
        <is>
          <t>Open in Box</t>
        </is>
      </c>
    </row>
    <row r="102">
      <c r="A102" s="11" t="inlineStr">
        <is>
          <t>AZ-LUKEAFB-009</t>
        </is>
      </c>
      <c r="B102" s="8" t="inlineStr">
        <is>
          <t>Luke AFB</t>
        </is>
      </c>
      <c r="C102" s="11" t="inlineStr"/>
      <c r="D102" s="11" t="inlineStr">
        <is>
          <t>AZ</t>
        </is>
      </c>
      <c r="E102" s="11" t="inlineStr">
        <is>
          <t>Phoenix (Prescott)</t>
        </is>
      </c>
      <c r="F102" s="11" t="inlineStr">
        <is>
          <t>85309</t>
        </is>
      </c>
      <c r="G102" s="11" t="inlineStr">
        <is>
          <t>Air Force</t>
        </is>
      </c>
      <c r="H102" s="11" t="inlineStr">
        <is>
          <t>Print &amp; Publications</t>
        </is>
      </c>
      <c r="I102" s="8" t="inlineStr">
        <is>
          <t>Magazine Ad - Inside Cover</t>
        </is>
      </c>
      <c r="J102" s="11" t="inlineStr">
        <is>
          <t>8"W x10.25"H (No Bleed), 8.5"W x11"H (Bleed)</t>
        </is>
      </c>
      <c r="K102" s="8" t="inlineStr">
        <is>
          <t>Your ad will appear on the inside cover of "The Bolt" Magazine.</t>
        </is>
      </c>
      <c r="L102" s="11" t="n">
        <v>1</v>
      </c>
      <c r="M102" s="12" t="n">
        <v>700</v>
      </c>
      <c r="N102" s="12" t="n"/>
      <c r="O102" s="12" t="n"/>
      <c r="P102" s="12" t="n"/>
      <c r="Q102" s="12" t="n">
        <v>0</v>
      </c>
      <c r="R102" s="13">
        <f>IF(ISNUMBER(M102),ROUND(M102/(1-Settings!$B$2)/Settings!$B$3,0)*Settings!$B$3,"")</f>
        <v/>
      </c>
      <c r="S102" s="13">
        <f>IF(ISNUMBER(N102),ROUND(N102/(1-Settings!$B$2)/Settings!$B$3,0)*Settings!$B$3,"")</f>
        <v/>
      </c>
      <c r="T102" s="13">
        <f>IF(ISNUMBER(O102),ROUND(O102/(1-Settings!$B$2)/Settings!$B$3,0)*Settings!$B$3,"")</f>
        <v/>
      </c>
      <c r="U102" s="13">
        <f>IF(ISNUMBER(P102),ROUND(P102/(1-Settings!$B$2)/Settings!$B$3,0)*Settings!$B$3,"")</f>
        <v/>
      </c>
      <c r="V102" s="13">
        <f>IF(ISNUMBER(Q102),ROUND(Q102/(1-Settings!$B$2)/Settings!$B$3,0)*Settings!$B$3,"")</f>
        <v/>
      </c>
      <c r="W102" s="14" t="n">
        <v>4607</v>
      </c>
      <c r="X102" s="14" t="n">
        <v>5689</v>
      </c>
      <c r="Y102" s="11" t="inlineStr"/>
      <c r="Z102" s="11" t="inlineStr"/>
      <c r="AA102" s="8" t="inlineStr"/>
      <c r="AB102" s="8" t="inlineStr"/>
      <c r="AC102" s="11" t="inlineStr">
        <is>
          <t>MasterMilitaryOnBaseList 12.2.25 NS.xlsx</t>
        </is>
      </c>
      <c r="AD102" s="11" t="inlineStr">
        <is>
          <t>Luke Days 2026 - C Advertising &amp; Exhibitors.pdf</t>
        </is>
      </c>
      <c r="AE102" s="15" t="inlineStr">
        <is>
          <t>Open in Box</t>
        </is>
      </c>
      <c r="AF102" s="15" t="inlineStr">
        <is>
          <t>Open in Box</t>
        </is>
      </c>
    </row>
    <row r="103">
      <c r="A103" s="11" t="inlineStr">
        <is>
          <t>AZ-LUKEAFB-010</t>
        </is>
      </c>
      <c r="B103" s="8" t="inlineStr">
        <is>
          <t>Luke AFB</t>
        </is>
      </c>
      <c r="C103" s="11" t="inlineStr"/>
      <c r="D103" s="11" t="inlineStr">
        <is>
          <t>AZ</t>
        </is>
      </c>
      <c r="E103" s="11" t="inlineStr">
        <is>
          <t>Phoenix (Prescott)</t>
        </is>
      </c>
      <c r="F103" s="11" t="inlineStr">
        <is>
          <t>85309</t>
        </is>
      </c>
      <c r="G103" s="11" t="inlineStr">
        <is>
          <t>Air Force</t>
        </is>
      </c>
      <c r="H103" s="11" t="inlineStr">
        <is>
          <t>Print &amp; Publications</t>
        </is>
      </c>
      <c r="I103" s="8" t="inlineStr">
        <is>
          <t>Magazine Ad - Quarter Page</t>
        </is>
      </c>
      <c r="J103" s="11" t="inlineStr">
        <is>
          <t>8"W x10.25"H (No Bleed), 8.5"W x11"H (Bleed)</t>
        </is>
      </c>
      <c r="K103" s="8" t="inlineStr">
        <is>
          <t>Your ad will appear as a quarter page inside "The Bolt" Magazine.</t>
        </is>
      </c>
      <c r="L103" s="11" t="n">
        <v>1</v>
      </c>
      <c r="M103" s="12" t="n">
        <v>350</v>
      </c>
      <c r="N103" s="12" t="n">
        <v>300</v>
      </c>
      <c r="O103" s="12" t="n">
        <v>250</v>
      </c>
      <c r="P103" s="12" t="n"/>
      <c r="Q103" s="12" t="n">
        <v>0</v>
      </c>
      <c r="R103" s="13">
        <f>IF(ISNUMBER(M103),ROUND(M103/(1-Settings!$B$2)/Settings!$B$3,0)*Settings!$B$3,"")</f>
        <v/>
      </c>
      <c r="S103" s="13">
        <f>IF(ISNUMBER(N103),ROUND(N103/(1-Settings!$B$2)/Settings!$B$3,0)*Settings!$B$3,"")</f>
        <v/>
      </c>
      <c r="T103" s="13">
        <f>IF(ISNUMBER(O103),ROUND(O103/(1-Settings!$B$2)/Settings!$B$3,0)*Settings!$B$3,"")</f>
        <v/>
      </c>
      <c r="U103" s="13">
        <f>IF(ISNUMBER(P103),ROUND(P103/(1-Settings!$B$2)/Settings!$B$3,0)*Settings!$B$3,"")</f>
        <v/>
      </c>
      <c r="V103" s="13">
        <f>IF(ISNUMBER(Q103),ROUND(Q103/(1-Settings!$B$2)/Settings!$B$3,0)*Settings!$B$3,"")</f>
        <v/>
      </c>
      <c r="W103" s="14" t="n">
        <v>4607</v>
      </c>
      <c r="X103" s="14" t="n">
        <v>5689</v>
      </c>
      <c r="Y103" s="11" t="inlineStr"/>
      <c r="Z103" s="11" t="inlineStr"/>
      <c r="AA103" s="8" t="inlineStr"/>
      <c r="AB103" s="8" t="inlineStr"/>
      <c r="AC103" s="11" t="inlineStr">
        <is>
          <t>MasterMilitaryOnBaseList 12.2.25 NS.xlsx</t>
        </is>
      </c>
      <c r="AD103" s="11" t="inlineStr">
        <is>
          <t>Luke Days 2026 - C Advertising &amp; Exhibitors.pdf</t>
        </is>
      </c>
      <c r="AE103" s="15" t="inlineStr">
        <is>
          <t>Open in Box</t>
        </is>
      </c>
      <c r="AF103" s="15" t="inlineStr">
        <is>
          <t>Open in Box</t>
        </is>
      </c>
    </row>
    <row r="104">
      <c r="A104" s="11" t="inlineStr">
        <is>
          <t>AZ-LUKEAFB-011</t>
        </is>
      </c>
      <c r="B104" s="8" t="inlineStr">
        <is>
          <t>Luke AFB</t>
        </is>
      </c>
      <c r="C104" s="11" t="inlineStr"/>
      <c r="D104" s="11" t="inlineStr">
        <is>
          <t>AZ</t>
        </is>
      </c>
      <c r="E104" s="11" t="inlineStr">
        <is>
          <t>Phoenix (Prescott)</t>
        </is>
      </c>
      <c r="F104" s="11" t="inlineStr">
        <is>
          <t>85309</t>
        </is>
      </c>
      <c r="G104" s="11" t="inlineStr">
        <is>
          <t>Air Force</t>
        </is>
      </c>
      <c r="H104" s="11" t="inlineStr">
        <is>
          <t>Sponsorship &amp; Other</t>
        </is>
      </c>
      <c r="I104" s="8" t="inlineStr">
        <is>
          <t>Golf Course/Hole</t>
        </is>
      </c>
      <c r="J104" s="11" t="inlineStr">
        <is>
          <t>4"Wx12"H (No Bleed)</t>
        </is>
      </c>
      <c r="K104" s="8" t="inlineStr">
        <is>
          <t>Your ad will appear at a selected hole(s) on the Luke AFB golf course</t>
        </is>
      </c>
      <c r="L104" s="11" t="n">
        <v>1</v>
      </c>
      <c r="M104" s="12" t="n">
        <v>350</v>
      </c>
      <c r="N104" s="12" t="n">
        <v>300</v>
      </c>
      <c r="O104" s="12" t="n">
        <v>250</v>
      </c>
      <c r="P104" s="12" t="n">
        <v>500</v>
      </c>
      <c r="Q104" s="12" t="n"/>
      <c r="R104" s="13">
        <f>IF(ISNUMBER(M104),ROUND(M104/(1-Settings!$B$2)/Settings!$B$3,0)*Settings!$B$3,"")</f>
        <v/>
      </c>
      <c r="S104" s="13">
        <f>IF(ISNUMBER(N104),ROUND(N104/(1-Settings!$B$2)/Settings!$B$3,0)*Settings!$B$3,"")</f>
        <v/>
      </c>
      <c r="T104" s="13">
        <f>IF(ISNUMBER(O104),ROUND(O104/(1-Settings!$B$2)/Settings!$B$3,0)*Settings!$B$3,"")</f>
        <v/>
      </c>
      <c r="U104" s="13">
        <f>IF(ISNUMBER(P104),ROUND(P104/(1-Settings!$B$2)/Settings!$B$3,0)*Settings!$B$3,"")</f>
        <v/>
      </c>
      <c r="V104" s="13">
        <f>IF(ISNUMBER(Q104),ROUND(Q104/(1-Settings!$B$2)/Settings!$B$3,0)*Settings!$B$3,"")</f>
        <v/>
      </c>
      <c r="W104" s="14" t="n">
        <v>4607</v>
      </c>
      <c r="X104" s="14" t="n">
        <v>5689</v>
      </c>
      <c r="Y104" s="11" t="inlineStr"/>
      <c r="Z104" s="11" t="inlineStr"/>
      <c r="AA104" s="8" t="inlineStr"/>
      <c r="AB104" s="8" t="inlineStr"/>
      <c r="AC104" s="11" t="inlineStr">
        <is>
          <t>MasterMilitaryOnBaseList 12.2.25 NS.xlsx</t>
        </is>
      </c>
      <c r="AD104" s="11" t="inlineStr">
        <is>
          <t>Luke Days 2026 - C Advertising &amp; Exhibitors.pdf</t>
        </is>
      </c>
      <c r="AE104" s="15" t="inlineStr">
        <is>
          <t>Open in Box</t>
        </is>
      </c>
      <c r="AF104" s="15" t="inlineStr">
        <is>
          <t>Open in Box</t>
        </is>
      </c>
    </row>
    <row r="105">
      <c r="A105" s="11" t="inlineStr">
        <is>
          <t>AZ-LUKEAFB-003</t>
        </is>
      </c>
      <c r="B105" s="8" t="inlineStr">
        <is>
          <t>Luke AFB</t>
        </is>
      </c>
      <c r="C105" s="11" t="inlineStr"/>
      <c r="D105" s="11" t="inlineStr">
        <is>
          <t>AZ</t>
        </is>
      </c>
      <c r="E105" s="11" t="inlineStr">
        <is>
          <t>Phoenix (Prescott)</t>
        </is>
      </c>
      <c r="F105" s="11" t="inlineStr">
        <is>
          <t>85309</t>
        </is>
      </c>
      <c r="G105" s="11" t="inlineStr">
        <is>
          <t>Air Force</t>
        </is>
      </c>
      <c r="H105" s="11" t="inlineStr">
        <is>
          <t>Standard Media</t>
        </is>
      </c>
      <c r="I105" s="8" t="inlineStr">
        <is>
          <t>Banners</t>
        </is>
      </c>
      <c r="J105" s="11" t="inlineStr">
        <is>
          <t>6'W x 3'H</t>
        </is>
      </c>
      <c r="K105" s="8" t="inlineStr">
        <is>
          <t>Your ad will appear on a banner in Luke AFB facilities</t>
        </is>
      </c>
      <c r="L105" s="11" t="n">
        <v>1</v>
      </c>
      <c r="M105" s="12" t="n">
        <v>400</v>
      </c>
      <c r="N105" s="12" t="n">
        <v>350</v>
      </c>
      <c r="O105" s="12" t="n">
        <v>300</v>
      </c>
      <c r="P105" s="12" t="n">
        <v>600</v>
      </c>
      <c r="Q105" s="12" t="n">
        <v>200</v>
      </c>
      <c r="R105" s="13">
        <f>IF(ISNUMBER(M105),ROUND(M105/(1-Settings!$B$2)/Settings!$B$3,0)*Settings!$B$3,"")</f>
        <v/>
      </c>
      <c r="S105" s="13">
        <f>IF(ISNUMBER(N105),ROUND(N105/(1-Settings!$B$2)/Settings!$B$3,0)*Settings!$B$3,"")</f>
        <v/>
      </c>
      <c r="T105" s="13">
        <f>IF(ISNUMBER(O105),ROUND(O105/(1-Settings!$B$2)/Settings!$B$3,0)*Settings!$B$3,"")</f>
        <v/>
      </c>
      <c r="U105" s="13">
        <f>IF(ISNUMBER(P105),ROUND(P105/(1-Settings!$B$2)/Settings!$B$3,0)*Settings!$B$3,"")</f>
        <v/>
      </c>
      <c r="V105" s="13">
        <f>IF(ISNUMBER(Q105),ROUND(Q105/(1-Settings!$B$2)/Settings!$B$3,0)*Settings!$B$3,"")</f>
        <v/>
      </c>
      <c r="W105" s="14" t="n">
        <v>4607</v>
      </c>
      <c r="X105" s="14" t="n">
        <v>5689</v>
      </c>
      <c r="Y105" s="11" t="inlineStr"/>
      <c r="Z105" s="11" t="inlineStr"/>
      <c r="AA105" s="8" t="inlineStr"/>
      <c r="AB105" s="8" t="inlineStr"/>
      <c r="AC105" s="11" t="inlineStr">
        <is>
          <t>MasterMilitaryOnBaseList 12.2.25 NS.xlsx</t>
        </is>
      </c>
      <c r="AD105" s="11" t="inlineStr">
        <is>
          <t>Luke Days 2026 - C Advertising &amp; Exhibitors.pdf</t>
        </is>
      </c>
      <c r="AE105" s="15" t="inlineStr">
        <is>
          <t>Open in Box</t>
        </is>
      </c>
      <c r="AF105" s="15" t="inlineStr">
        <is>
          <t>Open in Box</t>
        </is>
      </c>
    </row>
    <row r="106">
      <c r="A106" s="11" t="inlineStr">
        <is>
          <t>AZ-LUKEAFB-004</t>
        </is>
      </c>
      <c r="B106" s="8" t="inlineStr">
        <is>
          <t>Luke AFB</t>
        </is>
      </c>
      <c r="C106" s="11" t="inlineStr"/>
      <c r="D106" s="11" t="inlineStr">
        <is>
          <t>AZ</t>
        </is>
      </c>
      <c r="E106" s="11" t="inlineStr">
        <is>
          <t>Phoenix (Prescott)</t>
        </is>
      </c>
      <c r="F106" s="11" t="inlineStr">
        <is>
          <t>85309</t>
        </is>
      </c>
      <c r="G106" s="11" t="inlineStr">
        <is>
          <t>Air Force</t>
        </is>
      </c>
      <c r="H106" s="11" t="inlineStr">
        <is>
          <t>Standard Media</t>
        </is>
      </c>
      <c r="I106" s="8" t="inlineStr">
        <is>
          <t>Golf Cart Pacard/Cart</t>
        </is>
      </c>
      <c r="J106" s="11" t="inlineStr">
        <is>
          <t>5"W x7.5"H (No Bleed)</t>
        </is>
      </c>
      <c r="K106" s="8" t="inlineStr">
        <is>
          <t>Your ad will appear on a golf cart placard on the Luke AFB golf course</t>
        </is>
      </c>
      <c r="L106" s="11" t="n">
        <v>1</v>
      </c>
      <c r="M106" s="12" t="n">
        <v>350</v>
      </c>
      <c r="N106" s="12" t="n">
        <v>300</v>
      </c>
      <c r="O106" s="12" t="n">
        <v>250</v>
      </c>
      <c r="P106" s="12" t="n">
        <v>500</v>
      </c>
      <c r="Q106" s="12" t="n">
        <v>0</v>
      </c>
      <c r="R106" s="13">
        <f>IF(ISNUMBER(M106),ROUND(M106/(1-Settings!$B$2)/Settings!$B$3,0)*Settings!$B$3,"")</f>
        <v/>
      </c>
      <c r="S106" s="13">
        <f>IF(ISNUMBER(N106),ROUND(N106/(1-Settings!$B$2)/Settings!$B$3,0)*Settings!$B$3,"")</f>
        <v/>
      </c>
      <c r="T106" s="13">
        <f>IF(ISNUMBER(O106),ROUND(O106/(1-Settings!$B$2)/Settings!$B$3,0)*Settings!$B$3,"")</f>
        <v/>
      </c>
      <c r="U106" s="13">
        <f>IF(ISNUMBER(P106),ROUND(P106/(1-Settings!$B$2)/Settings!$B$3,0)*Settings!$B$3,"")</f>
        <v/>
      </c>
      <c r="V106" s="13">
        <f>IF(ISNUMBER(Q106),ROUND(Q106/(1-Settings!$B$2)/Settings!$B$3,0)*Settings!$B$3,"")</f>
        <v/>
      </c>
      <c r="W106" s="14" t="n">
        <v>4607</v>
      </c>
      <c r="X106" s="14" t="n">
        <v>5689</v>
      </c>
      <c r="Y106" s="11" t="inlineStr"/>
      <c r="Z106" s="11" t="inlineStr"/>
      <c r="AA106" s="8" t="inlineStr"/>
      <c r="AB106" s="8" t="inlineStr"/>
      <c r="AC106" s="11" t="inlineStr">
        <is>
          <t>MasterMilitaryOnBaseList 12.2.25 NS.xlsx</t>
        </is>
      </c>
      <c r="AD106" s="11" t="inlineStr">
        <is>
          <t>Luke Days 2026 - C Advertising &amp; Exhibitors.pdf</t>
        </is>
      </c>
      <c r="AE106" s="15" t="inlineStr">
        <is>
          <t>Open in Box</t>
        </is>
      </c>
      <c r="AF106" s="15" t="inlineStr">
        <is>
          <t>Open in Box</t>
        </is>
      </c>
    </row>
    <row r="107">
      <c r="A107" s="11" t="inlineStr">
        <is>
          <t>AZ-LUKEAFB-005</t>
        </is>
      </c>
      <c r="B107" s="8" t="inlineStr">
        <is>
          <t>Luke AFB</t>
        </is>
      </c>
      <c r="C107" s="11" t="inlineStr"/>
      <c r="D107" s="11" t="inlineStr">
        <is>
          <t>AZ</t>
        </is>
      </c>
      <c r="E107" s="11" t="inlineStr">
        <is>
          <t>Phoenix (Prescott)</t>
        </is>
      </c>
      <c r="F107" s="11" t="inlineStr">
        <is>
          <t>85309</t>
        </is>
      </c>
      <c r="G107" s="11" t="inlineStr">
        <is>
          <t>Air Force</t>
        </is>
      </c>
      <c r="H107" s="11" t="inlineStr">
        <is>
          <t>Standard Media</t>
        </is>
      </c>
      <c r="I107" s="8" t="inlineStr">
        <is>
          <t>Posters</t>
        </is>
      </c>
      <c r="J107" s="11" t="inlineStr">
        <is>
          <t>22"W x 28"H (No Bleed)</t>
        </is>
      </c>
      <c r="K107" s="8" t="inlineStr">
        <is>
          <t>Your ad will appear in an approved installation facility.</t>
        </is>
      </c>
      <c r="L107" s="11" t="n">
        <v>1</v>
      </c>
      <c r="M107" s="12" t="n">
        <v>250</v>
      </c>
      <c r="N107" s="12" t="n">
        <v>200</v>
      </c>
      <c r="O107" s="12" t="n">
        <v>150</v>
      </c>
      <c r="P107" s="12" t="n">
        <v>300</v>
      </c>
      <c r="Q107" s="12" t="n">
        <v>100</v>
      </c>
      <c r="R107" s="13">
        <f>IF(ISNUMBER(M107),ROUND(M107/(1-Settings!$B$2)/Settings!$B$3,0)*Settings!$B$3,"")</f>
        <v/>
      </c>
      <c r="S107" s="13">
        <f>IF(ISNUMBER(N107),ROUND(N107/(1-Settings!$B$2)/Settings!$B$3,0)*Settings!$B$3,"")</f>
        <v/>
      </c>
      <c r="T107" s="13">
        <f>IF(ISNUMBER(O107),ROUND(O107/(1-Settings!$B$2)/Settings!$B$3,0)*Settings!$B$3,"")</f>
        <v/>
      </c>
      <c r="U107" s="13">
        <f>IF(ISNUMBER(P107),ROUND(P107/(1-Settings!$B$2)/Settings!$B$3,0)*Settings!$B$3,"")</f>
        <v/>
      </c>
      <c r="V107" s="13">
        <f>IF(ISNUMBER(Q107),ROUND(Q107/(1-Settings!$B$2)/Settings!$B$3,0)*Settings!$B$3,"")</f>
        <v/>
      </c>
      <c r="W107" s="14" t="n">
        <v>4607</v>
      </c>
      <c r="X107" s="14" t="n">
        <v>5689</v>
      </c>
      <c r="Y107" s="11" t="inlineStr"/>
      <c r="Z107" s="11" t="inlineStr"/>
      <c r="AA107" s="8" t="inlineStr"/>
      <c r="AB107" s="8" t="inlineStr"/>
      <c r="AC107" s="11" t="inlineStr">
        <is>
          <t>MasterMilitaryOnBaseList 12.2.25 NS.xlsx</t>
        </is>
      </c>
      <c r="AD107" s="11" t="inlineStr">
        <is>
          <t>Luke Days 2026 - C Advertising &amp; Exhibitors.pdf</t>
        </is>
      </c>
      <c r="AE107" s="15" t="inlineStr">
        <is>
          <t>Open in Box</t>
        </is>
      </c>
      <c r="AF107" s="15" t="inlineStr">
        <is>
          <t>Open in Box</t>
        </is>
      </c>
    </row>
    <row r="108">
      <c r="A108" s="11" t="inlineStr">
        <is>
          <t>AZ-LUKEAFB-012</t>
        </is>
      </c>
      <c r="B108" s="8" t="inlineStr">
        <is>
          <t>Luke AFB</t>
        </is>
      </c>
      <c r="C108" s="11" t="inlineStr"/>
      <c r="D108" s="11" t="inlineStr">
        <is>
          <t>AZ</t>
        </is>
      </c>
      <c r="E108" s="11" t="inlineStr">
        <is>
          <t>Phoenix (Prescott)</t>
        </is>
      </c>
      <c r="F108" s="11" t="inlineStr"/>
      <c r="G108" s="11" t="inlineStr">
        <is>
          <t>Air Force</t>
        </is>
      </c>
      <c r="H108" s="11" t="inlineStr">
        <is>
          <t>Web &amp; Email</t>
        </is>
      </c>
      <c r="I108" s="8" t="inlineStr">
        <is>
          <t>Web Ad</t>
        </is>
      </c>
      <c r="J108" s="11" t="inlineStr"/>
      <c r="K108" s="8" t="inlineStr">
        <is>
          <t>Your ad will appear on the installation MWR / FSS website.</t>
        </is>
      </c>
      <c r="L108" s="11" t="n">
        <v>1</v>
      </c>
      <c r="M108" s="12" t="n">
        <v>400</v>
      </c>
      <c r="N108" s="12" t="n"/>
      <c r="O108" s="12" t="n"/>
      <c r="P108" s="12" t="n"/>
      <c r="Q108" s="12" t="n"/>
      <c r="R108" s="13">
        <f>IF(ISNUMBER(M108),ROUND(M108/(1-Settings!$B$2)/Settings!$B$3,0)*Settings!$B$3,"")</f>
        <v/>
      </c>
      <c r="S108" s="13">
        <f>IF(ISNUMBER(N108),ROUND(N108/(1-Settings!$B$2)/Settings!$B$3,0)*Settings!$B$3,"")</f>
        <v/>
      </c>
      <c r="T108" s="13">
        <f>IF(ISNUMBER(O108),ROUND(O108/(1-Settings!$B$2)/Settings!$B$3,0)*Settings!$B$3,"")</f>
        <v/>
      </c>
      <c r="U108" s="13">
        <f>IF(ISNUMBER(P108),ROUND(P108/(1-Settings!$B$2)/Settings!$B$3,0)*Settings!$B$3,"")</f>
        <v/>
      </c>
      <c r="V108" s="13">
        <f>IF(ISNUMBER(Q108),ROUND(Q108/(1-Settings!$B$2)/Settings!$B$3,0)*Settings!$B$3,"")</f>
        <v/>
      </c>
      <c r="W108" s="14" t="n">
        <v>4607</v>
      </c>
      <c r="X108" s="14" t="n">
        <v>5689</v>
      </c>
      <c r="Y108" s="11" t="inlineStr">
        <is>
          <t>2026</t>
        </is>
      </c>
      <c r="Z108" s="11" t="inlineStr">
        <is>
          <t>2026-06</t>
        </is>
      </c>
      <c r="AA108" s="8" t="inlineStr"/>
      <c r="AB108" s="8" t="inlineStr"/>
      <c r="AC108" s="11" t="inlineStr">
        <is>
          <t>Military - National Publication Inventory Master_June 2026.xlsx</t>
        </is>
      </c>
      <c r="AD108" s="11" t="inlineStr">
        <is>
          <t>Luke Days 2026 - C Advertising &amp; Exhibitors.pdf</t>
        </is>
      </c>
      <c r="AE108" s="15" t="inlineStr">
        <is>
          <t>Open in Box</t>
        </is>
      </c>
      <c r="AF108" s="15" t="inlineStr">
        <is>
          <t>Open in Box</t>
        </is>
      </c>
    </row>
    <row r="109">
      <c r="A109" s="11" t="inlineStr">
        <is>
          <t>AZ-YUMAMCAS-001</t>
        </is>
      </c>
      <c r="B109" s="8" t="inlineStr">
        <is>
          <t>Yuma MCAS</t>
        </is>
      </c>
      <c r="C109" s="11" t="inlineStr"/>
      <c r="D109" s="11" t="inlineStr">
        <is>
          <t>AZ</t>
        </is>
      </c>
      <c r="E109" s="11" t="inlineStr">
        <is>
          <t>Yuma-El Centro</t>
        </is>
      </c>
      <c r="F109" s="11" t="inlineStr">
        <is>
          <t>85369</t>
        </is>
      </c>
      <c r="G109" s="11" t="inlineStr">
        <is>
          <t>Marine Corps</t>
        </is>
      </c>
      <c r="H109" s="11" t="inlineStr">
        <is>
          <t>Digital</t>
        </is>
      </c>
      <c r="I109" s="8" t="inlineStr">
        <is>
          <t>Digital Monitor Network</t>
        </is>
      </c>
      <c r="J109" s="11" t="inlineStr">
        <is>
          <t>1920pxW x1080pxH (JPG, PNG, MP4)</t>
        </is>
      </c>
      <c r="K109" s="8" t="inlineStr">
        <is>
          <t>Your ad will run on screens across MCAS Yuma in high traffic areas.</t>
        </is>
      </c>
      <c r="L109" s="11" t="n">
        <v>1</v>
      </c>
      <c r="M109" s="12" t="n">
        <v>750</v>
      </c>
      <c r="N109" s="12" t="n">
        <v>2250</v>
      </c>
      <c r="O109" s="12" t="n">
        <v>4500</v>
      </c>
      <c r="P109" s="12" t="n">
        <v>9000</v>
      </c>
      <c r="Q109" s="12" t="n">
        <v>0</v>
      </c>
      <c r="R109" s="13">
        <f>IF(ISNUMBER(M109),ROUND(M109/(1-Settings!$B$2)/Settings!$B$3,0)*Settings!$B$3,"")</f>
        <v/>
      </c>
      <c r="S109" s="13">
        <f>IF(ISNUMBER(N109),ROUND(N109/(1-Settings!$B$2)/Settings!$B$3,0)*Settings!$B$3,"")</f>
        <v/>
      </c>
      <c r="T109" s="13">
        <f>IF(ISNUMBER(O109),ROUND(O109/(1-Settings!$B$2)/Settings!$B$3,0)*Settings!$B$3,"")</f>
        <v/>
      </c>
      <c r="U109" s="13">
        <f>IF(ISNUMBER(P109),ROUND(P109/(1-Settings!$B$2)/Settings!$B$3,0)*Settings!$B$3,"")</f>
        <v/>
      </c>
      <c r="V109" s="13">
        <f>IF(ISNUMBER(Q109),ROUND(Q109/(1-Settings!$B$2)/Settings!$B$3,0)*Settings!$B$3,"")</f>
        <v/>
      </c>
      <c r="W109" s="14" t="n">
        <v>4946</v>
      </c>
      <c r="X109" s="14" t="n">
        <v>4702</v>
      </c>
      <c r="Y109" s="11" t="inlineStr"/>
      <c r="Z109" s="11" t="inlineStr"/>
      <c r="AA109" s="8" t="inlineStr">
        <is>
          <t>Inventory master 6/2026 lists Digital Marquee at $1,750 (1 mo)</t>
        </is>
      </c>
      <c r="AB109" s="8" t="inlineStr"/>
      <c r="AC109" s="11" t="inlineStr">
        <is>
          <t>MasterMilitaryOnBaseList 12.2.25 NS.xlsx</t>
        </is>
      </c>
      <c r="AD109" s="11" t="inlineStr">
        <is>
          <t>2025 YUMA - Digital Advertising (1).pdf</t>
        </is>
      </c>
      <c r="AE109" s="15" t="inlineStr">
        <is>
          <t>Open in Box</t>
        </is>
      </c>
      <c r="AF109" s="15" t="inlineStr">
        <is>
          <t>Open in Box</t>
        </is>
      </c>
    </row>
    <row r="110">
      <c r="A110" s="11" t="inlineStr">
        <is>
          <t>AZ-YUMAMCAS-002</t>
        </is>
      </c>
      <c r="B110" s="8" t="inlineStr">
        <is>
          <t>Yuma MCAS</t>
        </is>
      </c>
      <c r="C110" s="11" t="inlineStr"/>
      <c r="D110" s="11" t="inlineStr">
        <is>
          <t>AZ</t>
        </is>
      </c>
      <c r="E110" s="11" t="inlineStr">
        <is>
          <t>Yuma-El Centro</t>
        </is>
      </c>
      <c r="F110" s="11" t="inlineStr">
        <is>
          <t>85369</t>
        </is>
      </c>
      <c r="G110" s="11" t="inlineStr">
        <is>
          <t>Marine Corps</t>
        </is>
      </c>
      <c r="H110" s="11" t="inlineStr">
        <is>
          <t>Digital</t>
        </is>
      </c>
      <c r="I110" s="8" t="inlineStr">
        <is>
          <t>External Base Marquees</t>
        </is>
      </c>
      <c r="J110" s="11" t="inlineStr">
        <is>
          <t>624pxW x 260pxH (JPG, AVI, MP4)</t>
        </is>
      </c>
      <c r="K110" s="8" t="inlineStr">
        <is>
          <t>Your ad will be featured on Digital Marquee facing the city intersection of Ave 3 East &amp; 32nd St (3-sided)</t>
        </is>
      </c>
      <c r="L110" s="11" t="n">
        <v>1</v>
      </c>
      <c r="M110" s="12" t="n">
        <v>1000</v>
      </c>
      <c r="N110" s="12" t="n">
        <v>3000</v>
      </c>
      <c r="O110" s="12" t="n">
        <v>6000</v>
      </c>
      <c r="P110" s="12" t="n">
        <v>12000</v>
      </c>
      <c r="Q110" s="12" t="n">
        <v>0</v>
      </c>
      <c r="R110" s="13">
        <f>IF(ISNUMBER(M110),ROUND(M110/(1-Settings!$B$2)/Settings!$B$3,0)*Settings!$B$3,"")</f>
        <v/>
      </c>
      <c r="S110" s="13">
        <f>IF(ISNUMBER(N110),ROUND(N110/(1-Settings!$B$2)/Settings!$B$3,0)*Settings!$B$3,"")</f>
        <v/>
      </c>
      <c r="T110" s="13">
        <f>IF(ISNUMBER(O110),ROUND(O110/(1-Settings!$B$2)/Settings!$B$3,0)*Settings!$B$3,"")</f>
        <v/>
      </c>
      <c r="U110" s="13">
        <f>IF(ISNUMBER(P110),ROUND(P110/(1-Settings!$B$2)/Settings!$B$3,0)*Settings!$B$3,"")</f>
        <v/>
      </c>
      <c r="V110" s="13">
        <f>IF(ISNUMBER(Q110),ROUND(Q110/(1-Settings!$B$2)/Settings!$B$3,0)*Settings!$B$3,"")</f>
        <v/>
      </c>
      <c r="W110" s="14" t="n">
        <v>4946</v>
      </c>
      <c r="X110" s="14" t="n">
        <v>4702</v>
      </c>
      <c r="Y110" s="11" t="inlineStr"/>
      <c r="Z110" s="11" t="inlineStr"/>
      <c r="AA110" s="8" t="inlineStr">
        <is>
          <t>Inventory master 6/2026 lists Digital Marquee at $1,750 (1 mo)</t>
        </is>
      </c>
      <c r="AB110" s="8" t="inlineStr"/>
      <c r="AC110" s="11" t="inlineStr">
        <is>
          <t>MasterMilitaryOnBaseList 12.2.25 NS.xlsx</t>
        </is>
      </c>
      <c r="AD110" s="11" t="inlineStr">
        <is>
          <t>2025 YUMA - Digital Advertising (1).pdf</t>
        </is>
      </c>
      <c r="AE110" s="15" t="inlineStr">
        <is>
          <t>Open in Box</t>
        </is>
      </c>
      <c r="AF110" s="15" t="inlineStr">
        <is>
          <t>Open in Box</t>
        </is>
      </c>
    </row>
    <row r="111">
      <c r="A111" s="11" t="inlineStr">
        <is>
          <t>AZ-YUMAMCAS-003</t>
        </is>
      </c>
      <c r="B111" s="8" t="inlineStr">
        <is>
          <t>Yuma MCAS</t>
        </is>
      </c>
      <c r="C111" s="11" t="inlineStr"/>
      <c r="D111" s="11" t="inlineStr">
        <is>
          <t>AZ</t>
        </is>
      </c>
      <c r="E111" s="11" t="inlineStr">
        <is>
          <t>Yuma-El Centro</t>
        </is>
      </c>
      <c r="F111" s="11" t="inlineStr">
        <is>
          <t>85369</t>
        </is>
      </c>
      <c r="G111" s="11" t="inlineStr">
        <is>
          <t>Marine Corps</t>
        </is>
      </c>
      <c r="H111" s="11" t="inlineStr">
        <is>
          <t>Digital</t>
        </is>
      </c>
      <c r="I111" s="8" t="inlineStr">
        <is>
          <t>Internal Base Marquees</t>
        </is>
      </c>
      <c r="J111" s="11" t="inlineStr">
        <is>
          <t>126pxW x 72pxH (JPG, AVI, MP4)</t>
        </is>
      </c>
      <c r="K111" s="8" t="inlineStr">
        <is>
          <t>Your ad will be featured on Digital Marquee featuring upcoming base events in 6 locations on MCAS Yuma.</t>
        </is>
      </c>
      <c r="L111" s="11" t="n">
        <v>1</v>
      </c>
      <c r="M111" s="12" t="n">
        <v>750</v>
      </c>
      <c r="N111" s="12" t="n">
        <v>2250</v>
      </c>
      <c r="O111" s="12" t="n">
        <v>4500</v>
      </c>
      <c r="P111" s="12" t="n">
        <v>9000</v>
      </c>
      <c r="Q111" s="12" t="n">
        <v>0</v>
      </c>
      <c r="R111" s="13">
        <f>IF(ISNUMBER(M111),ROUND(M111/(1-Settings!$B$2)/Settings!$B$3,0)*Settings!$B$3,"")</f>
        <v/>
      </c>
      <c r="S111" s="13">
        <f>IF(ISNUMBER(N111),ROUND(N111/(1-Settings!$B$2)/Settings!$B$3,0)*Settings!$B$3,"")</f>
        <v/>
      </c>
      <c r="T111" s="13">
        <f>IF(ISNUMBER(O111),ROUND(O111/(1-Settings!$B$2)/Settings!$B$3,0)*Settings!$B$3,"")</f>
        <v/>
      </c>
      <c r="U111" s="13">
        <f>IF(ISNUMBER(P111),ROUND(P111/(1-Settings!$B$2)/Settings!$B$3,0)*Settings!$B$3,"")</f>
        <v/>
      </c>
      <c r="V111" s="13">
        <f>IF(ISNUMBER(Q111),ROUND(Q111/(1-Settings!$B$2)/Settings!$B$3,0)*Settings!$B$3,"")</f>
        <v/>
      </c>
      <c r="W111" s="14" t="n">
        <v>4946</v>
      </c>
      <c r="X111" s="14" t="n">
        <v>4702</v>
      </c>
      <c r="Y111" s="11" t="inlineStr"/>
      <c r="Z111" s="11" t="inlineStr"/>
      <c r="AA111" s="8" t="inlineStr">
        <is>
          <t>Inventory master 6/2026 lists Digital Marquee at $1,750 (1 mo)</t>
        </is>
      </c>
      <c r="AB111" s="8" t="inlineStr"/>
      <c r="AC111" s="11" t="inlineStr">
        <is>
          <t>MasterMilitaryOnBaseList 12.2.25 NS.xlsx</t>
        </is>
      </c>
      <c r="AD111" s="11" t="inlineStr">
        <is>
          <t>2025 YUMA - Digital Advertising (1).pdf</t>
        </is>
      </c>
      <c r="AE111" s="15" t="inlineStr">
        <is>
          <t>Open in Box</t>
        </is>
      </c>
      <c r="AF111" s="15" t="inlineStr">
        <is>
          <t>Open in Box</t>
        </is>
      </c>
    </row>
    <row r="112">
      <c r="A112" s="11" t="inlineStr">
        <is>
          <t>AZ-YUMAMCAS-004</t>
        </is>
      </c>
      <c r="B112" s="8" t="inlineStr">
        <is>
          <t>Yuma MCAS</t>
        </is>
      </c>
      <c r="C112" s="11" t="inlineStr"/>
      <c r="D112" s="11" t="inlineStr">
        <is>
          <t>AZ</t>
        </is>
      </c>
      <c r="E112" s="11" t="inlineStr">
        <is>
          <t>Yuma-El Centro</t>
        </is>
      </c>
      <c r="F112" s="11" t="inlineStr">
        <is>
          <t>85369</t>
        </is>
      </c>
      <c r="G112" s="11" t="inlineStr">
        <is>
          <t>Marine Corps</t>
        </is>
      </c>
      <c r="H112" s="11" t="inlineStr">
        <is>
          <t>Digital</t>
        </is>
      </c>
      <c r="I112" s="8" t="inlineStr">
        <is>
          <t>Movie Theater Slide</t>
        </is>
      </c>
      <c r="J112" s="11" t="inlineStr">
        <is>
          <t>1920pxW x1080pxH (JPG, PNG, MP4)</t>
        </is>
      </c>
      <c r="K112" s="8" t="inlineStr">
        <is>
          <t>Your ad will appear in a 30-minute slideshow that shows before every movie at the Sunset Movie Theater on-base.</t>
        </is>
      </c>
      <c r="L112" s="11" t="n">
        <v>1</v>
      </c>
      <c r="M112" s="12" t="n">
        <v>250</v>
      </c>
      <c r="N112" s="12" t="n">
        <v>750</v>
      </c>
      <c r="O112" s="12" t="n">
        <v>1500</v>
      </c>
      <c r="P112" s="12" t="n">
        <v>3000</v>
      </c>
      <c r="Q112" s="12" t="n">
        <v>0</v>
      </c>
      <c r="R112" s="13">
        <f>IF(ISNUMBER(M112),ROUND(M112/(1-Settings!$B$2)/Settings!$B$3,0)*Settings!$B$3,"")</f>
        <v/>
      </c>
      <c r="S112" s="13">
        <f>IF(ISNUMBER(N112),ROUND(N112/(1-Settings!$B$2)/Settings!$B$3,0)*Settings!$B$3,"")</f>
        <v/>
      </c>
      <c r="T112" s="13">
        <f>IF(ISNUMBER(O112),ROUND(O112/(1-Settings!$B$2)/Settings!$B$3,0)*Settings!$B$3,"")</f>
        <v/>
      </c>
      <c r="U112" s="13">
        <f>IF(ISNUMBER(P112),ROUND(P112/(1-Settings!$B$2)/Settings!$B$3,0)*Settings!$B$3,"")</f>
        <v/>
      </c>
      <c r="V112" s="13">
        <f>IF(ISNUMBER(Q112),ROUND(Q112/(1-Settings!$B$2)/Settings!$B$3,0)*Settings!$B$3,"")</f>
        <v/>
      </c>
      <c r="W112" s="14" t="n">
        <v>4946</v>
      </c>
      <c r="X112" s="14" t="n">
        <v>4702</v>
      </c>
      <c r="Y112" s="11" t="inlineStr"/>
      <c r="Z112" s="11" t="inlineStr"/>
      <c r="AA112" s="8" t="inlineStr"/>
      <c r="AB112" s="8" t="inlineStr"/>
      <c r="AC112" s="11" t="inlineStr">
        <is>
          <t>MasterMilitaryOnBaseList 12.2.25 NS.xlsx</t>
        </is>
      </c>
      <c r="AD112" s="11" t="inlineStr">
        <is>
          <t>2025 YUMA - Digital Advertising (1).pdf</t>
        </is>
      </c>
      <c r="AE112" s="15" t="inlineStr">
        <is>
          <t>Open in Box</t>
        </is>
      </c>
      <c r="AF112" s="15" t="inlineStr">
        <is>
          <t>Open in Box</t>
        </is>
      </c>
    </row>
    <row r="113">
      <c r="A113" s="11" t="inlineStr">
        <is>
          <t>AZ-YUMAMCAS-005</t>
        </is>
      </c>
      <c r="B113" s="8" t="inlineStr">
        <is>
          <t>Yuma MCAS</t>
        </is>
      </c>
      <c r="C113" s="11" t="inlineStr"/>
      <c r="D113" s="11" t="inlineStr">
        <is>
          <t>AZ</t>
        </is>
      </c>
      <c r="E113" s="11" t="inlineStr">
        <is>
          <t>Yuma-El Centro</t>
        </is>
      </c>
      <c r="F113" s="11" t="inlineStr">
        <is>
          <t>85369</t>
        </is>
      </c>
      <c r="G113" s="11" t="inlineStr">
        <is>
          <t>Marine Corps</t>
        </is>
      </c>
      <c r="H113" s="11" t="inlineStr">
        <is>
          <t>Standard Media</t>
        </is>
      </c>
      <c r="I113" s="8" t="inlineStr">
        <is>
          <t>Banners</t>
        </is>
      </c>
      <c r="J113" s="11" t="inlineStr">
        <is>
          <t>3'75'W x 7.75'H</t>
        </is>
      </c>
      <c r="K113" s="8" t="inlineStr">
        <is>
          <t>Your ad will appear in an approved installation facility.</t>
        </is>
      </c>
      <c r="L113" s="11" t="n">
        <v>1</v>
      </c>
      <c r="M113" s="12" t="n">
        <v>350</v>
      </c>
      <c r="N113" s="12" t="n">
        <v>1050</v>
      </c>
      <c r="O113" s="12" t="n">
        <v>2100</v>
      </c>
      <c r="P113" s="12" t="n">
        <v>4200</v>
      </c>
      <c r="Q113" s="12" t="n">
        <v>200</v>
      </c>
      <c r="R113" s="13">
        <f>IF(ISNUMBER(M113),ROUND(M113/(1-Settings!$B$2)/Settings!$B$3,0)*Settings!$B$3,"")</f>
        <v/>
      </c>
      <c r="S113" s="13">
        <f>IF(ISNUMBER(N113),ROUND(N113/(1-Settings!$B$2)/Settings!$B$3,0)*Settings!$B$3,"")</f>
        <v/>
      </c>
      <c r="T113" s="13">
        <f>IF(ISNUMBER(O113),ROUND(O113/(1-Settings!$B$2)/Settings!$B$3,0)*Settings!$B$3,"")</f>
        <v/>
      </c>
      <c r="U113" s="13">
        <f>IF(ISNUMBER(P113),ROUND(P113/(1-Settings!$B$2)/Settings!$B$3,0)*Settings!$B$3,"")</f>
        <v/>
      </c>
      <c r="V113" s="13">
        <f>IF(ISNUMBER(Q113),ROUND(Q113/(1-Settings!$B$2)/Settings!$B$3,0)*Settings!$B$3,"")</f>
        <v/>
      </c>
      <c r="W113" s="14" t="n">
        <v>4946</v>
      </c>
      <c r="X113" s="14" t="n">
        <v>4702</v>
      </c>
      <c r="Y113" s="11" t="inlineStr"/>
      <c r="Z113" s="11" t="inlineStr"/>
      <c r="AA113" s="8" t="inlineStr"/>
      <c r="AB113" s="8" t="inlineStr"/>
      <c r="AC113" s="11" t="inlineStr">
        <is>
          <t>MasterMilitaryOnBaseList 12.2.25 NS.xlsx</t>
        </is>
      </c>
      <c r="AD113" s="11" t="inlineStr">
        <is>
          <t>2025 YUMA - Digital Advertising (1).pdf</t>
        </is>
      </c>
      <c r="AE113" s="15" t="inlineStr">
        <is>
          <t>Open in Box</t>
        </is>
      </c>
      <c r="AF113" s="15" t="inlineStr">
        <is>
          <t>Open in Box</t>
        </is>
      </c>
    </row>
    <row r="114">
      <c r="A114" s="11" t="inlineStr">
        <is>
          <t>AZ-YUMAMCAS-006</t>
        </is>
      </c>
      <c r="B114" s="8" t="inlineStr">
        <is>
          <t>Yuma MCAS</t>
        </is>
      </c>
      <c r="C114" s="11" t="inlineStr"/>
      <c r="D114" s="11" t="inlineStr">
        <is>
          <t>AZ</t>
        </is>
      </c>
      <c r="E114" s="11" t="inlineStr">
        <is>
          <t>Yuma-El Centro</t>
        </is>
      </c>
      <c r="F114" s="11" t="inlineStr">
        <is>
          <t>85369</t>
        </is>
      </c>
      <c r="G114" s="11" t="inlineStr">
        <is>
          <t>Marine Corps</t>
        </is>
      </c>
      <c r="H114" s="11" t="inlineStr">
        <is>
          <t>Web &amp; Email</t>
        </is>
      </c>
      <c r="I114" s="8" t="inlineStr">
        <is>
          <t>Email Newsletter</t>
        </is>
      </c>
      <c r="J114" s="11" t="inlineStr">
        <is>
          <t>570pxW x325pxH (PNG, JPG)</t>
        </is>
      </c>
      <c r="K114" s="8" t="inlineStr">
        <is>
          <t>Your ad will appear in the MCCS Email Newsletter under the "Highlights MCCS Yuma Happenings".</t>
        </is>
      </c>
      <c r="L114" s="11" t="n">
        <v>1</v>
      </c>
      <c r="M114" s="12" t="n">
        <v>100</v>
      </c>
      <c r="N114" s="12" t="n"/>
      <c r="O114" s="12" t="n"/>
      <c r="P114" s="12" t="n"/>
      <c r="Q114" s="12" t="n"/>
      <c r="R114" s="13">
        <f>IF(ISNUMBER(M114),ROUND(M114/(1-Settings!$B$2)/Settings!$B$3,0)*Settings!$B$3,"")</f>
        <v/>
      </c>
      <c r="S114" s="13">
        <f>IF(ISNUMBER(N114),ROUND(N114/(1-Settings!$B$2)/Settings!$B$3,0)*Settings!$B$3,"")</f>
        <v/>
      </c>
      <c r="T114" s="13">
        <f>IF(ISNUMBER(O114),ROUND(O114/(1-Settings!$B$2)/Settings!$B$3,0)*Settings!$B$3,"")</f>
        <v/>
      </c>
      <c r="U114" s="13">
        <f>IF(ISNUMBER(P114),ROUND(P114/(1-Settings!$B$2)/Settings!$B$3,0)*Settings!$B$3,"")</f>
        <v/>
      </c>
      <c r="V114" s="13">
        <f>IF(ISNUMBER(Q114),ROUND(Q114/(1-Settings!$B$2)/Settings!$B$3,0)*Settings!$B$3,"")</f>
        <v/>
      </c>
      <c r="W114" s="14" t="n">
        <v>4946</v>
      </c>
      <c r="X114" s="14" t="n">
        <v>4702</v>
      </c>
      <c r="Y114" s="11" t="inlineStr"/>
      <c r="Z114" s="11" t="inlineStr"/>
      <c r="AA114" s="8" t="inlineStr"/>
      <c r="AB114" s="16" t="inlineStr">
        <is>
          <t>Source formula errors</t>
        </is>
      </c>
      <c r="AC114" s="11" t="inlineStr">
        <is>
          <t>MasterMilitaryOnBaseList 12.2.25 NS.xlsx</t>
        </is>
      </c>
      <c r="AD114" s="11" t="inlineStr">
        <is>
          <t>2025 YUMA - Digital Advertising (1).pdf</t>
        </is>
      </c>
      <c r="AE114" s="15" t="inlineStr">
        <is>
          <t>Open in Box</t>
        </is>
      </c>
      <c r="AF114" s="15" t="inlineStr">
        <is>
          <t>Open in Box</t>
        </is>
      </c>
    </row>
    <row r="115">
      <c r="A115" s="11" t="inlineStr">
        <is>
          <t>AZ-YUMAMCAS-007</t>
        </is>
      </c>
      <c r="B115" s="8" t="inlineStr">
        <is>
          <t>Yuma MCAS</t>
        </is>
      </c>
      <c r="C115" s="11" t="inlineStr"/>
      <c r="D115" s="11" t="inlineStr">
        <is>
          <t>AZ</t>
        </is>
      </c>
      <c r="E115" s="11" t="inlineStr">
        <is>
          <t>Yuma-El Centro</t>
        </is>
      </c>
      <c r="F115" s="11" t="inlineStr"/>
      <c r="G115" s="11" t="inlineStr">
        <is>
          <t>Marine Corps</t>
        </is>
      </c>
      <c r="H115" s="11" t="inlineStr">
        <is>
          <t>Web &amp; Email</t>
        </is>
      </c>
      <c r="I115" s="8" t="inlineStr">
        <is>
          <t>Web Ad</t>
        </is>
      </c>
      <c r="J115" s="11" t="inlineStr"/>
      <c r="K115" s="8" t="inlineStr">
        <is>
          <t>Your ad will appear on the installation MWR / FSS website.</t>
        </is>
      </c>
      <c r="L115" s="11" t="n">
        <v>1</v>
      </c>
      <c r="M115" s="12" t="n">
        <v>300</v>
      </c>
      <c r="N115" s="12" t="n"/>
      <c r="O115" s="12" t="n"/>
      <c r="P115" s="12" t="n"/>
      <c r="Q115" s="12" t="n"/>
      <c r="R115" s="13">
        <f>IF(ISNUMBER(M115),ROUND(M115/(1-Settings!$B$2)/Settings!$B$3,0)*Settings!$B$3,"")</f>
        <v/>
      </c>
      <c r="S115" s="13">
        <f>IF(ISNUMBER(N115),ROUND(N115/(1-Settings!$B$2)/Settings!$B$3,0)*Settings!$B$3,"")</f>
        <v/>
      </c>
      <c r="T115" s="13">
        <f>IF(ISNUMBER(O115),ROUND(O115/(1-Settings!$B$2)/Settings!$B$3,0)*Settings!$B$3,"")</f>
        <v/>
      </c>
      <c r="U115" s="13">
        <f>IF(ISNUMBER(P115),ROUND(P115/(1-Settings!$B$2)/Settings!$B$3,0)*Settings!$B$3,"")</f>
        <v/>
      </c>
      <c r="V115" s="13">
        <f>IF(ISNUMBER(Q115),ROUND(Q115/(1-Settings!$B$2)/Settings!$B$3,0)*Settings!$B$3,"")</f>
        <v/>
      </c>
      <c r="W115" s="14" t="n">
        <v>4946</v>
      </c>
      <c r="X115" s="14" t="n">
        <v>4702</v>
      </c>
      <c r="Y115" s="11" t="inlineStr">
        <is>
          <t>2026</t>
        </is>
      </c>
      <c r="Z115" s="11" t="inlineStr">
        <is>
          <t>2026-06</t>
        </is>
      </c>
      <c r="AA115" s="8" t="inlineStr"/>
      <c r="AB115" s="8" t="inlineStr"/>
      <c r="AC115" s="11" t="inlineStr">
        <is>
          <t>Military - National Publication Inventory Master_June 2026.xlsx</t>
        </is>
      </c>
      <c r="AD115" s="11" t="inlineStr">
        <is>
          <t>2025 YUMA - Digital Advertising (1).pdf</t>
        </is>
      </c>
      <c r="AE115" s="15" t="inlineStr">
        <is>
          <t>Open in Box</t>
        </is>
      </c>
      <c r="AF115" s="15" t="inlineStr">
        <is>
          <t>Open in Box</t>
        </is>
      </c>
    </row>
    <row r="116">
      <c r="A116" s="11" t="inlineStr">
        <is>
          <t>CA-29PALMSM-001</t>
        </is>
      </c>
      <c r="B116" s="8" t="inlineStr">
        <is>
          <t>29 Palms MC Air/Ground Combat Center</t>
        </is>
      </c>
      <c r="C116" s="11" t="inlineStr"/>
      <c r="D116" s="11" t="inlineStr">
        <is>
          <t>CA</t>
        </is>
      </c>
      <c r="E116" s="11" t="inlineStr">
        <is>
          <t>Los Angeles</t>
        </is>
      </c>
      <c r="F116" s="11" t="inlineStr">
        <is>
          <t>92278</t>
        </is>
      </c>
      <c r="G116" s="11" t="inlineStr">
        <is>
          <t>Marine Corps</t>
        </is>
      </c>
      <c r="H116" s="11" t="inlineStr">
        <is>
          <t>Digital</t>
        </is>
      </c>
      <c r="I116" s="8" t="inlineStr">
        <is>
          <t>Commercial</t>
        </is>
      </c>
      <c r="J116" s="11" t="inlineStr">
        <is>
          <t>TBD</t>
        </is>
      </c>
      <c r="K116" s="8" t="inlineStr">
        <is>
          <t>Your ad will appear on 2 digital poster stands</t>
        </is>
      </c>
      <c r="L116" s="11" t="n"/>
      <c r="M116" s="12" t="n"/>
      <c r="N116" s="12" t="n"/>
      <c r="O116" s="12" t="n"/>
      <c r="P116" s="12" t="n"/>
      <c r="Q116" s="12" t="n"/>
      <c r="R116" s="13">
        <f>IF(ISNUMBER(M116),ROUND(M116/(1-Settings!$B$2)/Settings!$B$3,0)*Settings!$B$3,"")</f>
        <v/>
      </c>
      <c r="S116" s="13">
        <f>IF(ISNUMBER(N116),ROUND(N116/(1-Settings!$B$2)/Settings!$B$3,0)*Settings!$B$3,"")</f>
        <v/>
      </c>
      <c r="T116" s="13">
        <f>IF(ISNUMBER(O116),ROUND(O116/(1-Settings!$B$2)/Settings!$B$3,0)*Settings!$B$3,"")</f>
        <v/>
      </c>
      <c r="U116" s="13">
        <f>IF(ISNUMBER(P116),ROUND(P116/(1-Settings!$B$2)/Settings!$B$3,0)*Settings!$B$3,"")</f>
        <v/>
      </c>
      <c r="V116" s="13">
        <f>IF(ISNUMBER(Q116),ROUND(Q116/(1-Settings!$B$2)/Settings!$B$3,0)*Settings!$B$3,"")</f>
        <v/>
      </c>
      <c r="W116" s="14" t="n"/>
      <c r="X116" s="14" t="n"/>
      <c r="Y116" s="11" t="inlineStr"/>
      <c r="Z116" s="11" t="inlineStr"/>
      <c r="AA116" s="8" t="inlineStr"/>
      <c r="AB116" s="16" t="inlineStr">
        <is>
          <t>No price on file - inquire</t>
        </is>
      </c>
      <c r="AC116" s="11" t="inlineStr">
        <is>
          <t>MasterMilitaryOnBaseList 12.2.25 NS.xlsx</t>
        </is>
      </c>
      <c r="AD116" s="11" t="inlineStr">
        <is>
          <t>Advertising_Opportunities2026-2027.pdf</t>
        </is>
      </c>
      <c r="AE116" s="15" t="inlineStr">
        <is>
          <t>Open in Box</t>
        </is>
      </c>
      <c r="AF116" s="15" t="inlineStr">
        <is>
          <t>Open in Box</t>
        </is>
      </c>
    </row>
    <row r="117">
      <c r="A117" s="11" t="inlineStr">
        <is>
          <t>CA-29PALMSM-002</t>
        </is>
      </c>
      <c r="B117" s="8" t="inlineStr">
        <is>
          <t>29 Palms MC Air/Ground Combat Center</t>
        </is>
      </c>
      <c r="C117" s="11" t="inlineStr"/>
      <c r="D117" s="11" t="inlineStr">
        <is>
          <t>CA</t>
        </is>
      </c>
      <c r="E117" s="11" t="inlineStr">
        <is>
          <t>Los Angeles</t>
        </is>
      </c>
      <c r="F117" s="11" t="inlineStr">
        <is>
          <t>92278</t>
        </is>
      </c>
      <c r="G117" s="11" t="inlineStr">
        <is>
          <t>Marine Corps</t>
        </is>
      </c>
      <c r="H117" s="11" t="inlineStr">
        <is>
          <t>Digital</t>
        </is>
      </c>
      <c r="I117" s="8" t="inlineStr">
        <is>
          <t>Digital Kiosk Network</t>
        </is>
      </c>
      <c r="J117" s="11" t="inlineStr">
        <is>
          <t>43” digital displays</t>
        </is>
      </c>
      <c r="K117" s="8" t="inlineStr">
        <is>
          <t>Your ad will appear on 10 digital kiosks network in approved installation facilities. (Please note this network this can be sold as singles.)</t>
        </is>
      </c>
      <c r="L117" s="11" t="n">
        <v>1</v>
      </c>
      <c r="M117" s="12" t="n">
        <v>5000</v>
      </c>
      <c r="N117" s="12" t="n">
        <v>9000</v>
      </c>
      <c r="O117" s="12" t="n">
        <v>18000</v>
      </c>
      <c r="P117" s="12" t="n">
        <v>36000</v>
      </c>
      <c r="Q117" s="12" t="n">
        <v>0</v>
      </c>
      <c r="R117" s="13">
        <f>IF(ISNUMBER(M117),ROUND(M117/(1-Settings!$B$2)/Settings!$B$3,0)*Settings!$B$3,"")</f>
        <v/>
      </c>
      <c r="S117" s="13">
        <f>IF(ISNUMBER(N117),ROUND(N117/(1-Settings!$B$2)/Settings!$B$3,0)*Settings!$B$3,"")</f>
        <v/>
      </c>
      <c r="T117" s="13">
        <f>IF(ISNUMBER(O117),ROUND(O117/(1-Settings!$B$2)/Settings!$B$3,0)*Settings!$B$3,"")</f>
        <v/>
      </c>
      <c r="U117" s="13">
        <f>IF(ISNUMBER(P117),ROUND(P117/(1-Settings!$B$2)/Settings!$B$3,0)*Settings!$B$3,"")</f>
        <v/>
      </c>
      <c r="V117" s="13">
        <f>IF(ISNUMBER(Q117),ROUND(Q117/(1-Settings!$B$2)/Settings!$B$3,0)*Settings!$B$3,"")</f>
        <v/>
      </c>
      <c r="W117" s="14" t="n"/>
      <c r="X117" s="14" t="n"/>
      <c r="Y117" s="11" t="inlineStr">
        <is>
          <t>2023</t>
        </is>
      </c>
      <c r="Z117" s="11" t="inlineStr"/>
      <c r="AA117" s="8" t="inlineStr"/>
      <c r="AB117" s="16" t="inlineStr">
        <is>
          <t>Rate card older than 2025 - reconfirm</t>
        </is>
      </c>
      <c r="AC117" s="11" t="inlineStr">
        <is>
          <t>MasterMilitaryOnBaseList 12.2.25 NS.xlsx</t>
        </is>
      </c>
      <c r="AD117" s="11" t="inlineStr">
        <is>
          <t>Advertising_Opportunities2026-2027.pdf</t>
        </is>
      </c>
      <c r="AE117" s="15" t="inlineStr">
        <is>
          <t>Open in Box</t>
        </is>
      </c>
      <c r="AF117" s="15" t="inlineStr">
        <is>
          <t>Open in Box</t>
        </is>
      </c>
    </row>
    <row r="118">
      <c r="A118" s="11" t="inlineStr">
        <is>
          <t>CA-29PALMSM-003</t>
        </is>
      </c>
      <c r="B118" s="8" t="inlineStr">
        <is>
          <t>29 Palms MC Air/Ground Combat Center</t>
        </is>
      </c>
      <c r="C118" s="11" t="inlineStr"/>
      <c r="D118" s="11" t="inlineStr">
        <is>
          <t>CA</t>
        </is>
      </c>
      <c r="E118" s="11" t="inlineStr">
        <is>
          <t>Los Angeles</t>
        </is>
      </c>
      <c r="F118" s="11" t="inlineStr">
        <is>
          <t>92278</t>
        </is>
      </c>
      <c r="G118" s="11" t="inlineStr">
        <is>
          <t>Marine Corps</t>
        </is>
      </c>
      <c r="H118" s="11" t="inlineStr">
        <is>
          <t>Digital</t>
        </is>
      </c>
      <c r="I118" s="8" t="inlineStr">
        <is>
          <t>Digital Marquee</t>
        </is>
      </c>
      <c r="J118" s="11" t="inlineStr">
        <is>
          <t>TBD</t>
        </is>
      </c>
      <c r="K118" s="8" t="inlineStr">
        <is>
          <t>Your ad will appear at the Adobe/Del Valle digital marquee near the Main Gate.</t>
        </is>
      </c>
      <c r="L118" s="11" t="n">
        <v>1</v>
      </c>
      <c r="M118" s="12" t="n">
        <v>250</v>
      </c>
      <c r="N118" s="12" t="n">
        <v>750</v>
      </c>
      <c r="O118" s="12" t="n">
        <v>1500</v>
      </c>
      <c r="P118" s="12" t="n">
        <v>3000</v>
      </c>
      <c r="Q118" s="12" t="n">
        <v>0</v>
      </c>
      <c r="R118" s="13">
        <f>IF(ISNUMBER(M118),ROUND(M118/(1-Settings!$B$2)/Settings!$B$3,0)*Settings!$B$3,"")</f>
        <v/>
      </c>
      <c r="S118" s="13">
        <f>IF(ISNUMBER(N118),ROUND(N118/(1-Settings!$B$2)/Settings!$B$3,0)*Settings!$B$3,"")</f>
        <v/>
      </c>
      <c r="T118" s="13">
        <f>IF(ISNUMBER(O118),ROUND(O118/(1-Settings!$B$2)/Settings!$B$3,0)*Settings!$B$3,"")</f>
        <v/>
      </c>
      <c r="U118" s="13">
        <f>IF(ISNUMBER(P118),ROUND(P118/(1-Settings!$B$2)/Settings!$B$3,0)*Settings!$B$3,"")</f>
        <v/>
      </c>
      <c r="V118" s="13">
        <f>IF(ISNUMBER(Q118),ROUND(Q118/(1-Settings!$B$2)/Settings!$B$3,0)*Settings!$B$3,"")</f>
        <v/>
      </c>
      <c r="W118" s="14" t="n"/>
      <c r="X118" s="14" t="n"/>
      <c r="Y118" s="11" t="inlineStr">
        <is>
          <t>2023</t>
        </is>
      </c>
      <c r="Z118" s="11" t="inlineStr"/>
      <c r="AA118" s="8" t="inlineStr"/>
      <c r="AB118" s="16" t="inlineStr">
        <is>
          <t>Rate card older than 2025 - reconfirm</t>
        </is>
      </c>
      <c r="AC118" s="11" t="inlineStr">
        <is>
          <t>MasterMilitaryOnBaseList 12.2.25 NS.xlsx</t>
        </is>
      </c>
      <c r="AD118" s="11" t="inlineStr">
        <is>
          <t>Advertising_Opportunities2026-2027.pdf</t>
        </is>
      </c>
      <c r="AE118" s="15" t="inlineStr">
        <is>
          <t>Open in Box</t>
        </is>
      </c>
      <c r="AF118" s="15" t="inlineStr">
        <is>
          <t>Open in Box</t>
        </is>
      </c>
    </row>
    <row r="119">
      <c r="A119" s="11" t="inlineStr">
        <is>
          <t>CA-29PALMSM-004</t>
        </is>
      </c>
      <c r="B119" s="8" t="inlineStr">
        <is>
          <t>29 Palms MC Air/Ground Combat Center</t>
        </is>
      </c>
      <c r="C119" s="11" t="inlineStr"/>
      <c r="D119" s="11" t="inlineStr">
        <is>
          <t>CA</t>
        </is>
      </c>
      <c r="E119" s="11" t="inlineStr">
        <is>
          <t>Los Angeles</t>
        </is>
      </c>
      <c r="F119" s="11" t="inlineStr">
        <is>
          <t>92278</t>
        </is>
      </c>
      <c r="G119" s="11" t="inlineStr">
        <is>
          <t>Marine Corps</t>
        </is>
      </c>
      <c r="H119" s="11" t="inlineStr">
        <is>
          <t>Digital</t>
        </is>
      </c>
      <c r="I119" s="8" t="inlineStr">
        <is>
          <t>Digital Marquee</t>
        </is>
      </c>
      <c r="J119" s="11" t="inlineStr">
        <is>
          <t>TBD</t>
        </is>
      </c>
      <c r="K119" s="8" t="inlineStr">
        <is>
          <t>Your ad will appear at the 6th St/Del Valle digital marquee (double sided) or the Coyote Grill digital marquee (double sided).</t>
        </is>
      </c>
      <c r="L119" s="11" t="n">
        <v>1</v>
      </c>
      <c r="M119" s="12" t="n">
        <v>200</v>
      </c>
      <c r="N119" s="12" t="n">
        <v>600</v>
      </c>
      <c r="O119" s="12" t="n">
        <v>1200</v>
      </c>
      <c r="P119" s="12" t="n">
        <v>2400</v>
      </c>
      <c r="Q119" s="12" t="n">
        <v>0</v>
      </c>
      <c r="R119" s="13">
        <f>IF(ISNUMBER(M119),ROUND(M119/(1-Settings!$B$2)/Settings!$B$3,0)*Settings!$B$3,"")</f>
        <v/>
      </c>
      <c r="S119" s="13">
        <f>IF(ISNUMBER(N119),ROUND(N119/(1-Settings!$B$2)/Settings!$B$3,0)*Settings!$B$3,"")</f>
        <v/>
      </c>
      <c r="T119" s="13">
        <f>IF(ISNUMBER(O119),ROUND(O119/(1-Settings!$B$2)/Settings!$B$3,0)*Settings!$B$3,"")</f>
        <v/>
      </c>
      <c r="U119" s="13">
        <f>IF(ISNUMBER(P119),ROUND(P119/(1-Settings!$B$2)/Settings!$B$3,0)*Settings!$B$3,"")</f>
        <v/>
      </c>
      <c r="V119" s="13">
        <f>IF(ISNUMBER(Q119),ROUND(Q119/(1-Settings!$B$2)/Settings!$B$3,0)*Settings!$B$3,"")</f>
        <v/>
      </c>
      <c r="W119" s="14" t="n"/>
      <c r="X119" s="14" t="n"/>
      <c r="Y119" s="11" t="inlineStr">
        <is>
          <t>2023</t>
        </is>
      </c>
      <c r="Z119" s="11" t="inlineStr"/>
      <c r="AA119" s="8" t="inlineStr"/>
      <c r="AB119" s="16" t="inlineStr">
        <is>
          <t>Rate card older than 2025 - reconfirm</t>
        </is>
      </c>
      <c r="AC119" s="11" t="inlineStr">
        <is>
          <t>MasterMilitaryOnBaseList 12.2.25 NS.xlsx</t>
        </is>
      </c>
      <c r="AD119" s="11" t="inlineStr">
        <is>
          <t>Advertising_Opportunities2026-2027.pdf</t>
        </is>
      </c>
      <c r="AE119" s="15" t="inlineStr">
        <is>
          <t>Open in Box</t>
        </is>
      </c>
      <c r="AF119" s="15" t="inlineStr">
        <is>
          <t>Open in Box</t>
        </is>
      </c>
    </row>
    <row r="120">
      <c r="A120" s="11" t="inlineStr">
        <is>
          <t>CA-29PALMSM-005</t>
        </is>
      </c>
      <c r="B120" s="8" t="inlineStr">
        <is>
          <t>29 Palms MC Air/Ground Combat Center</t>
        </is>
      </c>
      <c r="C120" s="11" t="inlineStr"/>
      <c r="D120" s="11" t="inlineStr">
        <is>
          <t>CA</t>
        </is>
      </c>
      <c r="E120" s="11" t="inlineStr">
        <is>
          <t>Los Angeles</t>
        </is>
      </c>
      <c r="F120" s="11" t="inlineStr">
        <is>
          <t>92278</t>
        </is>
      </c>
      <c r="G120" s="11" t="inlineStr">
        <is>
          <t>Marine Corps</t>
        </is>
      </c>
      <c r="H120" s="11" t="inlineStr">
        <is>
          <t>Digital</t>
        </is>
      </c>
      <c r="I120" s="8" t="inlineStr">
        <is>
          <t>Digital Monitor Network</t>
        </is>
      </c>
      <c r="J120" s="11" t="inlineStr">
        <is>
          <t>TBD</t>
        </is>
      </c>
      <c r="K120" s="8" t="inlineStr">
        <is>
          <t>Your ad will appear on the digital monitor network in approved installation facilities.</t>
        </is>
      </c>
      <c r="L120" s="11" t="n">
        <v>1</v>
      </c>
      <c r="M120" s="12" t="n">
        <v>600</v>
      </c>
      <c r="N120" s="12" t="n">
        <v>1800</v>
      </c>
      <c r="O120" s="12" t="n">
        <v>3600</v>
      </c>
      <c r="P120" s="12" t="n">
        <v>7200</v>
      </c>
      <c r="Q120" s="12" t="n">
        <v>0</v>
      </c>
      <c r="R120" s="13">
        <f>IF(ISNUMBER(M120),ROUND(M120/(1-Settings!$B$2)/Settings!$B$3,0)*Settings!$B$3,"")</f>
        <v/>
      </c>
      <c r="S120" s="13">
        <f>IF(ISNUMBER(N120),ROUND(N120/(1-Settings!$B$2)/Settings!$B$3,0)*Settings!$B$3,"")</f>
        <v/>
      </c>
      <c r="T120" s="13">
        <f>IF(ISNUMBER(O120),ROUND(O120/(1-Settings!$B$2)/Settings!$B$3,0)*Settings!$B$3,"")</f>
        <v/>
      </c>
      <c r="U120" s="13">
        <f>IF(ISNUMBER(P120),ROUND(P120/(1-Settings!$B$2)/Settings!$B$3,0)*Settings!$B$3,"")</f>
        <v/>
      </c>
      <c r="V120" s="13">
        <f>IF(ISNUMBER(Q120),ROUND(Q120/(1-Settings!$B$2)/Settings!$B$3,0)*Settings!$B$3,"")</f>
        <v/>
      </c>
      <c r="W120" s="14" t="n"/>
      <c r="X120" s="14" t="n"/>
      <c r="Y120" s="11" t="inlineStr"/>
      <c r="Z120" s="11" t="inlineStr"/>
      <c r="AA120" s="8" t="inlineStr"/>
      <c r="AB120" s="8" t="inlineStr"/>
      <c r="AC120" s="11" t="inlineStr">
        <is>
          <t>MasterMilitaryOnBaseList 12.2.25 NS.xlsx</t>
        </is>
      </c>
      <c r="AD120" s="11" t="inlineStr">
        <is>
          <t>Advertising_Opportunities2026-2027.pdf</t>
        </is>
      </c>
      <c r="AE120" s="15" t="inlineStr">
        <is>
          <t>Open in Box</t>
        </is>
      </c>
      <c r="AF120" s="15" t="inlineStr">
        <is>
          <t>Open in Box</t>
        </is>
      </c>
    </row>
    <row r="121">
      <c r="A121" s="11" t="inlineStr">
        <is>
          <t>CA-29PALMSM-007</t>
        </is>
      </c>
      <c r="B121" s="8" t="inlineStr">
        <is>
          <t>29 Palms MC Air/Ground Combat Center</t>
        </is>
      </c>
      <c r="C121" s="11" t="inlineStr"/>
      <c r="D121" s="11" t="inlineStr">
        <is>
          <t>CA</t>
        </is>
      </c>
      <c r="E121" s="11" t="inlineStr">
        <is>
          <t>Los Angeles</t>
        </is>
      </c>
      <c r="F121" s="11" t="inlineStr">
        <is>
          <t>92278</t>
        </is>
      </c>
      <c r="G121" s="11" t="inlineStr">
        <is>
          <t>Marine Corps</t>
        </is>
      </c>
      <c r="H121" s="11" t="inlineStr">
        <is>
          <t>Large Format</t>
        </is>
      </c>
      <c r="I121" s="8" t="inlineStr">
        <is>
          <t>Banner - Main Gate</t>
        </is>
      </c>
      <c r="J121" s="11" t="inlineStr">
        <is>
          <t>12'W x 12"H</t>
        </is>
      </c>
      <c r="K121" s="8" t="inlineStr">
        <is>
          <t>Your ad will appear at the main installation gate.</t>
        </is>
      </c>
      <c r="L121" s="11" t="n">
        <v>1</v>
      </c>
      <c r="M121" s="12" t="n">
        <v>1100</v>
      </c>
      <c r="N121" s="12" t="n">
        <v>3300</v>
      </c>
      <c r="O121" s="12" t="n">
        <v>5700</v>
      </c>
      <c r="P121" s="12" t="n">
        <v>10200</v>
      </c>
      <c r="Q121" s="12" t="n"/>
      <c r="R121" s="13">
        <f>IF(ISNUMBER(M121),ROUND(M121/(1-Settings!$B$2)/Settings!$B$3,0)*Settings!$B$3,"")</f>
        <v/>
      </c>
      <c r="S121" s="13">
        <f>IF(ISNUMBER(N121),ROUND(N121/(1-Settings!$B$2)/Settings!$B$3,0)*Settings!$B$3,"")</f>
        <v/>
      </c>
      <c r="T121" s="13">
        <f>IF(ISNUMBER(O121),ROUND(O121/(1-Settings!$B$2)/Settings!$B$3,0)*Settings!$B$3,"")</f>
        <v/>
      </c>
      <c r="U121" s="13">
        <f>IF(ISNUMBER(P121),ROUND(P121/(1-Settings!$B$2)/Settings!$B$3,0)*Settings!$B$3,"")</f>
        <v/>
      </c>
      <c r="V121" s="13">
        <f>IF(ISNUMBER(Q121),ROUND(Q121/(1-Settings!$B$2)/Settings!$B$3,0)*Settings!$B$3,"")</f>
        <v/>
      </c>
      <c r="W121" s="14" t="n"/>
      <c r="X121" s="14" t="n"/>
      <c r="Y121" s="11" t="inlineStr">
        <is>
          <t>2023</t>
        </is>
      </c>
      <c r="Z121" s="11" t="inlineStr"/>
      <c r="AA121" s="8" t="inlineStr"/>
      <c r="AB121" s="16" t="inlineStr">
        <is>
          <t>Rate card older than 2025 - reconfirm</t>
        </is>
      </c>
      <c r="AC121" s="11" t="inlineStr">
        <is>
          <t>MasterMilitaryOnBaseList 12.2.25 NS.xlsx</t>
        </is>
      </c>
      <c r="AD121" s="11" t="inlineStr">
        <is>
          <t>Advertising_Opportunities2026-2027.pdf</t>
        </is>
      </c>
      <c r="AE121" s="15" t="inlineStr">
        <is>
          <t>Open in Box</t>
        </is>
      </c>
      <c r="AF121" s="15" t="inlineStr">
        <is>
          <t>Open in Box</t>
        </is>
      </c>
    </row>
    <row r="122">
      <c r="A122" s="11" t="inlineStr">
        <is>
          <t>CA-29PALMSM-008</t>
        </is>
      </c>
      <c r="B122" s="8" t="inlineStr">
        <is>
          <t>29 Palms MC Air/Ground Combat Center</t>
        </is>
      </c>
      <c r="C122" s="11" t="inlineStr"/>
      <c r="D122" s="11" t="inlineStr">
        <is>
          <t>CA</t>
        </is>
      </c>
      <c r="E122" s="11" t="inlineStr">
        <is>
          <t>Los Angeles</t>
        </is>
      </c>
      <c r="F122" s="11" t="inlineStr">
        <is>
          <t>92278</t>
        </is>
      </c>
      <c r="G122" s="11" t="inlineStr">
        <is>
          <t>Marine Corps</t>
        </is>
      </c>
      <c r="H122" s="11" t="inlineStr">
        <is>
          <t>Large Format</t>
        </is>
      </c>
      <c r="I122" s="8" t="inlineStr">
        <is>
          <t>Banner - Other Gates</t>
        </is>
      </c>
      <c r="J122" s="11" t="inlineStr">
        <is>
          <t>7.5'W x 12'H</t>
        </is>
      </c>
      <c r="K122" s="8" t="inlineStr">
        <is>
          <t>Your ad will appear at the Condor or Ocotillo installation gate.</t>
        </is>
      </c>
      <c r="L122" s="11" t="n">
        <v>1</v>
      </c>
      <c r="M122" s="12" t="n">
        <v>1000</v>
      </c>
      <c r="N122" s="12" t="n">
        <v>3000</v>
      </c>
      <c r="O122" s="12" t="n">
        <v>5100</v>
      </c>
      <c r="P122" s="12" t="n">
        <v>9000</v>
      </c>
      <c r="Q122" s="12" t="n"/>
      <c r="R122" s="13">
        <f>IF(ISNUMBER(M122),ROUND(M122/(1-Settings!$B$2)/Settings!$B$3,0)*Settings!$B$3,"")</f>
        <v/>
      </c>
      <c r="S122" s="13">
        <f>IF(ISNUMBER(N122),ROUND(N122/(1-Settings!$B$2)/Settings!$B$3,0)*Settings!$B$3,"")</f>
        <v/>
      </c>
      <c r="T122" s="13">
        <f>IF(ISNUMBER(O122),ROUND(O122/(1-Settings!$B$2)/Settings!$B$3,0)*Settings!$B$3,"")</f>
        <v/>
      </c>
      <c r="U122" s="13">
        <f>IF(ISNUMBER(P122),ROUND(P122/(1-Settings!$B$2)/Settings!$B$3,0)*Settings!$B$3,"")</f>
        <v/>
      </c>
      <c r="V122" s="13">
        <f>IF(ISNUMBER(Q122),ROUND(Q122/(1-Settings!$B$2)/Settings!$B$3,0)*Settings!$B$3,"")</f>
        <v/>
      </c>
      <c r="W122" s="14" t="n"/>
      <c r="X122" s="14" t="n"/>
      <c r="Y122" s="11" t="inlineStr">
        <is>
          <t>2023</t>
        </is>
      </c>
      <c r="Z122" s="11" t="inlineStr"/>
      <c r="AA122" s="8" t="inlineStr"/>
      <c r="AB122" s="16" t="inlineStr">
        <is>
          <t>Rate card older than 2025 - reconfirm</t>
        </is>
      </c>
      <c r="AC122" s="11" t="inlineStr">
        <is>
          <t>MasterMilitaryOnBaseList 12.2.25 NS.xlsx</t>
        </is>
      </c>
      <c r="AD122" s="11" t="inlineStr">
        <is>
          <t>Advertising_Opportunities2026-2027.pdf</t>
        </is>
      </c>
      <c r="AE122" s="15" t="inlineStr">
        <is>
          <t>Open in Box</t>
        </is>
      </c>
      <c r="AF122" s="15" t="inlineStr">
        <is>
          <t>Open in Box</t>
        </is>
      </c>
    </row>
    <row r="123">
      <c r="A123" s="11" t="inlineStr">
        <is>
          <t>CA-29PALMSM-009</t>
        </is>
      </c>
      <c r="B123" s="8" t="inlineStr">
        <is>
          <t>29 Palms MC Air/Ground Combat Center</t>
        </is>
      </c>
      <c r="C123" s="11" t="inlineStr"/>
      <c r="D123" s="11" t="inlineStr">
        <is>
          <t>CA</t>
        </is>
      </c>
      <c r="E123" s="11" t="inlineStr">
        <is>
          <t>Los Angeles</t>
        </is>
      </c>
      <c r="F123" s="11" t="inlineStr">
        <is>
          <t>92278</t>
        </is>
      </c>
      <c r="G123" s="11" t="inlineStr">
        <is>
          <t>Marine Corps</t>
        </is>
      </c>
      <c r="H123" s="11" t="inlineStr">
        <is>
          <t>Large Format</t>
        </is>
      </c>
      <c r="I123" s="8" t="inlineStr">
        <is>
          <t>Counter Wrap</t>
        </is>
      </c>
      <c r="J123" s="11" t="inlineStr">
        <is>
          <t>TBD</t>
        </is>
      </c>
      <c r="K123" s="8" t="inlineStr">
        <is>
          <t>Your ad will appear on the fitness center desk as a wrap.</t>
        </is>
      </c>
      <c r="L123" s="11" t="n">
        <v>1</v>
      </c>
      <c r="M123" s="12" t="n">
        <v>1000</v>
      </c>
      <c r="N123" s="12" t="n">
        <v>3000</v>
      </c>
      <c r="O123" s="12" t="n">
        <v>6000</v>
      </c>
      <c r="P123" s="12" t="n">
        <v>12000</v>
      </c>
      <c r="Q123" s="12" t="n"/>
      <c r="R123" s="13">
        <f>IF(ISNUMBER(M123),ROUND(M123/(1-Settings!$B$2)/Settings!$B$3,0)*Settings!$B$3,"")</f>
        <v/>
      </c>
      <c r="S123" s="13">
        <f>IF(ISNUMBER(N123),ROUND(N123/(1-Settings!$B$2)/Settings!$B$3,0)*Settings!$B$3,"")</f>
        <v/>
      </c>
      <c r="T123" s="13">
        <f>IF(ISNUMBER(O123),ROUND(O123/(1-Settings!$B$2)/Settings!$B$3,0)*Settings!$B$3,"")</f>
        <v/>
      </c>
      <c r="U123" s="13">
        <f>IF(ISNUMBER(P123),ROUND(P123/(1-Settings!$B$2)/Settings!$B$3,0)*Settings!$B$3,"")</f>
        <v/>
      </c>
      <c r="V123" s="13">
        <f>IF(ISNUMBER(Q123),ROUND(Q123/(1-Settings!$B$2)/Settings!$B$3,0)*Settings!$B$3,"")</f>
        <v/>
      </c>
      <c r="W123" s="14" t="n"/>
      <c r="X123" s="14" t="n"/>
      <c r="Y123" s="11" t="inlineStr">
        <is>
          <t>2023</t>
        </is>
      </c>
      <c r="Z123" s="11" t="inlineStr"/>
      <c r="AA123" s="8" t="inlineStr"/>
      <c r="AB123" s="16" t="inlineStr">
        <is>
          <t>Rate card older than 2025 - reconfirm</t>
        </is>
      </c>
      <c r="AC123" s="11" t="inlineStr">
        <is>
          <t>MasterMilitaryOnBaseList 12.2.25 NS.xlsx</t>
        </is>
      </c>
      <c r="AD123" s="11" t="inlineStr">
        <is>
          <t>Advertising_Opportunities2026-2027.pdf</t>
        </is>
      </c>
      <c r="AE123" s="15" t="inlineStr">
        <is>
          <t>Open in Box</t>
        </is>
      </c>
      <c r="AF123" s="15" t="inlineStr">
        <is>
          <t>Open in Box</t>
        </is>
      </c>
    </row>
    <row r="124">
      <c r="A124" s="11" t="inlineStr">
        <is>
          <t>CA-29PALMSM-010</t>
        </is>
      </c>
      <c r="B124" s="8" t="inlineStr">
        <is>
          <t>29 Palms MC Air/Ground Combat Center</t>
        </is>
      </c>
      <c r="C124" s="11" t="inlineStr"/>
      <c r="D124" s="11" t="inlineStr">
        <is>
          <t>CA</t>
        </is>
      </c>
      <c r="E124" s="11" t="inlineStr">
        <is>
          <t>Los Angeles</t>
        </is>
      </c>
      <c r="F124" s="11" t="inlineStr">
        <is>
          <t>92278</t>
        </is>
      </c>
      <c r="G124" s="11" t="inlineStr">
        <is>
          <t>Marine Corps</t>
        </is>
      </c>
      <c r="H124" s="11" t="inlineStr">
        <is>
          <t>Large Format</t>
        </is>
      </c>
      <c r="I124" s="8" t="inlineStr">
        <is>
          <t>Field Banners</t>
        </is>
      </c>
      <c r="J124" s="11" t="inlineStr">
        <is>
          <t>8'W x 4'H</t>
        </is>
      </c>
      <c r="K124" s="8" t="inlineStr">
        <is>
          <t>Your ad will appear at the Premier location facing Adobe Road.</t>
        </is>
      </c>
      <c r="L124" s="11" t="n">
        <v>1</v>
      </c>
      <c r="M124" s="12" t="n">
        <v>2000</v>
      </c>
      <c r="N124" s="12" t="n">
        <v>2400</v>
      </c>
      <c r="O124" s="12" t="n">
        <v>2800</v>
      </c>
      <c r="P124" s="12" t="n">
        <v>3600</v>
      </c>
      <c r="Q124" s="12" t="n"/>
      <c r="R124" s="13">
        <f>IF(ISNUMBER(M124),ROUND(M124/(1-Settings!$B$2)/Settings!$B$3,0)*Settings!$B$3,"")</f>
        <v/>
      </c>
      <c r="S124" s="13">
        <f>IF(ISNUMBER(N124),ROUND(N124/(1-Settings!$B$2)/Settings!$B$3,0)*Settings!$B$3,"")</f>
        <v/>
      </c>
      <c r="T124" s="13">
        <f>IF(ISNUMBER(O124),ROUND(O124/(1-Settings!$B$2)/Settings!$B$3,0)*Settings!$B$3,"")</f>
        <v/>
      </c>
      <c r="U124" s="13">
        <f>IF(ISNUMBER(P124),ROUND(P124/(1-Settings!$B$2)/Settings!$B$3,0)*Settings!$B$3,"")</f>
        <v/>
      </c>
      <c r="V124" s="13">
        <f>IF(ISNUMBER(Q124),ROUND(Q124/(1-Settings!$B$2)/Settings!$B$3,0)*Settings!$B$3,"")</f>
        <v/>
      </c>
      <c r="W124" s="14" t="n"/>
      <c r="X124" s="14" t="n"/>
      <c r="Y124" s="11" t="inlineStr">
        <is>
          <t>2023</t>
        </is>
      </c>
      <c r="Z124" s="11" t="inlineStr"/>
      <c r="AA124" s="8" t="inlineStr"/>
      <c r="AB124" s="16" t="inlineStr">
        <is>
          <t>Rate card older than 2025 - reconfirm</t>
        </is>
      </c>
      <c r="AC124" s="11" t="inlineStr">
        <is>
          <t>MasterMilitaryOnBaseList 12.2.25 NS.xlsx</t>
        </is>
      </c>
      <c r="AD124" s="11" t="inlineStr">
        <is>
          <t>Advertising_Opportunities2026-2027.pdf</t>
        </is>
      </c>
      <c r="AE124" s="15" t="inlineStr">
        <is>
          <t>Open in Box</t>
        </is>
      </c>
      <c r="AF124" s="15" t="inlineStr">
        <is>
          <t>Open in Box</t>
        </is>
      </c>
    </row>
    <row r="125">
      <c r="A125" s="11" t="inlineStr">
        <is>
          <t>CA-29PALMSM-011</t>
        </is>
      </c>
      <c r="B125" s="8" t="inlineStr">
        <is>
          <t>29 Palms MC Air/Ground Combat Center</t>
        </is>
      </c>
      <c r="C125" s="11" t="inlineStr"/>
      <c r="D125" s="11" t="inlineStr">
        <is>
          <t>CA</t>
        </is>
      </c>
      <c r="E125" s="11" t="inlineStr">
        <is>
          <t>Los Angeles</t>
        </is>
      </c>
      <c r="F125" s="11" t="inlineStr">
        <is>
          <t>92278</t>
        </is>
      </c>
      <c r="G125" s="11" t="inlineStr">
        <is>
          <t>Marine Corps</t>
        </is>
      </c>
      <c r="H125" s="11" t="inlineStr">
        <is>
          <t>Large Format</t>
        </is>
      </c>
      <c r="I125" s="8" t="inlineStr">
        <is>
          <t>Field Banners</t>
        </is>
      </c>
      <c r="J125" s="11" t="inlineStr">
        <is>
          <t>8'W x 4'H</t>
        </is>
      </c>
      <c r="K125" s="8" t="inlineStr">
        <is>
          <t>Your ad will appear at the Felix Athletic Field parking area.</t>
        </is>
      </c>
      <c r="L125" s="11" t="n">
        <v>1</v>
      </c>
      <c r="M125" s="12" t="n">
        <v>600</v>
      </c>
      <c r="N125" s="12" t="n">
        <v>750</v>
      </c>
      <c r="O125" s="12" t="n">
        <v>900</v>
      </c>
      <c r="P125" s="12" t="n">
        <v>1050</v>
      </c>
      <c r="Q125" s="12" t="n"/>
      <c r="R125" s="13">
        <f>IF(ISNUMBER(M125),ROUND(M125/(1-Settings!$B$2)/Settings!$B$3,0)*Settings!$B$3,"")</f>
        <v/>
      </c>
      <c r="S125" s="13">
        <f>IF(ISNUMBER(N125),ROUND(N125/(1-Settings!$B$2)/Settings!$B$3,0)*Settings!$B$3,"")</f>
        <v/>
      </c>
      <c r="T125" s="13">
        <f>IF(ISNUMBER(O125),ROUND(O125/(1-Settings!$B$2)/Settings!$B$3,0)*Settings!$B$3,"")</f>
        <v/>
      </c>
      <c r="U125" s="13">
        <f>IF(ISNUMBER(P125),ROUND(P125/(1-Settings!$B$2)/Settings!$B$3,0)*Settings!$B$3,"")</f>
        <v/>
      </c>
      <c r="V125" s="13">
        <f>IF(ISNUMBER(Q125),ROUND(Q125/(1-Settings!$B$2)/Settings!$B$3,0)*Settings!$B$3,"")</f>
        <v/>
      </c>
      <c r="W125" s="14" t="n"/>
      <c r="X125" s="14" t="n"/>
      <c r="Y125" s="11" t="inlineStr">
        <is>
          <t>2023</t>
        </is>
      </c>
      <c r="Z125" s="11" t="inlineStr"/>
      <c r="AA125" s="8" t="inlineStr"/>
      <c r="AB125" s="16" t="inlineStr">
        <is>
          <t>Rate card older than 2025 - reconfirm</t>
        </is>
      </c>
      <c r="AC125" s="11" t="inlineStr">
        <is>
          <t>MasterMilitaryOnBaseList 12.2.25 NS.xlsx</t>
        </is>
      </c>
      <c r="AD125" s="11" t="inlineStr">
        <is>
          <t>Advertising_Opportunities2026-2027.pdf</t>
        </is>
      </c>
      <c r="AE125" s="15" t="inlineStr">
        <is>
          <t>Open in Box</t>
        </is>
      </c>
      <c r="AF125" s="15" t="inlineStr">
        <is>
          <t>Open in Box</t>
        </is>
      </c>
    </row>
    <row r="126">
      <c r="A126" s="11" t="inlineStr">
        <is>
          <t>CA-29PALMSM-012</t>
        </is>
      </c>
      <c r="B126" s="8" t="inlineStr">
        <is>
          <t>29 Palms MC Air/Ground Combat Center</t>
        </is>
      </c>
      <c r="C126" s="11" t="inlineStr"/>
      <c r="D126" s="11" t="inlineStr">
        <is>
          <t>CA</t>
        </is>
      </c>
      <c r="E126" s="11" t="inlineStr">
        <is>
          <t>Los Angeles</t>
        </is>
      </c>
      <c r="F126" s="11" t="inlineStr">
        <is>
          <t>92278</t>
        </is>
      </c>
      <c r="G126" s="11" t="inlineStr">
        <is>
          <t>Marine Corps</t>
        </is>
      </c>
      <c r="H126" s="11" t="inlineStr">
        <is>
          <t>Large Format</t>
        </is>
      </c>
      <c r="I126" s="8" t="inlineStr">
        <is>
          <t>Large Banners</t>
        </is>
      </c>
      <c r="J126" s="11" t="inlineStr">
        <is>
          <t>Custom</t>
        </is>
      </c>
      <c r="K126" s="8" t="inlineStr">
        <is>
          <t>Your large banner will appear at an approved installation facility.</t>
        </is>
      </c>
      <c r="L126" s="11" t="n"/>
      <c r="M126" s="12" t="n"/>
      <c r="N126" s="12" t="n"/>
      <c r="O126" s="12" t="n"/>
      <c r="P126" s="12" t="n"/>
      <c r="Q126" s="12" t="n"/>
      <c r="R126" s="13">
        <f>IF(ISNUMBER(M126),ROUND(M126/(1-Settings!$B$2)/Settings!$B$3,0)*Settings!$B$3,"")</f>
        <v/>
      </c>
      <c r="S126" s="13">
        <f>IF(ISNUMBER(N126),ROUND(N126/(1-Settings!$B$2)/Settings!$B$3,0)*Settings!$B$3,"")</f>
        <v/>
      </c>
      <c r="T126" s="13">
        <f>IF(ISNUMBER(O126),ROUND(O126/(1-Settings!$B$2)/Settings!$B$3,0)*Settings!$B$3,"")</f>
        <v/>
      </c>
      <c r="U126" s="13">
        <f>IF(ISNUMBER(P126),ROUND(P126/(1-Settings!$B$2)/Settings!$B$3,0)*Settings!$B$3,"")</f>
        <v/>
      </c>
      <c r="V126" s="13">
        <f>IF(ISNUMBER(Q126),ROUND(Q126/(1-Settings!$B$2)/Settings!$B$3,0)*Settings!$B$3,"")</f>
        <v/>
      </c>
      <c r="W126" s="14" t="n"/>
      <c r="X126" s="14" t="n"/>
      <c r="Y126" s="11" t="inlineStr">
        <is>
          <t>2023</t>
        </is>
      </c>
      <c r="Z126" s="11" t="inlineStr"/>
      <c r="AA126" s="8" t="inlineStr"/>
      <c r="AB126" s="16" t="inlineStr">
        <is>
          <t>No price on file - inquire; Source formula errors; Rate card older than 2025 - reconfirm</t>
        </is>
      </c>
      <c r="AC126" s="11" t="inlineStr">
        <is>
          <t>MasterMilitaryOnBaseList 12.2.25 NS.xlsx</t>
        </is>
      </c>
      <c r="AD126" s="11" t="inlineStr">
        <is>
          <t>Advertising_Opportunities2026-2027.pdf</t>
        </is>
      </c>
      <c r="AE126" s="15" t="inlineStr">
        <is>
          <t>Open in Box</t>
        </is>
      </c>
      <c r="AF126" s="15" t="inlineStr">
        <is>
          <t>Open in Box</t>
        </is>
      </c>
    </row>
    <row r="127">
      <c r="A127" s="11" t="inlineStr">
        <is>
          <t>CA-29PALMSM-013</t>
        </is>
      </c>
      <c r="B127" s="8" t="inlineStr">
        <is>
          <t>29 Palms MC Air/Ground Combat Center</t>
        </is>
      </c>
      <c r="C127" s="11" t="inlineStr"/>
      <c r="D127" s="11" t="inlineStr">
        <is>
          <t>CA</t>
        </is>
      </c>
      <c r="E127" s="11" t="inlineStr">
        <is>
          <t>Los Angeles</t>
        </is>
      </c>
      <c r="F127" s="11" t="inlineStr">
        <is>
          <t>92278</t>
        </is>
      </c>
      <c r="G127" s="11" t="inlineStr">
        <is>
          <t>Marine Corps</t>
        </is>
      </c>
      <c r="H127" s="11" t="inlineStr">
        <is>
          <t>Large Format</t>
        </is>
      </c>
      <c r="I127" s="8" t="inlineStr">
        <is>
          <t>Road Side Signs</t>
        </is>
      </c>
      <c r="J127" s="11" t="inlineStr">
        <is>
          <t>TBD</t>
        </is>
      </c>
      <c r="K127" s="8" t="inlineStr">
        <is>
          <t>Your ad will appear as a set (consists of 3 panels) on road side signs.</t>
        </is>
      </c>
      <c r="L127" s="11" t="n">
        <v>1</v>
      </c>
      <c r="M127" s="12" t="n">
        <v>800</v>
      </c>
      <c r="N127" s="12" t="n">
        <v>2400</v>
      </c>
      <c r="O127" s="12" t="n">
        <v>4800</v>
      </c>
      <c r="P127" s="12" t="n">
        <v>9600</v>
      </c>
      <c r="Q127" s="12" t="n"/>
      <c r="R127" s="13">
        <f>IF(ISNUMBER(M127),ROUND(M127/(1-Settings!$B$2)/Settings!$B$3,0)*Settings!$B$3,"")</f>
        <v/>
      </c>
      <c r="S127" s="13">
        <f>IF(ISNUMBER(N127),ROUND(N127/(1-Settings!$B$2)/Settings!$B$3,0)*Settings!$B$3,"")</f>
        <v/>
      </c>
      <c r="T127" s="13">
        <f>IF(ISNUMBER(O127),ROUND(O127/(1-Settings!$B$2)/Settings!$B$3,0)*Settings!$B$3,"")</f>
        <v/>
      </c>
      <c r="U127" s="13">
        <f>IF(ISNUMBER(P127),ROUND(P127/(1-Settings!$B$2)/Settings!$B$3,0)*Settings!$B$3,"")</f>
        <v/>
      </c>
      <c r="V127" s="13">
        <f>IF(ISNUMBER(Q127),ROUND(Q127/(1-Settings!$B$2)/Settings!$B$3,0)*Settings!$B$3,"")</f>
        <v/>
      </c>
      <c r="W127" s="14" t="n"/>
      <c r="X127" s="14" t="n"/>
      <c r="Y127" s="11" t="inlineStr">
        <is>
          <t>2023</t>
        </is>
      </c>
      <c r="Z127" s="11" t="inlineStr"/>
      <c r="AA127" s="8" t="inlineStr"/>
      <c r="AB127" s="16" t="inlineStr">
        <is>
          <t>Rate card older than 2025 - reconfirm</t>
        </is>
      </c>
      <c r="AC127" s="11" t="inlineStr">
        <is>
          <t>MasterMilitaryOnBaseList 12.2.25 NS.xlsx</t>
        </is>
      </c>
      <c r="AD127" s="11" t="inlineStr">
        <is>
          <t>Advertising_Opportunities2026-2027.pdf</t>
        </is>
      </c>
      <c r="AE127" s="15" t="inlineStr">
        <is>
          <t>Open in Box</t>
        </is>
      </c>
      <c r="AF127" s="15" t="inlineStr">
        <is>
          <t>Open in Box</t>
        </is>
      </c>
    </row>
    <row r="128">
      <c r="A128" s="11" t="inlineStr">
        <is>
          <t>CA-29PALMSM-014</t>
        </is>
      </c>
      <c r="B128" s="8" t="inlineStr">
        <is>
          <t>29 Palms MC Air/Ground Combat Center</t>
        </is>
      </c>
      <c r="C128" s="11" t="inlineStr"/>
      <c r="D128" s="11" t="inlineStr">
        <is>
          <t>CA</t>
        </is>
      </c>
      <c r="E128" s="11" t="inlineStr">
        <is>
          <t>Los Angeles</t>
        </is>
      </c>
      <c r="F128" s="11" t="inlineStr">
        <is>
          <t>92278</t>
        </is>
      </c>
      <c r="G128" s="11" t="inlineStr">
        <is>
          <t>Marine Corps</t>
        </is>
      </c>
      <c r="H128" s="11" t="inlineStr">
        <is>
          <t>Large Format</t>
        </is>
      </c>
      <c r="I128" s="8" t="inlineStr">
        <is>
          <t>Vehicle Wrap</t>
        </is>
      </c>
      <c r="J128" s="11" t="inlineStr">
        <is>
          <t>TBD</t>
        </is>
      </c>
      <c r="K128" s="8" t="inlineStr">
        <is>
          <t>Your ad will appear on 3 installation buses</t>
        </is>
      </c>
      <c r="L128" s="11" t="n">
        <v>1</v>
      </c>
      <c r="M128" s="12" t="n">
        <v>1500</v>
      </c>
      <c r="N128" s="12" t="n">
        <v>4500</v>
      </c>
      <c r="O128" s="12" t="n">
        <v>9000</v>
      </c>
      <c r="P128" s="12" t="n">
        <v>18000</v>
      </c>
      <c r="Q128" s="12" t="n"/>
      <c r="R128" s="13">
        <f>IF(ISNUMBER(M128),ROUND(M128/(1-Settings!$B$2)/Settings!$B$3,0)*Settings!$B$3,"")</f>
        <v/>
      </c>
      <c r="S128" s="13">
        <f>IF(ISNUMBER(N128),ROUND(N128/(1-Settings!$B$2)/Settings!$B$3,0)*Settings!$B$3,"")</f>
        <v/>
      </c>
      <c r="T128" s="13">
        <f>IF(ISNUMBER(O128),ROUND(O128/(1-Settings!$B$2)/Settings!$B$3,0)*Settings!$B$3,"")</f>
        <v/>
      </c>
      <c r="U128" s="13">
        <f>IF(ISNUMBER(P128),ROUND(P128/(1-Settings!$B$2)/Settings!$B$3,0)*Settings!$B$3,"")</f>
        <v/>
      </c>
      <c r="V128" s="13">
        <f>IF(ISNUMBER(Q128),ROUND(Q128/(1-Settings!$B$2)/Settings!$B$3,0)*Settings!$B$3,"")</f>
        <v/>
      </c>
      <c r="W128" s="14" t="n"/>
      <c r="X128" s="14" t="n"/>
      <c r="Y128" s="11" t="inlineStr">
        <is>
          <t>2023</t>
        </is>
      </c>
      <c r="Z128" s="11" t="inlineStr"/>
      <c r="AA128" s="8" t="inlineStr"/>
      <c r="AB128" s="16" t="inlineStr">
        <is>
          <t>Rate card older than 2025 - reconfirm</t>
        </is>
      </c>
      <c r="AC128" s="11" t="inlineStr">
        <is>
          <t>MasterMilitaryOnBaseList 12.2.25 NS.xlsx</t>
        </is>
      </c>
      <c r="AD128" s="11" t="inlineStr">
        <is>
          <t>Advertising_Opportunities2026-2027.pdf</t>
        </is>
      </c>
      <c r="AE128" s="15" t="inlineStr">
        <is>
          <t>Open in Box</t>
        </is>
      </c>
      <c r="AF128" s="15" t="inlineStr">
        <is>
          <t>Open in Box</t>
        </is>
      </c>
    </row>
    <row r="129">
      <c r="A129" s="11" t="inlineStr">
        <is>
          <t>CA-29PALMSM-015</t>
        </is>
      </c>
      <c r="B129" s="8" t="inlineStr">
        <is>
          <t>29 Palms MC Air/Ground Combat Center</t>
        </is>
      </c>
      <c r="C129" s="11" t="inlineStr"/>
      <c r="D129" s="11" t="inlineStr">
        <is>
          <t>CA</t>
        </is>
      </c>
      <c r="E129" s="11" t="inlineStr">
        <is>
          <t>Los Angeles</t>
        </is>
      </c>
      <c r="F129" s="11" t="inlineStr">
        <is>
          <t>92278</t>
        </is>
      </c>
      <c r="G129" s="11" t="inlineStr">
        <is>
          <t>Marine Corps</t>
        </is>
      </c>
      <c r="H129" s="11" t="inlineStr">
        <is>
          <t>Large Format</t>
        </is>
      </c>
      <c r="I129" s="8" t="inlineStr">
        <is>
          <t>Wall Graphic</t>
        </is>
      </c>
      <c r="J129" s="11" t="inlineStr">
        <is>
          <t>TBD</t>
        </is>
      </c>
      <c r="K129" s="8" t="inlineStr">
        <is>
          <t>Your ad will appear on the exteriour of one high traffic approved installation facility.</t>
        </is>
      </c>
      <c r="L129" s="11" t="n">
        <v>1</v>
      </c>
      <c r="M129" s="12" t="n">
        <v>1000</v>
      </c>
      <c r="N129" s="12" t="n">
        <v>3000</v>
      </c>
      <c r="O129" s="12" t="n">
        <v>6000</v>
      </c>
      <c r="P129" s="12" t="n">
        <v>12000</v>
      </c>
      <c r="Q129" s="12" t="n"/>
      <c r="R129" s="13">
        <f>IF(ISNUMBER(M129),ROUND(M129/(1-Settings!$B$2)/Settings!$B$3,0)*Settings!$B$3,"")</f>
        <v/>
      </c>
      <c r="S129" s="13">
        <f>IF(ISNUMBER(N129),ROUND(N129/(1-Settings!$B$2)/Settings!$B$3,0)*Settings!$B$3,"")</f>
        <v/>
      </c>
      <c r="T129" s="13">
        <f>IF(ISNUMBER(O129),ROUND(O129/(1-Settings!$B$2)/Settings!$B$3,0)*Settings!$B$3,"")</f>
        <v/>
      </c>
      <c r="U129" s="13">
        <f>IF(ISNUMBER(P129),ROUND(P129/(1-Settings!$B$2)/Settings!$B$3,0)*Settings!$B$3,"")</f>
        <v/>
      </c>
      <c r="V129" s="13">
        <f>IF(ISNUMBER(Q129),ROUND(Q129/(1-Settings!$B$2)/Settings!$B$3,0)*Settings!$B$3,"")</f>
        <v/>
      </c>
      <c r="W129" s="14" t="n"/>
      <c r="X129" s="14" t="n"/>
      <c r="Y129" s="11" t="inlineStr">
        <is>
          <t>2023</t>
        </is>
      </c>
      <c r="Z129" s="11" t="inlineStr"/>
      <c r="AA129" s="8" t="inlineStr"/>
      <c r="AB129" s="16" t="inlineStr">
        <is>
          <t>Rate card older than 2025 - reconfirm</t>
        </is>
      </c>
      <c r="AC129" s="11" t="inlineStr">
        <is>
          <t>MasterMilitaryOnBaseList 12.2.25 NS.xlsx</t>
        </is>
      </c>
      <c r="AD129" s="11" t="inlineStr">
        <is>
          <t>Advertising_Opportunities2026-2027.pdf</t>
        </is>
      </c>
      <c r="AE129" s="15" t="inlineStr">
        <is>
          <t>Open in Box</t>
        </is>
      </c>
      <c r="AF129" s="15" t="inlineStr">
        <is>
          <t>Open in Box</t>
        </is>
      </c>
    </row>
    <row r="130">
      <c r="A130" s="11" t="inlineStr">
        <is>
          <t>CA-29PALMSM-016</t>
        </is>
      </c>
      <c r="B130" s="8" t="inlineStr">
        <is>
          <t>29 Palms MC Air/Ground Combat Center</t>
        </is>
      </c>
      <c r="C130" s="11" t="inlineStr"/>
      <c r="D130" s="11" t="inlineStr">
        <is>
          <t>CA</t>
        </is>
      </c>
      <c r="E130" s="11" t="inlineStr">
        <is>
          <t>Los Angeles</t>
        </is>
      </c>
      <c r="F130" s="11" t="inlineStr">
        <is>
          <t>92278</t>
        </is>
      </c>
      <c r="G130" s="11" t="inlineStr">
        <is>
          <t>Marine Corps</t>
        </is>
      </c>
      <c r="H130" s="11" t="inlineStr">
        <is>
          <t>Large Format</t>
        </is>
      </c>
      <c r="I130" s="8" t="inlineStr">
        <is>
          <t>Wall Graphic</t>
        </is>
      </c>
      <c r="J130" s="11" t="inlineStr">
        <is>
          <t>TBD</t>
        </is>
      </c>
      <c r="K130" s="8" t="inlineStr">
        <is>
          <t>Your ad will appear on the exteriour of one high traffic approved installation facility.</t>
        </is>
      </c>
      <c r="L130" s="11" t="n">
        <v>1</v>
      </c>
      <c r="M130" s="12" t="n">
        <v>1000</v>
      </c>
      <c r="N130" s="12" t="n">
        <v>3000</v>
      </c>
      <c r="O130" s="12" t="n">
        <v>6000</v>
      </c>
      <c r="P130" s="12" t="n">
        <v>12000</v>
      </c>
      <c r="Q130" s="12" t="n"/>
      <c r="R130" s="13">
        <f>IF(ISNUMBER(M130),ROUND(M130/(1-Settings!$B$2)/Settings!$B$3,0)*Settings!$B$3,"")</f>
        <v/>
      </c>
      <c r="S130" s="13">
        <f>IF(ISNUMBER(N130),ROUND(N130/(1-Settings!$B$2)/Settings!$B$3,0)*Settings!$B$3,"")</f>
        <v/>
      </c>
      <c r="T130" s="13">
        <f>IF(ISNUMBER(O130),ROUND(O130/(1-Settings!$B$2)/Settings!$B$3,0)*Settings!$B$3,"")</f>
        <v/>
      </c>
      <c r="U130" s="13">
        <f>IF(ISNUMBER(P130),ROUND(P130/(1-Settings!$B$2)/Settings!$B$3,0)*Settings!$B$3,"")</f>
        <v/>
      </c>
      <c r="V130" s="13">
        <f>IF(ISNUMBER(Q130),ROUND(Q130/(1-Settings!$B$2)/Settings!$B$3,0)*Settings!$B$3,"")</f>
        <v/>
      </c>
      <c r="W130" s="14" t="n"/>
      <c r="X130" s="14" t="n"/>
      <c r="Y130" s="11" t="inlineStr">
        <is>
          <t>2023</t>
        </is>
      </c>
      <c r="Z130" s="11" t="inlineStr"/>
      <c r="AA130" s="8" t="inlineStr"/>
      <c r="AB130" s="16" t="inlineStr">
        <is>
          <t>Rate card older than 2025 - reconfirm</t>
        </is>
      </c>
      <c r="AC130" s="11" t="inlineStr">
        <is>
          <t>MasterMilitaryOnBaseList 12.2.25 NS.xlsx</t>
        </is>
      </c>
      <c r="AD130" s="11" t="inlineStr">
        <is>
          <t>Advertising_Opportunities2026-2027.pdf</t>
        </is>
      </c>
      <c r="AE130" s="15" t="inlineStr">
        <is>
          <t>Open in Box</t>
        </is>
      </c>
      <c r="AF130" s="15" t="inlineStr">
        <is>
          <t>Open in Box</t>
        </is>
      </c>
    </row>
    <row r="131">
      <c r="A131" s="11" t="inlineStr">
        <is>
          <t>CA-29PALMSM-017</t>
        </is>
      </c>
      <c r="B131" s="8" t="inlineStr">
        <is>
          <t>29 Palms MC Air/Ground Combat Center</t>
        </is>
      </c>
      <c r="C131" s="11" t="inlineStr"/>
      <c r="D131" s="11" t="inlineStr">
        <is>
          <t>CA</t>
        </is>
      </c>
      <c r="E131" s="11" t="inlineStr">
        <is>
          <t>Los Angeles</t>
        </is>
      </c>
      <c r="F131" s="11" t="inlineStr">
        <is>
          <t>92278</t>
        </is>
      </c>
      <c r="G131" s="11" t="inlineStr">
        <is>
          <t>Marine Corps</t>
        </is>
      </c>
      <c r="H131" s="11" t="inlineStr">
        <is>
          <t>Large Format</t>
        </is>
      </c>
      <c r="I131" s="8" t="inlineStr">
        <is>
          <t>Window Cling</t>
        </is>
      </c>
      <c r="J131" s="11" t="inlineStr">
        <is>
          <t>TBD</t>
        </is>
      </c>
      <c r="K131" s="8" t="inlineStr">
        <is>
          <t>Your ad will appear in the Wilbur Gym or Education Center entrance.</t>
        </is>
      </c>
      <c r="L131" s="11" t="n">
        <v>1</v>
      </c>
      <c r="M131" s="12" t="n">
        <v>1200</v>
      </c>
      <c r="N131" s="12" t="n">
        <v>3600</v>
      </c>
      <c r="O131" s="12" t="n">
        <v>7200</v>
      </c>
      <c r="P131" s="12" t="n">
        <v>14400</v>
      </c>
      <c r="Q131" s="12" t="n"/>
      <c r="R131" s="13">
        <f>IF(ISNUMBER(M131),ROUND(M131/(1-Settings!$B$2)/Settings!$B$3,0)*Settings!$B$3,"")</f>
        <v/>
      </c>
      <c r="S131" s="13">
        <f>IF(ISNUMBER(N131),ROUND(N131/(1-Settings!$B$2)/Settings!$B$3,0)*Settings!$B$3,"")</f>
        <v/>
      </c>
      <c r="T131" s="13">
        <f>IF(ISNUMBER(O131),ROUND(O131/(1-Settings!$B$2)/Settings!$B$3,0)*Settings!$B$3,"")</f>
        <v/>
      </c>
      <c r="U131" s="13">
        <f>IF(ISNUMBER(P131),ROUND(P131/(1-Settings!$B$2)/Settings!$B$3,0)*Settings!$B$3,"")</f>
        <v/>
      </c>
      <c r="V131" s="13">
        <f>IF(ISNUMBER(Q131),ROUND(Q131/(1-Settings!$B$2)/Settings!$B$3,0)*Settings!$B$3,"")</f>
        <v/>
      </c>
      <c r="W131" s="14" t="n"/>
      <c r="X131" s="14" t="n"/>
      <c r="Y131" s="11" t="inlineStr">
        <is>
          <t>2023</t>
        </is>
      </c>
      <c r="Z131" s="11" t="inlineStr"/>
      <c r="AA131" s="8" t="inlineStr"/>
      <c r="AB131" s="16" t="inlineStr">
        <is>
          <t>Rate card older than 2025 - reconfirm</t>
        </is>
      </c>
      <c r="AC131" s="11" t="inlineStr">
        <is>
          <t>MasterMilitaryOnBaseList 12.2.25 NS.xlsx</t>
        </is>
      </c>
      <c r="AD131" s="11" t="inlineStr">
        <is>
          <t>Advertising_Opportunities2026-2027.pdf</t>
        </is>
      </c>
      <c r="AE131" s="15" t="inlineStr">
        <is>
          <t>Open in Box</t>
        </is>
      </c>
      <c r="AF131" s="15" t="inlineStr">
        <is>
          <t>Open in Box</t>
        </is>
      </c>
    </row>
    <row r="132">
      <c r="A132" s="11" t="inlineStr">
        <is>
          <t>CA-29PALMSM-018</t>
        </is>
      </c>
      <c r="B132" s="8" t="inlineStr">
        <is>
          <t>29 Palms MC Air/Ground Combat Center</t>
        </is>
      </c>
      <c r="C132" s="11" t="inlineStr"/>
      <c r="D132" s="11" t="inlineStr">
        <is>
          <t>CA</t>
        </is>
      </c>
      <c r="E132" s="11" t="inlineStr">
        <is>
          <t>Los Angeles</t>
        </is>
      </c>
      <c r="F132" s="11" t="inlineStr">
        <is>
          <t>92278</t>
        </is>
      </c>
      <c r="G132" s="11" t="inlineStr">
        <is>
          <t>Marine Corps</t>
        </is>
      </c>
      <c r="H132" s="11" t="inlineStr">
        <is>
          <t>Large Format</t>
        </is>
      </c>
      <c r="I132" s="8" t="inlineStr">
        <is>
          <t>Window Cling</t>
        </is>
      </c>
      <c r="J132" s="11" t="inlineStr">
        <is>
          <t>TBD</t>
        </is>
      </c>
      <c r="K132" s="8" t="inlineStr">
        <is>
          <t>Your ad will appear in a Marine Mart window.</t>
        </is>
      </c>
      <c r="L132" s="11" t="n">
        <v>1</v>
      </c>
      <c r="M132" s="12" t="n">
        <v>1000</v>
      </c>
      <c r="N132" s="12" t="n">
        <v>3000</v>
      </c>
      <c r="O132" s="12" t="n">
        <v>6000</v>
      </c>
      <c r="P132" s="12" t="n">
        <v>12000</v>
      </c>
      <c r="Q132" s="12" t="n"/>
      <c r="R132" s="13">
        <f>IF(ISNUMBER(M132),ROUND(M132/(1-Settings!$B$2)/Settings!$B$3,0)*Settings!$B$3,"")</f>
        <v/>
      </c>
      <c r="S132" s="13">
        <f>IF(ISNUMBER(N132),ROUND(N132/(1-Settings!$B$2)/Settings!$B$3,0)*Settings!$B$3,"")</f>
        <v/>
      </c>
      <c r="T132" s="13">
        <f>IF(ISNUMBER(O132),ROUND(O132/(1-Settings!$B$2)/Settings!$B$3,0)*Settings!$B$3,"")</f>
        <v/>
      </c>
      <c r="U132" s="13">
        <f>IF(ISNUMBER(P132),ROUND(P132/(1-Settings!$B$2)/Settings!$B$3,0)*Settings!$B$3,"")</f>
        <v/>
      </c>
      <c r="V132" s="13">
        <f>IF(ISNUMBER(Q132),ROUND(Q132/(1-Settings!$B$2)/Settings!$B$3,0)*Settings!$B$3,"")</f>
        <v/>
      </c>
      <c r="W132" s="14" t="n"/>
      <c r="X132" s="14" t="n"/>
      <c r="Y132" s="11" t="inlineStr">
        <is>
          <t>2023</t>
        </is>
      </c>
      <c r="Z132" s="11" t="inlineStr"/>
      <c r="AA132" s="8" t="inlineStr"/>
      <c r="AB132" s="16" t="inlineStr">
        <is>
          <t>Rate card older than 2025 - reconfirm</t>
        </is>
      </c>
      <c r="AC132" s="11" t="inlineStr">
        <is>
          <t>MasterMilitaryOnBaseList 12.2.25 NS.xlsx</t>
        </is>
      </c>
      <c r="AD132" s="11" t="inlineStr">
        <is>
          <t>Advertising_Opportunities2026-2027.pdf</t>
        </is>
      </c>
      <c r="AE132" s="15" t="inlineStr">
        <is>
          <t>Open in Box</t>
        </is>
      </c>
      <c r="AF132" s="15" t="inlineStr">
        <is>
          <t>Open in Box</t>
        </is>
      </c>
    </row>
    <row r="133">
      <c r="A133" s="11" t="inlineStr">
        <is>
          <t>CA-29PALMSM-019</t>
        </is>
      </c>
      <c r="B133" s="8" t="inlineStr">
        <is>
          <t>29 Palms MC Air/Ground Combat Center</t>
        </is>
      </c>
      <c r="C133" s="11" t="inlineStr"/>
      <c r="D133" s="11" t="inlineStr">
        <is>
          <t>CA</t>
        </is>
      </c>
      <c r="E133" s="11" t="inlineStr">
        <is>
          <t>Los Angeles</t>
        </is>
      </c>
      <c r="F133" s="11" t="inlineStr">
        <is>
          <t>92278</t>
        </is>
      </c>
      <c r="G133" s="11" t="inlineStr">
        <is>
          <t>Marine Corps</t>
        </is>
      </c>
      <c r="H133" s="11" t="inlineStr">
        <is>
          <t>Large Format</t>
        </is>
      </c>
      <c r="I133" s="8" t="inlineStr">
        <is>
          <t>Window Cling</t>
        </is>
      </c>
      <c r="J133" s="11" t="inlineStr">
        <is>
          <t>TBD</t>
        </is>
      </c>
      <c r="K133" s="8" t="inlineStr">
        <is>
          <t>Your ad will appear in the Fitness Facility or Sunset Cinema entrance.</t>
        </is>
      </c>
      <c r="L133" s="11" t="n">
        <v>1</v>
      </c>
      <c r="M133" s="12" t="n">
        <v>800</v>
      </c>
      <c r="N133" s="12" t="n">
        <v>2400</v>
      </c>
      <c r="O133" s="12" t="n">
        <v>4800</v>
      </c>
      <c r="P133" s="12" t="n">
        <v>9600</v>
      </c>
      <c r="Q133" s="12" t="n"/>
      <c r="R133" s="13">
        <f>IF(ISNUMBER(M133),ROUND(M133/(1-Settings!$B$2)/Settings!$B$3,0)*Settings!$B$3,"")</f>
        <v/>
      </c>
      <c r="S133" s="13">
        <f>IF(ISNUMBER(N133),ROUND(N133/(1-Settings!$B$2)/Settings!$B$3,0)*Settings!$B$3,"")</f>
        <v/>
      </c>
      <c r="T133" s="13">
        <f>IF(ISNUMBER(O133),ROUND(O133/(1-Settings!$B$2)/Settings!$B$3,0)*Settings!$B$3,"")</f>
        <v/>
      </c>
      <c r="U133" s="13">
        <f>IF(ISNUMBER(P133),ROUND(P133/(1-Settings!$B$2)/Settings!$B$3,0)*Settings!$B$3,"")</f>
        <v/>
      </c>
      <c r="V133" s="13">
        <f>IF(ISNUMBER(Q133),ROUND(Q133/(1-Settings!$B$2)/Settings!$B$3,0)*Settings!$B$3,"")</f>
        <v/>
      </c>
      <c r="W133" s="14" t="n"/>
      <c r="X133" s="14" t="n"/>
      <c r="Y133" s="11" t="inlineStr">
        <is>
          <t>2023</t>
        </is>
      </c>
      <c r="Z133" s="11" t="inlineStr"/>
      <c r="AA133" s="8" t="inlineStr"/>
      <c r="AB133" s="16" t="inlineStr">
        <is>
          <t>Rate card older than 2025 - reconfirm</t>
        </is>
      </c>
      <c r="AC133" s="11" t="inlineStr">
        <is>
          <t>MasterMilitaryOnBaseList 12.2.25 NS.xlsx</t>
        </is>
      </c>
      <c r="AD133" s="11" t="inlineStr">
        <is>
          <t>Advertising_Opportunities2026-2027.pdf</t>
        </is>
      </c>
      <c r="AE133" s="15" t="inlineStr">
        <is>
          <t>Open in Box</t>
        </is>
      </c>
      <c r="AF133" s="15" t="inlineStr">
        <is>
          <t>Open in Box</t>
        </is>
      </c>
    </row>
    <row r="134">
      <c r="A134" s="11" t="inlineStr">
        <is>
          <t>CA-29PALMSM-020</t>
        </is>
      </c>
      <c r="B134" s="8" t="inlineStr">
        <is>
          <t>29 Palms MC Air/Ground Combat Center</t>
        </is>
      </c>
      <c r="C134" s="11" t="inlineStr"/>
      <c r="D134" s="11" t="inlineStr">
        <is>
          <t>CA</t>
        </is>
      </c>
      <c r="E134" s="11" t="inlineStr">
        <is>
          <t>Los Angeles</t>
        </is>
      </c>
      <c r="F134" s="11" t="inlineStr">
        <is>
          <t>92278</t>
        </is>
      </c>
      <c r="G134" s="11" t="inlineStr">
        <is>
          <t>Marine Corps</t>
        </is>
      </c>
      <c r="H134" s="11" t="inlineStr">
        <is>
          <t>Print &amp; Publications</t>
        </is>
      </c>
      <c r="I134" s="8" t="inlineStr">
        <is>
          <t>Annual Guide</t>
        </is>
      </c>
      <c r="J134" s="11" t="inlineStr">
        <is>
          <t>TBD</t>
        </is>
      </c>
      <c r="K134" s="8" t="inlineStr">
        <is>
          <t>Your ad will appear in the annual installation guide as a full page ad.</t>
        </is>
      </c>
      <c r="L134" s="11" t="n">
        <v>12</v>
      </c>
      <c r="M134" s="12" t="n"/>
      <c r="N134" s="12" t="n"/>
      <c r="O134" s="12" t="n"/>
      <c r="P134" s="12" t="n">
        <v>1050</v>
      </c>
      <c r="Q134" s="12" t="n">
        <v>0</v>
      </c>
      <c r="R134" s="13">
        <f>IF(ISNUMBER(M134),ROUND(M134/(1-Settings!$B$2)/Settings!$B$3,0)*Settings!$B$3,"")</f>
        <v/>
      </c>
      <c r="S134" s="13">
        <f>IF(ISNUMBER(N134),ROUND(N134/(1-Settings!$B$2)/Settings!$B$3,0)*Settings!$B$3,"")</f>
        <v/>
      </c>
      <c r="T134" s="13">
        <f>IF(ISNUMBER(O134),ROUND(O134/(1-Settings!$B$2)/Settings!$B$3,0)*Settings!$B$3,"")</f>
        <v/>
      </c>
      <c r="U134" s="13">
        <f>IF(ISNUMBER(P134),ROUND(P134/(1-Settings!$B$2)/Settings!$B$3,0)*Settings!$B$3,"")</f>
        <v/>
      </c>
      <c r="V134" s="13">
        <f>IF(ISNUMBER(Q134),ROUND(Q134/(1-Settings!$B$2)/Settings!$B$3,0)*Settings!$B$3,"")</f>
        <v/>
      </c>
      <c r="W134" s="14" t="n"/>
      <c r="X134" s="14" t="n"/>
      <c r="Y134" s="11" t="inlineStr">
        <is>
          <t>2023</t>
        </is>
      </c>
      <c r="Z134" s="11" t="inlineStr"/>
      <c r="AA134" s="8" t="inlineStr"/>
      <c r="AB134" s="16" t="inlineStr">
        <is>
          <t>Source formula errors; Rate card older than 2025 - reconfirm</t>
        </is>
      </c>
      <c r="AC134" s="11" t="inlineStr">
        <is>
          <t>MasterMilitaryOnBaseList 12.2.25 NS.xlsx</t>
        </is>
      </c>
      <c r="AD134" s="11" t="inlineStr">
        <is>
          <t>Advertising_Opportunities2026-2027.pdf</t>
        </is>
      </c>
      <c r="AE134" s="15" t="inlineStr">
        <is>
          <t>Open in Box</t>
        </is>
      </c>
      <c r="AF134" s="15" t="inlineStr">
        <is>
          <t>Open in Box</t>
        </is>
      </c>
    </row>
    <row r="135">
      <c r="A135" s="11" t="inlineStr">
        <is>
          <t>CA-29PALMSM-006</t>
        </is>
      </c>
      <c r="B135" s="8" t="inlineStr">
        <is>
          <t>29 Palms MC Air/Ground Combat Center</t>
        </is>
      </c>
      <c r="C135" s="11" t="inlineStr"/>
      <c r="D135" s="11" t="inlineStr">
        <is>
          <t>CA</t>
        </is>
      </c>
      <c r="E135" s="11" t="inlineStr">
        <is>
          <t>Los Angeles</t>
        </is>
      </c>
      <c r="F135" s="11" t="inlineStr">
        <is>
          <t>92278</t>
        </is>
      </c>
      <c r="G135" s="11" t="inlineStr">
        <is>
          <t>Marine Corps</t>
        </is>
      </c>
      <c r="H135" s="11" t="inlineStr">
        <is>
          <t>Standard Media</t>
        </is>
      </c>
      <c r="I135" s="8" t="inlineStr">
        <is>
          <t>Banners</t>
        </is>
      </c>
      <c r="J135" s="11" t="inlineStr">
        <is>
          <t>8'W x 3'H</t>
        </is>
      </c>
      <c r="K135" s="8" t="inlineStr">
        <is>
          <t>Your ad will appear at an approved installation facility.</t>
        </is>
      </c>
      <c r="L135" s="11" t="n">
        <v>1</v>
      </c>
      <c r="M135" s="12" t="n">
        <v>250</v>
      </c>
      <c r="N135" s="12" t="n">
        <v>750</v>
      </c>
      <c r="O135" s="12" t="n">
        <v>1500</v>
      </c>
      <c r="P135" s="12" t="n">
        <v>3000</v>
      </c>
      <c r="Q135" s="12" t="n">
        <v>250</v>
      </c>
      <c r="R135" s="13">
        <f>IF(ISNUMBER(M135),ROUND(M135/(1-Settings!$B$2)/Settings!$B$3,0)*Settings!$B$3,"")</f>
        <v/>
      </c>
      <c r="S135" s="13">
        <f>IF(ISNUMBER(N135),ROUND(N135/(1-Settings!$B$2)/Settings!$B$3,0)*Settings!$B$3,"")</f>
        <v/>
      </c>
      <c r="T135" s="13">
        <f>IF(ISNUMBER(O135),ROUND(O135/(1-Settings!$B$2)/Settings!$B$3,0)*Settings!$B$3,"")</f>
        <v/>
      </c>
      <c r="U135" s="13">
        <f>IF(ISNUMBER(P135),ROUND(P135/(1-Settings!$B$2)/Settings!$B$3,0)*Settings!$B$3,"")</f>
        <v/>
      </c>
      <c r="V135" s="13">
        <f>IF(ISNUMBER(Q135),ROUND(Q135/(1-Settings!$B$2)/Settings!$B$3,0)*Settings!$B$3,"")</f>
        <v/>
      </c>
      <c r="W135" s="14" t="n"/>
      <c r="X135" s="14" t="n"/>
      <c r="Y135" s="11" t="inlineStr">
        <is>
          <t>2023</t>
        </is>
      </c>
      <c r="Z135" s="11" t="inlineStr"/>
      <c r="AA135" s="8" t="inlineStr"/>
      <c r="AB135" s="16" t="inlineStr">
        <is>
          <t>Rate card older than 2025 - reconfirm</t>
        </is>
      </c>
      <c r="AC135" s="11" t="inlineStr">
        <is>
          <t>MasterMilitaryOnBaseList 12.2.25 NS.xlsx</t>
        </is>
      </c>
      <c r="AD135" s="11" t="inlineStr">
        <is>
          <t>Advertising_Opportunities2026-2027.pdf</t>
        </is>
      </c>
      <c r="AE135" s="15" t="inlineStr">
        <is>
          <t>Open in Box</t>
        </is>
      </c>
      <c r="AF135" s="15" t="inlineStr">
        <is>
          <t>Open in Box</t>
        </is>
      </c>
    </row>
    <row r="136">
      <c r="A136" s="11" t="inlineStr">
        <is>
          <t>CA-29PALMSM-021</t>
        </is>
      </c>
      <c r="B136" s="8" t="inlineStr">
        <is>
          <t>29 Palms MC Air/Ground Combat Center</t>
        </is>
      </c>
      <c r="C136" s="11" t="inlineStr"/>
      <c r="D136" s="11" t="inlineStr">
        <is>
          <t>CA</t>
        </is>
      </c>
      <c r="E136" s="11" t="inlineStr">
        <is>
          <t>Los Angeles</t>
        </is>
      </c>
      <c r="F136" s="11" t="inlineStr">
        <is>
          <t>92278</t>
        </is>
      </c>
      <c r="G136" s="11" t="inlineStr">
        <is>
          <t>Marine Corps</t>
        </is>
      </c>
      <c r="H136" s="11" t="inlineStr">
        <is>
          <t>Web &amp; Email</t>
        </is>
      </c>
      <c r="I136" s="8" t="inlineStr">
        <is>
          <t>E-Newsletter</t>
        </is>
      </c>
      <c r="J136" s="11" t="inlineStr">
        <is>
          <t>TBD</t>
        </is>
      </c>
      <c r="K136" s="8" t="inlineStr">
        <is>
          <t>Your ad will appear in the bi-weekly e-newsletter.</t>
        </is>
      </c>
      <c r="L136" s="11" t="n">
        <v>6</v>
      </c>
      <c r="M136" s="12" t="n"/>
      <c r="N136" s="12" t="n"/>
      <c r="O136" s="12" t="n">
        <v>900</v>
      </c>
      <c r="P136" s="12" t="n">
        <v>1600</v>
      </c>
      <c r="Q136" s="12" t="n">
        <v>0</v>
      </c>
      <c r="R136" s="13">
        <f>IF(ISNUMBER(M136),ROUND(M136/(1-Settings!$B$2)/Settings!$B$3,0)*Settings!$B$3,"")</f>
        <v/>
      </c>
      <c r="S136" s="13">
        <f>IF(ISNUMBER(N136),ROUND(N136/(1-Settings!$B$2)/Settings!$B$3,0)*Settings!$B$3,"")</f>
        <v/>
      </c>
      <c r="T136" s="13">
        <f>IF(ISNUMBER(O136),ROUND(O136/(1-Settings!$B$2)/Settings!$B$3,0)*Settings!$B$3,"")</f>
        <v/>
      </c>
      <c r="U136" s="13">
        <f>IF(ISNUMBER(P136),ROUND(P136/(1-Settings!$B$2)/Settings!$B$3,0)*Settings!$B$3,"")</f>
        <v/>
      </c>
      <c r="V136" s="13">
        <f>IF(ISNUMBER(Q136),ROUND(Q136/(1-Settings!$B$2)/Settings!$B$3,0)*Settings!$B$3,"")</f>
        <v/>
      </c>
      <c r="W136" s="14" t="n"/>
      <c r="X136" s="14" t="n"/>
      <c r="Y136" s="11" t="inlineStr">
        <is>
          <t>2023</t>
        </is>
      </c>
      <c r="Z136" s="11" t="inlineStr"/>
      <c r="AA136" s="8" t="inlineStr"/>
      <c r="AB136" s="16" t="inlineStr">
        <is>
          <t>Source formula errors; Rate card older than 2025 - reconfirm</t>
        </is>
      </c>
      <c r="AC136" s="11" t="inlineStr">
        <is>
          <t>MasterMilitaryOnBaseList 12.2.25 NS.xlsx</t>
        </is>
      </c>
      <c r="AD136" s="11" t="inlineStr">
        <is>
          <t>Advertising_Opportunities2026-2027.pdf</t>
        </is>
      </c>
      <c r="AE136" s="15" t="inlineStr">
        <is>
          <t>Open in Box</t>
        </is>
      </c>
      <c r="AF136" s="15" t="inlineStr">
        <is>
          <t>Open in Box</t>
        </is>
      </c>
    </row>
    <row r="137">
      <c r="A137" s="11" t="inlineStr">
        <is>
          <t>CA-BEALEAFB-001</t>
        </is>
      </c>
      <c r="B137" s="8" t="inlineStr">
        <is>
          <t>Beale AFB</t>
        </is>
      </c>
      <c r="C137" s="11" t="inlineStr"/>
      <c r="D137" s="11" t="inlineStr">
        <is>
          <t>CA</t>
        </is>
      </c>
      <c r="E137" s="11" t="inlineStr">
        <is>
          <t>Sacramnto-Stkton-Modesto</t>
        </is>
      </c>
      <c r="F137" s="11" t="inlineStr">
        <is>
          <t>95903</t>
        </is>
      </c>
      <c r="G137" s="11" t="inlineStr">
        <is>
          <t>Air Force</t>
        </is>
      </c>
      <c r="H137" s="11" t="inlineStr">
        <is>
          <t>Digital</t>
        </is>
      </c>
      <c r="I137" s="8" t="inlineStr">
        <is>
          <t>Digital Monitor Network</t>
        </is>
      </c>
      <c r="J137" s="11" t="inlineStr">
        <is>
          <t>1280pxW x 720pxH, 72 PDI</t>
        </is>
      </c>
      <c r="K137" s="8" t="inlineStr">
        <is>
          <t>Your ad will appear on the digital monitor network in approved installation facilities.</t>
        </is>
      </c>
      <c r="L137" s="11" t="n">
        <v>1</v>
      </c>
      <c r="M137" s="12" t="n">
        <v>100</v>
      </c>
      <c r="N137" s="12" t="n">
        <v>300</v>
      </c>
      <c r="O137" s="12" t="n">
        <v>600</v>
      </c>
      <c r="P137" s="12" t="n">
        <v>960</v>
      </c>
      <c r="Q137" s="12" t="n">
        <v>0</v>
      </c>
      <c r="R137" s="13">
        <f>IF(ISNUMBER(M137),ROUND(M137/(1-Settings!$B$2)/Settings!$B$3,0)*Settings!$B$3,"")</f>
        <v/>
      </c>
      <c r="S137" s="13">
        <f>IF(ISNUMBER(N137),ROUND(N137/(1-Settings!$B$2)/Settings!$B$3,0)*Settings!$B$3,"")</f>
        <v/>
      </c>
      <c r="T137" s="13">
        <f>IF(ISNUMBER(O137),ROUND(O137/(1-Settings!$B$2)/Settings!$B$3,0)*Settings!$B$3,"")</f>
        <v/>
      </c>
      <c r="U137" s="13">
        <f>IF(ISNUMBER(P137),ROUND(P137/(1-Settings!$B$2)/Settings!$B$3,0)*Settings!$B$3,"")</f>
        <v/>
      </c>
      <c r="V137" s="13">
        <f>IF(ISNUMBER(Q137),ROUND(Q137/(1-Settings!$B$2)/Settings!$B$3,0)*Settings!$B$3,"")</f>
        <v/>
      </c>
      <c r="W137" s="14" t="n"/>
      <c r="X137" s="14" t="n"/>
      <c r="Y137" s="11" t="inlineStr"/>
      <c r="Z137" s="11" t="inlineStr"/>
      <c r="AA137" s="8" t="inlineStr"/>
      <c r="AB137" s="8" t="inlineStr"/>
      <c r="AC137" s="11" t="inlineStr">
        <is>
          <t>MasterMilitaryOnBaseList 12.2.25 NS.xlsx</t>
        </is>
      </c>
      <c r="AD137" s="11" t="inlineStr">
        <is>
          <t>2026 Commercial Sponsorship and Advertising Guide.pdf</t>
        </is>
      </c>
      <c r="AE137" s="15" t="inlineStr">
        <is>
          <t>Open in Box</t>
        </is>
      </c>
      <c r="AF137" s="15" t="inlineStr">
        <is>
          <t>Open in Box</t>
        </is>
      </c>
    </row>
    <row r="138">
      <c r="A138" s="11" t="inlineStr">
        <is>
          <t>CA-BEALEAFB-002</t>
        </is>
      </c>
      <c r="B138" s="8" t="inlineStr">
        <is>
          <t>Beale AFB</t>
        </is>
      </c>
      <c r="C138" s="11" t="inlineStr"/>
      <c r="D138" s="11" t="inlineStr">
        <is>
          <t>CA</t>
        </is>
      </c>
      <c r="E138" s="11" t="inlineStr">
        <is>
          <t>Sacramnto-Stkton-Modesto</t>
        </is>
      </c>
      <c r="F138" s="11" t="inlineStr">
        <is>
          <t>95903</t>
        </is>
      </c>
      <c r="G138" s="11" t="inlineStr">
        <is>
          <t>Air Force</t>
        </is>
      </c>
      <c r="H138" s="11" t="inlineStr">
        <is>
          <t>Digital</t>
        </is>
      </c>
      <c r="I138" s="8" t="inlineStr">
        <is>
          <t>Digital Monitor Network</t>
        </is>
      </c>
      <c r="J138" s="11" t="inlineStr">
        <is>
          <t>1280pxW x 720pxH</t>
        </is>
      </c>
      <c r="K138" s="8" t="inlineStr">
        <is>
          <t>Your ad will appear on the digital monitor network in approved installation facilities.</t>
        </is>
      </c>
      <c r="L138" s="11" t="n">
        <v>1</v>
      </c>
      <c r="M138" s="12" t="n">
        <v>100</v>
      </c>
      <c r="N138" s="12" t="n">
        <v>300</v>
      </c>
      <c r="O138" s="12" t="n">
        <v>600</v>
      </c>
      <c r="P138" s="12" t="n">
        <v>960</v>
      </c>
      <c r="Q138" s="12" t="n">
        <v>0</v>
      </c>
      <c r="R138" s="13">
        <f>IF(ISNUMBER(M138),ROUND(M138/(1-Settings!$B$2)/Settings!$B$3,0)*Settings!$B$3,"")</f>
        <v/>
      </c>
      <c r="S138" s="13">
        <f>IF(ISNUMBER(N138),ROUND(N138/(1-Settings!$B$2)/Settings!$B$3,0)*Settings!$B$3,"")</f>
        <v/>
      </c>
      <c r="T138" s="13">
        <f>IF(ISNUMBER(O138),ROUND(O138/(1-Settings!$B$2)/Settings!$B$3,0)*Settings!$B$3,"")</f>
        <v/>
      </c>
      <c r="U138" s="13">
        <f>IF(ISNUMBER(P138),ROUND(P138/(1-Settings!$B$2)/Settings!$B$3,0)*Settings!$B$3,"")</f>
        <v/>
      </c>
      <c r="V138" s="13">
        <f>IF(ISNUMBER(Q138),ROUND(Q138/(1-Settings!$B$2)/Settings!$B$3,0)*Settings!$B$3,"")</f>
        <v/>
      </c>
      <c r="W138" s="14" t="n"/>
      <c r="X138" s="14" t="n"/>
      <c r="Y138" s="11" t="inlineStr"/>
      <c r="Z138" s="11" t="inlineStr"/>
      <c r="AA138" s="8" t="inlineStr"/>
      <c r="AB138" s="8" t="inlineStr"/>
      <c r="AC138" s="11" t="inlineStr">
        <is>
          <t>MasterMilitaryOnBaseList 12.2.25 NS.xlsx</t>
        </is>
      </c>
      <c r="AD138" s="11" t="inlineStr">
        <is>
          <t>2026 Commercial Sponsorship and Advertising Guide.pdf</t>
        </is>
      </c>
      <c r="AE138" s="15" t="inlineStr">
        <is>
          <t>Open in Box</t>
        </is>
      </c>
      <c r="AF138" s="15" t="inlineStr">
        <is>
          <t>Open in Box</t>
        </is>
      </c>
    </row>
    <row r="139">
      <c r="A139" s="11" t="inlineStr">
        <is>
          <t>CA-BEALEAFB-007</t>
        </is>
      </c>
      <c r="B139" s="8" t="inlineStr">
        <is>
          <t>Beale AFB</t>
        </is>
      </c>
      <c r="C139" s="11" t="inlineStr"/>
      <c r="D139" s="11" t="inlineStr">
        <is>
          <t>CA</t>
        </is>
      </c>
      <c r="E139" s="11" t="inlineStr">
        <is>
          <t>Sacramnto-Stkton-Modesto</t>
        </is>
      </c>
      <c r="F139" s="11" t="inlineStr">
        <is>
          <t>95903</t>
        </is>
      </c>
      <c r="G139" s="11" t="inlineStr">
        <is>
          <t>Air Force</t>
        </is>
      </c>
      <c r="H139" s="11" t="inlineStr">
        <is>
          <t>Large Format</t>
        </is>
      </c>
      <c r="I139" s="8" t="inlineStr">
        <is>
          <t>Counterwrap</t>
        </is>
      </c>
      <c r="J139" s="11" t="inlineStr">
        <is>
          <t>TBD</t>
        </is>
      </c>
      <c r="K139" s="8" t="inlineStr">
        <is>
          <t>Available upon request</t>
        </is>
      </c>
      <c r="L139" s="11" t="n"/>
      <c r="M139" s="12" t="n"/>
      <c r="N139" s="12" t="n"/>
      <c r="O139" s="12" t="n"/>
      <c r="P139" s="12" t="n"/>
      <c r="Q139" s="12" t="n"/>
      <c r="R139" s="13">
        <f>IF(ISNUMBER(M139),ROUND(M139/(1-Settings!$B$2)/Settings!$B$3,0)*Settings!$B$3,"")</f>
        <v/>
      </c>
      <c r="S139" s="13">
        <f>IF(ISNUMBER(N139),ROUND(N139/(1-Settings!$B$2)/Settings!$B$3,0)*Settings!$B$3,"")</f>
        <v/>
      </c>
      <c r="T139" s="13">
        <f>IF(ISNUMBER(O139),ROUND(O139/(1-Settings!$B$2)/Settings!$B$3,0)*Settings!$B$3,"")</f>
        <v/>
      </c>
      <c r="U139" s="13">
        <f>IF(ISNUMBER(P139),ROUND(P139/(1-Settings!$B$2)/Settings!$B$3,0)*Settings!$B$3,"")</f>
        <v/>
      </c>
      <c r="V139" s="13">
        <f>IF(ISNUMBER(Q139),ROUND(Q139/(1-Settings!$B$2)/Settings!$B$3,0)*Settings!$B$3,"")</f>
        <v/>
      </c>
      <c r="W139" s="14" t="n"/>
      <c r="X139" s="14" t="n"/>
      <c r="Y139" s="11" t="inlineStr"/>
      <c r="Z139" s="11" t="inlineStr"/>
      <c r="AA139" s="8" t="inlineStr"/>
      <c r="AB139" s="16" t="inlineStr">
        <is>
          <t>No price on file - inquire</t>
        </is>
      </c>
      <c r="AC139" s="11" t="inlineStr">
        <is>
          <t>MasterMilitaryOnBaseList 12.2.25 NS.xlsx</t>
        </is>
      </c>
      <c r="AD139" s="11" t="inlineStr">
        <is>
          <t>2026 Commercial Sponsorship and Advertising Guide.pdf</t>
        </is>
      </c>
      <c r="AE139" s="15" t="inlineStr">
        <is>
          <t>Open in Box</t>
        </is>
      </c>
      <c r="AF139" s="15" t="inlineStr">
        <is>
          <t>Open in Box</t>
        </is>
      </c>
    </row>
    <row r="140">
      <c r="A140" s="11" t="inlineStr">
        <is>
          <t>CA-BEALEAFB-008</t>
        </is>
      </c>
      <c r="B140" s="8" t="inlineStr">
        <is>
          <t>Beale AFB</t>
        </is>
      </c>
      <c r="C140" s="11" t="inlineStr"/>
      <c r="D140" s="11" t="inlineStr">
        <is>
          <t>CA</t>
        </is>
      </c>
      <c r="E140" s="11" t="inlineStr">
        <is>
          <t>Sacramnto-Stkton-Modesto</t>
        </is>
      </c>
      <c r="F140" s="11" t="inlineStr">
        <is>
          <t>95903</t>
        </is>
      </c>
      <c r="G140" s="11" t="inlineStr">
        <is>
          <t>Air Force</t>
        </is>
      </c>
      <c r="H140" s="11" t="inlineStr">
        <is>
          <t>Print &amp; Publications</t>
        </is>
      </c>
      <c r="I140" s="8" t="inlineStr">
        <is>
          <t>Magazine</t>
        </is>
      </c>
      <c r="J140" s="11" t="inlineStr">
        <is>
          <t>5"W x 7.5"H</t>
        </is>
      </c>
      <c r="K140" s="8" t="inlineStr">
        <is>
          <t>Your ad will appear in the Reece Magazine as a full page ad.</t>
        </is>
      </c>
      <c r="L140" s="11" t="n">
        <v>1</v>
      </c>
      <c r="M140" s="12" t="n">
        <v>300</v>
      </c>
      <c r="N140" s="12" t="n">
        <v>900</v>
      </c>
      <c r="O140" s="12" t="n">
        <v>1800</v>
      </c>
      <c r="P140" s="12" t="n">
        <v>2880</v>
      </c>
      <c r="Q140" s="12" t="n">
        <v>0</v>
      </c>
      <c r="R140" s="13">
        <f>IF(ISNUMBER(M140),ROUND(M140/(1-Settings!$B$2)/Settings!$B$3,0)*Settings!$B$3,"")</f>
        <v/>
      </c>
      <c r="S140" s="13">
        <f>IF(ISNUMBER(N140),ROUND(N140/(1-Settings!$B$2)/Settings!$B$3,0)*Settings!$B$3,"")</f>
        <v/>
      </c>
      <c r="T140" s="13">
        <f>IF(ISNUMBER(O140),ROUND(O140/(1-Settings!$B$2)/Settings!$B$3,0)*Settings!$B$3,"")</f>
        <v/>
      </c>
      <c r="U140" s="13">
        <f>IF(ISNUMBER(P140),ROUND(P140/(1-Settings!$B$2)/Settings!$B$3,0)*Settings!$B$3,"")</f>
        <v/>
      </c>
      <c r="V140" s="13">
        <f>IF(ISNUMBER(Q140),ROUND(Q140/(1-Settings!$B$2)/Settings!$B$3,0)*Settings!$B$3,"")</f>
        <v/>
      </c>
      <c r="W140" s="14" t="n"/>
      <c r="X140" s="14" t="n"/>
      <c r="Y140" s="11" t="inlineStr"/>
      <c r="Z140" s="11" t="inlineStr"/>
      <c r="AA140" s="8" t="inlineStr"/>
      <c r="AB140" s="8" t="inlineStr"/>
      <c r="AC140" s="11" t="inlineStr">
        <is>
          <t>MasterMilitaryOnBaseList 12.2.25 NS.xlsx</t>
        </is>
      </c>
      <c r="AD140" s="11" t="inlineStr">
        <is>
          <t>2026 Commercial Sponsorship and Advertising Guide.pdf</t>
        </is>
      </c>
      <c r="AE140" s="15" t="inlineStr">
        <is>
          <t>Open in Box</t>
        </is>
      </c>
      <c r="AF140" s="15" t="inlineStr">
        <is>
          <t>Open in Box</t>
        </is>
      </c>
    </row>
    <row r="141">
      <c r="A141" s="11" t="inlineStr">
        <is>
          <t>CA-BEALEAFB-009</t>
        </is>
      </c>
      <c r="B141" s="8" t="inlineStr">
        <is>
          <t>Beale AFB</t>
        </is>
      </c>
      <c r="C141" s="11" t="inlineStr"/>
      <c r="D141" s="11" t="inlineStr">
        <is>
          <t>CA</t>
        </is>
      </c>
      <c r="E141" s="11" t="inlineStr">
        <is>
          <t>Sacramnto-Stkton-Modesto</t>
        </is>
      </c>
      <c r="F141" s="11" t="inlineStr">
        <is>
          <t>95903</t>
        </is>
      </c>
      <c r="G141" s="11" t="inlineStr">
        <is>
          <t>Air Force</t>
        </is>
      </c>
      <c r="H141" s="11" t="inlineStr">
        <is>
          <t>Sponsorship &amp; Other</t>
        </is>
      </c>
      <c r="I141" s="8" t="inlineStr">
        <is>
          <t>Car Placement</t>
        </is>
      </c>
      <c r="J141" s="11" t="inlineStr">
        <is>
          <t>TBD</t>
        </is>
      </c>
      <c r="K141" s="8" t="inlineStr">
        <is>
          <t>Available upon request</t>
        </is>
      </c>
      <c r="L141" s="11" t="n"/>
      <c r="M141" s="12" t="n"/>
      <c r="N141" s="12" t="n"/>
      <c r="O141" s="12" t="n"/>
      <c r="P141" s="12" t="n"/>
      <c r="Q141" s="12" t="n"/>
      <c r="R141" s="13">
        <f>IF(ISNUMBER(M141),ROUND(M141/(1-Settings!$B$2)/Settings!$B$3,0)*Settings!$B$3,"")</f>
        <v/>
      </c>
      <c r="S141" s="13">
        <f>IF(ISNUMBER(N141),ROUND(N141/(1-Settings!$B$2)/Settings!$B$3,0)*Settings!$B$3,"")</f>
        <v/>
      </c>
      <c r="T141" s="13">
        <f>IF(ISNUMBER(O141),ROUND(O141/(1-Settings!$B$2)/Settings!$B$3,0)*Settings!$B$3,"")</f>
        <v/>
      </c>
      <c r="U141" s="13">
        <f>IF(ISNUMBER(P141),ROUND(P141/(1-Settings!$B$2)/Settings!$B$3,0)*Settings!$B$3,"")</f>
        <v/>
      </c>
      <c r="V141" s="13">
        <f>IF(ISNUMBER(Q141),ROUND(Q141/(1-Settings!$B$2)/Settings!$B$3,0)*Settings!$B$3,"")</f>
        <v/>
      </c>
      <c r="W141" s="14" t="n"/>
      <c r="X141" s="14" t="n"/>
      <c r="Y141" s="11" t="inlineStr"/>
      <c r="Z141" s="11" t="inlineStr"/>
      <c r="AA141" s="8" t="inlineStr"/>
      <c r="AB141" s="16" t="inlineStr">
        <is>
          <t>No price on file - inquire</t>
        </is>
      </c>
      <c r="AC141" s="11" t="inlineStr">
        <is>
          <t>MasterMilitaryOnBaseList 12.2.25 NS.xlsx</t>
        </is>
      </c>
      <c r="AD141" s="11" t="inlineStr">
        <is>
          <t>2026 Commercial Sponsorship and Advertising Guide.pdf</t>
        </is>
      </c>
      <c r="AE141" s="15" t="inlineStr">
        <is>
          <t>Open in Box</t>
        </is>
      </c>
      <c r="AF141" s="15" t="inlineStr">
        <is>
          <t>Open in Box</t>
        </is>
      </c>
    </row>
    <row r="142">
      <c r="A142" s="11" t="inlineStr">
        <is>
          <t>CA-BEALEAFB-010</t>
        </is>
      </c>
      <c r="B142" s="8" t="inlineStr">
        <is>
          <t>Beale AFB</t>
        </is>
      </c>
      <c r="C142" s="11" t="inlineStr"/>
      <c r="D142" s="11" t="inlineStr">
        <is>
          <t>CA</t>
        </is>
      </c>
      <c r="E142" s="11" t="inlineStr">
        <is>
          <t>Sacramnto-Stkton-Modesto</t>
        </is>
      </c>
      <c r="F142" s="11" t="inlineStr">
        <is>
          <t>95903</t>
        </is>
      </c>
      <c r="G142" s="11" t="inlineStr">
        <is>
          <t>Air Force</t>
        </is>
      </c>
      <c r="H142" s="11" t="inlineStr">
        <is>
          <t>Sponsorship &amp; Other</t>
        </is>
      </c>
      <c r="I142" s="8" t="inlineStr">
        <is>
          <t>Flier Advertising</t>
        </is>
      </c>
      <c r="J142" s="11" t="inlineStr">
        <is>
          <t>TBD</t>
        </is>
      </c>
      <c r="K142" s="8" t="inlineStr">
        <is>
          <t>Available upon request</t>
        </is>
      </c>
      <c r="L142" s="11" t="n"/>
      <c r="M142" s="12" t="n"/>
      <c r="N142" s="12" t="n"/>
      <c r="O142" s="12" t="n"/>
      <c r="P142" s="12" t="n"/>
      <c r="Q142" s="12" t="n"/>
      <c r="R142" s="13">
        <f>IF(ISNUMBER(M142),ROUND(M142/(1-Settings!$B$2)/Settings!$B$3,0)*Settings!$B$3,"")</f>
        <v/>
      </c>
      <c r="S142" s="13">
        <f>IF(ISNUMBER(N142),ROUND(N142/(1-Settings!$B$2)/Settings!$B$3,0)*Settings!$B$3,"")</f>
        <v/>
      </c>
      <c r="T142" s="13">
        <f>IF(ISNUMBER(O142),ROUND(O142/(1-Settings!$B$2)/Settings!$B$3,0)*Settings!$B$3,"")</f>
        <v/>
      </c>
      <c r="U142" s="13">
        <f>IF(ISNUMBER(P142),ROUND(P142/(1-Settings!$B$2)/Settings!$B$3,0)*Settings!$B$3,"")</f>
        <v/>
      </c>
      <c r="V142" s="13">
        <f>IF(ISNUMBER(Q142),ROUND(Q142/(1-Settings!$B$2)/Settings!$B$3,0)*Settings!$B$3,"")</f>
        <v/>
      </c>
      <c r="W142" s="14" t="n"/>
      <c r="X142" s="14" t="n"/>
      <c r="Y142" s="11" t="inlineStr"/>
      <c r="Z142" s="11" t="inlineStr"/>
      <c r="AA142" s="8" t="inlineStr"/>
      <c r="AB142" s="16" t="inlineStr">
        <is>
          <t>No price on file - inquire</t>
        </is>
      </c>
      <c r="AC142" s="11" t="inlineStr">
        <is>
          <t>MasterMilitaryOnBaseList 12.2.25 NS.xlsx</t>
        </is>
      </c>
      <c r="AD142" s="11" t="inlineStr">
        <is>
          <t>2026 Commercial Sponsorship and Advertising Guide.pdf</t>
        </is>
      </c>
      <c r="AE142" s="15" t="inlineStr">
        <is>
          <t>Open in Box</t>
        </is>
      </c>
      <c r="AF142" s="15" t="inlineStr">
        <is>
          <t>Open in Box</t>
        </is>
      </c>
    </row>
    <row r="143">
      <c r="A143" s="11" t="inlineStr">
        <is>
          <t>CA-BEALEAFB-003</t>
        </is>
      </c>
      <c r="B143" s="8" t="inlineStr">
        <is>
          <t>Beale AFB</t>
        </is>
      </c>
      <c r="C143" s="11" t="inlineStr"/>
      <c r="D143" s="11" t="inlineStr">
        <is>
          <t>CA</t>
        </is>
      </c>
      <c r="E143" s="11" t="inlineStr">
        <is>
          <t>Sacramnto-Stkton-Modesto</t>
        </is>
      </c>
      <c r="F143" s="11" t="inlineStr">
        <is>
          <t>95903</t>
        </is>
      </c>
      <c r="G143" s="11" t="inlineStr">
        <is>
          <t>Air Force</t>
        </is>
      </c>
      <c r="H143" s="11" t="inlineStr">
        <is>
          <t>Standard Media</t>
        </is>
      </c>
      <c r="I143" s="8" t="inlineStr">
        <is>
          <t>Banner</t>
        </is>
      </c>
      <c r="J143" s="11" t="inlineStr">
        <is>
          <t>6'W x 3'H</t>
        </is>
      </c>
      <c r="K143" s="8" t="inlineStr">
        <is>
          <t>Your ad will appear at or in an approved installation facility.</t>
        </is>
      </c>
      <c r="L143" s="11" t="n">
        <v>1</v>
      </c>
      <c r="M143" s="12" t="n">
        <v>200</v>
      </c>
      <c r="N143" s="12" t="n">
        <v>600</v>
      </c>
      <c r="O143" s="12" t="n">
        <v>1200</v>
      </c>
      <c r="P143" s="12" t="n">
        <v>1920</v>
      </c>
      <c r="Q143" s="12" t="n">
        <v>200</v>
      </c>
      <c r="R143" s="13">
        <f>IF(ISNUMBER(M143),ROUND(M143/(1-Settings!$B$2)/Settings!$B$3,0)*Settings!$B$3,"")</f>
        <v/>
      </c>
      <c r="S143" s="13">
        <f>IF(ISNUMBER(N143),ROUND(N143/(1-Settings!$B$2)/Settings!$B$3,0)*Settings!$B$3,"")</f>
        <v/>
      </c>
      <c r="T143" s="13">
        <f>IF(ISNUMBER(O143),ROUND(O143/(1-Settings!$B$2)/Settings!$B$3,0)*Settings!$B$3,"")</f>
        <v/>
      </c>
      <c r="U143" s="13">
        <f>IF(ISNUMBER(P143),ROUND(P143/(1-Settings!$B$2)/Settings!$B$3,0)*Settings!$B$3,"")</f>
        <v/>
      </c>
      <c r="V143" s="13">
        <f>IF(ISNUMBER(Q143),ROUND(Q143/(1-Settings!$B$2)/Settings!$B$3,0)*Settings!$B$3,"")</f>
        <v/>
      </c>
      <c r="W143" s="14" t="n"/>
      <c r="X143" s="14" t="n"/>
      <c r="Y143" s="11" t="inlineStr"/>
      <c r="Z143" s="11" t="inlineStr"/>
      <c r="AA143" s="8" t="inlineStr"/>
      <c r="AB143" s="8" t="inlineStr"/>
      <c r="AC143" s="11" t="inlineStr">
        <is>
          <t>MasterMilitaryOnBaseList 12.2.25 NS.xlsx</t>
        </is>
      </c>
      <c r="AD143" s="11" t="inlineStr">
        <is>
          <t>2026 Commercial Sponsorship and Advertising Guide.pdf</t>
        </is>
      </c>
      <c r="AE143" s="15" t="inlineStr">
        <is>
          <t>Open in Box</t>
        </is>
      </c>
      <c r="AF143" s="15" t="inlineStr">
        <is>
          <t>Open in Box</t>
        </is>
      </c>
    </row>
    <row r="144">
      <c r="A144" s="11" t="inlineStr">
        <is>
          <t>CA-BEALEAFB-004</t>
        </is>
      </c>
      <c r="B144" s="8" t="inlineStr">
        <is>
          <t>Beale AFB</t>
        </is>
      </c>
      <c r="C144" s="11" t="inlineStr"/>
      <c r="D144" s="11" t="inlineStr">
        <is>
          <t>CA</t>
        </is>
      </c>
      <c r="E144" s="11" t="inlineStr">
        <is>
          <t>Sacramnto-Stkton-Modesto</t>
        </is>
      </c>
      <c r="F144" s="11" t="inlineStr">
        <is>
          <t>95903</t>
        </is>
      </c>
      <c r="G144" s="11" t="inlineStr">
        <is>
          <t>Air Force</t>
        </is>
      </c>
      <c r="H144" s="11" t="inlineStr">
        <is>
          <t>Standard Media</t>
        </is>
      </c>
      <c r="I144" s="8" t="inlineStr">
        <is>
          <t>Banners</t>
        </is>
      </c>
      <c r="J144" s="11" t="inlineStr">
        <is>
          <t>6'W x 3'H</t>
        </is>
      </c>
      <c r="K144" s="8" t="inlineStr">
        <is>
          <t>Your ad will appear in an approved installation facility.</t>
        </is>
      </c>
      <c r="L144" s="11" t="n">
        <v>1</v>
      </c>
      <c r="M144" s="12" t="n">
        <v>200</v>
      </c>
      <c r="N144" s="12" t="n">
        <v>600</v>
      </c>
      <c r="O144" s="12" t="n">
        <v>1200</v>
      </c>
      <c r="P144" s="12" t="n">
        <v>1920</v>
      </c>
      <c r="Q144" s="12" t="n">
        <v>200</v>
      </c>
      <c r="R144" s="13">
        <f>IF(ISNUMBER(M144),ROUND(M144/(1-Settings!$B$2)/Settings!$B$3,0)*Settings!$B$3,"")</f>
        <v/>
      </c>
      <c r="S144" s="13">
        <f>IF(ISNUMBER(N144),ROUND(N144/(1-Settings!$B$2)/Settings!$B$3,0)*Settings!$B$3,"")</f>
        <v/>
      </c>
      <c r="T144" s="13">
        <f>IF(ISNUMBER(O144),ROUND(O144/(1-Settings!$B$2)/Settings!$B$3,0)*Settings!$B$3,"")</f>
        <v/>
      </c>
      <c r="U144" s="13">
        <f>IF(ISNUMBER(P144),ROUND(P144/(1-Settings!$B$2)/Settings!$B$3,0)*Settings!$B$3,"")</f>
        <v/>
      </c>
      <c r="V144" s="13">
        <f>IF(ISNUMBER(Q144),ROUND(Q144/(1-Settings!$B$2)/Settings!$B$3,0)*Settings!$B$3,"")</f>
        <v/>
      </c>
      <c r="W144" s="14" t="n"/>
      <c r="X144" s="14" t="n"/>
      <c r="Y144" s="11" t="inlineStr"/>
      <c r="Z144" s="11" t="inlineStr"/>
      <c r="AA144" s="8" t="inlineStr"/>
      <c r="AB144" s="8" t="inlineStr"/>
      <c r="AC144" s="11" t="inlineStr">
        <is>
          <t>MasterMilitaryOnBaseList 12.2.25 NS.xlsx</t>
        </is>
      </c>
      <c r="AD144" s="11" t="inlineStr">
        <is>
          <t>2026 Commercial Sponsorship and Advertising Guide.pdf</t>
        </is>
      </c>
      <c r="AE144" s="15" t="inlineStr">
        <is>
          <t>Open in Box</t>
        </is>
      </c>
      <c r="AF144" s="15" t="inlineStr">
        <is>
          <t>Open in Box</t>
        </is>
      </c>
    </row>
    <row r="145">
      <c r="A145" s="11" t="inlineStr">
        <is>
          <t>CA-BEALEAFB-005</t>
        </is>
      </c>
      <c r="B145" s="8" t="inlineStr">
        <is>
          <t>Beale AFB</t>
        </is>
      </c>
      <c r="C145" s="11" t="inlineStr"/>
      <c r="D145" s="11" t="inlineStr">
        <is>
          <t>CA</t>
        </is>
      </c>
      <c r="E145" s="11" t="inlineStr">
        <is>
          <t>Sacramnto-Stkton-Modesto</t>
        </is>
      </c>
      <c r="F145" s="11" t="inlineStr">
        <is>
          <t>95903</t>
        </is>
      </c>
      <c r="G145" s="11" t="inlineStr">
        <is>
          <t>Air Force</t>
        </is>
      </c>
      <c r="H145" s="11" t="inlineStr">
        <is>
          <t>Standard Media</t>
        </is>
      </c>
      <c r="I145" s="8" t="inlineStr">
        <is>
          <t>Posters</t>
        </is>
      </c>
      <c r="J145" s="11" t="inlineStr">
        <is>
          <t>24"W x 36"H</t>
        </is>
      </c>
      <c r="K145" s="8" t="inlineStr">
        <is>
          <t>Your ad will appear in an approved installation facility.</t>
        </is>
      </c>
      <c r="L145" s="11" t="n">
        <v>1</v>
      </c>
      <c r="M145" s="12" t="n">
        <v>200</v>
      </c>
      <c r="N145" s="12" t="n">
        <v>600</v>
      </c>
      <c r="O145" s="12" t="n">
        <v>1200</v>
      </c>
      <c r="P145" s="12" t="n">
        <v>1920</v>
      </c>
      <c r="Q145" s="12" t="n">
        <v>100</v>
      </c>
      <c r="R145" s="13">
        <f>IF(ISNUMBER(M145),ROUND(M145/(1-Settings!$B$2)/Settings!$B$3,0)*Settings!$B$3,"")</f>
        <v/>
      </c>
      <c r="S145" s="13">
        <f>IF(ISNUMBER(N145),ROUND(N145/(1-Settings!$B$2)/Settings!$B$3,0)*Settings!$B$3,"")</f>
        <v/>
      </c>
      <c r="T145" s="13">
        <f>IF(ISNUMBER(O145),ROUND(O145/(1-Settings!$B$2)/Settings!$B$3,0)*Settings!$B$3,"")</f>
        <v/>
      </c>
      <c r="U145" s="13">
        <f>IF(ISNUMBER(P145),ROUND(P145/(1-Settings!$B$2)/Settings!$B$3,0)*Settings!$B$3,"")</f>
        <v/>
      </c>
      <c r="V145" s="13">
        <f>IF(ISNUMBER(Q145),ROUND(Q145/(1-Settings!$B$2)/Settings!$B$3,0)*Settings!$B$3,"")</f>
        <v/>
      </c>
      <c r="W145" s="14" t="n"/>
      <c r="X145" s="14" t="n"/>
      <c r="Y145" s="11" t="inlineStr"/>
      <c r="Z145" s="11" t="inlineStr"/>
      <c r="AA145" s="8" t="inlineStr"/>
      <c r="AB145" s="8" t="inlineStr"/>
      <c r="AC145" s="11" t="inlineStr">
        <is>
          <t>MasterMilitaryOnBaseList 12.2.25 NS.xlsx</t>
        </is>
      </c>
      <c r="AD145" s="11" t="inlineStr">
        <is>
          <t>2026 Commercial Sponsorship and Advertising Guide.pdf</t>
        </is>
      </c>
      <c r="AE145" s="15" t="inlineStr">
        <is>
          <t>Open in Box</t>
        </is>
      </c>
      <c r="AF145" s="15" t="inlineStr">
        <is>
          <t>Open in Box</t>
        </is>
      </c>
    </row>
    <row r="146">
      <c r="A146" s="11" t="inlineStr">
        <is>
          <t>CA-BEALEAFB-006</t>
        </is>
      </c>
      <c r="B146" s="8" t="inlineStr">
        <is>
          <t>Beale AFB</t>
        </is>
      </c>
      <c r="C146" s="11" t="inlineStr"/>
      <c r="D146" s="11" t="inlineStr">
        <is>
          <t>CA</t>
        </is>
      </c>
      <c r="E146" s="11" t="inlineStr">
        <is>
          <t>Sacramnto-Stkton-Modesto</t>
        </is>
      </c>
      <c r="F146" s="11" t="inlineStr">
        <is>
          <t>95903</t>
        </is>
      </c>
      <c r="G146" s="11" t="inlineStr">
        <is>
          <t>Air Force</t>
        </is>
      </c>
      <c r="H146" s="11" t="inlineStr">
        <is>
          <t>Standard Media</t>
        </is>
      </c>
      <c r="I146" s="8" t="inlineStr">
        <is>
          <t>Posters</t>
        </is>
      </c>
      <c r="J146" s="11" t="inlineStr">
        <is>
          <t>24"W x 36"H</t>
        </is>
      </c>
      <c r="K146" s="8" t="inlineStr">
        <is>
          <t>Your ad will appear in an approved installation facility.</t>
        </is>
      </c>
      <c r="L146" s="11" t="n">
        <v>1</v>
      </c>
      <c r="M146" s="12" t="n">
        <v>200</v>
      </c>
      <c r="N146" s="12" t="n">
        <v>600</v>
      </c>
      <c r="O146" s="12" t="n">
        <v>1200</v>
      </c>
      <c r="P146" s="12" t="n">
        <v>1920</v>
      </c>
      <c r="Q146" s="12" t="n">
        <v>100</v>
      </c>
      <c r="R146" s="13">
        <f>IF(ISNUMBER(M146),ROUND(M146/(1-Settings!$B$2)/Settings!$B$3,0)*Settings!$B$3,"")</f>
        <v/>
      </c>
      <c r="S146" s="13">
        <f>IF(ISNUMBER(N146),ROUND(N146/(1-Settings!$B$2)/Settings!$B$3,0)*Settings!$B$3,"")</f>
        <v/>
      </c>
      <c r="T146" s="13">
        <f>IF(ISNUMBER(O146),ROUND(O146/(1-Settings!$B$2)/Settings!$B$3,0)*Settings!$B$3,"")</f>
        <v/>
      </c>
      <c r="U146" s="13">
        <f>IF(ISNUMBER(P146),ROUND(P146/(1-Settings!$B$2)/Settings!$B$3,0)*Settings!$B$3,"")</f>
        <v/>
      </c>
      <c r="V146" s="13">
        <f>IF(ISNUMBER(Q146),ROUND(Q146/(1-Settings!$B$2)/Settings!$B$3,0)*Settings!$B$3,"")</f>
        <v/>
      </c>
      <c r="W146" s="14" t="n"/>
      <c r="X146" s="14" t="n"/>
      <c r="Y146" s="11" t="inlineStr"/>
      <c r="Z146" s="11" t="inlineStr"/>
      <c r="AA146" s="8" t="inlineStr"/>
      <c r="AB146" s="8" t="inlineStr"/>
      <c r="AC146" s="11" t="inlineStr">
        <is>
          <t>MasterMilitaryOnBaseList 12.2.25 NS.xlsx</t>
        </is>
      </c>
      <c r="AD146" s="11" t="inlineStr">
        <is>
          <t>2026 Commercial Sponsorship and Advertising Guide.pdf</t>
        </is>
      </c>
      <c r="AE146" s="15" t="inlineStr">
        <is>
          <t>Open in Box</t>
        </is>
      </c>
      <c r="AF146" s="15" t="inlineStr">
        <is>
          <t>Open in Box</t>
        </is>
      </c>
    </row>
    <row r="147">
      <c r="A147" s="11" t="inlineStr">
        <is>
          <t>CA-CAMPPEND-021</t>
        </is>
      </c>
      <c r="B147" s="8" t="inlineStr">
        <is>
          <t>Camp Pendleton</t>
        </is>
      </c>
      <c r="C147" s="11" t="inlineStr"/>
      <c r="D147" s="11" t="inlineStr">
        <is>
          <t>CA</t>
        </is>
      </c>
      <c r="E147" s="11" t="inlineStr">
        <is>
          <t>San Diego</t>
        </is>
      </c>
      <c r="F147" s="11" t="inlineStr"/>
      <c r="G147" s="11" t="inlineStr">
        <is>
          <t>Marine Corps</t>
        </is>
      </c>
      <c r="H147" s="11" t="inlineStr">
        <is>
          <t>Digital</t>
        </is>
      </c>
      <c r="I147" s="8" t="inlineStr">
        <is>
          <t>Bowling Scoring Monitors</t>
        </is>
      </c>
      <c r="J147" s="11" t="inlineStr">
        <is>
          <t>40 screens</t>
        </is>
      </c>
      <c r="K147" s="8" t="inlineStr">
        <is>
          <t>Your ad will appear on the 40-screen scoring monitors in the installation bowling center.</t>
        </is>
      </c>
      <c r="L147" s="11" t="n">
        <v>1</v>
      </c>
      <c r="M147" s="12" t="n">
        <v>850</v>
      </c>
      <c r="N147" s="12" t="n"/>
      <c r="O147" s="12" t="n"/>
      <c r="P147" s="12" t="n"/>
      <c r="Q147" s="12" t="n"/>
      <c r="R147" s="13">
        <f>IF(ISNUMBER(M147),ROUND(M147/(1-Settings!$B$2)/Settings!$B$3,0)*Settings!$B$3,"")</f>
        <v/>
      </c>
      <c r="S147" s="13">
        <f>IF(ISNUMBER(N147),ROUND(N147/(1-Settings!$B$2)/Settings!$B$3,0)*Settings!$B$3,"")</f>
        <v/>
      </c>
      <c r="T147" s="13">
        <f>IF(ISNUMBER(O147),ROUND(O147/(1-Settings!$B$2)/Settings!$B$3,0)*Settings!$B$3,"")</f>
        <v/>
      </c>
      <c r="U147" s="13">
        <f>IF(ISNUMBER(P147),ROUND(P147/(1-Settings!$B$2)/Settings!$B$3,0)*Settings!$B$3,"")</f>
        <v/>
      </c>
      <c r="V147" s="13">
        <f>IF(ISNUMBER(Q147),ROUND(Q147/(1-Settings!$B$2)/Settings!$B$3,0)*Settings!$B$3,"")</f>
        <v/>
      </c>
      <c r="W147" s="14" t="n">
        <v>39690</v>
      </c>
      <c r="X147" s="14" t="n">
        <v>31010</v>
      </c>
      <c r="Y147" s="11" t="inlineStr">
        <is>
          <t>2026</t>
        </is>
      </c>
      <c r="Z147" s="11" t="inlineStr">
        <is>
          <t>2026-06</t>
        </is>
      </c>
      <c r="AA147" s="8" t="inlineStr"/>
      <c r="AB147" s="8" t="inlineStr"/>
      <c r="AC147" s="11" t="inlineStr">
        <is>
          <t>Military - National Digital Inventory Master 6.3.26.xlsx</t>
        </is>
      </c>
      <c r="AD147" s="11" t="inlineStr">
        <is>
          <t>2026 4th of July Sponsorship Levels.pdf</t>
        </is>
      </c>
      <c r="AE147" s="15" t="inlineStr">
        <is>
          <t>Open in Box</t>
        </is>
      </c>
      <c r="AF147" s="15" t="inlineStr">
        <is>
          <t>Open in Box</t>
        </is>
      </c>
    </row>
    <row r="148">
      <c r="A148" s="11" t="inlineStr">
        <is>
          <t>CA-CAMPPEND-001</t>
        </is>
      </c>
      <c r="B148" s="8" t="inlineStr">
        <is>
          <t>Camp Pendleton</t>
        </is>
      </c>
      <c r="C148" s="11" t="inlineStr"/>
      <c r="D148" s="11" t="inlineStr">
        <is>
          <t>CA</t>
        </is>
      </c>
      <c r="E148" s="11" t="inlineStr">
        <is>
          <t>San Diego</t>
        </is>
      </c>
      <c r="F148" s="11" t="inlineStr">
        <is>
          <t>92055</t>
        </is>
      </c>
      <c r="G148" s="11" t="inlineStr">
        <is>
          <t>Marine Corps</t>
        </is>
      </c>
      <c r="H148" s="11" t="inlineStr">
        <is>
          <t>Digital</t>
        </is>
      </c>
      <c r="I148" s="8" t="inlineStr">
        <is>
          <t>Digital Monitor Network</t>
        </is>
      </c>
      <c r="J148" s="11" t="inlineStr">
        <is>
          <t>TBD</t>
        </is>
      </c>
      <c r="K148" s="8" t="inlineStr">
        <is>
          <t>Your ad will appear on 130 digital monitors in approved installation facilities.</t>
        </is>
      </c>
      <c r="L148" s="11" t="n">
        <v>1</v>
      </c>
      <c r="M148" s="12" t="n">
        <v>5000</v>
      </c>
      <c r="N148" s="12" t="n">
        <v>15000</v>
      </c>
      <c r="O148" s="12" t="n">
        <v>30000</v>
      </c>
      <c r="P148" s="12" t="n">
        <v>60000</v>
      </c>
      <c r="Q148" s="12" t="n">
        <v>0</v>
      </c>
      <c r="R148" s="13">
        <f>IF(ISNUMBER(M148),ROUND(M148/(1-Settings!$B$2)/Settings!$B$3,0)*Settings!$B$3,"")</f>
        <v/>
      </c>
      <c r="S148" s="13">
        <f>IF(ISNUMBER(N148),ROUND(N148/(1-Settings!$B$2)/Settings!$B$3,0)*Settings!$B$3,"")</f>
        <v/>
      </c>
      <c r="T148" s="13">
        <f>IF(ISNUMBER(O148),ROUND(O148/(1-Settings!$B$2)/Settings!$B$3,0)*Settings!$B$3,"")</f>
        <v/>
      </c>
      <c r="U148" s="13">
        <f>IF(ISNUMBER(P148),ROUND(P148/(1-Settings!$B$2)/Settings!$B$3,0)*Settings!$B$3,"")</f>
        <v/>
      </c>
      <c r="V148" s="13">
        <f>IF(ISNUMBER(Q148),ROUND(Q148/(1-Settings!$B$2)/Settings!$B$3,0)*Settings!$B$3,"")</f>
        <v/>
      </c>
      <c r="W148" s="14" t="n">
        <v>39690</v>
      </c>
      <c r="X148" s="14" t="n">
        <v>31010</v>
      </c>
      <c r="Y148" s="11" t="inlineStr"/>
      <c r="Z148" s="11" t="inlineStr"/>
      <c r="AA148" s="8" t="inlineStr">
        <is>
          <t>Inventory master 6/2026 lists Digital Marquee at $10,000 (1 mo)</t>
        </is>
      </c>
      <c r="AB148" s="8" t="inlineStr"/>
      <c r="AC148" s="11" t="inlineStr">
        <is>
          <t>MasterMilitaryOnBaseList 12.2.25 NS.xlsx</t>
        </is>
      </c>
      <c r="AD148" s="11" t="inlineStr">
        <is>
          <t>2026 4th of July Sponsorship Levels.pdf</t>
        </is>
      </c>
      <c r="AE148" s="15" t="inlineStr">
        <is>
          <t>Open in Box</t>
        </is>
      </c>
      <c r="AF148" s="15" t="inlineStr">
        <is>
          <t>Open in Box</t>
        </is>
      </c>
    </row>
    <row r="149">
      <c r="A149" s="11" t="inlineStr">
        <is>
          <t>CA-CAMPPEND-002</t>
        </is>
      </c>
      <c r="B149" s="8" t="inlineStr">
        <is>
          <t>Camp Pendleton</t>
        </is>
      </c>
      <c r="C149" s="11" t="inlineStr"/>
      <c r="D149" s="11" t="inlineStr">
        <is>
          <t>CA</t>
        </is>
      </c>
      <c r="E149" s="11" t="inlineStr">
        <is>
          <t>San Diego</t>
        </is>
      </c>
      <c r="F149" s="11" t="inlineStr">
        <is>
          <t>92055</t>
        </is>
      </c>
      <c r="G149" s="11" t="inlineStr">
        <is>
          <t>Marine Corps</t>
        </is>
      </c>
      <c r="H149" s="11" t="inlineStr">
        <is>
          <t>Digital</t>
        </is>
      </c>
      <c r="I149" s="8" t="inlineStr">
        <is>
          <t>Gate Marquees</t>
        </is>
      </c>
      <c r="J149" s="11" t="inlineStr">
        <is>
          <t>TBD</t>
        </is>
      </c>
      <c r="K149" s="8" t="inlineStr">
        <is>
          <t>Your ad will appear at 7 installation gates.</t>
        </is>
      </c>
      <c r="L149" s="11" t="n">
        <v>1</v>
      </c>
      <c r="M149" s="12" t="n">
        <v>5000</v>
      </c>
      <c r="N149" s="12" t="n">
        <v>15000</v>
      </c>
      <c r="O149" s="12" t="n">
        <v>30000</v>
      </c>
      <c r="P149" s="12" t="n">
        <v>60000</v>
      </c>
      <c r="Q149" s="12" t="n">
        <v>0</v>
      </c>
      <c r="R149" s="13">
        <f>IF(ISNUMBER(M149),ROUND(M149/(1-Settings!$B$2)/Settings!$B$3,0)*Settings!$B$3,"")</f>
        <v/>
      </c>
      <c r="S149" s="13">
        <f>IF(ISNUMBER(N149),ROUND(N149/(1-Settings!$B$2)/Settings!$B$3,0)*Settings!$B$3,"")</f>
        <v/>
      </c>
      <c r="T149" s="13">
        <f>IF(ISNUMBER(O149),ROUND(O149/(1-Settings!$B$2)/Settings!$B$3,0)*Settings!$B$3,"")</f>
        <v/>
      </c>
      <c r="U149" s="13">
        <f>IF(ISNUMBER(P149),ROUND(P149/(1-Settings!$B$2)/Settings!$B$3,0)*Settings!$B$3,"")</f>
        <v/>
      </c>
      <c r="V149" s="13">
        <f>IF(ISNUMBER(Q149),ROUND(Q149/(1-Settings!$B$2)/Settings!$B$3,0)*Settings!$B$3,"")</f>
        <v/>
      </c>
      <c r="W149" s="14" t="n">
        <v>39690</v>
      </c>
      <c r="X149" s="14" t="n">
        <v>31010</v>
      </c>
      <c r="Y149" s="11" t="inlineStr"/>
      <c r="Z149" s="11" t="inlineStr"/>
      <c r="AA149" s="8" t="inlineStr">
        <is>
          <t>Inventory master 6/2026 lists Digital Marquee at $10,000 (1 mo)</t>
        </is>
      </c>
      <c r="AB149" s="8" t="inlineStr"/>
      <c r="AC149" s="11" t="inlineStr">
        <is>
          <t>MasterMilitaryOnBaseList 12.2.25 NS.xlsx</t>
        </is>
      </c>
      <c r="AD149" s="11" t="inlineStr">
        <is>
          <t>2026 4th of July Sponsorship Levels.pdf</t>
        </is>
      </c>
      <c r="AE149" s="15" t="inlineStr">
        <is>
          <t>Open in Box</t>
        </is>
      </c>
      <c r="AF149" s="15" t="inlineStr">
        <is>
          <t>Open in Box</t>
        </is>
      </c>
    </row>
    <row r="150">
      <c r="A150" s="11" t="inlineStr">
        <is>
          <t>CA-CAMPPEND-003</t>
        </is>
      </c>
      <c r="B150" s="8" t="inlineStr">
        <is>
          <t>Camp Pendleton</t>
        </is>
      </c>
      <c r="C150" s="11" t="inlineStr"/>
      <c r="D150" s="11" t="inlineStr">
        <is>
          <t>CA</t>
        </is>
      </c>
      <c r="E150" s="11" t="inlineStr">
        <is>
          <t>San Diego</t>
        </is>
      </c>
      <c r="F150" s="11" t="inlineStr">
        <is>
          <t>92055</t>
        </is>
      </c>
      <c r="G150" s="11" t="inlineStr">
        <is>
          <t>Marine Corps</t>
        </is>
      </c>
      <c r="H150" s="11" t="inlineStr">
        <is>
          <t>Digital</t>
        </is>
      </c>
      <c r="I150" s="8" t="inlineStr">
        <is>
          <t>Movie Theater OR MCX Marquee</t>
        </is>
      </c>
      <c r="J150" s="11" t="inlineStr">
        <is>
          <t>TBD</t>
        </is>
      </c>
      <c r="K150" s="8" t="inlineStr">
        <is>
          <t>Your ad will appear at the movie theater OR MCX marquee.</t>
        </is>
      </c>
      <c r="L150" s="11" t="n">
        <v>1</v>
      </c>
      <c r="M150" s="12" t="n">
        <v>2500</v>
      </c>
      <c r="N150" s="12" t="n">
        <v>7500</v>
      </c>
      <c r="O150" s="12" t="n">
        <v>15000</v>
      </c>
      <c r="P150" s="12" t="n">
        <v>30000</v>
      </c>
      <c r="Q150" s="12" t="n">
        <v>0</v>
      </c>
      <c r="R150" s="13">
        <f>IF(ISNUMBER(M150),ROUND(M150/(1-Settings!$B$2)/Settings!$B$3,0)*Settings!$B$3,"")</f>
        <v/>
      </c>
      <c r="S150" s="13">
        <f>IF(ISNUMBER(N150),ROUND(N150/(1-Settings!$B$2)/Settings!$B$3,0)*Settings!$B$3,"")</f>
        <v/>
      </c>
      <c r="T150" s="13">
        <f>IF(ISNUMBER(O150),ROUND(O150/(1-Settings!$B$2)/Settings!$B$3,0)*Settings!$B$3,"")</f>
        <v/>
      </c>
      <c r="U150" s="13">
        <f>IF(ISNUMBER(P150),ROUND(P150/(1-Settings!$B$2)/Settings!$B$3,0)*Settings!$B$3,"")</f>
        <v/>
      </c>
      <c r="V150" s="13">
        <f>IF(ISNUMBER(Q150),ROUND(Q150/(1-Settings!$B$2)/Settings!$B$3,0)*Settings!$B$3,"")</f>
        <v/>
      </c>
      <c r="W150" s="14" t="n">
        <v>39690</v>
      </c>
      <c r="X150" s="14" t="n">
        <v>31010</v>
      </c>
      <c r="Y150" s="11" t="inlineStr"/>
      <c r="Z150" s="11" t="inlineStr"/>
      <c r="AA150" s="8" t="inlineStr">
        <is>
          <t>Inventory master 6/2026 lists Digital Marquee at $10,000 (1 mo)</t>
        </is>
      </c>
      <c r="AB150" s="8" t="inlineStr"/>
      <c r="AC150" s="11" t="inlineStr">
        <is>
          <t>MasterMilitaryOnBaseList 12.2.25 NS.xlsx</t>
        </is>
      </c>
      <c r="AD150" s="11" t="inlineStr">
        <is>
          <t>2026 4th of July Sponsorship Levels.pdf</t>
        </is>
      </c>
      <c r="AE150" s="15" t="inlineStr">
        <is>
          <t>Open in Box</t>
        </is>
      </c>
      <c r="AF150" s="15" t="inlineStr">
        <is>
          <t>Open in Box</t>
        </is>
      </c>
    </row>
    <row r="151">
      <c r="A151" s="11" t="inlineStr">
        <is>
          <t>CA-CAMPPEND-004</t>
        </is>
      </c>
      <c r="B151" s="8" t="inlineStr">
        <is>
          <t>Camp Pendleton</t>
        </is>
      </c>
      <c r="C151" s="11" t="inlineStr"/>
      <c r="D151" s="11" t="inlineStr">
        <is>
          <t>CA</t>
        </is>
      </c>
      <c r="E151" s="11" t="inlineStr">
        <is>
          <t>San Diego</t>
        </is>
      </c>
      <c r="F151" s="11" t="inlineStr">
        <is>
          <t>92055</t>
        </is>
      </c>
      <c r="G151" s="11" t="inlineStr">
        <is>
          <t>Marine Corps</t>
        </is>
      </c>
      <c r="H151" s="11" t="inlineStr">
        <is>
          <t>Digital</t>
        </is>
      </c>
      <c r="I151" s="8" t="inlineStr">
        <is>
          <t>Roadside Marquees</t>
        </is>
      </c>
      <c r="J151" s="11" t="inlineStr">
        <is>
          <t>TBD</t>
        </is>
      </c>
      <c r="K151" s="8" t="inlineStr">
        <is>
          <t>Your ad will appear at 7 approved date entrances on the facility grounds.</t>
        </is>
      </c>
      <c r="L151" s="11" t="n">
        <v>1</v>
      </c>
      <c r="M151" s="12" t="n">
        <v>5000</v>
      </c>
      <c r="N151" s="12" t="n">
        <v>15000</v>
      </c>
      <c r="O151" s="12" t="n">
        <v>30000</v>
      </c>
      <c r="P151" s="12" t="n">
        <v>60000</v>
      </c>
      <c r="Q151" s="12" t="n">
        <v>0</v>
      </c>
      <c r="R151" s="13">
        <f>IF(ISNUMBER(M151),ROUND(M151/(1-Settings!$B$2)/Settings!$B$3,0)*Settings!$B$3,"")</f>
        <v/>
      </c>
      <c r="S151" s="13">
        <f>IF(ISNUMBER(N151),ROUND(N151/(1-Settings!$B$2)/Settings!$B$3,0)*Settings!$B$3,"")</f>
        <v/>
      </c>
      <c r="T151" s="13">
        <f>IF(ISNUMBER(O151),ROUND(O151/(1-Settings!$B$2)/Settings!$B$3,0)*Settings!$B$3,"")</f>
        <v/>
      </c>
      <c r="U151" s="13">
        <f>IF(ISNUMBER(P151),ROUND(P151/(1-Settings!$B$2)/Settings!$B$3,0)*Settings!$B$3,"")</f>
        <v/>
      </c>
      <c r="V151" s="13">
        <f>IF(ISNUMBER(Q151),ROUND(Q151/(1-Settings!$B$2)/Settings!$B$3,0)*Settings!$B$3,"")</f>
        <v/>
      </c>
      <c r="W151" s="14" t="n">
        <v>39690</v>
      </c>
      <c r="X151" s="14" t="n">
        <v>31010</v>
      </c>
      <c r="Y151" s="11" t="inlineStr"/>
      <c r="Z151" s="11" t="inlineStr"/>
      <c r="AA151" s="8" t="inlineStr">
        <is>
          <t>Inventory master 6/2026 lists Digital Marquee at $10,000 (1 mo)</t>
        </is>
      </c>
      <c r="AB151" s="8" t="inlineStr"/>
      <c r="AC151" s="11" t="inlineStr">
        <is>
          <t>MasterMilitaryOnBaseList 12.2.25 NS.xlsx</t>
        </is>
      </c>
      <c r="AD151" s="11" t="inlineStr">
        <is>
          <t>2026 4th of July Sponsorship Levels.pdf</t>
        </is>
      </c>
      <c r="AE151" s="15" t="inlineStr">
        <is>
          <t>Open in Box</t>
        </is>
      </c>
      <c r="AF151" s="15" t="inlineStr">
        <is>
          <t>Open in Box</t>
        </is>
      </c>
    </row>
    <row r="152">
      <c r="A152" s="11" t="inlineStr">
        <is>
          <t>CA-CAMPPEND-005</t>
        </is>
      </c>
      <c r="B152" s="8" t="inlineStr">
        <is>
          <t>Camp Pendleton</t>
        </is>
      </c>
      <c r="C152" s="11" t="inlineStr"/>
      <c r="D152" s="11" t="inlineStr">
        <is>
          <t>CA</t>
        </is>
      </c>
      <c r="E152" s="11" t="inlineStr">
        <is>
          <t>San Diego</t>
        </is>
      </c>
      <c r="F152" s="11" t="inlineStr">
        <is>
          <t>92055</t>
        </is>
      </c>
      <c r="G152" s="11" t="inlineStr">
        <is>
          <t>Marine Corps</t>
        </is>
      </c>
      <c r="H152" s="11" t="inlineStr">
        <is>
          <t>Digital</t>
        </is>
      </c>
      <c r="I152" s="8" t="inlineStr">
        <is>
          <t>Theater Marquees</t>
        </is>
      </c>
      <c r="J152" s="11" t="inlineStr">
        <is>
          <t>TBD</t>
        </is>
      </c>
      <c r="K152" s="8" t="inlineStr">
        <is>
          <t>Your ad will appear on the Theater Marquee on facility grounds.</t>
        </is>
      </c>
      <c r="L152" s="11" t="n">
        <v>1</v>
      </c>
      <c r="M152" s="12" t="n">
        <v>2500</v>
      </c>
      <c r="N152" s="12" t="n">
        <v>7500</v>
      </c>
      <c r="O152" s="12" t="n">
        <v>15000</v>
      </c>
      <c r="P152" s="12" t="n">
        <v>30000</v>
      </c>
      <c r="Q152" s="12" t="n">
        <v>0</v>
      </c>
      <c r="R152" s="13">
        <f>IF(ISNUMBER(M152),ROUND(M152/(1-Settings!$B$2)/Settings!$B$3,0)*Settings!$B$3,"")</f>
        <v/>
      </c>
      <c r="S152" s="13">
        <f>IF(ISNUMBER(N152),ROUND(N152/(1-Settings!$B$2)/Settings!$B$3,0)*Settings!$B$3,"")</f>
        <v/>
      </c>
      <c r="T152" s="13">
        <f>IF(ISNUMBER(O152),ROUND(O152/(1-Settings!$B$2)/Settings!$B$3,0)*Settings!$B$3,"")</f>
        <v/>
      </c>
      <c r="U152" s="13">
        <f>IF(ISNUMBER(P152),ROUND(P152/(1-Settings!$B$2)/Settings!$B$3,0)*Settings!$B$3,"")</f>
        <v/>
      </c>
      <c r="V152" s="13">
        <f>IF(ISNUMBER(Q152),ROUND(Q152/(1-Settings!$B$2)/Settings!$B$3,0)*Settings!$B$3,"")</f>
        <v/>
      </c>
      <c r="W152" s="14" t="n">
        <v>39690</v>
      </c>
      <c r="X152" s="14" t="n">
        <v>31010</v>
      </c>
      <c r="Y152" s="11" t="inlineStr"/>
      <c r="Z152" s="11" t="inlineStr"/>
      <c r="AA152" s="8" t="inlineStr">
        <is>
          <t>Inventory master 6/2026 lists Digital Marquee at $10,000 (1 mo)</t>
        </is>
      </c>
      <c r="AB152" s="8" t="inlineStr"/>
      <c r="AC152" s="11" t="inlineStr">
        <is>
          <t>MasterMilitaryOnBaseList 12.2.25 NS.xlsx</t>
        </is>
      </c>
      <c r="AD152" s="11" t="inlineStr">
        <is>
          <t>2026 4th of July Sponsorship Levels.pdf</t>
        </is>
      </c>
      <c r="AE152" s="15" t="inlineStr">
        <is>
          <t>Open in Box</t>
        </is>
      </c>
      <c r="AF152" s="15" t="inlineStr">
        <is>
          <t>Open in Box</t>
        </is>
      </c>
    </row>
    <row r="153">
      <c r="A153" s="11" t="inlineStr">
        <is>
          <t>CA-CAMPPEND-008</t>
        </is>
      </c>
      <c r="B153" s="8" t="inlineStr">
        <is>
          <t>Camp Pendleton</t>
        </is>
      </c>
      <c r="C153" s="11" t="inlineStr"/>
      <c r="D153" s="11" t="inlineStr">
        <is>
          <t>CA</t>
        </is>
      </c>
      <c r="E153" s="11" t="inlineStr">
        <is>
          <t>San Diego</t>
        </is>
      </c>
      <c r="F153" s="11" t="inlineStr">
        <is>
          <t>92055</t>
        </is>
      </c>
      <c r="G153" s="11" t="inlineStr">
        <is>
          <t>Marine Corps</t>
        </is>
      </c>
      <c r="H153" s="11" t="inlineStr">
        <is>
          <t>Large Format</t>
        </is>
      </c>
      <c r="I153" s="8" t="inlineStr">
        <is>
          <t>Counter Wraps</t>
        </is>
      </c>
      <c r="J153" s="11" t="inlineStr">
        <is>
          <t>TBD</t>
        </is>
      </c>
      <c r="K153" s="8" t="inlineStr">
        <is>
          <t>Your ad will appear on approved walls in installation facilities. Pricing varies based on location and advertising reach.</t>
        </is>
      </c>
      <c r="L153" s="11" t="n"/>
      <c r="M153" s="12" t="n"/>
      <c r="N153" s="12" t="n"/>
      <c r="O153" s="12" t="n"/>
      <c r="P153" s="12" t="n"/>
      <c r="Q153" s="12" t="n"/>
      <c r="R153" s="13">
        <f>IF(ISNUMBER(M153),ROUND(M153/(1-Settings!$B$2)/Settings!$B$3,0)*Settings!$B$3,"")</f>
        <v/>
      </c>
      <c r="S153" s="13">
        <f>IF(ISNUMBER(N153),ROUND(N153/(1-Settings!$B$2)/Settings!$B$3,0)*Settings!$B$3,"")</f>
        <v/>
      </c>
      <c r="T153" s="13">
        <f>IF(ISNUMBER(O153),ROUND(O153/(1-Settings!$B$2)/Settings!$B$3,0)*Settings!$B$3,"")</f>
        <v/>
      </c>
      <c r="U153" s="13">
        <f>IF(ISNUMBER(P153),ROUND(P153/(1-Settings!$B$2)/Settings!$B$3,0)*Settings!$B$3,"")</f>
        <v/>
      </c>
      <c r="V153" s="13">
        <f>IF(ISNUMBER(Q153),ROUND(Q153/(1-Settings!$B$2)/Settings!$B$3,0)*Settings!$B$3,"")</f>
        <v/>
      </c>
      <c r="W153" s="14" t="n">
        <v>39690</v>
      </c>
      <c r="X153" s="14" t="n">
        <v>31010</v>
      </c>
      <c r="Y153" s="11" t="inlineStr"/>
      <c r="Z153" s="11" t="inlineStr"/>
      <c r="AA153" s="8" t="inlineStr"/>
      <c r="AB153" s="16" t="inlineStr">
        <is>
          <t>No price on file - inquire</t>
        </is>
      </c>
      <c r="AC153" s="11" t="inlineStr">
        <is>
          <t>MasterMilitaryOnBaseList 12.2.25 NS.xlsx</t>
        </is>
      </c>
      <c r="AD153" s="11" t="inlineStr">
        <is>
          <t>2026 4th of July Sponsorship Levels.pdf</t>
        </is>
      </c>
      <c r="AE153" s="15" t="inlineStr">
        <is>
          <t>Open in Box</t>
        </is>
      </c>
      <c r="AF153" s="15" t="inlineStr">
        <is>
          <t>Open in Box</t>
        </is>
      </c>
    </row>
    <row r="154">
      <c r="A154" s="11" t="inlineStr">
        <is>
          <t>CA-CAMPPEND-009</t>
        </is>
      </c>
      <c r="B154" s="8" t="inlineStr">
        <is>
          <t>Camp Pendleton</t>
        </is>
      </c>
      <c r="C154" s="11" t="inlineStr"/>
      <c r="D154" s="11" t="inlineStr">
        <is>
          <t>CA</t>
        </is>
      </c>
      <c r="E154" s="11" t="inlineStr">
        <is>
          <t>San Diego</t>
        </is>
      </c>
      <c r="F154" s="11" t="inlineStr">
        <is>
          <t>92055</t>
        </is>
      </c>
      <c r="G154" s="11" t="inlineStr">
        <is>
          <t>Marine Corps</t>
        </is>
      </c>
      <c r="H154" s="11" t="inlineStr">
        <is>
          <t>Large Format</t>
        </is>
      </c>
      <c r="I154" s="8" t="inlineStr">
        <is>
          <t>Counter Wraps</t>
        </is>
      </c>
      <c r="J154" s="11" t="inlineStr">
        <is>
          <t>Varies</t>
        </is>
      </c>
      <c r="K154" s="8" t="inlineStr">
        <is>
          <t>Your ad will appear in an approved installation facility.</t>
        </is>
      </c>
      <c r="L154" s="11" t="n">
        <v>1</v>
      </c>
      <c r="M154" s="12" t="n">
        <v>22000</v>
      </c>
      <c r="N154" s="12" t="n">
        <v>66000</v>
      </c>
      <c r="O154" s="12" t="n">
        <v>132000</v>
      </c>
      <c r="P154" s="12" t="n">
        <v>264000</v>
      </c>
      <c r="Q154" s="12" t="n"/>
      <c r="R154" s="13">
        <f>IF(ISNUMBER(M154),ROUND(M154/(1-Settings!$B$2)/Settings!$B$3,0)*Settings!$B$3,"")</f>
        <v/>
      </c>
      <c r="S154" s="13">
        <f>IF(ISNUMBER(N154),ROUND(N154/(1-Settings!$B$2)/Settings!$B$3,0)*Settings!$B$3,"")</f>
        <v/>
      </c>
      <c r="T154" s="13">
        <f>IF(ISNUMBER(O154),ROUND(O154/(1-Settings!$B$2)/Settings!$B$3,0)*Settings!$B$3,"")</f>
        <v/>
      </c>
      <c r="U154" s="13">
        <f>IF(ISNUMBER(P154),ROUND(P154/(1-Settings!$B$2)/Settings!$B$3,0)*Settings!$B$3,"")</f>
        <v/>
      </c>
      <c r="V154" s="13">
        <f>IF(ISNUMBER(Q154),ROUND(Q154/(1-Settings!$B$2)/Settings!$B$3,0)*Settings!$B$3,"")</f>
        <v/>
      </c>
      <c r="W154" s="14" t="n">
        <v>39690</v>
      </c>
      <c r="X154" s="14" t="n">
        <v>31010</v>
      </c>
      <c r="Y154" s="11" t="inlineStr"/>
      <c r="Z154" s="11" t="inlineStr"/>
      <c r="AA154" s="8" t="inlineStr"/>
      <c r="AB154" s="8" t="inlineStr"/>
      <c r="AC154" s="11" t="inlineStr">
        <is>
          <t>MasterMilitaryOnBaseList 12.2.25 NS.xlsx</t>
        </is>
      </c>
      <c r="AD154" s="11" t="inlineStr">
        <is>
          <t>2026 4th of July Sponsorship Levels.pdf</t>
        </is>
      </c>
      <c r="AE154" s="15" t="inlineStr">
        <is>
          <t>Open in Box</t>
        </is>
      </c>
      <c r="AF154" s="15" t="inlineStr">
        <is>
          <t>Open in Box</t>
        </is>
      </c>
    </row>
    <row r="155">
      <c r="A155" s="11" t="inlineStr">
        <is>
          <t>CA-CAMPPEND-010</t>
        </is>
      </c>
      <c r="B155" s="8" t="inlineStr">
        <is>
          <t>Camp Pendleton</t>
        </is>
      </c>
      <c r="C155" s="11" t="inlineStr"/>
      <c r="D155" s="11" t="inlineStr">
        <is>
          <t>CA</t>
        </is>
      </c>
      <c r="E155" s="11" t="inlineStr">
        <is>
          <t>San Diego</t>
        </is>
      </c>
      <c r="F155" s="11" t="inlineStr">
        <is>
          <t>92055</t>
        </is>
      </c>
      <c r="G155" s="11" t="inlineStr">
        <is>
          <t>Marine Corps</t>
        </is>
      </c>
      <c r="H155" s="11" t="inlineStr">
        <is>
          <t>Large Format</t>
        </is>
      </c>
      <c r="I155" s="8" t="inlineStr">
        <is>
          <t>Fence Banner</t>
        </is>
      </c>
      <c r="J155" s="11" t="inlineStr">
        <is>
          <t>8'W x 3'H</t>
        </is>
      </c>
      <c r="K155" s="8" t="inlineStr">
        <is>
          <t>Your ad will appear on an approved fenceline.</t>
        </is>
      </c>
      <c r="L155" s="11" t="n">
        <v>1</v>
      </c>
      <c r="M155" s="12" t="n">
        <v>500</v>
      </c>
      <c r="N155" s="12" t="n">
        <v>1500</v>
      </c>
      <c r="O155" s="12" t="n">
        <v>3000</v>
      </c>
      <c r="P155" s="12" t="n">
        <v>6000</v>
      </c>
      <c r="Q155" s="12" t="n">
        <v>275</v>
      </c>
      <c r="R155" s="13">
        <f>IF(ISNUMBER(M155),ROUND(M155/(1-Settings!$B$2)/Settings!$B$3,0)*Settings!$B$3,"")</f>
        <v/>
      </c>
      <c r="S155" s="13">
        <f>IF(ISNUMBER(N155),ROUND(N155/(1-Settings!$B$2)/Settings!$B$3,0)*Settings!$B$3,"")</f>
        <v/>
      </c>
      <c r="T155" s="13">
        <f>IF(ISNUMBER(O155),ROUND(O155/(1-Settings!$B$2)/Settings!$B$3,0)*Settings!$B$3,"")</f>
        <v/>
      </c>
      <c r="U155" s="13">
        <f>IF(ISNUMBER(P155),ROUND(P155/(1-Settings!$B$2)/Settings!$B$3,0)*Settings!$B$3,"")</f>
        <v/>
      </c>
      <c r="V155" s="13">
        <f>IF(ISNUMBER(Q155),ROUND(Q155/(1-Settings!$B$2)/Settings!$B$3,0)*Settings!$B$3,"")</f>
        <v/>
      </c>
      <c r="W155" s="14" t="n">
        <v>39690</v>
      </c>
      <c r="X155" s="14" t="n">
        <v>31010</v>
      </c>
      <c r="Y155" s="11" t="inlineStr"/>
      <c r="Z155" s="11" t="inlineStr"/>
      <c r="AA155" s="8" t="inlineStr"/>
      <c r="AB155" s="8" t="inlineStr"/>
      <c r="AC155" s="11" t="inlineStr">
        <is>
          <t>MasterMilitaryOnBaseList 12.2.25 NS.xlsx</t>
        </is>
      </c>
      <c r="AD155" s="11" t="inlineStr">
        <is>
          <t>2026 4th of July Sponsorship Levels.pdf</t>
        </is>
      </c>
      <c r="AE155" s="15" t="inlineStr">
        <is>
          <t>Open in Box</t>
        </is>
      </c>
      <c r="AF155" s="15" t="inlineStr">
        <is>
          <t>Open in Box</t>
        </is>
      </c>
    </row>
    <row r="156">
      <c r="A156" s="11" t="inlineStr">
        <is>
          <t>CA-CAMPPEND-011</t>
        </is>
      </c>
      <c r="B156" s="8" t="inlineStr">
        <is>
          <t>Camp Pendleton</t>
        </is>
      </c>
      <c r="C156" s="11" t="inlineStr"/>
      <c r="D156" s="11" t="inlineStr">
        <is>
          <t>CA</t>
        </is>
      </c>
      <c r="E156" s="11" t="inlineStr">
        <is>
          <t>San Diego</t>
        </is>
      </c>
      <c r="F156" s="11" t="inlineStr">
        <is>
          <t>92055</t>
        </is>
      </c>
      <c r="G156" s="11" t="inlineStr">
        <is>
          <t>Marine Corps</t>
        </is>
      </c>
      <c r="H156" s="11" t="inlineStr">
        <is>
          <t>Large Format</t>
        </is>
      </c>
      <c r="I156" s="8" t="inlineStr">
        <is>
          <t>Fenceline Banner</t>
        </is>
      </c>
      <c r="J156" s="11" t="inlineStr">
        <is>
          <t>8'W x 3'H</t>
        </is>
      </c>
      <c r="K156" s="8" t="inlineStr">
        <is>
          <t>Your ad will appear on approved fences on the installation.</t>
        </is>
      </c>
      <c r="L156" s="11" t="n">
        <v>1</v>
      </c>
      <c r="M156" s="12" t="n">
        <v>500</v>
      </c>
      <c r="N156" s="12" t="n">
        <v>1500</v>
      </c>
      <c r="O156" s="12" t="n">
        <v>3000</v>
      </c>
      <c r="P156" s="12" t="n">
        <v>6000</v>
      </c>
      <c r="Q156" s="12" t="n">
        <v>200</v>
      </c>
      <c r="R156" s="13">
        <f>IF(ISNUMBER(M156),ROUND(M156/(1-Settings!$B$2)/Settings!$B$3,0)*Settings!$B$3,"")</f>
        <v/>
      </c>
      <c r="S156" s="13">
        <f>IF(ISNUMBER(N156),ROUND(N156/(1-Settings!$B$2)/Settings!$B$3,0)*Settings!$B$3,"")</f>
        <v/>
      </c>
      <c r="T156" s="13">
        <f>IF(ISNUMBER(O156),ROUND(O156/(1-Settings!$B$2)/Settings!$B$3,0)*Settings!$B$3,"")</f>
        <v/>
      </c>
      <c r="U156" s="13">
        <f>IF(ISNUMBER(P156),ROUND(P156/(1-Settings!$B$2)/Settings!$B$3,0)*Settings!$B$3,"")</f>
        <v/>
      </c>
      <c r="V156" s="13">
        <f>IF(ISNUMBER(Q156),ROUND(Q156/(1-Settings!$B$2)/Settings!$B$3,0)*Settings!$B$3,"")</f>
        <v/>
      </c>
      <c r="W156" s="14" t="n">
        <v>39690</v>
      </c>
      <c r="X156" s="14" t="n">
        <v>31010</v>
      </c>
      <c r="Y156" s="11" t="inlineStr"/>
      <c r="Z156" s="11" t="inlineStr"/>
      <c r="AA156" s="8" t="inlineStr"/>
      <c r="AB156" s="8" t="inlineStr"/>
      <c r="AC156" s="11" t="inlineStr">
        <is>
          <t>MasterMilitaryOnBaseList 12.2.25 NS.xlsx</t>
        </is>
      </c>
      <c r="AD156" s="11" t="inlineStr">
        <is>
          <t>2026 4th of July Sponsorship Levels.pdf</t>
        </is>
      </c>
      <c r="AE156" s="15" t="inlineStr">
        <is>
          <t>Open in Box</t>
        </is>
      </c>
      <c r="AF156" s="15" t="inlineStr">
        <is>
          <t>Open in Box</t>
        </is>
      </c>
    </row>
    <row r="157">
      <c r="A157" s="11" t="inlineStr">
        <is>
          <t>CA-CAMPPEND-012</t>
        </is>
      </c>
      <c r="B157" s="8" t="inlineStr">
        <is>
          <t>Camp Pendleton</t>
        </is>
      </c>
      <c r="C157" s="11" t="inlineStr"/>
      <c r="D157" s="11" t="inlineStr">
        <is>
          <t>CA</t>
        </is>
      </c>
      <c r="E157" s="11" t="inlineStr">
        <is>
          <t>San Diego</t>
        </is>
      </c>
      <c r="F157" s="11" t="inlineStr">
        <is>
          <t>92055</t>
        </is>
      </c>
      <c r="G157" s="11" t="inlineStr">
        <is>
          <t>Marine Corps</t>
        </is>
      </c>
      <c r="H157" s="11" t="inlineStr">
        <is>
          <t>Large Format</t>
        </is>
      </c>
      <c r="I157" s="8" t="inlineStr">
        <is>
          <t>Large Banner</t>
        </is>
      </c>
      <c r="J157" s="11" t="inlineStr">
        <is>
          <t>11'W x 12'H</t>
        </is>
      </c>
      <c r="K157" s="8" t="inlineStr">
        <is>
          <t>Your ad will appear on approved locations on the installation.</t>
        </is>
      </c>
      <c r="L157" s="11" t="n">
        <v>1</v>
      </c>
      <c r="M157" s="12" t="n">
        <v>2500</v>
      </c>
      <c r="N157" s="12" t="n">
        <v>7500</v>
      </c>
      <c r="O157" s="12" t="n">
        <v>15000</v>
      </c>
      <c r="P157" s="12" t="n">
        <v>30000</v>
      </c>
      <c r="Q157" s="12" t="n">
        <v>200</v>
      </c>
      <c r="R157" s="13">
        <f>IF(ISNUMBER(M157),ROUND(M157/(1-Settings!$B$2)/Settings!$B$3,0)*Settings!$B$3,"")</f>
        <v/>
      </c>
      <c r="S157" s="13">
        <f>IF(ISNUMBER(N157),ROUND(N157/(1-Settings!$B$2)/Settings!$B$3,0)*Settings!$B$3,"")</f>
        <v/>
      </c>
      <c r="T157" s="13">
        <f>IF(ISNUMBER(O157),ROUND(O157/(1-Settings!$B$2)/Settings!$B$3,0)*Settings!$B$3,"")</f>
        <v/>
      </c>
      <c r="U157" s="13">
        <f>IF(ISNUMBER(P157),ROUND(P157/(1-Settings!$B$2)/Settings!$B$3,0)*Settings!$B$3,"")</f>
        <v/>
      </c>
      <c r="V157" s="13">
        <f>IF(ISNUMBER(Q157),ROUND(Q157/(1-Settings!$B$2)/Settings!$B$3,0)*Settings!$B$3,"")</f>
        <v/>
      </c>
      <c r="W157" s="14" t="n">
        <v>39690</v>
      </c>
      <c r="X157" s="14" t="n">
        <v>31010</v>
      </c>
      <c r="Y157" s="11" t="inlineStr"/>
      <c r="Z157" s="11" t="inlineStr"/>
      <c r="AA157" s="8" t="inlineStr"/>
      <c r="AB157" s="8" t="inlineStr"/>
      <c r="AC157" s="11" t="inlineStr">
        <is>
          <t>MasterMilitaryOnBaseList 12.2.25 NS.xlsx</t>
        </is>
      </c>
      <c r="AD157" s="11" t="inlineStr">
        <is>
          <t>2026 4th of July Sponsorship Levels.pdf</t>
        </is>
      </c>
      <c r="AE157" s="15" t="inlineStr">
        <is>
          <t>Open in Box</t>
        </is>
      </c>
      <c r="AF157" s="15" t="inlineStr">
        <is>
          <t>Open in Box</t>
        </is>
      </c>
    </row>
    <row r="158">
      <c r="A158" s="11" t="inlineStr">
        <is>
          <t>CA-CAMPPEND-013</t>
        </is>
      </c>
      <c r="B158" s="8" t="inlineStr">
        <is>
          <t>Camp Pendleton</t>
        </is>
      </c>
      <c r="C158" s="11" t="inlineStr"/>
      <c r="D158" s="11" t="inlineStr">
        <is>
          <t>CA</t>
        </is>
      </c>
      <c r="E158" s="11" t="inlineStr">
        <is>
          <t>San Diego</t>
        </is>
      </c>
      <c r="F158" s="11" t="inlineStr">
        <is>
          <t>92055</t>
        </is>
      </c>
      <c r="G158" s="11" t="inlineStr">
        <is>
          <t>Marine Corps</t>
        </is>
      </c>
      <c r="H158" s="11" t="inlineStr">
        <is>
          <t>Large Format</t>
        </is>
      </c>
      <c r="I158" s="8" t="inlineStr">
        <is>
          <t>Large Banner</t>
        </is>
      </c>
      <c r="J158" s="11" t="inlineStr">
        <is>
          <t>11'W x 12'H</t>
        </is>
      </c>
      <c r="K158" s="8" t="inlineStr">
        <is>
          <t>Your ad will appear in rotation along 5 different gates.</t>
        </is>
      </c>
      <c r="L158" s="11" t="n">
        <v>1</v>
      </c>
      <c r="M158" s="12" t="n">
        <v>2500</v>
      </c>
      <c r="N158" s="12" t="n">
        <v>7500</v>
      </c>
      <c r="O158" s="12" t="n">
        <v>15000</v>
      </c>
      <c r="P158" s="12" t="n">
        <v>30000</v>
      </c>
      <c r="Q158" s="12" t="n"/>
      <c r="R158" s="13">
        <f>IF(ISNUMBER(M158),ROUND(M158/(1-Settings!$B$2)/Settings!$B$3,0)*Settings!$B$3,"")</f>
        <v/>
      </c>
      <c r="S158" s="13">
        <f>IF(ISNUMBER(N158),ROUND(N158/(1-Settings!$B$2)/Settings!$B$3,0)*Settings!$B$3,"")</f>
        <v/>
      </c>
      <c r="T158" s="13">
        <f>IF(ISNUMBER(O158),ROUND(O158/(1-Settings!$B$2)/Settings!$B$3,0)*Settings!$B$3,"")</f>
        <v/>
      </c>
      <c r="U158" s="13">
        <f>IF(ISNUMBER(P158),ROUND(P158/(1-Settings!$B$2)/Settings!$B$3,0)*Settings!$B$3,"")</f>
        <v/>
      </c>
      <c r="V158" s="13">
        <f>IF(ISNUMBER(Q158),ROUND(Q158/(1-Settings!$B$2)/Settings!$B$3,0)*Settings!$B$3,"")</f>
        <v/>
      </c>
      <c r="W158" s="14" t="n">
        <v>39690</v>
      </c>
      <c r="X158" s="14" t="n">
        <v>31010</v>
      </c>
      <c r="Y158" s="11" t="inlineStr"/>
      <c r="Z158" s="11" t="inlineStr"/>
      <c r="AA158" s="8" t="inlineStr"/>
      <c r="AB158" s="8" t="inlineStr"/>
      <c r="AC158" s="11" t="inlineStr">
        <is>
          <t>MasterMilitaryOnBaseList 12.2.25 NS.xlsx</t>
        </is>
      </c>
      <c r="AD158" s="11" t="inlineStr">
        <is>
          <t>2026 4th of July Sponsorship Levels.pdf</t>
        </is>
      </c>
      <c r="AE158" s="15" t="inlineStr">
        <is>
          <t>Open in Box</t>
        </is>
      </c>
      <c r="AF158" s="15" t="inlineStr">
        <is>
          <t>Open in Box</t>
        </is>
      </c>
    </row>
    <row r="159">
      <c r="A159" s="11" t="inlineStr">
        <is>
          <t>CA-CAMPPEND-014</t>
        </is>
      </c>
      <c r="B159" s="8" t="inlineStr">
        <is>
          <t>Camp Pendleton</t>
        </is>
      </c>
      <c r="C159" s="11" t="inlineStr"/>
      <c r="D159" s="11" t="inlineStr">
        <is>
          <t>CA</t>
        </is>
      </c>
      <c r="E159" s="11" t="inlineStr">
        <is>
          <t>San Diego</t>
        </is>
      </c>
      <c r="F159" s="11" t="inlineStr">
        <is>
          <t>92055</t>
        </is>
      </c>
      <c r="G159" s="11" t="inlineStr">
        <is>
          <t>Marine Corps</t>
        </is>
      </c>
      <c r="H159" s="11" t="inlineStr">
        <is>
          <t>Large Format</t>
        </is>
      </c>
      <c r="I159" s="8" t="inlineStr">
        <is>
          <t>Wall Wraps</t>
        </is>
      </c>
      <c r="J159" s="11" t="inlineStr">
        <is>
          <t>TBD</t>
        </is>
      </c>
      <c r="K159" s="8" t="inlineStr">
        <is>
          <t>Your ad will appear on approved walls in installation facilities. Pricing varies based on location and advertising reach.</t>
        </is>
      </c>
      <c r="L159" s="11" t="n"/>
      <c r="M159" s="12" t="n"/>
      <c r="N159" s="12" t="n"/>
      <c r="O159" s="12" t="n"/>
      <c r="P159" s="12" t="n"/>
      <c r="Q159" s="12" t="n"/>
      <c r="R159" s="13">
        <f>IF(ISNUMBER(M159),ROUND(M159/(1-Settings!$B$2)/Settings!$B$3,0)*Settings!$B$3,"")</f>
        <v/>
      </c>
      <c r="S159" s="13">
        <f>IF(ISNUMBER(N159),ROUND(N159/(1-Settings!$B$2)/Settings!$B$3,0)*Settings!$B$3,"")</f>
        <v/>
      </c>
      <c r="T159" s="13">
        <f>IF(ISNUMBER(O159),ROUND(O159/(1-Settings!$B$2)/Settings!$B$3,0)*Settings!$B$3,"")</f>
        <v/>
      </c>
      <c r="U159" s="13">
        <f>IF(ISNUMBER(P159),ROUND(P159/(1-Settings!$B$2)/Settings!$B$3,0)*Settings!$B$3,"")</f>
        <v/>
      </c>
      <c r="V159" s="13">
        <f>IF(ISNUMBER(Q159),ROUND(Q159/(1-Settings!$B$2)/Settings!$B$3,0)*Settings!$B$3,"")</f>
        <v/>
      </c>
      <c r="W159" s="14" t="n">
        <v>39690</v>
      </c>
      <c r="X159" s="14" t="n">
        <v>31010</v>
      </c>
      <c r="Y159" s="11" t="inlineStr"/>
      <c r="Z159" s="11" t="inlineStr"/>
      <c r="AA159" s="8" t="inlineStr"/>
      <c r="AB159" s="16" t="inlineStr">
        <is>
          <t>No price on file - inquire</t>
        </is>
      </c>
      <c r="AC159" s="11" t="inlineStr">
        <is>
          <t>MasterMilitaryOnBaseList 12.2.25 NS.xlsx</t>
        </is>
      </c>
      <c r="AD159" s="11" t="inlineStr">
        <is>
          <t>2026 4th of July Sponsorship Levels.pdf</t>
        </is>
      </c>
      <c r="AE159" s="15" t="inlineStr">
        <is>
          <t>Open in Box</t>
        </is>
      </c>
      <c r="AF159" s="15" t="inlineStr">
        <is>
          <t>Open in Box</t>
        </is>
      </c>
    </row>
    <row r="160">
      <c r="A160" s="11" t="inlineStr">
        <is>
          <t>CA-CAMPPEND-015</t>
        </is>
      </c>
      <c r="B160" s="8" t="inlineStr">
        <is>
          <t>Camp Pendleton</t>
        </is>
      </c>
      <c r="C160" s="11" t="inlineStr"/>
      <c r="D160" s="11" t="inlineStr">
        <is>
          <t>CA</t>
        </is>
      </c>
      <c r="E160" s="11" t="inlineStr">
        <is>
          <t>San Diego</t>
        </is>
      </c>
      <c r="F160" s="11" t="inlineStr">
        <is>
          <t>92055</t>
        </is>
      </c>
      <c r="G160" s="11" t="inlineStr">
        <is>
          <t>Marine Corps</t>
        </is>
      </c>
      <c r="H160" s="11" t="inlineStr">
        <is>
          <t>Large Format</t>
        </is>
      </c>
      <c r="I160" s="8" t="inlineStr">
        <is>
          <t>Wall Wraps</t>
        </is>
      </c>
      <c r="J160" s="11" t="inlineStr">
        <is>
          <t>Varies</t>
        </is>
      </c>
      <c r="K160" s="8" t="inlineStr">
        <is>
          <t>Your ad will appear in an approved installation facility.</t>
        </is>
      </c>
      <c r="L160" s="11" t="n">
        <v>1</v>
      </c>
      <c r="M160" s="12" t="n">
        <v>22000</v>
      </c>
      <c r="N160" s="12" t="n">
        <v>66000</v>
      </c>
      <c r="O160" s="12" t="n">
        <v>132000</v>
      </c>
      <c r="P160" s="12" t="n">
        <v>264000</v>
      </c>
      <c r="Q160" s="12" t="n"/>
      <c r="R160" s="13">
        <f>IF(ISNUMBER(M160),ROUND(M160/(1-Settings!$B$2)/Settings!$B$3,0)*Settings!$B$3,"")</f>
        <v/>
      </c>
      <c r="S160" s="13">
        <f>IF(ISNUMBER(N160),ROUND(N160/(1-Settings!$B$2)/Settings!$B$3,0)*Settings!$B$3,"")</f>
        <v/>
      </c>
      <c r="T160" s="13">
        <f>IF(ISNUMBER(O160),ROUND(O160/(1-Settings!$B$2)/Settings!$B$3,0)*Settings!$B$3,"")</f>
        <v/>
      </c>
      <c r="U160" s="13">
        <f>IF(ISNUMBER(P160),ROUND(P160/(1-Settings!$B$2)/Settings!$B$3,0)*Settings!$B$3,"")</f>
        <v/>
      </c>
      <c r="V160" s="13">
        <f>IF(ISNUMBER(Q160),ROUND(Q160/(1-Settings!$B$2)/Settings!$B$3,0)*Settings!$B$3,"")</f>
        <v/>
      </c>
      <c r="W160" s="14" t="n">
        <v>39690</v>
      </c>
      <c r="X160" s="14" t="n">
        <v>31010</v>
      </c>
      <c r="Y160" s="11" t="inlineStr"/>
      <c r="Z160" s="11" t="inlineStr"/>
      <c r="AA160" s="8" t="inlineStr"/>
      <c r="AB160" s="8" t="inlineStr"/>
      <c r="AC160" s="11" t="inlineStr">
        <is>
          <t>MasterMilitaryOnBaseList 12.2.25 NS.xlsx</t>
        </is>
      </c>
      <c r="AD160" s="11" t="inlineStr">
        <is>
          <t>2026 4th of July Sponsorship Levels.pdf</t>
        </is>
      </c>
      <c r="AE160" s="15" t="inlineStr">
        <is>
          <t>Open in Box</t>
        </is>
      </c>
      <c r="AF160" s="15" t="inlineStr">
        <is>
          <t>Open in Box</t>
        </is>
      </c>
    </row>
    <row r="161">
      <c r="A161" s="11" t="inlineStr">
        <is>
          <t>CA-CAMPPEND-016</t>
        </is>
      </c>
      <c r="B161" s="8" t="inlineStr">
        <is>
          <t>Camp Pendleton</t>
        </is>
      </c>
      <c r="C161" s="11" t="inlineStr"/>
      <c r="D161" s="11" t="inlineStr">
        <is>
          <t>CA</t>
        </is>
      </c>
      <c r="E161" s="11" t="inlineStr">
        <is>
          <t>San Diego</t>
        </is>
      </c>
      <c r="F161" s="11" t="inlineStr">
        <is>
          <t>92055</t>
        </is>
      </c>
      <c r="G161" s="11" t="inlineStr">
        <is>
          <t>Marine Corps</t>
        </is>
      </c>
      <c r="H161" s="11" t="inlineStr">
        <is>
          <t>Large Format</t>
        </is>
      </c>
      <c r="I161" s="8" t="inlineStr">
        <is>
          <t>Window Clings</t>
        </is>
      </c>
      <c r="J161" s="11" t="inlineStr">
        <is>
          <t>TBD</t>
        </is>
      </c>
      <c r="K161" s="8" t="inlineStr">
        <is>
          <t>Your ad will appear on approved walls in installation facilities. Pricing varies based on location and advertising reach.</t>
        </is>
      </c>
      <c r="L161" s="11" t="n"/>
      <c r="M161" s="12" t="n"/>
      <c r="N161" s="12" t="n"/>
      <c r="O161" s="12" t="n"/>
      <c r="P161" s="12" t="n"/>
      <c r="Q161" s="12" t="n"/>
      <c r="R161" s="13">
        <f>IF(ISNUMBER(M161),ROUND(M161/(1-Settings!$B$2)/Settings!$B$3,0)*Settings!$B$3,"")</f>
        <v/>
      </c>
      <c r="S161" s="13">
        <f>IF(ISNUMBER(N161),ROUND(N161/(1-Settings!$B$2)/Settings!$B$3,0)*Settings!$B$3,"")</f>
        <v/>
      </c>
      <c r="T161" s="13">
        <f>IF(ISNUMBER(O161),ROUND(O161/(1-Settings!$B$2)/Settings!$B$3,0)*Settings!$B$3,"")</f>
        <v/>
      </c>
      <c r="U161" s="13">
        <f>IF(ISNUMBER(P161),ROUND(P161/(1-Settings!$B$2)/Settings!$B$3,0)*Settings!$B$3,"")</f>
        <v/>
      </c>
      <c r="V161" s="13">
        <f>IF(ISNUMBER(Q161),ROUND(Q161/(1-Settings!$B$2)/Settings!$B$3,0)*Settings!$B$3,"")</f>
        <v/>
      </c>
      <c r="W161" s="14" t="n">
        <v>39690</v>
      </c>
      <c r="X161" s="14" t="n">
        <v>31010</v>
      </c>
      <c r="Y161" s="11" t="inlineStr"/>
      <c r="Z161" s="11" t="inlineStr"/>
      <c r="AA161" s="8" t="inlineStr"/>
      <c r="AB161" s="16" t="inlineStr">
        <is>
          <t>No price on file - inquire</t>
        </is>
      </c>
      <c r="AC161" s="11" t="inlineStr">
        <is>
          <t>MasterMilitaryOnBaseList 12.2.25 NS.xlsx</t>
        </is>
      </c>
      <c r="AD161" s="11" t="inlineStr">
        <is>
          <t>2026 4th of July Sponsorship Levels.pdf</t>
        </is>
      </c>
      <c r="AE161" s="15" t="inlineStr">
        <is>
          <t>Open in Box</t>
        </is>
      </c>
      <c r="AF161" s="15" t="inlineStr">
        <is>
          <t>Open in Box</t>
        </is>
      </c>
    </row>
    <row r="162">
      <c r="A162" s="11" t="inlineStr">
        <is>
          <t>CA-CAMPPEND-017</t>
        </is>
      </c>
      <c r="B162" s="8" t="inlineStr">
        <is>
          <t>Camp Pendleton</t>
        </is>
      </c>
      <c r="C162" s="11" t="inlineStr"/>
      <c r="D162" s="11" t="inlineStr">
        <is>
          <t>CA</t>
        </is>
      </c>
      <c r="E162" s="11" t="inlineStr">
        <is>
          <t>San Diego</t>
        </is>
      </c>
      <c r="F162" s="11" t="inlineStr">
        <is>
          <t>92055</t>
        </is>
      </c>
      <c r="G162" s="11" t="inlineStr">
        <is>
          <t>Marine Corps</t>
        </is>
      </c>
      <c r="H162" s="11" t="inlineStr">
        <is>
          <t>Large Format</t>
        </is>
      </c>
      <c r="I162" s="8" t="inlineStr">
        <is>
          <t>Window Clings</t>
        </is>
      </c>
      <c r="J162" s="11" t="inlineStr">
        <is>
          <t>Varies</t>
        </is>
      </c>
      <c r="K162" s="8" t="inlineStr">
        <is>
          <t>Your ad will appear in an approved installation facility.</t>
        </is>
      </c>
      <c r="L162" s="11" t="n">
        <v>1</v>
      </c>
      <c r="M162" s="12" t="n">
        <v>22000</v>
      </c>
      <c r="N162" s="12" t="n">
        <v>66000</v>
      </c>
      <c r="O162" s="12" t="n">
        <v>132000</v>
      </c>
      <c r="P162" s="12" t="n">
        <v>264000</v>
      </c>
      <c r="Q162" s="12" t="n"/>
      <c r="R162" s="13">
        <f>IF(ISNUMBER(M162),ROUND(M162/(1-Settings!$B$2)/Settings!$B$3,0)*Settings!$B$3,"")</f>
        <v/>
      </c>
      <c r="S162" s="13">
        <f>IF(ISNUMBER(N162),ROUND(N162/(1-Settings!$B$2)/Settings!$B$3,0)*Settings!$B$3,"")</f>
        <v/>
      </c>
      <c r="T162" s="13">
        <f>IF(ISNUMBER(O162),ROUND(O162/(1-Settings!$B$2)/Settings!$B$3,0)*Settings!$B$3,"")</f>
        <v/>
      </c>
      <c r="U162" s="13">
        <f>IF(ISNUMBER(P162),ROUND(P162/(1-Settings!$B$2)/Settings!$B$3,0)*Settings!$B$3,"")</f>
        <v/>
      </c>
      <c r="V162" s="13">
        <f>IF(ISNUMBER(Q162),ROUND(Q162/(1-Settings!$B$2)/Settings!$B$3,0)*Settings!$B$3,"")</f>
        <v/>
      </c>
      <c r="W162" s="14" t="n">
        <v>39690</v>
      </c>
      <c r="X162" s="14" t="n">
        <v>31010</v>
      </c>
      <c r="Y162" s="11" t="inlineStr"/>
      <c r="Z162" s="11" t="inlineStr"/>
      <c r="AA162" s="8" t="inlineStr"/>
      <c r="AB162" s="8" t="inlineStr"/>
      <c r="AC162" s="11" t="inlineStr">
        <is>
          <t>MasterMilitaryOnBaseList 12.2.25 NS.xlsx</t>
        </is>
      </c>
      <c r="AD162" s="11" t="inlineStr">
        <is>
          <t>2026 4th of July Sponsorship Levels.pdf</t>
        </is>
      </c>
      <c r="AE162" s="15" t="inlineStr">
        <is>
          <t>Open in Box</t>
        </is>
      </c>
      <c r="AF162" s="15" t="inlineStr">
        <is>
          <t>Open in Box</t>
        </is>
      </c>
    </row>
    <row r="163">
      <c r="A163" s="11" t="inlineStr">
        <is>
          <t>CA-CAMPPEND-018</t>
        </is>
      </c>
      <c r="B163" s="8" t="inlineStr">
        <is>
          <t>Camp Pendleton</t>
        </is>
      </c>
      <c r="C163" s="11" t="inlineStr"/>
      <c r="D163" s="11" t="inlineStr">
        <is>
          <t>CA</t>
        </is>
      </c>
      <c r="E163" s="11" t="inlineStr">
        <is>
          <t>San Diego</t>
        </is>
      </c>
      <c r="F163" s="11" t="inlineStr">
        <is>
          <t>92055</t>
        </is>
      </c>
      <c r="G163" s="11" t="inlineStr">
        <is>
          <t>Marine Corps</t>
        </is>
      </c>
      <c r="H163" s="11" t="inlineStr">
        <is>
          <t>Print &amp; Publications</t>
        </is>
      </c>
      <c r="I163" s="8" t="inlineStr">
        <is>
          <t>DRC Unit Newsletter</t>
        </is>
      </c>
      <c r="J163" s="11" t="inlineStr">
        <is>
          <t>8.5"W x 11"H</t>
        </is>
      </c>
      <c r="K163" s="8" t="inlineStr">
        <is>
          <t>Your ad will appear in the DRC Unit Newsletter.</t>
        </is>
      </c>
      <c r="L163" s="11" t="n">
        <v>1</v>
      </c>
      <c r="M163" s="12" t="n">
        <v>300</v>
      </c>
      <c r="N163" s="12" t="n">
        <v>900</v>
      </c>
      <c r="O163" s="12" t="n">
        <v>1800</v>
      </c>
      <c r="P163" s="12" t="n">
        <v>3600</v>
      </c>
      <c r="Q163" s="12" t="n">
        <v>0</v>
      </c>
      <c r="R163" s="13">
        <f>IF(ISNUMBER(M163),ROUND(M163/(1-Settings!$B$2)/Settings!$B$3,0)*Settings!$B$3,"")</f>
        <v/>
      </c>
      <c r="S163" s="13">
        <f>IF(ISNUMBER(N163),ROUND(N163/(1-Settings!$B$2)/Settings!$B$3,0)*Settings!$B$3,"")</f>
        <v/>
      </c>
      <c r="T163" s="13">
        <f>IF(ISNUMBER(O163),ROUND(O163/(1-Settings!$B$2)/Settings!$B$3,0)*Settings!$B$3,"")</f>
        <v/>
      </c>
      <c r="U163" s="13">
        <f>IF(ISNUMBER(P163),ROUND(P163/(1-Settings!$B$2)/Settings!$B$3,0)*Settings!$B$3,"")</f>
        <v/>
      </c>
      <c r="V163" s="13">
        <f>IF(ISNUMBER(Q163),ROUND(Q163/(1-Settings!$B$2)/Settings!$B$3,0)*Settings!$B$3,"")</f>
        <v/>
      </c>
      <c r="W163" s="14" t="n">
        <v>39690</v>
      </c>
      <c r="X163" s="14" t="n">
        <v>31010</v>
      </c>
      <c r="Y163" s="11" t="inlineStr"/>
      <c r="Z163" s="11" t="inlineStr"/>
      <c r="AA163" s="8" t="inlineStr">
        <is>
          <t>Inventory master 6/2026 lists Weekly E-Newsletter Ad at $400 (1 mo)</t>
        </is>
      </c>
      <c r="AB163" s="8" t="inlineStr"/>
      <c r="AC163" s="11" t="inlineStr">
        <is>
          <t>MasterMilitaryOnBaseList 12.2.25 NS.xlsx</t>
        </is>
      </c>
      <c r="AD163" s="11" t="inlineStr">
        <is>
          <t>2026 4th of July Sponsorship Levels.pdf</t>
        </is>
      </c>
      <c r="AE163" s="15" t="inlineStr">
        <is>
          <t>Open in Box</t>
        </is>
      </c>
      <c r="AF163" s="15" t="inlineStr">
        <is>
          <t>Open in Box</t>
        </is>
      </c>
    </row>
    <row r="164">
      <c r="A164" s="11" t="inlineStr">
        <is>
          <t>CA-CAMPPEND-019</t>
        </is>
      </c>
      <c r="B164" s="8" t="inlineStr">
        <is>
          <t>Camp Pendleton</t>
        </is>
      </c>
      <c r="C164" s="11" t="inlineStr"/>
      <c r="D164" s="11" t="inlineStr">
        <is>
          <t>CA</t>
        </is>
      </c>
      <c r="E164" s="11" t="inlineStr">
        <is>
          <t>San Diego</t>
        </is>
      </c>
      <c r="F164" s="11" t="inlineStr">
        <is>
          <t>92055</t>
        </is>
      </c>
      <c r="G164" s="11" t="inlineStr">
        <is>
          <t>Marine Corps</t>
        </is>
      </c>
      <c r="H164" s="11" t="inlineStr">
        <is>
          <t>Print &amp; Publications</t>
        </is>
      </c>
      <c r="I164" s="8" t="inlineStr">
        <is>
          <t>Newsletter</t>
        </is>
      </c>
      <c r="J164" s="11" t="inlineStr">
        <is>
          <t>8.5"W x 11"H</t>
        </is>
      </c>
      <c r="K164" s="8" t="inlineStr">
        <is>
          <t>Your ad will appear in the unit newsletter monthly</t>
        </is>
      </c>
      <c r="L164" s="11" t="n">
        <v>1</v>
      </c>
      <c r="M164" s="12" t="n">
        <v>300</v>
      </c>
      <c r="N164" s="12" t="n">
        <v>900</v>
      </c>
      <c r="O164" s="12" t="n">
        <v>1800</v>
      </c>
      <c r="P164" s="12" t="n">
        <v>3600</v>
      </c>
      <c r="Q164" s="12" t="n"/>
      <c r="R164" s="13">
        <f>IF(ISNUMBER(M164),ROUND(M164/(1-Settings!$B$2)/Settings!$B$3,0)*Settings!$B$3,"")</f>
        <v/>
      </c>
      <c r="S164" s="13">
        <f>IF(ISNUMBER(N164),ROUND(N164/(1-Settings!$B$2)/Settings!$B$3,0)*Settings!$B$3,"")</f>
        <v/>
      </c>
      <c r="T164" s="13">
        <f>IF(ISNUMBER(O164),ROUND(O164/(1-Settings!$B$2)/Settings!$B$3,0)*Settings!$B$3,"")</f>
        <v/>
      </c>
      <c r="U164" s="13">
        <f>IF(ISNUMBER(P164),ROUND(P164/(1-Settings!$B$2)/Settings!$B$3,0)*Settings!$B$3,"")</f>
        <v/>
      </c>
      <c r="V164" s="13">
        <f>IF(ISNUMBER(Q164),ROUND(Q164/(1-Settings!$B$2)/Settings!$B$3,0)*Settings!$B$3,"")</f>
        <v/>
      </c>
      <c r="W164" s="14" t="n">
        <v>39690</v>
      </c>
      <c r="X164" s="14" t="n">
        <v>31010</v>
      </c>
      <c r="Y164" s="11" t="inlineStr"/>
      <c r="Z164" s="11" t="inlineStr"/>
      <c r="AA164" s="8" t="inlineStr">
        <is>
          <t>Inventory master 6/2026 lists Weekly E-Newsletter Ad at $400 (1 mo)</t>
        </is>
      </c>
      <c r="AB164" s="8" t="inlineStr"/>
      <c r="AC164" s="11" t="inlineStr">
        <is>
          <t>MasterMilitaryOnBaseList 12.2.25 NS.xlsx</t>
        </is>
      </c>
      <c r="AD164" s="11" t="inlineStr">
        <is>
          <t>2026 4th of July Sponsorship Levels.pdf</t>
        </is>
      </c>
      <c r="AE164" s="15" t="inlineStr">
        <is>
          <t>Open in Box</t>
        </is>
      </c>
      <c r="AF164" s="15" t="inlineStr">
        <is>
          <t>Open in Box</t>
        </is>
      </c>
    </row>
    <row r="165">
      <c r="A165" s="11" t="inlineStr">
        <is>
          <t>CA-CAMPPEND-006</t>
        </is>
      </c>
      <c r="B165" s="8" t="inlineStr">
        <is>
          <t>Camp Pendleton</t>
        </is>
      </c>
      <c r="C165" s="11" t="inlineStr"/>
      <c r="D165" s="11" t="inlineStr">
        <is>
          <t>CA</t>
        </is>
      </c>
      <c r="E165" s="11" t="inlineStr">
        <is>
          <t>San Diego</t>
        </is>
      </c>
      <c r="F165" s="11" t="inlineStr">
        <is>
          <t>92055</t>
        </is>
      </c>
      <c r="G165" s="11" t="inlineStr">
        <is>
          <t>Marine Corps</t>
        </is>
      </c>
      <c r="H165" s="11" t="inlineStr">
        <is>
          <t>Standard Media</t>
        </is>
      </c>
      <c r="I165" s="8" t="inlineStr">
        <is>
          <t>Golf Cart Display</t>
        </is>
      </c>
      <c r="J165" s="11" t="inlineStr">
        <is>
          <t>TBD</t>
        </is>
      </c>
      <c r="K165" s="8" t="inlineStr">
        <is>
          <t>Your ad will appear on approved golf carts on the installation.</t>
        </is>
      </c>
      <c r="L165" s="11" t="n">
        <v>1</v>
      </c>
      <c r="M165" s="12" t="n">
        <v>1000</v>
      </c>
      <c r="N165" s="12" t="n">
        <v>3000</v>
      </c>
      <c r="O165" s="12" t="n">
        <v>6000</v>
      </c>
      <c r="P165" s="12" t="n">
        <v>12000</v>
      </c>
      <c r="Q165" s="12" t="n">
        <v>0</v>
      </c>
      <c r="R165" s="13">
        <f>IF(ISNUMBER(M165),ROUND(M165/(1-Settings!$B$2)/Settings!$B$3,0)*Settings!$B$3,"")</f>
        <v/>
      </c>
      <c r="S165" s="13">
        <f>IF(ISNUMBER(N165),ROUND(N165/(1-Settings!$B$2)/Settings!$B$3,0)*Settings!$B$3,"")</f>
        <v/>
      </c>
      <c r="T165" s="13">
        <f>IF(ISNUMBER(O165),ROUND(O165/(1-Settings!$B$2)/Settings!$B$3,0)*Settings!$B$3,"")</f>
        <v/>
      </c>
      <c r="U165" s="13">
        <f>IF(ISNUMBER(P165),ROUND(P165/(1-Settings!$B$2)/Settings!$B$3,0)*Settings!$B$3,"")</f>
        <v/>
      </c>
      <c r="V165" s="13">
        <f>IF(ISNUMBER(Q165),ROUND(Q165/(1-Settings!$B$2)/Settings!$B$3,0)*Settings!$B$3,"")</f>
        <v/>
      </c>
      <c r="W165" s="14" t="n">
        <v>39690</v>
      </c>
      <c r="X165" s="14" t="n">
        <v>31010</v>
      </c>
      <c r="Y165" s="11" t="inlineStr"/>
      <c r="Z165" s="11" t="inlineStr"/>
      <c r="AA165" s="8" t="inlineStr"/>
      <c r="AB165" s="8" t="inlineStr"/>
      <c r="AC165" s="11" t="inlineStr">
        <is>
          <t>MasterMilitaryOnBaseList 12.2.25 NS.xlsx</t>
        </is>
      </c>
      <c r="AD165" s="11" t="inlineStr">
        <is>
          <t>2026 4th of July Sponsorship Levels.pdf</t>
        </is>
      </c>
      <c r="AE165" s="15" t="inlineStr">
        <is>
          <t>Open in Box</t>
        </is>
      </c>
      <c r="AF165" s="15" t="inlineStr">
        <is>
          <t>Open in Box</t>
        </is>
      </c>
    </row>
    <row r="166">
      <c r="A166" s="11" t="inlineStr">
        <is>
          <t>CA-CAMPPEND-007</t>
        </is>
      </c>
      <c r="B166" s="8" t="inlineStr">
        <is>
          <t>Camp Pendleton</t>
        </is>
      </c>
      <c r="C166" s="11" t="inlineStr"/>
      <c r="D166" s="11" t="inlineStr">
        <is>
          <t>CA</t>
        </is>
      </c>
      <c r="E166" s="11" t="inlineStr">
        <is>
          <t>San Diego</t>
        </is>
      </c>
      <c r="F166" s="11" t="inlineStr">
        <is>
          <t>92055</t>
        </is>
      </c>
      <c r="G166" s="11" t="inlineStr">
        <is>
          <t>Marine Corps</t>
        </is>
      </c>
      <c r="H166" s="11" t="inlineStr">
        <is>
          <t>Standard Media</t>
        </is>
      </c>
      <c r="I166" s="8" t="inlineStr">
        <is>
          <t>Golf Cart Display</t>
        </is>
      </c>
      <c r="J166" s="11" t="inlineStr">
        <is>
          <t>TBD</t>
        </is>
      </c>
      <c r="K166" s="8" t="inlineStr">
        <is>
          <t>Your ad will appear directly on golf carts.</t>
        </is>
      </c>
      <c r="L166" s="11" t="n">
        <v>1</v>
      </c>
      <c r="M166" s="12" t="n">
        <v>1000</v>
      </c>
      <c r="N166" s="12" t="n">
        <v>3000</v>
      </c>
      <c r="O166" s="12" t="n">
        <v>6000</v>
      </c>
      <c r="P166" s="12" t="n">
        <v>12000</v>
      </c>
      <c r="Q166" s="12" t="n"/>
      <c r="R166" s="13">
        <f>IF(ISNUMBER(M166),ROUND(M166/(1-Settings!$B$2)/Settings!$B$3,0)*Settings!$B$3,"")</f>
        <v/>
      </c>
      <c r="S166" s="13">
        <f>IF(ISNUMBER(N166),ROUND(N166/(1-Settings!$B$2)/Settings!$B$3,0)*Settings!$B$3,"")</f>
        <v/>
      </c>
      <c r="T166" s="13">
        <f>IF(ISNUMBER(O166),ROUND(O166/(1-Settings!$B$2)/Settings!$B$3,0)*Settings!$B$3,"")</f>
        <v/>
      </c>
      <c r="U166" s="13">
        <f>IF(ISNUMBER(P166),ROUND(P166/(1-Settings!$B$2)/Settings!$B$3,0)*Settings!$B$3,"")</f>
        <v/>
      </c>
      <c r="V166" s="13">
        <f>IF(ISNUMBER(Q166),ROUND(Q166/(1-Settings!$B$2)/Settings!$B$3,0)*Settings!$B$3,"")</f>
        <v/>
      </c>
      <c r="W166" s="14" t="n">
        <v>39690</v>
      </c>
      <c r="X166" s="14" t="n">
        <v>31010</v>
      </c>
      <c r="Y166" s="11" t="inlineStr"/>
      <c r="Z166" s="11" t="inlineStr"/>
      <c r="AA166" s="8" t="inlineStr"/>
      <c r="AB166" s="8" t="inlineStr"/>
      <c r="AC166" s="11" t="inlineStr">
        <is>
          <t>MasterMilitaryOnBaseList 12.2.25 NS.xlsx</t>
        </is>
      </c>
      <c r="AD166" s="11" t="inlineStr">
        <is>
          <t>2026 4th of July Sponsorship Levels.pdf</t>
        </is>
      </c>
      <c r="AE166" s="15" t="inlineStr">
        <is>
          <t>Open in Box</t>
        </is>
      </c>
      <c r="AF166" s="15" t="inlineStr">
        <is>
          <t>Open in Box</t>
        </is>
      </c>
    </row>
    <row r="167">
      <c r="A167" s="11" t="inlineStr">
        <is>
          <t>CA-CAMPPEND-020</t>
        </is>
      </c>
      <c r="B167" s="8" t="inlineStr">
        <is>
          <t>Camp Pendleton</t>
        </is>
      </c>
      <c r="C167" s="11" t="inlineStr"/>
      <c r="D167" s="11" t="inlineStr">
        <is>
          <t>CA</t>
        </is>
      </c>
      <c r="E167" s="11" t="inlineStr">
        <is>
          <t>San Diego</t>
        </is>
      </c>
      <c r="F167" s="11" t="inlineStr">
        <is>
          <t>92055</t>
        </is>
      </c>
      <c r="G167" s="11" t="inlineStr">
        <is>
          <t>Marine Corps</t>
        </is>
      </c>
      <c r="H167" s="11" t="inlineStr">
        <is>
          <t>Web &amp; Email</t>
        </is>
      </c>
      <c r="I167" s="8" t="inlineStr">
        <is>
          <t>Email Insider Newsletter</t>
        </is>
      </c>
      <c r="J167" s="11" t="inlineStr">
        <is>
          <t>TBD</t>
        </is>
      </c>
      <c r="K167" s="8" t="inlineStr">
        <is>
          <t>Your ad will appear in the Email Insider Newsletter. $400 per insertion - Newsletter goes out weekly.</t>
        </is>
      </c>
      <c r="L167" s="11" t="n"/>
      <c r="M167" s="12" t="n"/>
      <c r="N167" s="12" t="n"/>
      <c r="O167" s="12" t="n"/>
      <c r="P167" s="12" t="n"/>
      <c r="Q167" s="12" t="n"/>
      <c r="R167" s="13">
        <f>IF(ISNUMBER(M167),ROUND(M167/(1-Settings!$B$2)/Settings!$B$3,0)*Settings!$B$3,"")</f>
        <v/>
      </c>
      <c r="S167" s="13">
        <f>IF(ISNUMBER(N167),ROUND(N167/(1-Settings!$B$2)/Settings!$B$3,0)*Settings!$B$3,"")</f>
        <v/>
      </c>
      <c r="T167" s="13">
        <f>IF(ISNUMBER(O167),ROUND(O167/(1-Settings!$B$2)/Settings!$B$3,0)*Settings!$B$3,"")</f>
        <v/>
      </c>
      <c r="U167" s="13">
        <f>IF(ISNUMBER(P167),ROUND(P167/(1-Settings!$B$2)/Settings!$B$3,0)*Settings!$B$3,"")</f>
        <v/>
      </c>
      <c r="V167" s="13">
        <f>IF(ISNUMBER(Q167),ROUND(Q167/(1-Settings!$B$2)/Settings!$B$3,0)*Settings!$B$3,"")</f>
        <v/>
      </c>
      <c r="W167" s="14" t="n">
        <v>39690</v>
      </c>
      <c r="X167" s="14" t="n">
        <v>31010</v>
      </c>
      <c r="Y167" s="11" t="inlineStr"/>
      <c r="Z167" s="11" t="inlineStr"/>
      <c r="AA167" s="8" t="inlineStr">
        <is>
          <t>Inventory master 6/2026 lists Weekly E-Newsletter Ad at $400 (1 mo)</t>
        </is>
      </c>
      <c r="AB167" s="16" t="inlineStr">
        <is>
          <t>No price on file - inquire</t>
        </is>
      </c>
      <c r="AC167" s="11" t="inlineStr">
        <is>
          <t>MasterMilitaryOnBaseList 12.2.25 NS.xlsx</t>
        </is>
      </c>
      <c r="AD167" s="11" t="inlineStr">
        <is>
          <t>2026 4th of July Sponsorship Levels.pdf</t>
        </is>
      </c>
      <c r="AE167" s="15" t="inlineStr">
        <is>
          <t>Open in Box</t>
        </is>
      </c>
      <c r="AF167" s="15" t="inlineStr">
        <is>
          <t>Open in Box</t>
        </is>
      </c>
    </row>
    <row r="168">
      <c r="A168" s="11" t="inlineStr">
        <is>
          <t>CA-CAMPPEND-022</t>
        </is>
      </c>
      <c r="B168" s="8" t="inlineStr">
        <is>
          <t>Camp Pendleton</t>
        </is>
      </c>
      <c r="C168" s="11" t="inlineStr"/>
      <c r="D168" s="11" t="inlineStr">
        <is>
          <t>CA</t>
        </is>
      </c>
      <c r="E168" s="11" t="inlineStr">
        <is>
          <t>San Diego</t>
        </is>
      </c>
      <c r="F168" s="11" t="inlineStr"/>
      <c r="G168" s="11" t="inlineStr">
        <is>
          <t>Marine Corps</t>
        </is>
      </c>
      <c r="H168" s="11" t="inlineStr">
        <is>
          <t>Web &amp; Email</t>
        </is>
      </c>
      <c r="I168" s="8" t="inlineStr">
        <is>
          <t>Web Ad</t>
        </is>
      </c>
      <c r="J168" s="11" t="inlineStr"/>
      <c r="K168" s="8" t="inlineStr">
        <is>
          <t>Your ad will appear on the installation MWR / FSS website.</t>
        </is>
      </c>
      <c r="L168" s="11" t="n">
        <v>1</v>
      </c>
      <c r="M168" s="12" t="n">
        <v>1000</v>
      </c>
      <c r="N168" s="12" t="n"/>
      <c r="O168" s="12" t="n"/>
      <c r="P168" s="12" t="n"/>
      <c r="Q168" s="12" t="n"/>
      <c r="R168" s="13">
        <f>IF(ISNUMBER(M168),ROUND(M168/(1-Settings!$B$2)/Settings!$B$3,0)*Settings!$B$3,"")</f>
        <v/>
      </c>
      <c r="S168" s="13">
        <f>IF(ISNUMBER(N168),ROUND(N168/(1-Settings!$B$2)/Settings!$B$3,0)*Settings!$B$3,"")</f>
        <v/>
      </c>
      <c r="T168" s="13">
        <f>IF(ISNUMBER(O168),ROUND(O168/(1-Settings!$B$2)/Settings!$B$3,0)*Settings!$B$3,"")</f>
        <v/>
      </c>
      <c r="U168" s="13">
        <f>IF(ISNUMBER(P168),ROUND(P168/(1-Settings!$B$2)/Settings!$B$3,0)*Settings!$B$3,"")</f>
        <v/>
      </c>
      <c r="V168" s="13">
        <f>IF(ISNUMBER(Q168),ROUND(Q168/(1-Settings!$B$2)/Settings!$B$3,0)*Settings!$B$3,"")</f>
        <v/>
      </c>
      <c r="W168" s="14" t="n">
        <v>39690</v>
      </c>
      <c r="X168" s="14" t="n">
        <v>31010</v>
      </c>
      <c r="Y168" s="11" t="inlineStr">
        <is>
          <t>2026</t>
        </is>
      </c>
      <c r="Z168" s="11" t="inlineStr">
        <is>
          <t>2026-06</t>
        </is>
      </c>
      <c r="AA168" s="8" t="inlineStr"/>
      <c r="AB168" s="8" t="inlineStr"/>
      <c r="AC168" s="11" t="inlineStr">
        <is>
          <t>Military - National Publication Inventory Master_June 2026.xlsx</t>
        </is>
      </c>
      <c r="AD168" s="11" t="inlineStr">
        <is>
          <t>2026 4th of July Sponsorship Levels.pdf</t>
        </is>
      </c>
      <c r="AE168" s="15" t="inlineStr">
        <is>
          <t>Open in Box</t>
        </is>
      </c>
      <c r="AF168" s="15" t="inlineStr">
        <is>
          <t>Open in Box</t>
        </is>
      </c>
    </row>
    <row r="169">
      <c r="A169" s="11" t="inlineStr">
        <is>
          <t>CA-CHINALAK-001</t>
        </is>
      </c>
      <c r="B169" s="8" t="inlineStr">
        <is>
          <t>China Lake NAVWEAPCEN</t>
        </is>
      </c>
      <c r="C169" s="11" t="inlineStr">
        <is>
          <t>NAWS China Lake</t>
        </is>
      </c>
      <c r="D169" s="11" t="inlineStr">
        <is>
          <t>CA</t>
        </is>
      </c>
      <c r="E169" s="11" t="inlineStr">
        <is>
          <t>Los Angeles</t>
        </is>
      </c>
      <c r="F169" s="11" t="inlineStr">
        <is>
          <t>93555</t>
        </is>
      </c>
      <c r="G169" s="11" t="inlineStr">
        <is>
          <t>Navy</t>
        </is>
      </c>
      <c r="H169" s="11" t="inlineStr">
        <is>
          <t>Digital</t>
        </is>
      </c>
      <c r="I169" s="8" t="inlineStr">
        <is>
          <t>Digital Marquee Network</t>
        </is>
      </c>
      <c r="J169" s="11" t="inlineStr">
        <is>
          <t>TBD</t>
        </is>
      </c>
      <c r="K169" s="8" t="inlineStr">
        <is>
          <t>Your ad will appear on 3 digital marquee across installation.</t>
        </is>
      </c>
      <c r="L169" s="11" t="n">
        <v>1</v>
      </c>
      <c r="M169" s="12" t="n">
        <v>350</v>
      </c>
      <c r="N169" s="12" t="n">
        <v>1050</v>
      </c>
      <c r="O169" s="12" t="n">
        <v>2100</v>
      </c>
      <c r="P169" s="12" t="n">
        <v>4200</v>
      </c>
      <c r="Q169" s="12" t="n">
        <v>0</v>
      </c>
      <c r="R169" s="13">
        <f>IF(ISNUMBER(M169),ROUND(M169/(1-Settings!$B$2)/Settings!$B$3,0)*Settings!$B$3,"")</f>
        <v/>
      </c>
      <c r="S169" s="13">
        <f>IF(ISNUMBER(N169),ROUND(N169/(1-Settings!$B$2)/Settings!$B$3,0)*Settings!$B$3,"")</f>
        <v/>
      </c>
      <c r="T169" s="13">
        <f>IF(ISNUMBER(O169),ROUND(O169/(1-Settings!$B$2)/Settings!$B$3,0)*Settings!$B$3,"")</f>
        <v/>
      </c>
      <c r="U169" s="13">
        <f>IF(ISNUMBER(P169),ROUND(P169/(1-Settings!$B$2)/Settings!$B$3,0)*Settings!$B$3,"")</f>
        <v/>
      </c>
      <c r="V169" s="13">
        <f>IF(ISNUMBER(Q169),ROUND(Q169/(1-Settings!$B$2)/Settings!$B$3,0)*Settings!$B$3,"")</f>
        <v/>
      </c>
      <c r="W169" s="14" t="n"/>
      <c r="X169" s="14" t="n"/>
      <c r="Y169" s="11" t="inlineStr"/>
      <c r="Z169" s="11" t="inlineStr"/>
      <c r="AA169" s="8" t="inlineStr"/>
      <c r="AB169" s="8" t="inlineStr"/>
      <c r="AC169" s="11" t="inlineStr">
        <is>
          <t>MasterMilitaryOnBaseList 12.2.25 NS.xlsx</t>
        </is>
      </c>
      <c r="AD169" s="11" t="inlineStr">
        <is>
          <t>2026 Advertising Rates - China Lake.docx</t>
        </is>
      </c>
      <c r="AE169" s="15" t="inlineStr">
        <is>
          <t>Open in Box</t>
        </is>
      </c>
      <c r="AF169" s="15" t="inlineStr">
        <is>
          <t>Open in Box</t>
        </is>
      </c>
    </row>
    <row r="170">
      <c r="A170" s="11" t="inlineStr">
        <is>
          <t>CA-CHINALAK-009</t>
        </is>
      </c>
      <c r="B170" s="8" t="inlineStr">
        <is>
          <t>China Lake NAVWEAPCEN</t>
        </is>
      </c>
      <c r="C170" s="11" t="inlineStr">
        <is>
          <t>NAWS China Lake</t>
        </is>
      </c>
      <c r="D170" s="11" t="inlineStr">
        <is>
          <t>CA</t>
        </is>
      </c>
      <c r="E170" s="11" t="inlineStr">
        <is>
          <t>Los Angeles</t>
        </is>
      </c>
      <c r="F170" s="11" t="inlineStr">
        <is>
          <t>93555</t>
        </is>
      </c>
      <c r="G170" s="11" t="inlineStr">
        <is>
          <t>Navy</t>
        </is>
      </c>
      <c r="H170" s="11" t="inlineStr">
        <is>
          <t>Large Format</t>
        </is>
      </c>
      <c r="I170" s="8" t="inlineStr">
        <is>
          <t>Bus Wrap</t>
        </is>
      </c>
      <c r="J170" s="11" t="inlineStr">
        <is>
          <t>TBD</t>
        </is>
      </c>
      <c r="K170" s="8" t="inlineStr">
        <is>
          <t>Your ad will wrap an installation Liberty Bus,</t>
        </is>
      </c>
      <c r="L170" s="11" t="n">
        <v>12</v>
      </c>
      <c r="M170" s="12" t="n"/>
      <c r="N170" s="12" t="n"/>
      <c r="O170" s="12" t="n"/>
      <c r="P170" s="12" t="n">
        <v>4000</v>
      </c>
      <c r="Q170" s="12" t="n"/>
      <c r="R170" s="13">
        <f>IF(ISNUMBER(M170),ROUND(M170/(1-Settings!$B$2)/Settings!$B$3,0)*Settings!$B$3,"")</f>
        <v/>
      </c>
      <c r="S170" s="13">
        <f>IF(ISNUMBER(N170),ROUND(N170/(1-Settings!$B$2)/Settings!$B$3,0)*Settings!$B$3,"")</f>
        <v/>
      </c>
      <c r="T170" s="13">
        <f>IF(ISNUMBER(O170),ROUND(O170/(1-Settings!$B$2)/Settings!$B$3,0)*Settings!$B$3,"")</f>
        <v/>
      </c>
      <c r="U170" s="13">
        <f>IF(ISNUMBER(P170),ROUND(P170/(1-Settings!$B$2)/Settings!$B$3,0)*Settings!$B$3,"")</f>
        <v/>
      </c>
      <c r="V170" s="13">
        <f>IF(ISNUMBER(Q170),ROUND(Q170/(1-Settings!$B$2)/Settings!$B$3,0)*Settings!$B$3,"")</f>
        <v/>
      </c>
      <c r="W170" s="14" t="n"/>
      <c r="X170" s="14" t="n"/>
      <c r="Y170" s="11" t="inlineStr"/>
      <c r="Z170" s="11" t="inlineStr"/>
      <c r="AA170" s="8" t="inlineStr"/>
      <c r="AB170" s="16" t="inlineStr">
        <is>
          <t>Source formula errors</t>
        </is>
      </c>
      <c r="AC170" s="11" t="inlineStr">
        <is>
          <t>MasterMilitaryOnBaseList 12.2.25 NS.xlsx</t>
        </is>
      </c>
      <c r="AD170" s="11" t="inlineStr">
        <is>
          <t>2026 Advertising Rates - China Lake.docx</t>
        </is>
      </c>
      <c r="AE170" s="15" t="inlineStr">
        <is>
          <t>Open in Box</t>
        </is>
      </c>
      <c r="AF170" s="15" t="inlineStr">
        <is>
          <t>Open in Box</t>
        </is>
      </c>
    </row>
    <row r="171">
      <c r="A171" s="11" t="inlineStr">
        <is>
          <t>CA-CHINALAK-010</t>
        </is>
      </c>
      <c r="B171" s="8" t="inlineStr">
        <is>
          <t>China Lake NAVWEAPCEN</t>
        </is>
      </c>
      <c r="C171" s="11" t="inlineStr">
        <is>
          <t>NAWS China Lake</t>
        </is>
      </c>
      <c r="D171" s="11" t="inlineStr">
        <is>
          <t>CA</t>
        </is>
      </c>
      <c r="E171" s="11" t="inlineStr">
        <is>
          <t>Los Angeles</t>
        </is>
      </c>
      <c r="F171" s="11" t="inlineStr">
        <is>
          <t>93555</t>
        </is>
      </c>
      <c r="G171" s="11" t="inlineStr">
        <is>
          <t>Navy</t>
        </is>
      </c>
      <c r="H171" s="11" t="inlineStr">
        <is>
          <t>Print &amp; Publications</t>
        </is>
      </c>
      <c r="I171" s="8" t="inlineStr">
        <is>
          <t>Golf Course - Map Board</t>
        </is>
      </c>
      <c r="J171" s="11" t="inlineStr">
        <is>
          <t>5.5"W x 8.5"H</t>
        </is>
      </c>
      <c r="K171" s="8" t="inlineStr">
        <is>
          <t>Your ad will appear on a golf course map board.</t>
        </is>
      </c>
      <c r="L171" s="11" t="n">
        <v>1</v>
      </c>
      <c r="M171" s="12" t="n">
        <v>225</v>
      </c>
      <c r="N171" s="12" t="n">
        <v>675</v>
      </c>
      <c r="O171" s="12" t="n">
        <v>1350</v>
      </c>
      <c r="P171" s="12" t="n">
        <v>2700</v>
      </c>
      <c r="Q171" s="12" t="n"/>
      <c r="R171" s="13">
        <f>IF(ISNUMBER(M171),ROUND(M171/(1-Settings!$B$2)/Settings!$B$3,0)*Settings!$B$3,"")</f>
        <v/>
      </c>
      <c r="S171" s="13">
        <f>IF(ISNUMBER(N171),ROUND(N171/(1-Settings!$B$2)/Settings!$B$3,0)*Settings!$B$3,"")</f>
        <v/>
      </c>
      <c r="T171" s="13">
        <f>IF(ISNUMBER(O171),ROUND(O171/(1-Settings!$B$2)/Settings!$B$3,0)*Settings!$B$3,"")</f>
        <v/>
      </c>
      <c r="U171" s="13">
        <f>IF(ISNUMBER(P171),ROUND(P171/(1-Settings!$B$2)/Settings!$B$3,0)*Settings!$B$3,"")</f>
        <v/>
      </c>
      <c r="V171" s="13">
        <f>IF(ISNUMBER(Q171),ROUND(Q171/(1-Settings!$B$2)/Settings!$B$3,0)*Settings!$B$3,"")</f>
        <v/>
      </c>
      <c r="W171" s="14" t="n"/>
      <c r="X171" s="14" t="n"/>
      <c r="Y171" s="11" t="inlineStr"/>
      <c r="Z171" s="11" t="inlineStr"/>
      <c r="AA171" s="8" t="inlineStr"/>
      <c r="AB171" s="8" t="inlineStr"/>
      <c r="AC171" s="11" t="inlineStr">
        <is>
          <t>MasterMilitaryOnBaseList 12.2.25 NS.xlsx</t>
        </is>
      </c>
      <c r="AD171" s="11" t="inlineStr">
        <is>
          <t>2026 Advertising Rates - China Lake.docx</t>
        </is>
      </c>
      <c r="AE171" s="15" t="inlineStr">
        <is>
          <t>Open in Box</t>
        </is>
      </c>
      <c r="AF171" s="15" t="inlineStr">
        <is>
          <t>Open in Box</t>
        </is>
      </c>
    </row>
    <row r="172">
      <c r="A172" s="11" t="inlineStr">
        <is>
          <t>CA-CHINALAK-011</t>
        </is>
      </c>
      <c r="B172" s="8" t="inlineStr">
        <is>
          <t>China Lake NAVWEAPCEN</t>
        </is>
      </c>
      <c r="C172" s="11" t="inlineStr">
        <is>
          <t>NAWS China Lake</t>
        </is>
      </c>
      <c r="D172" s="11" t="inlineStr">
        <is>
          <t>CA</t>
        </is>
      </c>
      <c r="E172" s="11" t="inlineStr">
        <is>
          <t>Los Angeles</t>
        </is>
      </c>
      <c r="F172" s="11" t="inlineStr">
        <is>
          <t>93555</t>
        </is>
      </c>
      <c r="G172" s="11" t="inlineStr">
        <is>
          <t>Navy</t>
        </is>
      </c>
      <c r="H172" s="11" t="inlineStr">
        <is>
          <t>Print &amp; Publications</t>
        </is>
      </c>
      <c r="I172" s="8" t="inlineStr">
        <is>
          <t>Golf Course - Scorecard</t>
        </is>
      </c>
      <c r="J172" s="11" t="inlineStr">
        <is>
          <t>3"W x 14.5"W</t>
        </is>
      </c>
      <c r="K172" s="8" t="inlineStr">
        <is>
          <t>Your ad will appear on the golf scorecard.</t>
        </is>
      </c>
      <c r="L172" s="11" t="n">
        <v>1</v>
      </c>
      <c r="M172" s="12" t="n">
        <v>150</v>
      </c>
      <c r="N172" s="12" t="n">
        <v>450</v>
      </c>
      <c r="O172" s="12" t="n">
        <v>900</v>
      </c>
      <c r="P172" s="12" t="n">
        <v>1800</v>
      </c>
      <c r="Q172" s="12" t="n"/>
      <c r="R172" s="13">
        <f>IF(ISNUMBER(M172),ROUND(M172/(1-Settings!$B$2)/Settings!$B$3,0)*Settings!$B$3,"")</f>
        <v/>
      </c>
      <c r="S172" s="13">
        <f>IF(ISNUMBER(N172),ROUND(N172/(1-Settings!$B$2)/Settings!$B$3,0)*Settings!$B$3,"")</f>
        <v/>
      </c>
      <c r="T172" s="13">
        <f>IF(ISNUMBER(O172),ROUND(O172/(1-Settings!$B$2)/Settings!$B$3,0)*Settings!$B$3,"")</f>
        <v/>
      </c>
      <c r="U172" s="13">
        <f>IF(ISNUMBER(P172),ROUND(P172/(1-Settings!$B$2)/Settings!$B$3,0)*Settings!$B$3,"")</f>
        <v/>
      </c>
      <c r="V172" s="13">
        <f>IF(ISNUMBER(Q172),ROUND(Q172/(1-Settings!$B$2)/Settings!$B$3,0)*Settings!$B$3,"")</f>
        <v/>
      </c>
      <c r="W172" s="14" t="n"/>
      <c r="X172" s="14" t="n"/>
      <c r="Y172" s="11" t="inlineStr"/>
      <c r="Z172" s="11" t="inlineStr"/>
      <c r="AA172" s="8" t="inlineStr"/>
      <c r="AB172" s="8" t="inlineStr"/>
      <c r="AC172" s="11" t="inlineStr">
        <is>
          <t>MasterMilitaryOnBaseList 12.2.25 NS.xlsx</t>
        </is>
      </c>
      <c r="AD172" s="11" t="inlineStr">
        <is>
          <t>2026 Advertising Rates - China Lake.docx</t>
        </is>
      </c>
      <c r="AE172" s="15" t="inlineStr">
        <is>
          <t>Open in Box</t>
        </is>
      </c>
      <c r="AF172" s="15" t="inlineStr">
        <is>
          <t>Open in Box</t>
        </is>
      </c>
    </row>
    <row r="173">
      <c r="A173" s="11" t="inlineStr">
        <is>
          <t>CA-CHINALAK-002</t>
        </is>
      </c>
      <c r="B173" s="8" t="inlineStr">
        <is>
          <t>China Lake NAVWEAPCEN</t>
        </is>
      </c>
      <c r="C173" s="11" t="inlineStr">
        <is>
          <t>NAWS China Lake</t>
        </is>
      </c>
      <c r="D173" s="11" t="inlineStr">
        <is>
          <t>CA</t>
        </is>
      </c>
      <c r="E173" s="11" t="inlineStr">
        <is>
          <t>Los Angeles</t>
        </is>
      </c>
      <c r="F173" s="11" t="inlineStr">
        <is>
          <t>93555</t>
        </is>
      </c>
      <c r="G173" s="11" t="inlineStr">
        <is>
          <t>Navy</t>
        </is>
      </c>
      <c r="H173" s="11" t="inlineStr">
        <is>
          <t>Standard Media</t>
        </is>
      </c>
      <c r="I173" s="8" t="inlineStr">
        <is>
          <t>Banners - Golf Course</t>
        </is>
      </c>
      <c r="J173" s="11" t="inlineStr">
        <is>
          <t>6'W x 3'H</t>
        </is>
      </c>
      <c r="K173" s="8" t="inlineStr">
        <is>
          <t>Your ad will appear at the Golf Course Clubhouse.</t>
        </is>
      </c>
      <c r="L173" s="11" t="n">
        <v>1</v>
      </c>
      <c r="M173" s="12" t="n">
        <v>200</v>
      </c>
      <c r="N173" s="12" t="n">
        <v>600</v>
      </c>
      <c r="O173" s="12" t="n">
        <v>1800</v>
      </c>
      <c r="P173" s="12" t="n">
        <v>2400</v>
      </c>
      <c r="Q173" s="12" t="n">
        <v>200</v>
      </c>
      <c r="R173" s="13">
        <f>IF(ISNUMBER(M173),ROUND(M173/(1-Settings!$B$2)/Settings!$B$3,0)*Settings!$B$3,"")</f>
        <v/>
      </c>
      <c r="S173" s="13">
        <f>IF(ISNUMBER(N173),ROUND(N173/(1-Settings!$B$2)/Settings!$B$3,0)*Settings!$B$3,"")</f>
        <v/>
      </c>
      <c r="T173" s="13">
        <f>IF(ISNUMBER(O173),ROUND(O173/(1-Settings!$B$2)/Settings!$B$3,0)*Settings!$B$3,"")</f>
        <v/>
      </c>
      <c r="U173" s="13">
        <f>IF(ISNUMBER(P173),ROUND(P173/(1-Settings!$B$2)/Settings!$B$3,0)*Settings!$B$3,"")</f>
        <v/>
      </c>
      <c r="V173" s="13">
        <f>IF(ISNUMBER(Q173),ROUND(Q173/(1-Settings!$B$2)/Settings!$B$3,0)*Settings!$B$3,"")</f>
        <v/>
      </c>
      <c r="W173" s="14" t="n"/>
      <c r="X173" s="14" t="n"/>
      <c r="Y173" s="11" t="inlineStr"/>
      <c r="Z173" s="11" t="inlineStr"/>
      <c r="AA173" s="8" t="inlineStr"/>
      <c r="AB173" s="8" t="inlineStr"/>
      <c r="AC173" s="11" t="inlineStr">
        <is>
          <t>MasterMilitaryOnBaseList 12.2.25 NS.xlsx</t>
        </is>
      </c>
      <c r="AD173" s="11" t="inlineStr">
        <is>
          <t>2026 Advertising Rates - China Lake.docx</t>
        </is>
      </c>
      <c r="AE173" s="15" t="inlineStr">
        <is>
          <t>Open in Box</t>
        </is>
      </c>
      <c r="AF173" s="15" t="inlineStr">
        <is>
          <t>Open in Box</t>
        </is>
      </c>
    </row>
    <row r="174">
      <c r="A174" s="11" t="inlineStr">
        <is>
          <t>CA-CHINALAK-003</t>
        </is>
      </c>
      <c r="B174" s="8" t="inlineStr">
        <is>
          <t>China Lake NAVWEAPCEN</t>
        </is>
      </c>
      <c r="C174" s="11" t="inlineStr">
        <is>
          <t>NAWS China Lake</t>
        </is>
      </c>
      <c r="D174" s="11" t="inlineStr">
        <is>
          <t>CA</t>
        </is>
      </c>
      <c r="E174" s="11" t="inlineStr">
        <is>
          <t>Los Angeles</t>
        </is>
      </c>
      <c r="F174" s="11" t="inlineStr">
        <is>
          <t>93555</t>
        </is>
      </c>
      <c r="G174" s="11" t="inlineStr">
        <is>
          <t>Navy</t>
        </is>
      </c>
      <c r="H174" s="11" t="inlineStr">
        <is>
          <t>Standard Media</t>
        </is>
      </c>
      <c r="I174" s="8" t="inlineStr">
        <is>
          <t>Golf Course - Bench</t>
        </is>
      </c>
      <c r="J174" s="11" t="inlineStr">
        <is>
          <t>22"W x 12"H</t>
        </is>
      </c>
      <c r="K174" s="8" t="inlineStr">
        <is>
          <t>Your ad will appear on a golf course bench.</t>
        </is>
      </c>
      <c r="L174" s="11" t="n">
        <v>1</v>
      </c>
      <c r="M174" s="12" t="n">
        <v>200</v>
      </c>
      <c r="N174" s="12" t="n">
        <v>600</v>
      </c>
      <c r="O174" s="12" t="n">
        <v>1200</v>
      </c>
      <c r="P174" s="12" t="n">
        <v>2400</v>
      </c>
      <c r="Q174" s="12" t="n"/>
      <c r="R174" s="13">
        <f>IF(ISNUMBER(M174),ROUND(M174/(1-Settings!$B$2)/Settings!$B$3,0)*Settings!$B$3,"")</f>
        <v/>
      </c>
      <c r="S174" s="13">
        <f>IF(ISNUMBER(N174),ROUND(N174/(1-Settings!$B$2)/Settings!$B$3,0)*Settings!$B$3,"")</f>
        <v/>
      </c>
      <c r="T174" s="13">
        <f>IF(ISNUMBER(O174),ROUND(O174/(1-Settings!$B$2)/Settings!$B$3,0)*Settings!$B$3,"")</f>
        <v/>
      </c>
      <c r="U174" s="13">
        <f>IF(ISNUMBER(P174),ROUND(P174/(1-Settings!$B$2)/Settings!$B$3,0)*Settings!$B$3,"")</f>
        <v/>
      </c>
      <c r="V174" s="13">
        <f>IF(ISNUMBER(Q174),ROUND(Q174/(1-Settings!$B$2)/Settings!$B$3,0)*Settings!$B$3,"")</f>
        <v/>
      </c>
      <c r="W174" s="14" t="n"/>
      <c r="X174" s="14" t="n"/>
      <c r="Y174" s="11" t="inlineStr"/>
      <c r="Z174" s="11" t="inlineStr"/>
      <c r="AA174" s="8" t="inlineStr"/>
      <c r="AB174" s="8" t="inlineStr"/>
      <c r="AC174" s="11" t="inlineStr">
        <is>
          <t>MasterMilitaryOnBaseList 12.2.25 NS.xlsx</t>
        </is>
      </c>
      <c r="AD174" s="11" t="inlineStr">
        <is>
          <t>2026 Advertising Rates - China Lake.docx</t>
        </is>
      </c>
      <c r="AE174" s="15" t="inlineStr">
        <is>
          <t>Open in Box</t>
        </is>
      </c>
      <c r="AF174" s="15" t="inlineStr">
        <is>
          <t>Open in Box</t>
        </is>
      </c>
    </row>
    <row r="175">
      <c r="A175" s="11" t="inlineStr">
        <is>
          <t>CA-CHINALAK-004</t>
        </is>
      </c>
      <c r="B175" s="8" t="inlineStr">
        <is>
          <t>China Lake NAVWEAPCEN</t>
        </is>
      </c>
      <c r="C175" s="11" t="inlineStr">
        <is>
          <t>NAWS China Lake</t>
        </is>
      </c>
      <c r="D175" s="11" t="inlineStr">
        <is>
          <t>CA</t>
        </is>
      </c>
      <c r="E175" s="11" t="inlineStr">
        <is>
          <t>Los Angeles</t>
        </is>
      </c>
      <c r="F175" s="11" t="inlineStr">
        <is>
          <t>93555</t>
        </is>
      </c>
      <c r="G175" s="11" t="inlineStr">
        <is>
          <t>Navy</t>
        </is>
      </c>
      <c r="H175" s="11" t="inlineStr">
        <is>
          <t>Standard Media</t>
        </is>
      </c>
      <c r="I175" s="8" t="inlineStr">
        <is>
          <t>Golf Course - Beverage Cart Signage</t>
        </is>
      </c>
      <c r="J175" s="11" t="inlineStr">
        <is>
          <t>8.5"W x 11"H</t>
        </is>
      </c>
      <c r="K175" s="8" t="inlineStr">
        <is>
          <t>Your ad will appear on a beverage cart.</t>
        </is>
      </c>
      <c r="L175" s="11" t="n">
        <v>1</v>
      </c>
      <c r="M175" s="12" t="n">
        <v>100</v>
      </c>
      <c r="N175" s="12" t="n">
        <v>300</v>
      </c>
      <c r="O175" s="12" t="n">
        <v>600</v>
      </c>
      <c r="P175" s="12" t="n">
        <v>1200</v>
      </c>
      <c r="Q175" s="12" t="n"/>
      <c r="R175" s="13">
        <f>IF(ISNUMBER(M175),ROUND(M175/(1-Settings!$B$2)/Settings!$B$3,0)*Settings!$B$3,"")</f>
        <v/>
      </c>
      <c r="S175" s="13">
        <f>IF(ISNUMBER(N175),ROUND(N175/(1-Settings!$B$2)/Settings!$B$3,0)*Settings!$B$3,"")</f>
        <v/>
      </c>
      <c r="T175" s="13">
        <f>IF(ISNUMBER(O175),ROUND(O175/(1-Settings!$B$2)/Settings!$B$3,0)*Settings!$B$3,"")</f>
        <v/>
      </c>
      <c r="U175" s="13">
        <f>IF(ISNUMBER(P175),ROUND(P175/(1-Settings!$B$2)/Settings!$B$3,0)*Settings!$B$3,"")</f>
        <v/>
      </c>
      <c r="V175" s="13">
        <f>IF(ISNUMBER(Q175),ROUND(Q175/(1-Settings!$B$2)/Settings!$B$3,0)*Settings!$B$3,"")</f>
        <v/>
      </c>
      <c r="W175" s="14" t="n"/>
      <c r="X175" s="14" t="n"/>
      <c r="Y175" s="11" t="inlineStr"/>
      <c r="Z175" s="11" t="inlineStr"/>
      <c r="AA175" s="8" t="inlineStr"/>
      <c r="AB175" s="8" t="inlineStr"/>
      <c r="AC175" s="11" t="inlineStr">
        <is>
          <t>MasterMilitaryOnBaseList 12.2.25 NS.xlsx</t>
        </is>
      </c>
      <c r="AD175" s="11" t="inlineStr">
        <is>
          <t>2026 Advertising Rates - China Lake.docx</t>
        </is>
      </c>
      <c r="AE175" s="15" t="inlineStr">
        <is>
          <t>Open in Box</t>
        </is>
      </c>
      <c r="AF175" s="15" t="inlineStr">
        <is>
          <t>Open in Box</t>
        </is>
      </c>
    </row>
    <row r="176">
      <c r="A176" s="11" t="inlineStr">
        <is>
          <t>CA-CHINALAK-005</t>
        </is>
      </c>
      <c r="B176" s="8" t="inlineStr">
        <is>
          <t>China Lake NAVWEAPCEN</t>
        </is>
      </c>
      <c r="C176" s="11" t="inlineStr">
        <is>
          <t>NAWS China Lake</t>
        </is>
      </c>
      <c r="D176" s="11" t="inlineStr">
        <is>
          <t>CA</t>
        </is>
      </c>
      <c r="E176" s="11" t="inlineStr">
        <is>
          <t>Los Angeles</t>
        </is>
      </c>
      <c r="F176" s="11" t="inlineStr">
        <is>
          <t>93555</t>
        </is>
      </c>
      <c r="G176" s="11" t="inlineStr">
        <is>
          <t>Navy</t>
        </is>
      </c>
      <c r="H176" s="11" t="inlineStr">
        <is>
          <t>Standard Media</t>
        </is>
      </c>
      <c r="I176" s="8" t="inlineStr">
        <is>
          <t>Golf Course - Cart Signage</t>
        </is>
      </c>
      <c r="J176" s="11" t="inlineStr">
        <is>
          <t>5.5"W x 8.5"H</t>
        </is>
      </c>
      <c r="K176" s="8" t="inlineStr">
        <is>
          <t>Your ad will appear on a golf card.</t>
        </is>
      </c>
      <c r="L176" s="11" t="n">
        <v>1</v>
      </c>
      <c r="M176" s="12" t="n">
        <v>100</v>
      </c>
      <c r="N176" s="12" t="n">
        <v>300</v>
      </c>
      <c r="O176" s="12" t="n">
        <v>600</v>
      </c>
      <c r="P176" s="12" t="n">
        <v>1200</v>
      </c>
      <c r="Q176" s="12" t="n"/>
      <c r="R176" s="13">
        <f>IF(ISNUMBER(M176),ROUND(M176/(1-Settings!$B$2)/Settings!$B$3,0)*Settings!$B$3,"")</f>
        <v/>
      </c>
      <c r="S176" s="13">
        <f>IF(ISNUMBER(N176),ROUND(N176/(1-Settings!$B$2)/Settings!$B$3,0)*Settings!$B$3,"")</f>
        <v/>
      </c>
      <c r="T176" s="13">
        <f>IF(ISNUMBER(O176),ROUND(O176/(1-Settings!$B$2)/Settings!$B$3,0)*Settings!$B$3,"")</f>
        <v/>
      </c>
      <c r="U176" s="13">
        <f>IF(ISNUMBER(P176),ROUND(P176/(1-Settings!$B$2)/Settings!$B$3,0)*Settings!$B$3,"")</f>
        <v/>
      </c>
      <c r="V176" s="13">
        <f>IF(ISNUMBER(Q176),ROUND(Q176/(1-Settings!$B$2)/Settings!$B$3,0)*Settings!$B$3,"")</f>
        <v/>
      </c>
      <c r="W176" s="14" t="n"/>
      <c r="X176" s="14" t="n"/>
      <c r="Y176" s="11" t="inlineStr"/>
      <c r="Z176" s="11" t="inlineStr"/>
      <c r="AA176" s="8" t="inlineStr"/>
      <c r="AB176" s="8" t="inlineStr"/>
      <c r="AC176" s="11" t="inlineStr">
        <is>
          <t>MasterMilitaryOnBaseList 12.2.25 NS.xlsx</t>
        </is>
      </c>
      <c r="AD176" s="11" t="inlineStr">
        <is>
          <t>2026 Advertising Rates - China Lake.docx</t>
        </is>
      </c>
      <c r="AE176" s="15" t="inlineStr">
        <is>
          <t>Open in Box</t>
        </is>
      </c>
      <c r="AF176" s="15" t="inlineStr">
        <is>
          <t>Open in Box</t>
        </is>
      </c>
    </row>
    <row r="177">
      <c r="A177" s="11" t="inlineStr">
        <is>
          <t>CA-CHINALAK-006</t>
        </is>
      </c>
      <c r="B177" s="8" t="inlineStr">
        <is>
          <t>China Lake NAVWEAPCEN</t>
        </is>
      </c>
      <c r="C177" s="11" t="inlineStr">
        <is>
          <t>NAWS China Lake</t>
        </is>
      </c>
      <c r="D177" s="11" t="inlineStr">
        <is>
          <t>CA</t>
        </is>
      </c>
      <c r="E177" s="11" t="inlineStr">
        <is>
          <t>Los Angeles</t>
        </is>
      </c>
      <c r="F177" s="11" t="inlineStr">
        <is>
          <t>93555</t>
        </is>
      </c>
      <c r="G177" s="11" t="inlineStr">
        <is>
          <t>Navy</t>
        </is>
      </c>
      <c r="H177" s="11" t="inlineStr">
        <is>
          <t>Standard Media</t>
        </is>
      </c>
      <c r="I177" s="8" t="inlineStr">
        <is>
          <t>Golf Course - Tee Box Sign</t>
        </is>
      </c>
      <c r="J177" s="11" t="inlineStr">
        <is>
          <t>7"W x 7"H</t>
        </is>
      </c>
      <c r="K177" s="8" t="inlineStr">
        <is>
          <t>Your ad will appear on a tee box sign.</t>
        </is>
      </c>
      <c r="L177" s="11" t="n">
        <v>1</v>
      </c>
      <c r="M177" s="12" t="n">
        <v>150</v>
      </c>
      <c r="N177" s="12" t="n">
        <v>450</v>
      </c>
      <c r="O177" s="12" t="n">
        <v>900</v>
      </c>
      <c r="P177" s="12" t="n">
        <v>1800</v>
      </c>
      <c r="Q177" s="12" t="n"/>
      <c r="R177" s="13">
        <f>IF(ISNUMBER(M177),ROUND(M177/(1-Settings!$B$2)/Settings!$B$3,0)*Settings!$B$3,"")</f>
        <v/>
      </c>
      <c r="S177" s="13">
        <f>IF(ISNUMBER(N177),ROUND(N177/(1-Settings!$B$2)/Settings!$B$3,0)*Settings!$B$3,"")</f>
        <v/>
      </c>
      <c r="T177" s="13">
        <f>IF(ISNUMBER(O177),ROUND(O177/(1-Settings!$B$2)/Settings!$B$3,0)*Settings!$B$3,"")</f>
        <v/>
      </c>
      <c r="U177" s="13">
        <f>IF(ISNUMBER(P177),ROUND(P177/(1-Settings!$B$2)/Settings!$B$3,0)*Settings!$B$3,"")</f>
        <v/>
      </c>
      <c r="V177" s="13">
        <f>IF(ISNUMBER(Q177),ROUND(Q177/(1-Settings!$B$2)/Settings!$B$3,0)*Settings!$B$3,"")</f>
        <v/>
      </c>
      <c r="W177" s="14" t="n"/>
      <c r="X177" s="14" t="n"/>
      <c r="Y177" s="11" t="inlineStr"/>
      <c r="Z177" s="11" t="inlineStr"/>
      <c r="AA177" s="8" t="inlineStr"/>
      <c r="AB177" s="8" t="inlineStr"/>
      <c r="AC177" s="11" t="inlineStr">
        <is>
          <t>MasterMilitaryOnBaseList 12.2.25 NS.xlsx</t>
        </is>
      </c>
      <c r="AD177" s="11" t="inlineStr">
        <is>
          <t>2026 Advertising Rates - China Lake.docx</t>
        </is>
      </c>
      <c r="AE177" s="15" t="inlineStr">
        <is>
          <t>Open in Box</t>
        </is>
      </c>
      <c r="AF177" s="15" t="inlineStr">
        <is>
          <t>Open in Box</t>
        </is>
      </c>
    </row>
    <row r="178">
      <c r="A178" s="11" t="inlineStr">
        <is>
          <t>CA-CHINALAK-007</t>
        </is>
      </c>
      <c r="B178" s="8" t="inlineStr">
        <is>
          <t>China Lake NAVWEAPCEN</t>
        </is>
      </c>
      <c r="C178" s="11" t="inlineStr">
        <is>
          <t>NAWS China Lake</t>
        </is>
      </c>
      <c r="D178" s="11" t="inlineStr">
        <is>
          <t>CA</t>
        </is>
      </c>
      <c r="E178" s="11" t="inlineStr">
        <is>
          <t>Los Angeles</t>
        </is>
      </c>
      <c r="F178" s="11" t="inlineStr">
        <is>
          <t>93555</t>
        </is>
      </c>
      <c r="G178" s="11" t="inlineStr">
        <is>
          <t>Navy</t>
        </is>
      </c>
      <c r="H178" s="11" t="inlineStr">
        <is>
          <t>Standard Media</t>
        </is>
      </c>
      <c r="I178" s="8" t="inlineStr">
        <is>
          <t>Posters</t>
        </is>
      </c>
      <c r="J178" s="11" t="inlineStr">
        <is>
          <t>24"W x 36"H</t>
        </is>
      </c>
      <c r="K178" s="8" t="inlineStr">
        <is>
          <t>Your ad will appear in 1 approved installation facility.</t>
        </is>
      </c>
      <c r="L178" s="11" t="n">
        <v>1</v>
      </c>
      <c r="M178" s="12" t="n">
        <v>350</v>
      </c>
      <c r="N178" s="12" t="n">
        <v>1050</v>
      </c>
      <c r="O178" s="12" t="n">
        <v>2100</v>
      </c>
      <c r="P178" s="12" t="n">
        <v>4200</v>
      </c>
      <c r="Q178" s="12" t="n">
        <v>150</v>
      </c>
      <c r="R178" s="13">
        <f>IF(ISNUMBER(M178),ROUND(M178/(1-Settings!$B$2)/Settings!$B$3,0)*Settings!$B$3,"")</f>
        <v/>
      </c>
      <c r="S178" s="13">
        <f>IF(ISNUMBER(N178),ROUND(N178/(1-Settings!$B$2)/Settings!$B$3,0)*Settings!$B$3,"")</f>
        <v/>
      </c>
      <c r="T178" s="13">
        <f>IF(ISNUMBER(O178),ROUND(O178/(1-Settings!$B$2)/Settings!$B$3,0)*Settings!$B$3,"")</f>
        <v/>
      </c>
      <c r="U178" s="13">
        <f>IF(ISNUMBER(P178),ROUND(P178/(1-Settings!$B$2)/Settings!$B$3,0)*Settings!$B$3,"")</f>
        <v/>
      </c>
      <c r="V178" s="13">
        <f>IF(ISNUMBER(Q178),ROUND(Q178/(1-Settings!$B$2)/Settings!$B$3,0)*Settings!$B$3,"")</f>
        <v/>
      </c>
      <c r="W178" s="14" t="n"/>
      <c r="X178" s="14" t="n"/>
      <c r="Y178" s="11" t="inlineStr"/>
      <c r="Z178" s="11" t="inlineStr"/>
      <c r="AA178" s="8" t="inlineStr"/>
      <c r="AB178" s="8" t="inlineStr"/>
      <c r="AC178" s="11" t="inlineStr">
        <is>
          <t>MasterMilitaryOnBaseList 12.2.25 NS.xlsx</t>
        </is>
      </c>
      <c r="AD178" s="11" t="inlineStr">
        <is>
          <t>2026 Advertising Rates - China Lake.docx</t>
        </is>
      </c>
      <c r="AE178" s="15" t="inlineStr">
        <is>
          <t>Open in Box</t>
        </is>
      </c>
      <c r="AF178" s="15" t="inlineStr">
        <is>
          <t>Open in Box</t>
        </is>
      </c>
    </row>
    <row r="179">
      <c r="A179" s="11" t="inlineStr">
        <is>
          <t>CA-CHINALAK-008</t>
        </is>
      </c>
      <c r="B179" s="8" t="inlineStr">
        <is>
          <t>China Lake NAVWEAPCEN</t>
        </is>
      </c>
      <c r="C179" s="11" t="inlineStr">
        <is>
          <t>NAWS China Lake</t>
        </is>
      </c>
      <c r="D179" s="11" t="inlineStr">
        <is>
          <t>CA</t>
        </is>
      </c>
      <c r="E179" s="11" t="inlineStr">
        <is>
          <t>Los Angeles</t>
        </is>
      </c>
      <c r="F179" s="11" t="inlineStr">
        <is>
          <t>93555</t>
        </is>
      </c>
      <c r="G179" s="11" t="inlineStr">
        <is>
          <t>Navy</t>
        </is>
      </c>
      <c r="H179" s="11" t="inlineStr">
        <is>
          <t>Standard Media</t>
        </is>
      </c>
      <c r="I179" s="8" t="inlineStr">
        <is>
          <t>Posters - Golf Course</t>
        </is>
      </c>
      <c r="J179" s="11" t="inlineStr">
        <is>
          <t>24"W x 36"H</t>
        </is>
      </c>
      <c r="K179" s="8" t="inlineStr">
        <is>
          <t>Your ad will appear at the Golf Course Clubhouse.</t>
        </is>
      </c>
      <c r="L179" s="11" t="n">
        <v>1</v>
      </c>
      <c r="M179" s="12" t="n">
        <v>200</v>
      </c>
      <c r="N179" s="12" t="n">
        <v>600</v>
      </c>
      <c r="O179" s="12" t="n">
        <v>1200</v>
      </c>
      <c r="P179" s="12" t="n">
        <v>2400</v>
      </c>
      <c r="Q179" s="12" t="n">
        <v>150</v>
      </c>
      <c r="R179" s="13">
        <f>IF(ISNUMBER(M179),ROUND(M179/(1-Settings!$B$2)/Settings!$B$3,0)*Settings!$B$3,"")</f>
        <v/>
      </c>
      <c r="S179" s="13">
        <f>IF(ISNUMBER(N179),ROUND(N179/(1-Settings!$B$2)/Settings!$B$3,0)*Settings!$B$3,"")</f>
        <v/>
      </c>
      <c r="T179" s="13">
        <f>IF(ISNUMBER(O179),ROUND(O179/(1-Settings!$B$2)/Settings!$B$3,0)*Settings!$B$3,"")</f>
        <v/>
      </c>
      <c r="U179" s="13">
        <f>IF(ISNUMBER(P179),ROUND(P179/(1-Settings!$B$2)/Settings!$B$3,0)*Settings!$B$3,"")</f>
        <v/>
      </c>
      <c r="V179" s="13">
        <f>IF(ISNUMBER(Q179),ROUND(Q179/(1-Settings!$B$2)/Settings!$B$3,0)*Settings!$B$3,"")</f>
        <v/>
      </c>
      <c r="W179" s="14" t="n"/>
      <c r="X179" s="14" t="n"/>
      <c r="Y179" s="11" t="inlineStr"/>
      <c r="Z179" s="11" t="inlineStr"/>
      <c r="AA179" s="8" t="inlineStr"/>
      <c r="AB179" s="8" t="inlineStr"/>
      <c r="AC179" s="11" t="inlineStr">
        <is>
          <t>MasterMilitaryOnBaseList 12.2.25 NS.xlsx</t>
        </is>
      </c>
      <c r="AD179" s="11" t="inlineStr">
        <is>
          <t>2026 Advertising Rates - China Lake.docx</t>
        </is>
      </c>
      <c r="AE179" s="15" t="inlineStr">
        <is>
          <t>Open in Box</t>
        </is>
      </c>
      <c r="AF179" s="15" t="inlineStr">
        <is>
          <t>Open in Box</t>
        </is>
      </c>
    </row>
    <row r="180">
      <c r="A180" s="11" t="inlineStr">
        <is>
          <t>CA-EDWARDSA-001</t>
        </is>
      </c>
      <c r="B180" s="8" t="inlineStr">
        <is>
          <t>Edwards AFB</t>
        </is>
      </c>
      <c r="C180" s="11" t="inlineStr"/>
      <c r="D180" s="11" t="inlineStr">
        <is>
          <t>CA</t>
        </is>
      </c>
      <c r="E180" s="11" t="inlineStr">
        <is>
          <t>Los Angeles</t>
        </is>
      </c>
      <c r="F180" s="11" t="inlineStr">
        <is>
          <t>93524</t>
        </is>
      </c>
      <c r="G180" s="11" t="inlineStr">
        <is>
          <t>Air Force</t>
        </is>
      </c>
      <c r="H180" s="11" t="inlineStr">
        <is>
          <t>Digital</t>
        </is>
      </c>
      <c r="I180" s="8" t="inlineStr">
        <is>
          <t>15-second Audiovisual Commercial</t>
        </is>
      </c>
      <c r="J180" s="11" t="inlineStr">
        <is>
          <t>1080pxW x 1920pxH</t>
        </is>
      </c>
      <c r="K180" s="8" t="inlineStr">
        <is>
          <t>Your ad will appear on approved monitors within the installation facilities.</t>
        </is>
      </c>
      <c r="L180" s="11" t="n">
        <v>1</v>
      </c>
      <c r="M180" s="12" t="n">
        <v>700</v>
      </c>
      <c r="N180" s="12" t="n">
        <v>2100</v>
      </c>
      <c r="O180" s="12" t="n">
        <v>4200</v>
      </c>
      <c r="P180" s="12" t="n">
        <v>5000</v>
      </c>
      <c r="Q180" s="12" t="n">
        <v>0</v>
      </c>
      <c r="R180" s="13">
        <f>IF(ISNUMBER(M180),ROUND(M180/(1-Settings!$B$2)/Settings!$B$3,0)*Settings!$B$3,"")</f>
        <v/>
      </c>
      <c r="S180" s="13">
        <f>IF(ISNUMBER(N180),ROUND(N180/(1-Settings!$B$2)/Settings!$B$3,0)*Settings!$B$3,"")</f>
        <v/>
      </c>
      <c r="T180" s="13">
        <f>IF(ISNUMBER(O180),ROUND(O180/(1-Settings!$B$2)/Settings!$B$3,0)*Settings!$B$3,"")</f>
        <v/>
      </c>
      <c r="U180" s="13">
        <f>IF(ISNUMBER(P180),ROUND(P180/(1-Settings!$B$2)/Settings!$B$3,0)*Settings!$B$3,"")</f>
        <v/>
      </c>
      <c r="V180" s="13">
        <f>IF(ISNUMBER(Q180),ROUND(Q180/(1-Settings!$B$2)/Settings!$B$3,0)*Settings!$B$3,"")</f>
        <v/>
      </c>
      <c r="W180" s="14" t="n"/>
      <c r="X180" s="14" t="n"/>
      <c r="Y180" s="11" t="inlineStr"/>
      <c r="Z180" s="11" t="inlineStr"/>
      <c r="AA180" s="8" t="inlineStr"/>
      <c r="AB180" s="8" t="inlineStr"/>
      <c r="AC180" s="11" t="inlineStr">
        <is>
          <t>MasterMilitaryOnBaseList 12.2.25 NS.xlsx</t>
        </is>
      </c>
      <c r="AD180" s="11" t="inlineStr">
        <is>
          <t>2026-EAFB-SponsorshipAdvertising-Media-Kit-FINAL.pdf</t>
        </is>
      </c>
      <c r="AE180" s="15" t="inlineStr">
        <is>
          <t>Open in Box</t>
        </is>
      </c>
      <c r="AF180" s="15" t="inlineStr">
        <is>
          <t>Open in Box</t>
        </is>
      </c>
    </row>
    <row r="181">
      <c r="A181" s="11" t="inlineStr">
        <is>
          <t>CA-EDWARDSA-002</t>
        </is>
      </c>
      <c r="B181" s="8" t="inlineStr">
        <is>
          <t>Edwards AFB</t>
        </is>
      </c>
      <c r="C181" s="11" t="inlineStr"/>
      <c r="D181" s="11" t="inlineStr">
        <is>
          <t>CA</t>
        </is>
      </c>
      <c r="E181" s="11" t="inlineStr">
        <is>
          <t>Los Angeles</t>
        </is>
      </c>
      <c r="F181" s="11" t="inlineStr">
        <is>
          <t>93524</t>
        </is>
      </c>
      <c r="G181" s="11" t="inlineStr">
        <is>
          <t>Air Force</t>
        </is>
      </c>
      <c r="H181" s="11" t="inlineStr">
        <is>
          <t>Digital</t>
        </is>
      </c>
      <c r="I181" s="8" t="inlineStr">
        <is>
          <t>30-second Audiovisual Commercial</t>
        </is>
      </c>
      <c r="J181" s="11" t="inlineStr">
        <is>
          <t>1080pxW x 1920pxH</t>
        </is>
      </c>
      <c r="K181" s="8" t="inlineStr">
        <is>
          <t>Your ad will appear on approved monitors within the installation facilities.</t>
        </is>
      </c>
      <c r="L181" s="11" t="n">
        <v>1</v>
      </c>
      <c r="M181" s="12" t="n">
        <v>800</v>
      </c>
      <c r="N181" s="12" t="n">
        <v>2400</v>
      </c>
      <c r="O181" s="12" t="n">
        <v>4800</v>
      </c>
      <c r="P181" s="12" t="n">
        <v>6500</v>
      </c>
      <c r="Q181" s="12" t="n">
        <v>0</v>
      </c>
      <c r="R181" s="13">
        <f>IF(ISNUMBER(M181),ROUND(M181/(1-Settings!$B$2)/Settings!$B$3,0)*Settings!$B$3,"")</f>
        <v/>
      </c>
      <c r="S181" s="13">
        <f>IF(ISNUMBER(N181),ROUND(N181/(1-Settings!$B$2)/Settings!$B$3,0)*Settings!$B$3,"")</f>
        <v/>
      </c>
      <c r="T181" s="13">
        <f>IF(ISNUMBER(O181),ROUND(O181/(1-Settings!$B$2)/Settings!$B$3,0)*Settings!$B$3,"")</f>
        <v/>
      </c>
      <c r="U181" s="13">
        <f>IF(ISNUMBER(P181),ROUND(P181/(1-Settings!$B$2)/Settings!$B$3,0)*Settings!$B$3,"")</f>
        <v/>
      </c>
      <c r="V181" s="13">
        <f>IF(ISNUMBER(Q181),ROUND(Q181/(1-Settings!$B$2)/Settings!$B$3,0)*Settings!$B$3,"")</f>
        <v/>
      </c>
      <c r="W181" s="14" t="n"/>
      <c r="X181" s="14" t="n"/>
      <c r="Y181" s="11" t="inlineStr"/>
      <c r="Z181" s="11" t="inlineStr"/>
      <c r="AA181" s="8" t="inlineStr"/>
      <c r="AB181" s="8" t="inlineStr"/>
      <c r="AC181" s="11" t="inlineStr">
        <is>
          <t>MasterMilitaryOnBaseList 12.2.25 NS.xlsx</t>
        </is>
      </c>
      <c r="AD181" s="11" t="inlineStr">
        <is>
          <t>2026-EAFB-SponsorshipAdvertising-Media-Kit-FINAL.pdf</t>
        </is>
      </c>
      <c r="AE181" s="15" t="inlineStr">
        <is>
          <t>Open in Box</t>
        </is>
      </c>
      <c r="AF181" s="15" t="inlineStr">
        <is>
          <t>Open in Box</t>
        </is>
      </c>
    </row>
    <row r="182">
      <c r="A182" s="11" t="inlineStr">
        <is>
          <t>CA-EDWARDSA-003</t>
        </is>
      </c>
      <c r="B182" s="8" t="inlineStr">
        <is>
          <t>Edwards AFB</t>
        </is>
      </c>
      <c r="C182" s="11" t="inlineStr"/>
      <c r="D182" s="11" t="inlineStr">
        <is>
          <t>CA</t>
        </is>
      </c>
      <c r="E182" s="11" t="inlineStr">
        <is>
          <t>Los Angeles</t>
        </is>
      </c>
      <c r="F182" s="11" t="inlineStr">
        <is>
          <t>93524</t>
        </is>
      </c>
      <c r="G182" s="11" t="inlineStr">
        <is>
          <t>Air Force</t>
        </is>
      </c>
      <c r="H182" s="11" t="inlineStr">
        <is>
          <t>Digital</t>
        </is>
      </c>
      <c r="I182" s="8" t="inlineStr">
        <is>
          <t>Digital Kiosk Motion</t>
        </is>
      </c>
      <c r="J182" s="11" t="inlineStr">
        <is>
          <t>1080pxW x 1920pxH</t>
        </is>
      </c>
      <c r="K182" s="8" t="inlineStr">
        <is>
          <t>Your :15 ad will appear in an approved installation facility.</t>
        </is>
      </c>
      <c r="L182" s="11" t="n">
        <v>1</v>
      </c>
      <c r="M182" s="12" t="n">
        <v>700</v>
      </c>
      <c r="N182" s="12" t="n">
        <v>2100</v>
      </c>
      <c r="O182" s="12" t="n">
        <v>4200</v>
      </c>
      <c r="P182" s="12" t="n">
        <v>5000</v>
      </c>
      <c r="Q182" s="12" t="n">
        <v>0</v>
      </c>
      <c r="R182" s="13">
        <f>IF(ISNUMBER(M182),ROUND(M182/(1-Settings!$B$2)/Settings!$B$3,0)*Settings!$B$3,"")</f>
        <v/>
      </c>
      <c r="S182" s="13">
        <f>IF(ISNUMBER(N182),ROUND(N182/(1-Settings!$B$2)/Settings!$B$3,0)*Settings!$B$3,"")</f>
        <v/>
      </c>
      <c r="T182" s="13">
        <f>IF(ISNUMBER(O182),ROUND(O182/(1-Settings!$B$2)/Settings!$B$3,0)*Settings!$B$3,"")</f>
        <v/>
      </c>
      <c r="U182" s="13">
        <f>IF(ISNUMBER(P182),ROUND(P182/(1-Settings!$B$2)/Settings!$B$3,0)*Settings!$B$3,"")</f>
        <v/>
      </c>
      <c r="V182" s="13">
        <f>IF(ISNUMBER(Q182),ROUND(Q182/(1-Settings!$B$2)/Settings!$B$3,0)*Settings!$B$3,"")</f>
        <v/>
      </c>
      <c r="W182" s="14" t="n"/>
      <c r="X182" s="14" t="n"/>
      <c r="Y182" s="11" t="inlineStr"/>
      <c r="Z182" s="11" t="inlineStr"/>
      <c r="AA182" s="8" t="inlineStr"/>
      <c r="AB182" s="8" t="inlineStr"/>
      <c r="AC182" s="11" t="inlineStr">
        <is>
          <t>MasterMilitaryOnBaseList 12.2.25 NS.xlsx</t>
        </is>
      </c>
      <c r="AD182" s="11" t="inlineStr">
        <is>
          <t>2026-EAFB-SponsorshipAdvertising-Media-Kit-FINAL.pdf</t>
        </is>
      </c>
      <c r="AE182" s="15" t="inlineStr">
        <is>
          <t>Open in Box</t>
        </is>
      </c>
      <c r="AF182" s="15" t="inlineStr">
        <is>
          <t>Open in Box</t>
        </is>
      </c>
    </row>
    <row r="183">
      <c r="A183" s="11" t="inlineStr">
        <is>
          <t>CA-EDWARDSA-004</t>
        </is>
      </c>
      <c r="B183" s="8" t="inlineStr">
        <is>
          <t>Edwards AFB</t>
        </is>
      </c>
      <c r="C183" s="11" t="inlineStr"/>
      <c r="D183" s="11" t="inlineStr">
        <is>
          <t>CA</t>
        </is>
      </c>
      <c r="E183" s="11" t="inlineStr">
        <is>
          <t>Los Angeles</t>
        </is>
      </c>
      <c r="F183" s="11" t="inlineStr">
        <is>
          <t>93524</t>
        </is>
      </c>
      <c r="G183" s="11" t="inlineStr">
        <is>
          <t>Air Force</t>
        </is>
      </c>
      <c r="H183" s="11" t="inlineStr">
        <is>
          <t>Digital</t>
        </is>
      </c>
      <c r="I183" s="8" t="inlineStr">
        <is>
          <t>Digital Kiosk Motion</t>
        </is>
      </c>
      <c r="J183" s="11" t="inlineStr">
        <is>
          <t>1080pxW x 1920pxH</t>
        </is>
      </c>
      <c r="K183" s="8" t="inlineStr">
        <is>
          <t>Your :30 ad will appear in an approved installation facility.</t>
        </is>
      </c>
      <c r="L183" s="11" t="n">
        <v>1</v>
      </c>
      <c r="M183" s="12" t="n">
        <v>800</v>
      </c>
      <c r="N183" s="12" t="n">
        <v>2400</v>
      </c>
      <c r="O183" s="12" t="n">
        <v>4800</v>
      </c>
      <c r="P183" s="12" t="n">
        <v>6500</v>
      </c>
      <c r="Q183" s="12" t="n">
        <v>0</v>
      </c>
      <c r="R183" s="13">
        <f>IF(ISNUMBER(M183),ROUND(M183/(1-Settings!$B$2)/Settings!$B$3,0)*Settings!$B$3,"")</f>
        <v/>
      </c>
      <c r="S183" s="13">
        <f>IF(ISNUMBER(N183),ROUND(N183/(1-Settings!$B$2)/Settings!$B$3,0)*Settings!$B$3,"")</f>
        <v/>
      </c>
      <c r="T183" s="13">
        <f>IF(ISNUMBER(O183),ROUND(O183/(1-Settings!$B$2)/Settings!$B$3,0)*Settings!$B$3,"")</f>
        <v/>
      </c>
      <c r="U183" s="13">
        <f>IF(ISNUMBER(P183),ROUND(P183/(1-Settings!$B$2)/Settings!$B$3,0)*Settings!$B$3,"")</f>
        <v/>
      </c>
      <c r="V183" s="13">
        <f>IF(ISNUMBER(Q183),ROUND(Q183/(1-Settings!$B$2)/Settings!$B$3,0)*Settings!$B$3,"")</f>
        <v/>
      </c>
      <c r="W183" s="14" t="n"/>
      <c r="X183" s="14" t="n"/>
      <c r="Y183" s="11" t="inlineStr"/>
      <c r="Z183" s="11" t="inlineStr"/>
      <c r="AA183" s="8" t="inlineStr"/>
      <c r="AB183" s="8" t="inlineStr"/>
      <c r="AC183" s="11" t="inlineStr">
        <is>
          <t>MasterMilitaryOnBaseList 12.2.25 NS.xlsx</t>
        </is>
      </c>
      <c r="AD183" s="11" t="inlineStr">
        <is>
          <t>2026-EAFB-SponsorshipAdvertising-Media-Kit-FINAL.pdf</t>
        </is>
      </c>
      <c r="AE183" s="15" t="inlineStr">
        <is>
          <t>Open in Box</t>
        </is>
      </c>
      <c r="AF183" s="15" t="inlineStr">
        <is>
          <t>Open in Box</t>
        </is>
      </c>
    </row>
    <row r="184">
      <c r="A184" s="11" t="inlineStr">
        <is>
          <t>CA-EDWARDSA-005</t>
        </is>
      </c>
      <c r="B184" s="8" t="inlineStr">
        <is>
          <t>Edwards AFB</t>
        </is>
      </c>
      <c r="C184" s="11" t="inlineStr"/>
      <c r="D184" s="11" t="inlineStr">
        <is>
          <t>CA</t>
        </is>
      </c>
      <c r="E184" s="11" t="inlineStr">
        <is>
          <t>Los Angeles</t>
        </is>
      </c>
      <c r="F184" s="11" t="inlineStr">
        <is>
          <t>93524</t>
        </is>
      </c>
      <c r="G184" s="11" t="inlineStr">
        <is>
          <t>Air Force</t>
        </is>
      </c>
      <c r="H184" s="11" t="inlineStr">
        <is>
          <t>Digital</t>
        </is>
      </c>
      <c r="I184" s="8" t="inlineStr">
        <is>
          <t>Digital Monitor /Kiosk Network</t>
        </is>
      </c>
      <c r="J184" s="11" t="inlineStr">
        <is>
          <t>1080pxW x 1920pxH and 5333pxW x 300pxH</t>
        </is>
      </c>
      <c r="K184" s="8" t="inlineStr">
        <is>
          <t>Your static ad will appear on digital monitor and kiosks in approved installation facilities.</t>
        </is>
      </c>
      <c r="L184" s="11" t="n">
        <v>1</v>
      </c>
      <c r="M184" s="12" t="n">
        <v>500</v>
      </c>
      <c r="N184" s="12" t="n">
        <v>1500</v>
      </c>
      <c r="O184" s="12" t="n">
        <v>3000</v>
      </c>
      <c r="P184" s="12" t="n">
        <v>3000</v>
      </c>
      <c r="Q184" s="12" t="n">
        <v>0</v>
      </c>
      <c r="R184" s="13">
        <f>IF(ISNUMBER(M184),ROUND(M184/(1-Settings!$B$2)/Settings!$B$3,0)*Settings!$B$3,"")</f>
        <v/>
      </c>
      <c r="S184" s="13">
        <f>IF(ISNUMBER(N184),ROUND(N184/(1-Settings!$B$2)/Settings!$B$3,0)*Settings!$B$3,"")</f>
        <v/>
      </c>
      <c r="T184" s="13">
        <f>IF(ISNUMBER(O184),ROUND(O184/(1-Settings!$B$2)/Settings!$B$3,0)*Settings!$B$3,"")</f>
        <v/>
      </c>
      <c r="U184" s="13">
        <f>IF(ISNUMBER(P184),ROUND(P184/(1-Settings!$B$2)/Settings!$B$3,0)*Settings!$B$3,"")</f>
        <v/>
      </c>
      <c r="V184" s="13">
        <f>IF(ISNUMBER(Q184),ROUND(Q184/(1-Settings!$B$2)/Settings!$B$3,0)*Settings!$B$3,"")</f>
        <v/>
      </c>
      <c r="W184" s="14" t="n"/>
      <c r="X184" s="14" t="n"/>
      <c r="Y184" s="11" t="inlineStr"/>
      <c r="Z184" s="11" t="inlineStr"/>
      <c r="AA184" s="8" t="inlineStr"/>
      <c r="AB184" s="8" t="inlineStr"/>
      <c r="AC184" s="11" t="inlineStr">
        <is>
          <t>MasterMilitaryOnBaseList 12.2.25 NS.xlsx</t>
        </is>
      </c>
      <c r="AD184" s="11" t="inlineStr">
        <is>
          <t>2026-EAFB-SponsorshipAdvertising-Media-Kit-FINAL.pdf</t>
        </is>
      </c>
      <c r="AE184" s="15" t="inlineStr">
        <is>
          <t>Open in Box</t>
        </is>
      </c>
      <c r="AF184" s="15" t="inlineStr">
        <is>
          <t>Open in Box</t>
        </is>
      </c>
    </row>
    <row r="185">
      <c r="A185" s="11" t="inlineStr">
        <is>
          <t>CA-EDWARDSA-006</t>
        </is>
      </c>
      <c r="B185" s="8" t="inlineStr">
        <is>
          <t>Edwards AFB</t>
        </is>
      </c>
      <c r="C185" s="11" t="inlineStr"/>
      <c r="D185" s="11" t="inlineStr">
        <is>
          <t>CA</t>
        </is>
      </c>
      <c r="E185" s="11" t="inlineStr">
        <is>
          <t>Los Angeles</t>
        </is>
      </c>
      <c r="F185" s="11" t="inlineStr">
        <is>
          <t>93524</t>
        </is>
      </c>
      <c r="G185" s="11" t="inlineStr">
        <is>
          <t>Air Force</t>
        </is>
      </c>
      <c r="H185" s="11" t="inlineStr">
        <is>
          <t>Digital</t>
        </is>
      </c>
      <c r="I185" s="8" t="inlineStr">
        <is>
          <t>Digital Monitor Network</t>
        </is>
      </c>
      <c r="J185" s="11" t="inlineStr">
        <is>
          <t>1080pxW x 1920pxH</t>
        </is>
      </c>
      <c r="K185" s="8" t="inlineStr">
        <is>
          <t>Your ad will appear on approved monitors within the installation facilities.</t>
        </is>
      </c>
      <c r="L185" s="11" t="n">
        <v>1</v>
      </c>
      <c r="M185" s="12" t="n">
        <v>500</v>
      </c>
      <c r="N185" s="12" t="n">
        <v>1500</v>
      </c>
      <c r="O185" s="12" t="n">
        <v>3000</v>
      </c>
      <c r="P185" s="12" t="n">
        <v>3000</v>
      </c>
      <c r="Q185" s="12" t="n">
        <v>0</v>
      </c>
      <c r="R185" s="13">
        <f>IF(ISNUMBER(M185),ROUND(M185/(1-Settings!$B$2)/Settings!$B$3,0)*Settings!$B$3,"")</f>
        <v/>
      </c>
      <c r="S185" s="13">
        <f>IF(ISNUMBER(N185),ROUND(N185/(1-Settings!$B$2)/Settings!$B$3,0)*Settings!$B$3,"")</f>
        <v/>
      </c>
      <c r="T185" s="13">
        <f>IF(ISNUMBER(O185),ROUND(O185/(1-Settings!$B$2)/Settings!$B$3,0)*Settings!$B$3,"")</f>
        <v/>
      </c>
      <c r="U185" s="13">
        <f>IF(ISNUMBER(P185),ROUND(P185/(1-Settings!$B$2)/Settings!$B$3,0)*Settings!$B$3,"")</f>
        <v/>
      </c>
      <c r="V185" s="13">
        <f>IF(ISNUMBER(Q185),ROUND(Q185/(1-Settings!$B$2)/Settings!$B$3,0)*Settings!$B$3,"")</f>
        <v/>
      </c>
      <c r="W185" s="14" t="n"/>
      <c r="X185" s="14" t="n"/>
      <c r="Y185" s="11" t="inlineStr"/>
      <c r="Z185" s="11" t="inlineStr"/>
      <c r="AA185" s="8" t="inlineStr"/>
      <c r="AB185" s="8" t="inlineStr"/>
      <c r="AC185" s="11" t="inlineStr">
        <is>
          <t>MasterMilitaryOnBaseList 12.2.25 NS.xlsx</t>
        </is>
      </c>
      <c r="AD185" s="11" t="inlineStr">
        <is>
          <t>2026-EAFB-SponsorshipAdvertising-Media-Kit-FINAL.pdf</t>
        </is>
      </c>
      <c r="AE185" s="15" t="inlineStr">
        <is>
          <t>Open in Box</t>
        </is>
      </c>
      <c r="AF185" s="15" t="inlineStr">
        <is>
          <t>Open in Box</t>
        </is>
      </c>
    </row>
    <row r="186">
      <c r="A186" s="11" t="inlineStr">
        <is>
          <t>CA-EDWARDSA-011</t>
        </is>
      </c>
      <c r="B186" s="8" t="inlineStr">
        <is>
          <t>Edwards AFB</t>
        </is>
      </c>
      <c r="C186" s="11" t="inlineStr"/>
      <c r="D186" s="11" t="inlineStr">
        <is>
          <t>CA</t>
        </is>
      </c>
      <c r="E186" s="11" t="inlineStr">
        <is>
          <t>Los Angeles</t>
        </is>
      </c>
      <c r="F186" s="11" t="inlineStr">
        <is>
          <t>93524</t>
        </is>
      </c>
      <c r="G186" s="11" t="inlineStr">
        <is>
          <t>Air Force</t>
        </is>
      </c>
      <c r="H186" s="11" t="inlineStr">
        <is>
          <t>Print &amp; Publications</t>
        </is>
      </c>
      <c r="I186" s="8" t="inlineStr">
        <is>
          <t>Flyers/Brochures</t>
        </is>
      </c>
      <c r="J186" s="11" t="inlineStr">
        <is>
          <t>TBD</t>
        </is>
      </c>
      <c r="K186" s="8" t="inlineStr">
        <is>
          <t>Your ad will appear in approved installation facilities.</t>
        </is>
      </c>
      <c r="L186" s="11" t="n">
        <v>1</v>
      </c>
      <c r="M186" s="12" t="n">
        <v>150</v>
      </c>
      <c r="N186" s="12" t="n">
        <v>450</v>
      </c>
      <c r="O186" s="12" t="n">
        <v>500</v>
      </c>
      <c r="P186" s="12" t="n">
        <v>1000</v>
      </c>
      <c r="Q186" s="12" t="n">
        <v>0</v>
      </c>
      <c r="R186" s="13">
        <f>IF(ISNUMBER(M186),ROUND(M186/(1-Settings!$B$2)/Settings!$B$3,0)*Settings!$B$3,"")</f>
        <v/>
      </c>
      <c r="S186" s="13">
        <f>IF(ISNUMBER(N186),ROUND(N186/(1-Settings!$B$2)/Settings!$B$3,0)*Settings!$B$3,"")</f>
        <v/>
      </c>
      <c r="T186" s="13">
        <f>IF(ISNUMBER(O186),ROUND(O186/(1-Settings!$B$2)/Settings!$B$3,0)*Settings!$B$3,"")</f>
        <v/>
      </c>
      <c r="U186" s="13">
        <f>IF(ISNUMBER(P186),ROUND(P186/(1-Settings!$B$2)/Settings!$B$3,0)*Settings!$B$3,"")</f>
        <v/>
      </c>
      <c r="V186" s="13">
        <f>IF(ISNUMBER(Q186),ROUND(Q186/(1-Settings!$B$2)/Settings!$B$3,0)*Settings!$B$3,"")</f>
        <v/>
      </c>
      <c r="W186" s="14" t="n"/>
      <c r="X186" s="14" t="n"/>
      <c r="Y186" s="11" t="inlineStr"/>
      <c r="Z186" s="11" t="inlineStr"/>
      <c r="AA186" s="8" t="inlineStr"/>
      <c r="AB186" s="8" t="inlineStr"/>
      <c r="AC186" s="11" t="inlineStr">
        <is>
          <t>MasterMilitaryOnBaseList 12.2.25 NS.xlsx</t>
        </is>
      </c>
      <c r="AD186" s="11" t="inlineStr">
        <is>
          <t>2026-EAFB-SponsorshipAdvertising-Media-Kit-FINAL.pdf</t>
        </is>
      </c>
      <c r="AE186" s="15" t="inlineStr">
        <is>
          <t>Open in Box</t>
        </is>
      </c>
      <c r="AF186" s="15" t="inlineStr">
        <is>
          <t>Open in Box</t>
        </is>
      </c>
    </row>
    <row r="187">
      <c r="A187" s="11" t="inlineStr">
        <is>
          <t>CA-EDWARDSA-012</t>
        </is>
      </c>
      <c r="B187" s="8" t="inlineStr">
        <is>
          <t>Edwards AFB</t>
        </is>
      </c>
      <c r="C187" s="11" t="inlineStr"/>
      <c r="D187" s="11" t="inlineStr">
        <is>
          <t>CA</t>
        </is>
      </c>
      <c r="E187" s="11" t="inlineStr">
        <is>
          <t>Los Angeles</t>
        </is>
      </c>
      <c r="F187" s="11" t="inlineStr">
        <is>
          <t>93524</t>
        </is>
      </c>
      <c r="G187" s="11" t="inlineStr">
        <is>
          <t>Air Force</t>
        </is>
      </c>
      <c r="H187" s="11" t="inlineStr">
        <is>
          <t>Print &amp; Publications</t>
        </is>
      </c>
      <c r="I187" s="8" t="inlineStr">
        <is>
          <t>Flyers/Brochures</t>
        </is>
      </c>
      <c r="J187" s="11" t="inlineStr">
        <is>
          <t>TBD</t>
        </is>
      </c>
      <c r="K187" s="8" t="inlineStr">
        <is>
          <t>Your ad will appear in an approved installation facility.</t>
        </is>
      </c>
      <c r="L187" s="11" t="n">
        <v>1</v>
      </c>
      <c r="M187" s="12" t="n">
        <v>150</v>
      </c>
      <c r="N187" s="12" t="n">
        <v>450</v>
      </c>
      <c r="O187" s="12" t="n">
        <v>500</v>
      </c>
      <c r="P187" s="12" t="n">
        <v>1000</v>
      </c>
      <c r="Q187" s="12" t="n"/>
      <c r="R187" s="13">
        <f>IF(ISNUMBER(M187),ROUND(M187/(1-Settings!$B$2)/Settings!$B$3,0)*Settings!$B$3,"")</f>
        <v/>
      </c>
      <c r="S187" s="13">
        <f>IF(ISNUMBER(N187),ROUND(N187/(1-Settings!$B$2)/Settings!$B$3,0)*Settings!$B$3,"")</f>
        <v/>
      </c>
      <c r="T187" s="13">
        <f>IF(ISNUMBER(O187),ROUND(O187/(1-Settings!$B$2)/Settings!$B$3,0)*Settings!$B$3,"")</f>
        <v/>
      </c>
      <c r="U187" s="13">
        <f>IF(ISNUMBER(P187),ROUND(P187/(1-Settings!$B$2)/Settings!$B$3,0)*Settings!$B$3,"")</f>
        <v/>
      </c>
      <c r="V187" s="13">
        <f>IF(ISNUMBER(Q187),ROUND(Q187/(1-Settings!$B$2)/Settings!$B$3,0)*Settings!$B$3,"")</f>
        <v/>
      </c>
      <c r="W187" s="14" t="n"/>
      <c r="X187" s="14" t="n"/>
      <c r="Y187" s="11" t="inlineStr"/>
      <c r="Z187" s="11" t="inlineStr"/>
      <c r="AA187" s="8" t="inlineStr"/>
      <c r="AB187" s="8" t="inlineStr"/>
      <c r="AC187" s="11" t="inlineStr">
        <is>
          <t>MasterMilitaryOnBaseList 12.2.25 NS.xlsx</t>
        </is>
      </c>
      <c r="AD187" s="11" t="inlineStr">
        <is>
          <t>2026-EAFB-SponsorshipAdvertising-Media-Kit-FINAL.pdf</t>
        </is>
      </c>
      <c r="AE187" s="15" t="inlineStr">
        <is>
          <t>Open in Box</t>
        </is>
      </c>
      <c r="AF187" s="15" t="inlineStr">
        <is>
          <t>Open in Box</t>
        </is>
      </c>
    </row>
    <row r="188">
      <c r="A188" s="11" t="inlineStr">
        <is>
          <t>CA-EDWARDSA-013</t>
        </is>
      </c>
      <c r="B188" s="8" t="inlineStr">
        <is>
          <t>Edwards AFB</t>
        </is>
      </c>
      <c r="C188" s="11" t="inlineStr"/>
      <c r="D188" s="11" t="inlineStr">
        <is>
          <t>CA</t>
        </is>
      </c>
      <c r="E188" s="11" t="inlineStr">
        <is>
          <t>Los Angeles</t>
        </is>
      </c>
      <c r="F188" s="11" t="inlineStr">
        <is>
          <t>93524</t>
        </is>
      </c>
      <c r="G188" s="11" t="inlineStr">
        <is>
          <t>Air Force</t>
        </is>
      </c>
      <c r="H188" s="11" t="inlineStr">
        <is>
          <t>Print &amp; Publications</t>
        </is>
      </c>
      <c r="I188" s="8" t="inlineStr">
        <is>
          <t>Magazine</t>
        </is>
      </c>
      <c r="J188" s="11" t="inlineStr">
        <is>
          <t>8.5"W x 11.5"H</t>
        </is>
      </c>
      <c r="K188" s="8" t="inlineStr">
        <is>
          <t>Your ad will appear in the quarterly Spare Magazine as a full page ad.</t>
        </is>
      </c>
      <c r="L188" s="11" t="n">
        <v>3</v>
      </c>
      <c r="M188" s="12" t="n"/>
      <c r="N188" s="12" t="n">
        <v>700</v>
      </c>
      <c r="O188" s="12" t="n">
        <v>1400</v>
      </c>
      <c r="P188" s="12" t="n">
        <v>1925</v>
      </c>
      <c r="Q188" s="12" t="n">
        <v>0</v>
      </c>
      <c r="R188" s="13">
        <f>IF(ISNUMBER(M188),ROUND(M188/(1-Settings!$B$2)/Settings!$B$3,0)*Settings!$B$3,"")</f>
        <v/>
      </c>
      <c r="S188" s="13">
        <f>IF(ISNUMBER(N188),ROUND(N188/(1-Settings!$B$2)/Settings!$B$3,0)*Settings!$B$3,"")</f>
        <v/>
      </c>
      <c r="T188" s="13">
        <f>IF(ISNUMBER(O188),ROUND(O188/(1-Settings!$B$2)/Settings!$B$3,0)*Settings!$B$3,"")</f>
        <v/>
      </c>
      <c r="U188" s="13">
        <f>IF(ISNUMBER(P188),ROUND(P188/(1-Settings!$B$2)/Settings!$B$3,0)*Settings!$B$3,"")</f>
        <v/>
      </c>
      <c r="V188" s="13">
        <f>IF(ISNUMBER(Q188),ROUND(Q188/(1-Settings!$B$2)/Settings!$B$3,0)*Settings!$B$3,"")</f>
        <v/>
      </c>
      <c r="W188" s="14" t="n"/>
      <c r="X188" s="14" t="n"/>
      <c r="Y188" s="11" t="inlineStr"/>
      <c r="Z188" s="11" t="inlineStr"/>
      <c r="AA188" s="8" t="inlineStr"/>
      <c r="AB188" s="16" t="inlineStr">
        <is>
          <t>Source formula errors</t>
        </is>
      </c>
      <c r="AC188" s="11" t="inlineStr">
        <is>
          <t>MasterMilitaryOnBaseList 12.2.25 NS.xlsx</t>
        </is>
      </c>
      <c r="AD188" s="11" t="inlineStr">
        <is>
          <t>2026-EAFB-SponsorshipAdvertising-Media-Kit-FINAL.pdf</t>
        </is>
      </c>
      <c r="AE188" s="15" t="inlineStr">
        <is>
          <t>Open in Box</t>
        </is>
      </c>
      <c r="AF188" s="15" t="inlineStr">
        <is>
          <t>Open in Box</t>
        </is>
      </c>
    </row>
    <row r="189">
      <c r="A189" s="11" t="inlineStr">
        <is>
          <t>CA-EDWARDSA-007</t>
        </is>
      </c>
      <c r="B189" s="8" t="inlineStr">
        <is>
          <t>Edwards AFB</t>
        </is>
      </c>
      <c r="C189" s="11" t="inlineStr"/>
      <c r="D189" s="11" t="inlineStr">
        <is>
          <t>CA</t>
        </is>
      </c>
      <c r="E189" s="11" t="inlineStr">
        <is>
          <t>Los Angeles</t>
        </is>
      </c>
      <c r="F189" s="11" t="inlineStr">
        <is>
          <t>93524</t>
        </is>
      </c>
      <c r="G189" s="11" t="inlineStr">
        <is>
          <t>Air Force</t>
        </is>
      </c>
      <c r="H189" s="11" t="inlineStr">
        <is>
          <t>Standard Media</t>
        </is>
      </c>
      <c r="I189" s="8" t="inlineStr">
        <is>
          <t>Banner</t>
        </is>
      </c>
      <c r="J189" s="11" t="inlineStr">
        <is>
          <t>4'W x 2'H</t>
        </is>
      </c>
      <c r="K189" s="8" t="inlineStr">
        <is>
          <t>Your ad will appear in approved locations on the installation.</t>
        </is>
      </c>
      <c r="L189" s="11" t="n">
        <v>1</v>
      </c>
      <c r="M189" s="12" t="n">
        <v>275</v>
      </c>
      <c r="N189" s="12" t="n">
        <v>825</v>
      </c>
      <c r="O189" s="12" t="n">
        <v>1100</v>
      </c>
      <c r="P189" s="12" t="n">
        <v>2200</v>
      </c>
      <c r="Q189" s="12" t="n">
        <v>200</v>
      </c>
      <c r="R189" s="13">
        <f>IF(ISNUMBER(M189),ROUND(M189/(1-Settings!$B$2)/Settings!$B$3,0)*Settings!$B$3,"")</f>
        <v/>
      </c>
      <c r="S189" s="13">
        <f>IF(ISNUMBER(N189),ROUND(N189/(1-Settings!$B$2)/Settings!$B$3,0)*Settings!$B$3,"")</f>
        <v/>
      </c>
      <c r="T189" s="13">
        <f>IF(ISNUMBER(O189),ROUND(O189/(1-Settings!$B$2)/Settings!$B$3,0)*Settings!$B$3,"")</f>
        <v/>
      </c>
      <c r="U189" s="13">
        <f>IF(ISNUMBER(P189),ROUND(P189/(1-Settings!$B$2)/Settings!$B$3,0)*Settings!$B$3,"")</f>
        <v/>
      </c>
      <c r="V189" s="13">
        <f>IF(ISNUMBER(Q189),ROUND(Q189/(1-Settings!$B$2)/Settings!$B$3,0)*Settings!$B$3,"")</f>
        <v/>
      </c>
      <c r="W189" s="14" t="n"/>
      <c r="X189" s="14" t="n"/>
      <c r="Y189" s="11" t="inlineStr"/>
      <c r="Z189" s="11" t="inlineStr"/>
      <c r="AA189" s="8" t="inlineStr"/>
      <c r="AB189" s="8" t="inlineStr"/>
      <c r="AC189" s="11" t="inlineStr">
        <is>
          <t>MasterMilitaryOnBaseList 12.2.25 NS.xlsx</t>
        </is>
      </c>
      <c r="AD189" s="11" t="inlineStr">
        <is>
          <t>2026-EAFB-SponsorshipAdvertising-Media-Kit-FINAL.pdf</t>
        </is>
      </c>
      <c r="AE189" s="15" t="inlineStr">
        <is>
          <t>Open in Box</t>
        </is>
      </c>
      <c r="AF189" s="15" t="inlineStr">
        <is>
          <t>Open in Box</t>
        </is>
      </c>
    </row>
    <row r="190">
      <c r="A190" s="11" t="inlineStr">
        <is>
          <t>CA-EDWARDSA-008</t>
        </is>
      </c>
      <c r="B190" s="8" t="inlineStr">
        <is>
          <t>Edwards AFB</t>
        </is>
      </c>
      <c r="C190" s="11" t="inlineStr"/>
      <c r="D190" s="11" t="inlineStr">
        <is>
          <t>CA</t>
        </is>
      </c>
      <c r="E190" s="11" t="inlineStr">
        <is>
          <t>Los Angeles</t>
        </is>
      </c>
      <c r="F190" s="11" t="inlineStr">
        <is>
          <t>93524</t>
        </is>
      </c>
      <c r="G190" s="11" t="inlineStr">
        <is>
          <t>Air Force</t>
        </is>
      </c>
      <c r="H190" s="11" t="inlineStr">
        <is>
          <t>Standard Media</t>
        </is>
      </c>
      <c r="I190" s="8" t="inlineStr">
        <is>
          <t>Outdoor Banner</t>
        </is>
      </c>
      <c r="J190" s="11" t="inlineStr">
        <is>
          <t>4'W x 2"H</t>
        </is>
      </c>
      <c r="K190" s="8" t="inlineStr">
        <is>
          <t>Your ad will appear at an approved outdoor facility.</t>
        </is>
      </c>
      <c r="L190" s="11" t="n">
        <v>1</v>
      </c>
      <c r="M190" s="12" t="n">
        <v>275</v>
      </c>
      <c r="N190" s="12" t="n">
        <v>825</v>
      </c>
      <c r="O190" s="12" t="n">
        <v>1100</v>
      </c>
      <c r="P190" s="12" t="n">
        <v>2200</v>
      </c>
      <c r="Q190" s="12" t="n">
        <v>200</v>
      </c>
      <c r="R190" s="13">
        <f>IF(ISNUMBER(M190),ROUND(M190/(1-Settings!$B$2)/Settings!$B$3,0)*Settings!$B$3,"")</f>
        <v/>
      </c>
      <c r="S190" s="13">
        <f>IF(ISNUMBER(N190),ROUND(N190/(1-Settings!$B$2)/Settings!$B$3,0)*Settings!$B$3,"")</f>
        <v/>
      </c>
      <c r="T190" s="13">
        <f>IF(ISNUMBER(O190),ROUND(O190/(1-Settings!$B$2)/Settings!$B$3,0)*Settings!$B$3,"")</f>
        <v/>
      </c>
      <c r="U190" s="13">
        <f>IF(ISNUMBER(P190),ROUND(P190/(1-Settings!$B$2)/Settings!$B$3,0)*Settings!$B$3,"")</f>
        <v/>
      </c>
      <c r="V190" s="13">
        <f>IF(ISNUMBER(Q190),ROUND(Q190/(1-Settings!$B$2)/Settings!$B$3,0)*Settings!$B$3,"")</f>
        <v/>
      </c>
      <c r="W190" s="14" t="n"/>
      <c r="X190" s="14" t="n"/>
      <c r="Y190" s="11" t="inlineStr"/>
      <c r="Z190" s="11" t="inlineStr"/>
      <c r="AA190" s="8" t="inlineStr"/>
      <c r="AB190" s="8" t="inlineStr"/>
      <c r="AC190" s="11" t="inlineStr">
        <is>
          <t>MasterMilitaryOnBaseList 12.2.25 NS.xlsx</t>
        </is>
      </c>
      <c r="AD190" s="11" t="inlineStr">
        <is>
          <t>2026-EAFB-SponsorshipAdvertising-Media-Kit-FINAL.pdf</t>
        </is>
      </c>
      <c r="AE190" s="15" t="inlineStr">
        <is>
          <t>Open in Box</t>
        </is>
      </c>
      <c r="AF190" s="15" t="inlineStr">
        <is>
          <t>Open in Box</t>
        </is>
      </c>
    </row>
    <row r="191">
      <c r="A191" s="11" t="inlineStr">
        <is>
          <t>CA-EDWARDSA-009</t>
        </is>
      </c>
      <c r="B191" s="8" t="inlineStr">
        <is>
          <t>Edwards AFB</t>
        </is>
      </c>
      <c r="C191" s="11" t="inlineStr"/>
      <c r="D191" s="11" t="inlineStr">
        <is>
          <t>CA</t>
        </is>
      </c>
      <c r="E191" s="11" t="inlineStr">
        <is>
          <t>Los Angeles</t>
        </is>
      </c>
      <c r="F191" s="11" t="inlineStr">
        <is>
          <t>93524</t>
        </is>
      </c>
      <c r="G191" s="11" t="inlineStr">
        <is>
          <t>Air Force</t>
        </is>
      </c>
      <c r="H191" s="11" t="inlineStr">
        <is>
          <t>Standard Media</t>
        </is>
      </c>
      <c r="I191" s="8" t="inlineStr">
        <is>
          <t>Poster</t>
        </is>
      </c>
      <c r="J191" s="11" t="inlineStr">
        <is>
          <t>22"W x 28"H</t>
        </is>
      </c>
      <c r="K191" s="8" t="inlineStr">
        <is>
          <t>Your ad will appear in approved installation facilities.</t>
        </is>
      </c>
      <c r="L191" s="11" t="n">
        <v>1</v>
      </c>
      <c r="M191" s="12" t="n">
        <v>250</v>
      </c>
      <c r="N191" s="12" t="n">
        <v>750</v>
      </c>
      <c r="O191" s="12" t="n">
        <v>800</v>
      </c>
      <c r="P191" s="12" t="n">
        <v>1500</v>
      </c>
      <c r="Q191" s="12" t="n">
        <v>100</v>
      </c>
      <c r="R191" s="13">
        <f>IF(ISNUMBER(M191),ROUND(M191/(1-Settings!$B$2)/Settings!$B$3,0)*Settings!$B$3,"")</f>
        <v/>
      </c>
      <c r="S191" s="13">
        <f>IF(ISNUMBER(N191),ROUND(N191/(1-Settings!$B$2)/Settings!$B$3,0)*Settings!$B$3,"")</f>
        <v/>
      </c>
      <c r="T191" s="13">
        <f>IF(ISNUMBER(O191),ROUND(O191/(1-Settings!$B$2)/Settings!$B$3,0)*Settings!$B$3,"")</f>
        <v/>
      </c>
      <c r="U191" s="13">
        <f>IF(ISNUMBER(P191),ROUND(P191/(1-Settings!$B$2)/Settings!$B$3,0)*Settings!$B$3,"")</f>
        <v/>
      </c>
      <c r="V191" s="13">
        <f>IF(ISNUMBER(Q191),ROUND(Q191/(1-Settings!$B$2)/Settings!$B$3,0)*Settings!$B$3,"")</f>
        <v/>
      </c>
      <c r="W191" s="14" t="n"/>
      <c r="X191" s="14" t="n"/>
      <c r="Y191" s="11" t="inlineStr"/>
      <c r="Z191" s="11" t="inlineStr"/>
      <c r="AA191" s="8" t="inlineStr"/>
      <c r="AB191" s="8" t="inlineStr"/>
      <c r="AC191" s="11" t="inlineStr">
        <is>
          <t>MasterMilitaryOnBaseList 12.2.25 NS.xlsx</t>
        </is>
      </c>
      <c r="AD191" s="11" t="inlineStr">
        <is>
          <t>2026-EAFB-SponsorshipAdvertising-Media-Kit-FINAL.pdf</t>
        </is>
      </c>
      <c r="AE191" s="15" t="inlineStr">
        <is>
          <t>Open in Box</t>
        </is>
      </c>
      <c r="AF191" s="15" t="inlineStr">
        <is>
          <t>Open in Box</t>
        </is>
      </c>
    </row>
    <row r="192">
      <c r="A192" s="11" t="inlineStr">
        <is>
          <t>CA-EDWARDSA-010</t>
        </is>
      </c>
      <c r="B192" s="8" t="inlineStr">
        <is>
          <t>Edwards AFB</t>
        </is>
      </c>
      <c r="C192" s="11" t="inlineStr"/>
      <c r="D192" s="11" t="inlineStr">
        <is>
          <t>CA</t>
        </is>
      </c>
      <c r="E192" s="11" t="inlineStr">
        <is>
          <t>Los Angeles</t>
        </is>
      </c>
      <c r="F192" s="11" t="inlineStr">
        <is>
          <t>93524</t>
        </is>
      </c>
      <c r="G192" s="11" t="inlineStr">
        <is>
          <t>Air Force</t>
        </is>
      </c>
      <c r="H192" s="11" t="inlineStr">
        <is>
          <t>Standard Media</t>
        </is>
      </c>
      <c r="I192" s="8" t="inlineStr">
        <is>
          <t>Posters</t>
        </is>
      </c>
      <c r="J192" s="11" t="inlineStr">
        <is>
          <t>22"W x 28"H</t>
        </is>
      </c>
      <c r="K192" s="8" t="inlineStr">
        <is>
          <t>Your ad will appear in an approved installation facility.</t>
        </is>
      </c>
      <c r="L192" s="11" t="n">
        <v>1</v>
      </c>
      <c r="M192" s="12" t="n">
        <v>250</v>
      </c>
      <c r="N192" s="12" t="n">
        <v>750</v>
      </c>
      <c r="O192" s="12" t="n">
        <v>800</v>
      </c>
      <c r="P192" s="12" t="n">
        <v>1500</v>
      </c>
      <c r="Q192" s="12" t="n">
        <v>100</v>
      </c>
      <c r="R192" s="13">
        <f>IF(ISNUMBER(M192),ROUND(M192/(1-Settings!$B$2)/Settings!$B$3,0)*Settings!$B$3,"")</f>
        <v/>
      </c>
      <c r="S192" s="13">
        <f>IF(ISNUMBER(N192),ROUND(N192/(1-Settings!$B$2)/Settings!$B$3,0)*Settings!$B$3,"")</f>
        <v/>
      </c>
      <c r="T192" s="13">
        <f>IF(ISNUMBER(O192),ROUND(O192/(1-Settings!$B$2)/Settings!$B$3,0)*Settings!$B$3,"")</f>
        <v/>
      </c>
      <c r="U192" s="13">
        <f>IF(ISNUMBER(P192),ROUND(P192/(1-Settings!$B$2)/Settings!$B$3,0)*Settings!$B$3,"")</f>
        <v/>
      </c>
      <c r="V192" s="13">
        <f>IF(ISNUMBER(Q192),ROUND(Q192/(1-Settings!$B$2)/Settings!$B$3,0)*Settings!$B$3,"")</f>
        <v/>
      </c>
      <c r="W192" s="14" t="n"/>
      <c r="X192" s="14" t="n"/>
      <c r="Y192" s="11" t="inlineStr"/>
      <c r="Z192" s="11" t="inlineStr"/>
      <c r="AA192" s="8" t="inlineStr"/>
      <c r="AB192" s="8" t="inlineStr"/>
      <c r="AC192" s="11" t="inlineStr">
        <is>
          <t>MasterMilitaryOnBaseList 12.2.25 NS.xlsx</t>
        </is>
      </c>
      <c r="AD192" s="11" t="inlineStr">
        <is>
          <t>2026-EAFB-SponsorshipAdvertising-Media-Kit-FINAL.pdf</t>
        </is>
      </c>
      <c r="AE192" s="15" t="inlineStr">
        <is>
          <t>Open in Box</t>
        </is>
      </c>
      <c r="AF192" s="15" t="inlineStr">
        <is>
          <t>Open in Box</t>
        </is>
      </c>
    </row>
    <row r="193">
      <c r="A193" s="11" t="inlineStr">
        <is>
          <t>CA-FORTIRWI-001</t>
        </is>
      </c>
      <c r="B193" s="8" t="inlineStr">
        <is>
          <t>Fort Irwin</t>
        </is>
      </c>
      <c r="C193" s="11" t="inlineStr"/>
      <c r="D193" s="11" t="inlineStr">
        <is>
          <t>CA</t>
        </is>
      </c>
      <c r="E193" s="11" t="inlineStr">
        <is>
          <t>Los Angeles</t>
        </is>
      </c>
      <c r="F193" s="11" t="inlineStr">
        <is>
          <t>92310</t>
        </is>
      </c>
      <c r="G193" s="11" t="inlineStr">
        <is>
          <t>Army</t>
        </is>
      </c>
      <c r="H193" s="11" t="inlineStr">
        <is>
          <t>Digital</t>
        </is>
      </c>
      <c r="I193" s="8" t="inlineStr">
        <is>
          <t>Bowling Digital Monitor</t>
        </is>
      </c>
      <c r="J193" s="11" t="inlineStr">
        <is>
          <t>TBD</t>
        </is>
      </c>
      <c r="K193" s="8" t="inlineStr">
        <is>
          <t>Your ad will appear on approved monitors on the installation.</t>
        </is>
      </c>
      <c r="L193" s="11" t="n">
        <v>1</v>
      </c>
      <c r="M193" s="12" t="n">
        <v>1285</v>
      </c>
      <c r="N193" s="12" t="n">
        <v>3855</v>
      </c>
      <c r="O193" s="12" t="n">
        <v>7710</v>
      </c>
      <c r="P193" s="12" t="n">
        <v>15420</v>
      </c>
      <c r="Q193" s="12" t="n">
        <v>0</v>
      </c>
      <c r="R193" s="13">
        <f>IF(ISNUMBER(M193),ROUND(M193/(1-Settings!$B$2)/Settings!$B$3,0)*Settings!$B$3,"")</f>
        <v/>
      </c>
      <c r="S193" s="13">
        <f>IF(ISNUMBER(N193),ROUND(N193/(1-Settings!$B$2)/Settings!$B$3,0)*Settings!$B$3,"")</f>
        <v/>
      </c>
      <c r="T193" s="13">
        <f>IF(ISNUMBER(O193),ROUND(O193/(1-Settings!$B$2)/Settings!$B$3,0)*Settings!$B$3,"")</f>
        <v/>
      </c>
      <c r="U193" s="13">
        <f>IF(ISNUMBER(P193),ROUND(P193/(1-Settings!$B$2)/Settings!$B$3,0)*Settings!$B$3,"")</f>
        <v/>
      </c>
      <c r="V193" s="13">
        <f>IF(ISNUMBER(Q193),ROUND(Q193/(1-Settings!$B$2)/Settings!$B$3,0)*Settings!$B$3,"")</f>
        <v/>
      </c>
      <c r="W193" s="14" t="n"/>
      <c r="X193" s="14" t="n"/>
      <c r="Y193" s="11" t="inlineStr"/>
      <c r="Z193" s="11" t="inlineStr"/>
      <c r="AA193" s="8" t="inlineStr"/>
      <c r="AB193" s="8" t="inlineStr"/>
      <c r="AC193" s="11" t="inlineStr">
        <is>
          <t>MasterMilitaryOnBaseList 12.2.25 NS.xlsx</t>
        </is>
      </c>
      <c r="AD193" s="11" t="inlineStr">
        <is>
          <t>Fort_Irwin_MWR_Advertising_Rates.pdf</t>
        </is>
      </c>
      <c r="AE193" s="15" t="inlineStr">
        <is>
          <t>Open in Box</t>
        </is>
      </c>
      <c r="AF193" s="15" t="inlineStr">
        <is>
          <t>Open in Box</t>
        </is>
      </c>
    </row>
    <row r="194">
      <c r="A194" s="11" t="inlineStr">
        <is>
          <t>CA-FORTIRWI-002</t>
        </is>
      </c>
      <c r="B194" s="8" t="inlineStr">
        <is>
          <t>Fort Irwin</t>
        </is>
      </c>
      <c r="C194" s="11" t="inlineStr"/>
      <c r="D194" s="11" t="inlineStr">
        <is>
          <t>CA</t>
        </is>
      </c>
      <c r="E194" s="11" t="inlineStr">
        <is>
          <t>Los Angeles</t>
        </is>
      </c>
      <c r="F194" s="11" t="inlineStr">
        <is>
          <t>92310</t>
        </is>
      </c>
      <c r="G194" s="11" t="inlineStr">
        <is>
          <t>Army</t>
        </is>
      </c>
      <c r="H194" s="11" t="inlineStr">
        <is>
          <t>Digital</t>
        </is>
      </c>
      <c r="I194" s="8" t="inlineStr">
        <is>
          <t>Digital Monitor Network</t>
        </is>
      </c>
      <c r="J194" s="11" t="inlineStr">
        <is>
          <t>TBD</t>
        </is>
      </c>
      <c r="K194" s="8" t="inlineStr">
        <is>
          <t>Your ad will appear on approved monitors on the installation.</t>
        </is>
      </c>
      <c r="L194" s="11" t="n">
        <v>1</v>
      </c>
      <c r="M194" s="12" t="n">
        <v>643</v>
      </c>
      <c r="N194" s="12" t="n">
        <v>1929</v>
      </c>
      <c r="O194" s="12" t="n">
        <v>3858</v>
      </c>
      <c r="P194" s="12" t="n">
        <v>7716</v>
      </c>
      <c r="Q194" s="12" t="n">
        <v>0</v>
      </c>
      <c r="R194" s="13">
        <f>IF(ISNUMBER(M194),ROUND(M194/(1-Settings!$B$2)/Settings!$B$3,0)*Settings!$B$3,"")</f>
        <v/>
      </c>
      <c r="S194" s="13">
        <f>IF(ISNUMBER(N194),ROUND(N194/(1-Settings!$B$2)/Settings!$B$3,0)*Settings!$B$3,"")</f>
        <v/>
      </c>
      <c r="T194" s="13">
        <f>IF(ISNUMBER(O194),ROUND(O194/(1-Settings!$B$2)/Settings!$B$3,0)*Settings!$B$3,"")</f>
        <v/>
      </c>
      <c r="U194" s="13">
        <f>IF(ISNUMBER(P194),ROUND(P194/(1-Settings!$B$2)/Settings!$B$3,0)*Settings!$B$3,"")</f>
        <v/>
      </c>
      <c r="V194" s="13">
        <f>IF(ISNUMBER(Q194),ROUND(Q194/(1-Settings!$B$2)/Settings!$B$3,0)*Settings!$B$3,"")</f>
        <v/>
      </c>
      <c r="W194" s="14" t="n"/>
      <c r="X194" s="14" t="n"/>
      <c r="Y194" s="11" t="inlineStr"/>
      <c r="Z194" s="11" t="inlineStr"/>
      <c r="AA194" s="8" t="inlineStr"/>
      <c r="AB194" s="8" t="inlineStr"/>
      <c r="AC194" s="11" t="inlineStr">
        <is>
          <t>MasterMilitaryOnBaseList 12.2.25 NS.xlsx</t>
        </is>
      </c>
      <c r="AD194" s="11" t="inlineStr">
        <is>
          <t>Fort_Irwin_MWR_Advertising_Rates.pdf</t>
        </is>
      </c>
      <c r="AE194" s="15" t="inlineStr">
        <is>
          <t>Open in Box</t>
        </is>
      </c>
      <c r="AF194" s="15" t="inlineStr">
        <is>
          <t>Open in Box</t>
        </is>
      </c>
    </row>
    <row r="195">
      <c r="A195" s="11" t="inlineStr">
        <is>
          <t>CA-FORTIRWI-004</t>
        </is>
      </c>
      <c r="B195" s="8" t="inlineStr">
        <is>
          <t>Fort Irwin</t>
        </is>
      </c>
      <c r="C195" s="11" t="inlineStr"/>
      <c r="D195" s="11" t="inlineStr">
        <is>
          <t>CA</t>
        </is>
      </c>
      <c r="E195" s="11" t="inlineStr">
        <is>
          <t>Los Angeles</t>
        </is>
      </c>
      <c r="F195" s="11" t="inlineStr">
        <is>
          <t>92310</t>
        </is>
      </c>
      <c r="G195" s="11" t="inlineStr">
        <is>
          <t>Army</t>
        </is>
      </c>
      <c r="H195" s="11" t="inlineStr">
        <is>
          <t>Large Format</t>
        </is>
      </c>
      <c r="I195" s="8" t="inlineStr">
        <is>
          <t>Counter Wrap</t>
        </is>
      </c>
      <c r="J195" s="11" t="inlineStr">
        <is>
          <t>Sizes Vary</t>
        </is>
      </c>
      <c r="K195" s="8" t="inlineStr">
        <is>
          <t>Your ad will appear in approved locations on the installation. Only one set price.</t>
        </is>
      </c>
      <c r="L195" s="11" t="n">
        <v>1</v>
      </c>
      <c r="M195" s="12" t="n">
        <v>1000</v>
      </c>
      <c r="N195" s="12" t="n"/>
      <c r="O195" s="12" t="n"/>
      <c r="P195" s="12" t="n"/>
      <c r="Q195" s="12" t="n">
        <v>0</v>
      </c>
      <c r="R195" s="13">
        <f>IF(ISNUMBER(M195),ROUND(M195/(1-Settings!$B$2)/Settings!$B$3,0)*Settings!$B$3,"")</f>
        <v/>
      </c>
      <c r="S195" s="13">
        <f>IF(ISNUMBER(N195),ROUND(N195/(1-Settings!$B$2)/Settings!$B$3,0)*Settings!$B$3,"")</f>
        <v/>
      </c>
      <c r="T195" s="13">
        <f>IF(ISNUMBER(O195),ROUND(O195/(1-Settings!$B$2)/Settings!$B$3,0)*Settings!$B$3,"")</f>
        <v/>
      </c>
      <c r="U195" s="13">
        <f>IF(ISNUMBER(P195),ROUND(P195/(1-Settings!$B$2)/Settings!$B$3,0)*Settings!$B$3,"")</f>
        <v/>
      </c>
      <c r="V195" s="13">
        <f>IF(ISNUMBER(Q195),ROUND(Q195/(1-Settings!$B$2)/Settings!$B$3,0)*Settings!$B$3,"")</f>
        <v/>
      </c>
      <c r="W195" s="14" t="n"/>
      <c r="X195" s="14" t="n"/>
      <c r="Y195" s="11" t="inlineStr"/>
      <c r="Z195" s="11" t="inlineStr"/>
      <c r="AA195" s="8" t="inlineStr"/>
      <c r="AB195" s="16" t="inlineStr">
        <is>
          <t>Source formula errors</t>
        </is>
      </c>
      <c r="AC195" s="11" t="inlineStr">
        <is>
          <t>MasterMilitaryOnBaseList 12.2.25 NS.xlsx</t>
        </is>
      </c>
      <c r="AD195" s="11" t="inlineStr">
        <is>
          <t>Fort_Irwin_MWR_Advertising_Rates.pdf</t>
        </is>
      </c>
      <c r="AE195" s="15" t="inlineStr">
        <is>
          <t>Open in Box</t>
        </is>
      </c>
      <c r="AF195" s="15" t="inlineStr">
        <is>
          <t>Open in Box</t>
        </is>
      </c>
    </row>
    <row r="196">
      <c r="A196" s="11" t="inlineStr">
        <is>
          <t>CA-FORTIRWI-003</t>
        </is>
      </c>
      <c r="B196" s="8" t="inlineStr">
        <is>
          <t>Fort Irwin</t>
        </is>
      </c>
      <c r="C196" s="11" t="inlineStr"/>
      <c r="D196" s="11" t="inlineStr">
        <is>
          <t>CA</t>
        </is>
      </c>
      <c r="E196" s="11" t="inlineStr">
        <is>
          <t>Los Angeles</t>
        </is>
      </c>
      <c r="F196" s="11" t="inlineStr">
        <is>
          <t>92310</t>
        </is>
      </c>
      <c r="G196" s="11" t="inlineStr">
        <is>
          <t>Army</t>
        </is>
      </c>
      <c r="H196" s="11" t="inlineStr">
        <is>
          <t>Standard Media</t>
        </is>
      </c>
      <c r="I196" s="8" t="inlineStr">
        <is>
          <t>Banner</t>
        </is>
      </c>
      <c r="J196" s="11" t="inlineStr">
        <is>
          <t>Sizes Vary</t>
        </is>
      </c>
      <c r="K196" s="8" t="inlineStr">
        <is>
          <t>Your ad will appear in approved locations on the installation.</t>
        </is>
      </c>
      <c r="L196" s="11" t="n">
        <v>1</v>
      </c>
      <c r="M196" s="12" t="n">
        <v>2700</v>
      </c>
      <c r="N196" s="12" t="n">
        <v>6480</v>
      </c>
      <c r="O196" s="12" t="n">
        <v>11340</v>
      </c>
      <c r="P196" s="12" t="n"/>
      <c r="Q196" s="12" t="n">
        <v>200</v>
      </c>
      <c r="R196" s="13">
        <f>IF(ISNUMBER(M196),ROUND(M196/(1-Settings!$B$2)/Settings!$B$3,0)*Settings!$B$3,"")</f>
        <v/>
      </c>
      <c r="S196" s="13">
        <f>IF(ISNUMBER(N196),ROUND(N196/(1-Settings!$B$2)/Settings!$B$3,0)*Settings!$B$3,"")</f>
        <v/>
      </c>
      <c r="T196" s="13">
        <f>IF(ISNUMBER(O196),ROUND(O196/(1-Settings!$B$2)/Settings!$B$3,0)*Settings!$B$3,"")</f>
        <v/>
      </c>
      <c r="U196" s="13">
        <f>IF(ISNUMBER(P196),ROUND(P196/(1-Settings!$B$2)/Settings!$B$3,0)*Settings!$B$3,"")</f>
        <v/>
      </c>
      <c r="V196" s="13">
        <f>IF(ISNUMBER(Q196),ROUND(Q196/(1-Settings!$B$2)/Settings!$B$3,0)*Settings!$B$3,"")</f>
        <v/>
      </c>
      <c r="W196" s="14" t="n"/>
      <c r="X196" s="14" t="n"/>
      <c r="Y196" s="11" t="inlineStr"/>
      <c r="Z196" s="11" t="inlineStr"/>
      <c r="AA196" s="8" t="inlineStr"/>
      <c r="AB196" s="16" t="inlineStr">
        <is>
          <t>Source formula errors</t>
        </is>
      </c>
      <c r="AC196" s="11" t="inlineStr">
        <is>
          <t>MasterMilitaryOnBaseList 12.2.25 NS.xlsx</t>
        </is>
      </c>
      <c r="AD196" s="11" t="inlineStr">
        <is>
          <t>Fort_Irwin_MWR_Advertising_Rates.pdf</t>
        </is>
      </c>
      <c r="AE196" s="15" t="inlineStr">
        <is>
          <t>Open in Box</t>
        </is>
      </c>
      <c r="AF196" s="15" t="inlineStr">
        <is>
          <t>Open in Box</t>
        </is>
      </c>
    </row>
    <row r="197">
      <c r="A197" s="11" t="inlineStr">
        <is>
          <t>CA-LEMOOREN-001</t>
        </is>
      </c>
      <c r="B197" s="8" t="inlineStr">
        <is>
          <t>Lemoore NAS</t>
        </is>
      </c>
      <c r="C197" s="11" t="inlineStr"/>
      <c r="D197" s="11" t="inlineStr">
        <is>
          <t>CA</t>
        </is>
      </c>
      <c r="E197" s="11" t="inlineStr">
        <is>
          <t>Fresno-Visalia</t>
        </is>
      </c>
      <c r="F197" s="11" t="inlineStr">
        <is>
          <t>93246</t>
        </is>
      </c>
      <c r="G197" s="11" t="inlineStr">
        <is>
          <t>Navy</t>
        </is>
      </c>
      <c r="H197" s="11" t="inlineStr">
        <is>
          <t>Digital</t>
        </is>
      </c>
      <c r="I197" s="8" t="inlineStr">
        <is>
          <t>Bowling Monitors</t>
        </is>
      </c>
      <c r="J197" s="11" t="inlineStr">
        <is>
          <t>1920pxH x 1080pxW 300 dpi RGB</t>
        </is>
      </c>
      <c r="K197" s="8" t="inlineStr">
        <is>
          <t>Your ad will appear on approved monitors on the installation.</t>
        </is>
      </c>
      <c r="L197" s="11" t="n">
        <v>1</v>
      </c>
      <c r="M197" s="12" t="n">
        <v>250</v>
      </c>
      <c r="N197" s="12" t="n">
        <v>750</v>
      </c>
      <c r="O197" s="12" t="n">
        <v>1500</v>
      </c>
      <c r="P197" s="12" t="n">
        <v>3000</v>
      </c>
      <c r="Q197" s="12" t="n">
        <v>200</v>
      </c>
      <c r="R197" s="13">
        <f>IF(ISNUMBER(M197),ROUND(M197/(1-Settings!$B$2)/Settings!$B$3,0)*Settings!$B$3,"")</f>
        <v/>
      </c>
      <c r="S197" s="13">
        <f>IF(ISNUMBER(N197),ROUND(N197/(1-Settings!$B$2)/Settings!$B$3,0)*Settings!$B$3,"")</f>
        <v/>
      </c>
      <c r="T197" s="13">
        <f>IF(ISNUMBER(O197),ROUND(O197/(1-Settings!$B$2)/Settings!$B$3,0)*Settings!$B$3,"")</f>
        <v/>
      </c>
      <c r="U197" s="13">
        <f>IF(ISNUMBER(P197),ROUND(P197/(1-Settings!$B$2)/Settings!$B$3,0)*Settings!$B$3,"")</f>
        <v/>
      </c>
      <c r="V197" s="13">
        <f>IF(ISNUMBER(Q197),ROUND(Q197/(1-Settings!$B$2)/Settings!$B$3,0)*Settings!$B$3,"")</f>
        <v/>
      </c>
      <c r="W197" s="14" t="n"/>
      <c r="X197" s="14" t="n"/>
      <c r="Y197" s="11" t="inlineStr"/>
      <c r="Z197" s="11" t="inlineStr"/>
      <c r="AA197" s="8" t="inlineStr"/>
      <c r="AB197" s="8" t="inlineStr"/>
      <c r="AC197" s="11" t="inlineStr">
        <is>
          <t>MasterMilitaryOnBaseList 12.2.25 NS.xlsx</t>
        </is>
      </c>
      <c r="AD197" s="11" t="inlineStr">
        <is>
          <t>NASL 2026 Advertising Menu.xlsx</t>
        </is>
      </c>
      <c r="AE197" s="15" t="inlineStr">
        <is>
          <t>Open in Box</t>
        </is>
      </c>
      <c r="AF197" s="15" t="inlineStr">
        <is>
          <t>Open in Box</t>
        </is>
      </c>
    </row>
    <row r="198">
      <c r="A198" s="11" t="inlineStr">
        <is>
          <t>CA-LEMOOREN-002</t>
        </is>
      </c>
      <c r="B198" s="8" t="inlineStr">
        <is>
          <t>Lemoore NAS</t>
        </is>
      </c>
      <c r="C198" s="11" t="inlineStr"/>
      <c r="D198" s="11" t="inlineStr">
        <is>
          <t>CA</t>
        </is>
      </c>
      <c r="E198" s="11" t="inlineStr">
        <is>
          <t>Fresno-Visalia</t>
        </is>
      </c>
      <c r="F198" s="11" t="inlineStr">
        <is>
          <t>93246</t>
        </is>
      </c>
      <c r="G198" s="11" t="inlineStr">
        <is>
          <t>Navy</t>
        </is>
      </c>
      <c r="H198" s="11" t="inlineStr">
        <is>
          <t>Digital</t>
        </is>
      </c>
      <c r="I198" s="8" t="inlineStr">
        <is>
          <t>Bowling Scoring Monitors</t>
        </is>
      </c>
      <c r="J198" s="11" t="inlineStr">
        <is>
          <t>1920pxW x 1080pxH</t>
        </is>
      </c>
      <c r="K198" s="8" t="inlineStr">
        <is>
          <t>Your ad will appear on 12 digital bowling scoring monitors.</t>
        </is>
      </c>
      <c r="L198" s="11" t="n">
        <v>1</v>
      </c>
      <c r="M198" s="12" t="n">
        <v>250</v>
      </c>
      <c r="N198" s="12" t="n">
        <v>750</v>
      </c>
      <c r="O198" s="12" t="n">
        <v>1500</v>
      </c>
      <c r="P198" s="12" t="n">
        <v>3000</v>
      </c>
      <c r="Q198" s="12" t="n">
        <v>0</v>
      </c>
      <c r="R198" s="13">
        <f>IF(ISNUMBER(M198),ROUND(M198/(1-Settings!$B$2)/Settings!$B$3,0)*Settings!$B$3,"")</f>
        <v/>
      </c>
      <c r="S198" s="13">
        <f>IF(ISNUMBER(N198),ROUND(N198/(1-Settings!$B$2)/Settings!$B$3,0)*Settings!$B$3,"")</f>
        <v/>
      </c>
      <c r="T198" s="13">
        <f>IF(ISNUMBER(O198),ROUND(O198/(1-Settings!$B$2)/Settings!$B$3,0)*Settings!$B$3,"")</f>
        <v/>
      </c>
      <c r="U198" s="13">
        <f>IF(ISNUMBER(P198),ROUND(P198/(1-Settings!$B$2)/Settings!$B$3,0)*Settings!$B$3,"")</f>
        <v/>
      </c>
      <c r="V198" s="13">
        <f>IF(ISNUMBER(Q198),ROUND(Q198/(1-Settings!$B$2)/Settings!$B$3,0)*Settings!$B$3,"")</f>
        <v/>
      </c>
      <c r="W198" s="14" t="n"/>
      <c r="X198" s="14" t="n"/>
      <c r="Y198" s="11" t="inlineStr"/>
      <c r="Z198" s="11" t="inlineStr"/>
      <c r="AA198" s="8" t="inlineStr"/>
      <c r="AB198" s="8" t="inlineStr"/>
      <c r="AC198" s="11" t="inlineStr">
        <is>
          <t>MasterMilitaryOnBaseList 12.2.25 NS.xlsx</t>
        </is>
      </c>
      <c r="AD198" s="11" t="inlineStr">
        <is>
          <t>NASL 2026 Advertising Menu.xlsx</t>
        </is>
      </c>
      <c r="AE198" s="15" t="inlineStr">
        <is>
          <t>Open in Box</t>
        </is>
      </c>
      <c r="AF198" s="15" t="inlineStr">
        <is>
          <t>Open in Box</t>
        </is>
      </c>
    </row>
    <row r="199">
      <c r="A199" s="11" t="inlineStr">
        <is>
          <t>CA-LEMOOREN-003</t>
        </is>
      </c>
      <c r="B199" s="8" t="inlineStr">
        <is>
          <t>Lemoore NAS</t>
        </is>
      </c>
      <c r="C199" s="11" t="inlineStr"/>
      <c r="D199" s="11" t="inlineStr">
        <is>
          <t>CA</t>
        </is>
      </c>
      <c r="E199" s="11" t="inlineStr">
        <is>
          <t>Fresno-Visalia</t>
        </is>
      </c>
      <c r="F199" s="11" t="inlineStr">
        <is>
          <t>93246</t>
        </is>
      </c>
      <c r="G199" s="11" t="inlineStr">
        <is>
          <t>Navy</t>
        </is>
      </c>
      <c r="H199" s="11" t="inlineStr">
        <is>
          <t>Digital</t>
        </is>
      </c>
      <c r="I199" s="8" t="inlineStr">
        <is>
          <t>Digital Monitor Network</t>
        </is>
      </c>
      <c r="J199" s="11" t="inlineStr">
        <is>
          <t>1920pxW x 1080pxH</t>
        </is>
      </c>
      <c r="K199" s="8" t="inlineStr">
        <is>
          <t>Your ad will appear on 13 digital monitors in approved installation facilities.</t>
        </is>
      </c>
      <c r="L199" s="11" t="n">
        <v>1</v>
      </c>
      <c r="M199" s="12" t="n">
        <v>500</v>
      </c>
      <c r="N199" s="12" t="n">
        <v>1500</v>
      </c>
      <c r="O199" s="12" t="n">
        <v>3000</v>
      </c>
      <c r="P199" s="12" t="n">
        <v>6000</v>
      </c>
      <c r="Q199" s="12" t="n">
        <v>0</v>
      </c>
      <c r="R199" s="13">
        <f>IF(ISNUMBER(M199),ROUND(M199/(1-Settings!$B$2)/Settings!$B$3,0)*Settings!$B$3,"")</f>
        <v/>
      </c>
      <c r="S199" s="13">
        <f>IF(ISNUMBER(N199),ROUND(N199/(1-Settings!$B$2)/Settings!$B$3,0)*Settings!$B$3,"")</f>
        <v/>
      </c>
      <c r="T199" s="13">
        <f>IF(ISNUMBER(O199),ROUND(O199/(1-Settings!$B$2)/Settings!$B$3,0)*Settings!$B$3,"")</f>
        <v/>
      </c>
      <c r="U199" s="13">
        <f>IF(ISNUMBER(P199),ROUND(P199/(1-Settings!$B$2)/Settings!$B$3,0)*Settings!$B$3,"")</f>
        <v/>
      </c>
      <c r="V199" s="13">
        <f>IF(ISNUMBER(Q199),ROUND(Q199/(1-Settings!$B$2)/Settings!$B$3,0)*Settings!$B$3,"")</f>
        <v/>
      </c>
      <c r="W199" s="14" t="n"/>
      <c r="X199" s="14" t="n"/>
      <c r="Y199" s="11" t="inlineStr"/>
      <c r="Z199" s="11" t="inlineStr"/>
      <c r="AA199" s="8" t="inlineStr"/>
      <c r="AB199" s="8" t="inlineStr"/>
      <c r="AC199" s="11" t="inlineStr">
        <is>
          <t>MasterMilitaryOnBaseList 12.2.25 NS.xlsx</t>
        </is>
      </c>
      <c r="AD199" s="11" t="inlineStr">
        <is>
          <t>NASL 2026 Advertising Menu.xlsx</t>
        </is>
      </c>
      <c r="AE199" s="15" t="inlineStr">
        <is>
          <t>Open in Box</t>
        </is>
      </c>
      <c r="AF199" s="15" t="inlineStr">
        <is>
          <t>Open in Box</t>
        </is>
      </c>
    </row>
    <row r="200">
      <c r="A200" s="11" t="inlineStr">
        <is>
          <t>CA-LEMOOREN-004</t>
        </is>
      </c>
      <c r="B200" s="8" t="inlineStr">
        <is>
          <t>Lemoore NAS</t>
        </is>
      </c>
      <c r="C200" s="11" t="inlineStr"/>
      <c r="D200" s="11" t="inlineStr">
        <is>
          <t>CA</t>
        </is>
      </c>
      <c r="E200" s="11" t="inlineStr">
        <is>
          <t>Fresno-Visalia</t>
        </is>
      </c>
      <c r="F200" s="11" t="inlineStr">
        <is>
          <t>93246</t>
        </is>
      </c>
      <c r="G200" s="11" t="inlineStr">
        <is>
          <t>Navy</t>
        </is>
      </c>
      <c r="H200" s="11" t="inlineStr">
        <is>
          <t>Digital</t>
        </is>
      </c>
      <c r="I200" s="8" t="inlineStr">
        <is>
          <t>Digital Screen Package</t>
        </is>
      </c>
      <c r="J200" s="11" t="inlineStr">
        <is>
          <t>1920pxH x 1080pxW 300 dpi RGB</t>
        </is>
      </c>
      <c r="K200" s="8" t="inlineStr">
        <is>
          <t>Your ad will appear on approved monitors on the installation.</t>
        </is>
      </c>
      <c r="L200" s="11" t="n">
        <v>1</v>
      </c>
      <c r="M200" s="12" t="n">
        <v>500</v>
      </c>
      <c r="N200" s="12" t="n">
        <v>1500</v>
      </c>
      <c r="O200" s="12" t="n">
        <v>3000</v>
      </c>
      <c r="P200" s="12" t="n">
        <v>6000</v>
      </c>
      <c r="Q200" s="12" t="n">
        <v>200</v>
      </c>
      <c r="R200" s="13">
        <f>IF(ISNUMBER(M200),ROUND(M200/(1-Settings!$B$2)/Settings!$B$3,0)*Settings!$B$3,"")</f>
        <v/>
      </c>
      <c r="S200" s="13">
        <f>IF(ISNUMBER(N200),ROUND(N200/(1-Settings!$B$2)/Settings!$B$3,0)*Settings!$B$3,"")</f>
        <v/>
      </c>
      <c r="T200" s="13">
        <f>IF(ISNUMBER(O200),ROUND(O200/(1-Settings!$B$2)/Settings!$B$3,0)*Settings!$B$3,"")</f>
        <v/>
      </c>
      <c r="U200" s="13">
        <f>IF(ISNUMBER(P200),ROUND(P200/(1-Settings!$B$2)/Settings!$B$3,0)*Settings!$B$3,"")</f>
        <v/>
      </c>
      <c r="V200" s="13">
        <f>IF(ISNUMBER(Q200),ROUND(Q200/(1-Settings!$B$2)/Settings!$B$3,0)*Settings!$B$3,"")</f>
        <v/>
      </c>
      <c r="W200" s="14" t="n"/>
      <c r="X200" s="14" t="n"/>
      <c r="Y200" s="11" t="inlineStr"/>
      <c r="Z200" s="11" t="inlineStr"/>
      <c r="AA200" s="8" t="inlineStr"/>
      <c r="AB200" s="8" t="inlineStr"/>
      <c r="AC200" s="11" t="inlineStr">
        <is>
          <t>MasterMilitaryOnBaseList 12.2.25 NS.xlsx</t>
        </is>
      </c>
      <c r="AD200" s="11" t="inlineStr">
        <is>
          <t>NASL 2026 Advertising Menu.xlsx</t>
        </is>
      </c>
      <c r="AE200" s="15" t="inlineStr">
        <is>
          <t>Open in Box</t>
        </is>
      </c>
      <c r="AF200" s="15" t="inlineStr">
        <is>
          <t>Open in Box</t>
        </is>
      </c>
    </row>
    <row r="201">
      <c r="A201" s="11" t="inlineStr">
        <is>
          <t>CA-LEMOOREN-017</t>
        </is>
      </c>
      <c r="B201" s="8" t="inlineStr">
        <is>
          <t>Lemoore NAS</t>
        </is>
      </c>
      <c r="C201" s="11" t="inlineStr"/>
      <c r="D201" s="11" t="inlineStr">
        <is>
          <t>CA</t>
        </is>
      </c>
      <c r="E201" s="11" t="inlineStr">
        <is>
          <t>Fresno-Visalia</t>
        </is>
      </c>
      <c r="F201" s="11" t="inlineStr">
        <is>
          <t>93246</t>
        </is>
      </c>
      <c r="G201" s="11" t="inlineStr">
        <is>
          <t>Navy</t>
        </is>
      </c>
      <c r="H201" s="11" t="inlineStr">
        <is>
          <t>Large Format</t>
        </is>
      </c>
      <c r="I201" s="8" t="inlineStr">
        <is>
          <t>Counter Wrap</t>
        </is>
      </c>
      <c r="J201" s="11" t="inlineStr">
        <is>
          <t>TBD</t>
        </is>
      </c>
      <c r="K201" s="8" t="inlineStr">
        <is>
          <t>Your ad will appear at an approved installation facility.</t>
        </is>
      </c>
      <c r="L201" s="11" t="n">
        <v>1</v>
      </c>
      <c r="M201" s="12" t="n">
        <v>2000</v>
      </c>
      <c r="N201" s="12" t="n">
        <v>6000</v>
      </c>
      <c r="O201" s="12" t="n">
        <v>12000</v>
      </c>
      <c r="P201" s="12" t="n">
        <v>24000</v>
      </c>
      <c r="Q201" s="12" t="n"/>
      <c r="R201" s="13">
        <f>IF(ISNUMBER(M201),ROUND(M201/(1-Settings!$B$2)/Settings!$B$3,0)*Settings!$B$3,"")</f>
        <v/>
      </c>
      <c r="S201" s="13">
        <f>IF(ISNUMBER(N201),ROUND(N201/(1-Settings!$B$2)/Settings!$B$3,0)*Settings!$B$3,"")</f>
        <v/>
      </c>
      <c r="T201" s="13">
        <f>IF(ISNUMBER(O201),ROUND(O201/(1-Settings!$B$2)/Settings!$B$3,0)*Settings!$B$3,"")</f>
        <v/>
      </c>
      <c r="U201" s="13">
        <f>IF(ISNUMBER(P201),ROUND(P201/(1-Settings!$B$2)/Settings!$B$3,0)*Settings!$B$3,"")</f>
        <v/>
      </c>
      <c r="V201" s="13">
        <f>IF(ISNUMBER(Q201),ROUND(Q201/(1-Settings!$B$2)/Settings!$B$3,0)*Settings!$B$3,"")</f>
        <v/>
      </c>
      <c r="W201" s="14" t="n"/>
      <c r="X201" s="14" t="n"/>
      <c r="Y201" s="11" t="inlineStr"/>
      <c r="Z201" s="11" t="inlineStr"/>
      <c r="AA201" s="8" t="inlineStr"/>
      <c r="AB201" s="8" t="inlineStr"/>
      <c r="AC201" s="11" t="inlineStr">
        <is>
          <t>MasterMilitaryOnBaseList 12.2.25 NS.xlsx</t>
        </is>
      </c>
      <c r="AD201" s="11" t="inlineStr">
        <is>
          <t>NASL 2026 Advertising Menu.xlsx</t>
        </is>
      </c>
      <c r="AE201" s="15" t="inlineStr">
        <is>
          <t>Open in Box</t>
        </is>
      </c>
      <c r="AF201" s="15" t="inlineStr">
        <is>
          <t>Open in Box</t>
        </is>
      </c>
    </row>
    <row r="202">
      <c r="A202" s="11" t="inlineStr">
        <is>
          <t>CA-LEMOOREN-018</t>
        </is>
      </c>
      <c r="B202" s="8" t="inlineStr">
        <is>
          <t>Lemoore NAS</t>
        </is>
      </c>
      <c r="C202" s="11" t="inlineStr"/>
      <c r="D202" s="11" t="inlineStr">
        <is>
          <t>CA</t>
        </is>
      </c>
      <c r="E202" s="11" t="inlineStr">
        <is>
          <t>Fresno-Visalia</t>
        </is>
      </c>
      <c r="F202" s="11" t="inlineStr">
        <is>
          <t>93246</t>
        </is>
      </c>
      <c r="G202" s="11" t="inlineStr">
        <is>
          <t>Navy</t>
        </is>
      </c>
      <c r="H202" s="11" t="inlineStr">
        <is>
          <t>Large Format</t>
        </is>
      </c>
      <c r="I202" s="8" t="inlineStr">
        <is>
          <t>Wall Cling</t>
        </is>
      </c>
      <c r="J202" s="11" t="inlineStr">
        <is>
          <t>TBD</t>
        </is>
      </c>
      <c r="K202" s="8" t="inlineStr">
        <is>
          <t>Your ad will appear at an approved installation facility.</t>
        </is>
      </c>
      <c r="L202" s="11" t="n">
        <v>1</v>
      </c>
      <c r="M202" s="12" t="n">
        <v>500</v>
      </c>
      <c r="N202" s="12" t="n">
        <v>1350</v>
      </c>
      <c r="O202" s="12" t="n">
        <v>2700</v>
      </c>
      <c r="P202" s="12" t="n">
        <v>5400</v>
      </c>
      <c r="Q202" s="12" t="n"/>
      <c r="R202" s="13">
        <f>IF(ISNUMBER(M202),ROUND(M202/(1-Settings!$B$2)/Settings!$B$3,0)*Settings!$B$3,"")</f>
        <v/>
      </c>
      <c r="S202" s="13">
        <f>IF(ISNUMBER(N202),ROUND(N202/(1-Settings!$B$2)/Settings!$B$3,0)*Settings!$B$3,"")</f>
        <v/>
      </c>
      <c r="T202" s="13">
        <f>IF(ISNUMBER(O202),ROUND(O202/(1-Settings!$B$2)/Settings!$B$3,0)*Settings!$B$3,"")</f>
        <v/>
      </c>
      <c r="U202" s="13">
        <f>IF(ISNUMBER(P202),ROUND(P202/(1-Settings!$B$2)/Settings!$B$3,0)*Settings!$B$3,"")</f>
        <v/>
      </c>
      <c r="V202" s="13">
        <f>IF(ISNUMBER(Q202),ROUND(Q202/(1-Settings!$B$2)/Settings!$B$3,0)*Settings!$B$3,"")</f>
        <v/>
      </c>
      <c r="W202" s="14" t="n"/>
      <c r="X202" s="14" t="n"/>
      <c r="Y202" s="11" t="inlineStr"/>
      <c r="Z202" s="11" t="inlineStr"/>
      <c r="AA202" s="8" t="inlineStr"/>
      <c r="AB202" s="8" t="inlineStr"/>
      <c r="AC202" s="11" t="inlineStr">
        <is>
          <t>MasterMilitaryOnBaseList 12.2.25 NS.xlsx</t>
        </is>
      </c>
      <c r="AD202" s="11" t="inlineStr">
        <is>
          <t>NASL 2026 Advertising Menu.xlsx</t>
        </is>
      </c>
      <c r="AE202" s="15" t="inlineStr">
        <is>
          <t>Open in Box</t>
        </is>
      </c>
      <c r="AF202" s="15" t="inlineStr">
        <is>
          <t>Open in Box</t>
        </is>
      </c>
    </row>
    <row r="203">
      <c r="A203" s="11" t="inlineStr">
        <is>
          <t>CA-LEMOOREN-019</t>
        </is>
      </c>
      <c r="B203" s="8" t="inlineStr">
        <is>
          <t>Lemoore NAS</t>
        </is>
      </c>
      <c r="C203" s="11" t="inlineStr"/>
      <c r="D203" s="11" t="inlineStr">
        <is>
          <t>CA</t>
        </is>
      </c>
      <c r="E203" s="11" t="inlineStr">
        <is>
          <t>Fresno-Visalia</t>
        </is>
      </c>
      <c r="F203" s="11" t="inlineStr">
        <is>
          <t>93246</t>
        </is>
      </c>
      <c r="G203" s="11" t="inlineStr">
        <is>
          <t>Navy</t>
        </is>
      </c>
      <c r="H203" s="11" t="inlineStr">
        <is>
          <t>Large Format</t>
        </is>
      </c>
      <c r="I203" s="8" t="inlineStr">
        <is>
          <t>Window Cling</t>
        </is>
      </c>
      <c r="J203" s="11" t="inlineStr">
        <is>
          <t>TBD</t>
        </is>
      </c>
      <c r="K203" s="8" t="inlineStr">
        <is>
          <t>Your ad will appear at an approved installation facility.</t>
        </is>
      </c>
      <c r="L203" s="11" t="n">
        <v>1</v>
      </c>
      <c r="M203" s="12" t="n">
        <v>150</v>
      </c>
      <c r="N203" s="12" t="n">
        <v>450</v>
      </c>
      <c r="O203" s="12" t="n">
        <v>900</v>
      </c>
      <c r="P203" s="12" t="n">
        <v>1800</v>
      </c>
      <c r="Q203" s="12" t="n"/>
      <c r="R203" s="13">
        <f>IF(ISNUMBER(M203),ROUND(M203/(1-Settings!$B$2)/Settings!$B$3,0)*Settings!$B$3,"")</f>
        <v/>
      </c>
      <c r="S203" s="13">
        <f>IF(ISNUMBER(N203),ROUND(N203/(1-Settings!$B$2)/Settings!$B$3,0)*Settings!$B$3,"")</f>
        <v/>
      </c>
      <c r="T203" s="13">
        <f>IF(ISNUMBER(O203),ROUND(O203/(1-Settings!$B$2)/Settings!$B$3,0)*Settings!$B$3,"")</f>
        <v/>
      </c>
      <c r="U203" s="13">
        <f>IF(ISNUMBER(P203),ROUND(P203/(1-Settings!$B$2)/Settings!$B$3,0)*Settings!$B$3,"")</f>
        <v/>
      </c>
      <c r="V203" s="13">
        <f>IF(ISNUMBER(Q203),ROUND(Q203/(1-Settings!$B$2)/Settings!$B$3,0)*Settings!$B$3,"")</f>
        <v/>
      </c>
      <c r="W203" s="14" t="n"/>
      <c r="X203" s="14" t="n"/>
      <c r="Y203" s="11" t="inlineStr"/>
      <c r="Z203" s="11" t="inlineStr"/>
      <c r="AA203" s="8" t="inlineStr"/>
      <c r="AB203" s="8" t="inlineStr"/>
      <c r="AC203" s="11" t="inlineStr">
        <is>
          <t>MasterMilitaryOnBaseList 12.2.25 NS.xlsx</t>
        </is>
      </c>
      <c r="AD203" s="11" t="inlineStr">
        <is>
          <t>NASL 2026 Advertising Menu.xlsx</t>
        </is>
      </c>
      <c r="AE203" s="15" t="inlineStr">
        <is>
          <t>Open in Box</t>
        </is>
      </c>
      <c r="AF203" s="15" t="inlineStr">
        <is>
          <t>Open in Box</t>
        </is>
      </c>
    </row>
    <row r="204">
      <c r="A204" s="11" t="inlineStr">
        <is>
          <t>CA-LEMOOREN-020</t>
        </is>
      </c>
      <c r="B204" s="8" t="inlineStr">
        <is>
          <t>Lemoore NAS</t>
        </is>
      </c>
      <c r="C204" s="11" t="inlineStr"/>
      <c r="D204" s="11" t="inlineStr">
        <is>
          <t>CA</t>
        </is>
      </c>
      <c r="E204" s="11" t="inlineStr">
        <is>
          <t>Fresno-Visalia</t>
        </is>
      </c>
      <c r="F204" s="11" t="inlineStr">
        <is>
          <t>93246</t>
        </is>
      </c>
      <c r="G204" s="11" t="inlineStr">
        <is>
          <t>Navy</t>
        </is>
      </c>
      <c r="H204" s="11" t="inlineStr">
        <is>
          <t>Large Format</t>
        </is>
      </c>
      <c r="I204" s="8" t="inlineStr">
        <is>
          <t>Wrap/Cling - Counter</t>
        </is>
      </c>
      <c r="J204" s="11" t="inlineStr">
        <is>
          <t>36'W x 4'H</t>
        </is>
      </c>
      <c r="K204" s="8" t="inlineStr">
        <is>
          <t>Your ad will appear in approved installation facilities.</t>
        </is>
      </c>
      <c r="L204" s="11" t="n">
        <v>1</v>
      </c>
      <c r="M204" s="12" t="n">
        <v>2000</v>
      </c>
      <c r="N204" s="12" t="n">
        <v>6000</v>
      </c>
      <c r="O204" s="12" t="n">
        <v>12000</v>
      </c>
      <c r="P204" s="12" t="n">
        <v>24000</v>
      </c>
      <c r="Q204" s="12" t="n"/>
      <c r="R204" s="13">
        <f>IF(ISNUMBER(M204),ROUND(M204/(1-Settings!$B$2)/Settings!$B$3,0)*Settings!$B$3,"")</f>
        <v/>
      </c>
      <c r="S204" s="13">
        <f>IF(ISNUMBER(N204),ROUND(N204/(1-Settings!$B$2)/Settings!$B$3,0)*Settings!$B$3,"")</f>
        <v/>
      </c>
      <c r="T204" s="13">
        <f>IF(ISNUMBER(O204),ROUND(O204/(1-Settings!$B$2)/Settings!$B$3,0)*Settings!$B$3,"")</f>
        <v/>
      </c>
      <c r="U204" s="13">
        <f>IF(ISNUMBER(P204),ROUND(P204/(1-Settings!$B$2)/Settings!$B$3,0)*Settings!$B$3,"")</f>
        <v/>
      </c>
      <c r="V204" s="13">
        <f>IF(ISNUMBER(Q204),ROUND(Q204/(1-Settings!$B$2)/Settings!$B$3,0)*Settings!$B$3,"")</f>
        <v/>
      </c>
      <c r="W204" s="14" t="n"/>
      <c r="X204" s="14" t="n"/>
      <c r="Y204" s="11" t="inlineStr"/>
      <c r="Z204" s="11" t="inlineStr"/>
      <c r="AA204" s="8" t="inlineStr"/>
      <c r="AB204" s="8" t="inlineStr"/>
      <c r="AC204" s="11" t="inlineStr">
        <is>
          <t>MasterMilitaryOnBaseList 12.2.25 NS.xlsx</t>
        </is>
      </c>
      <c r="AD204" s="11" t="inlineStr">
        <is>
          <t>NASL 2026 Advertising Menu.xlsx</t>
        </is>
      </c>
      <c r="AE204" s="15" t="inlineStr">
        <is>
          <t>Open in Box</t>
        </is>
      </c>
      <c r="AF204" s="15" t="inlineStr">
        <is>
          <t>Open in Box</t>
        </is>
      </c>
    </row>
    <row r="205">
      <c r="A205" s="11" t="inlineStr">
        <is>
          <t>CA-LEMOOREN-021</t>
        </is>
      </c>
      <c r="B205" s="8" t="inlineStr">
        <is>
          <t>Lemoore NAS</t>
        </is>
      </c>
      <c r="C205" s="11" t="inlineStr"/>
      <c r="D205" s="11" t="inlineStr">
        <is>
          <t>CA</t>
        </is>
      </c>
      <c r="E205" s="11" t="inlineStr">
        <is>
          <t>Fresno-Visalia</t>
        </is>
      </c>
      <c r="F205" s="11" t="inlineStr">
        <is>
          <t>93246</t>
        </is>
      </c>
      <c r="G205" s="11" t="inlineStr">
        <is>
          <t>Navy</t>
        </is>
      </c>
      <c r="H205" s="11" t="inlineStr">
        <is>
          <t>Large Format</t>
        </is>
      </c>
      <c r="I205" s="8" t="inlineStr">
        <is>
          <t>Wrap/Cling - Counter</t>
        </is>
      </c>
      <c r="J205" s="11" t="inlineStr">
        <is>
          <t>32'W x 3'H</t>
        </is>
      </c>
      <c r="K205" s="8" t="inlineStr">
        <is>
          <t>Your ad will appear in approved installation facilities.</t>
        </is>
      </c>
      <c r="L205" s="11" t="n">
        <v>1</v>
      </c>
      <c r="M205" s="12" t="n">
        <v>2000</v>
      </c>
      <c r="N205" s="12" t="n">
        <v>6000</v>
      </c>
      <c r="O205" s="12" t="n">
        <v>12000</v>
      </c>
      <c r="P205" s="12" t="n">
        <v>24000</v>
      </c>
      <c r="Q205" s="12" t="n"/>
      <c r="R205" s="13">
        <f>IF(ISNUMBER(M205),ROUND(M205/(1-Settings!$B$2)/Settings!$B$3,0)*Settings!$B$3,"")</f>
        <v/>
      </c>
      <c r="S205" s="13">
        <f>IF(ISNUMBER(N205),ROUND(N205/(1-Settings!$B$2)/Settings!$B$3,0)*Settings!$B$3,"")</f>
        <v/>
      </c>
      <c r="T205" s="13">
        <f>IF(ISNUMBER(O205),ROUND(O205/(1-Settings!$B$2)/Settings!$B$3,0)*Settings!$B$3,"")</f>
        <v/>
      </c>
      <c r="U205" s="13">
        <f>IF(ISNUMBER(P205),ROUND(P205/(1-Settings!$B$2)/Settings!$B$3,0)*Settings!$B$3,"")</f>
        <v/>
      </c>
      <c r="V205" s="13">
        <f>IF(ISNUMBER(Q205),ROUND(Q205/(1-Settings!$B$2)/Settings!$B$3,0)*Settings!$B$3,"")</f>
        <v/>
      </c>
      <c r="W205" s="14" t="n"/>
      <c r="X205" s="14" t="n"/>
      <c r="Y205" s="11" t="inlineStr"/>
      <c r="Z205" s="11" t="inlineStr"/>
      <c r="AA205" s="8" t="inlineStr"/>
      <c r="AB205" s="8" t="inlineStr"/>
      <c r="AC205" s="11" t="inlineStr">
        <is>
          <t>MasterMilitaryOnBaseList 12.2.25 NS.xlsx</t>
        </is>
      </c>
      <c r="AD205" s="11" t="inlineStr">
        <is>
          <t>NASL 2026 Advertising Menu.xlsx</t>
        </is>
      </c>
      <c r="AE205" s="15" t="inlineStr">
        <is>
          <t>Open in Box</t>
        </is>
      </c>
      <c r="AF205" s="15" t="inlineStr">
        <is>
          <t>Open in Box</t>
        </is>
      </c>
    </row>
    <row r="206">
      <c r="A206" s="11" t="inlineStr">
        <is>
          <t>CA-LEMOOREN-022</t>
        </is>
      </c>
      <c r="B206" s="8" t="inlineStr">
        <is>
          <t>Lemoore NAS</t>
        </is>
      </c>
      <c r="C206" s="11" t="inlineStr"/>
      <c r="D206" s="11" t="inlineStr">
        <is>
          <t>CA</t>
        </is>
      </c>
      <c r="E206" s="11" t="inlineStr">
        <is>
          <t>Fresno-Visalia</t>
        </is>
      </c>
      <c r="F206" s="11" t="inlineStr">
        <is>
          <t>93246</t>
        </is>
      </c>
      <c r="G206" s="11" t="inlineStr">
        <is>
          <t>Navy</t>
        </is>
      </c>
      <c r="H206" s="11" t="inlineStr">
        <is>
          <t>Large Format</t>
        </is>
      </c>
      <c r="I206" s="8" t="inlineStr">
        <is>
          <t>Wrap/Cling -Wall</t>
        </is>
      </c>
      <c r="J206" s="11" t="inlineStr">
        <is>
          <t>9'W x 3'H</t>
        </is>
      </c>
      <c r="K206" s="8" t="inlineStr">
        <is>
          <t>Your ad will appear in approved installation facilities.</t>
        </is>
      </c>
      <c r="L206" s="11" t="n">
        <v>1</v>
      </c>
      <c r="M206" s="12" t="n">
        <v>500</v>
      </c>
      <c r="N206" s="12" t="n">
        <v>1500</v>
      </c>
      <c r="O206" s="12" t="n">
        <v>3000</v>
      </c>
      <c r="P206" s="12" t="n">
        <v>6000</v>
      </c>
      <c r="Q206" s="12" t="n"/>
      <c r="R206" s="13">
        <f>IF(ISNUMBER(M206),ROUND(M206/(1-Settings!$B$2)/Settings!$B$3,0)*Settings!$B$3,"")</f>
        <v/>
      </c>
      <c r="S206" s="13">
        <f>IF(ISNUMBER(N206),ROUND(N206/(1-Settings!$B$2)/Settings!$B$3,0)*Settings!$B$3,"")</f>
        <v/>
      </c>
      <c r="T206" s="13">
        <f>IF(ISNUMBER(O206),ROUND(O206/(1-Settings!$B$2)/Settings!$B$3,0)*Settings!$B$3,"")</f>
        <v/>
      </c>
      <c r="U206" s="13">
        <f>IF(ISNUMBER(P206),ROUND(P206/(1-Settings!$B$2)/Settings!$B$3,0)*Settings!$B$3,"")</f>
        <v/>
      </c>
      <c r="V206" s="13">
        <f>IF(ISNUMBER(Q206),ROUND(Q206/(1-Settings!$B$2)/Settings!$B$3,0)*Settings!$B$3,"")</f>
        <v/>
      </c>
      <c r="W206" s="14" t="n"/>
      <c r="X206" s="14" t="n"/>
      <c r="Y206" s="11" t="inlineStr"/>
      <c r="Z206" s="11" t="inlineStr"/>
      <c r="AA206" s="8" t="inlineStr"/>
      <c r="AB206" s="8" t="inlineStr"/>
      <c r="AC206" s="11" t="inlineStr">
        <is>
          <t>MasterMilitaryOnBaseList 12.2.25 NS.xlsx</t>
        </is>
      </c>
      <c r="AD206" s="11" t="inlineStr">
        <is>
          <t>NASL 2026 Advertising Menu.xlsx</t>
        </is>
      </c>
      <c r="AE206" s="15" t="inlineStr">
        <is>
          <t>Open in Box</t>
        </is>
      </c>
      <c r="AF206" s="15" t="inlineStr">
        <is>
          <t>Open in Box</t>
        </is>
      </c>
    </row>
    <row r="207">
      <c r="A207" s="11" t="inlineStr">
        <is>
          <t>CA-LEMOOREN-023</t>
        </is>
      </c>
      <c r="B207" s="8" t="inlineStr">
        <is>
          <t>Lemoore NAS</t>
        </is>
      </c>
      <c r="C207" s="11" t="inlineStr"/>
      <c r="D207" s="11" t="inlineStr">
        <is>
          <t>CA</t>
        </is>
      </c>
      <c r="E207" s="11" t="inlineStr">
        <is>
          <t>Fresno-Visalia</t>
        </is>
      </c>
      <c r="F207" s="11" t="inlineStr">
        <is>
          <t>93246</t>
        </is>
      </c>
      <c r="G207" s="11" t="inlineStr">
        <is>
          <t>Navy</t>
        </is>
      </c>
      <c r="H207" s="11" t="inlineStr">
        <is>
          <t>Large Format</t>
        </is>
      </c>
      <c r="I207" s="8" t="inlineStr">
        <is>
          <t>Wrap/Cling -Wall</t>
        </is>
      </c>
      <c r="J207" s="11" t="inlineStr">
        <is>
          <t>8'W x 4'H</t>
        </is>
      </c>
      <c r="K207" s="8" t="inlineStr">
        <is>
          <t>Your ad will appear in approved installation facilities.</t>
        </is>
      </c>
      <c r="L207" s="11" t="n">
        <v>1</v>
      </c>
      <c r="M207" s="12" t="n">
        <v>500</v>
      </c>
      <c r="N207" s="12" t="n">
        <v>1500</v>
      </c>
      <c r="O207" s="12" t="n">
        <v>3000</v>
      </c>
      <c r="P207" s="12" t="n">
        <v>6000</v>
      </c>
      <c r="Q207" s="12" t="n"/>
      <c r="R207" s="13">
        <f>IF(ISNUMBER(M207),ROUND(M207/(1-Settings!$B$2)/Settings!$B$3,0)*Settings!$B$3,"")</f>
        <v/>
      </c>
      <c r="S207" s="13">
        <f>IF(ISNUMBER(N207),ROUND(N207/(1-Settings!$B$2)/Settings!$B$3,0)*Settings!$B$3,"")</f>
        <v/>
      </c>
      <c r="T207" s="13">
        <f>IF(ISNUMBER(O207),ROUND(O207/(1-Settings!$B$2)/Settings!$B$3,0)*Settings!$B$3,"")</f>
        <v/>
      </c>
      <c r="U207" s="13">
        <f>IF(ISNUMBER(P207),ROUND(P207/(1-Settings!$B$2)/Settings!$B$3,0)*Settings!$B$3,"")</f>
        <v/>
      </c>
      <c r="V207" s="13">
        <f>IF(ISNUMBER(Q207),ROUND(Q207/(1-Settings!$B$2)/Settings!$B$3,0)*Settings!$B$3,"")</f>
        <v/>
      </c>
      <c r="W207" s="14" t="n"/>
      <c r="X207" s="14" t="n"/>
      <c r="Y207" s="11" t="inlineStr"/>
      <c r="Z207" s="11" t="inlineStr"/>
      <c r="AA207" s="8" t="inlineStr"/>
      <c r="AB207" s="8" t="inlineStr"/>
      <c r="AC207" s="11" t="inlineStr">
        <is>
          <t>MasterMilitaryOnBaseList 12.2.25 NS.xlsx</t>
        </is>
      </c>
      <c r="AD207" s="11" t="inlineStr">
        <is>
          <t>NASL 2026 Advertising Menu.xlsx</t>
        </is>
      </c>
      <c r="AE207" s="15" t="inlineStr">
        <is>
          <t>Open in Box</t>
        </is>
      </c>
      <c r="AF207" s="15" t="inlineStr">
        <is>
          <t>Open in Box</t>
        </is>
      </c>
    </row>
    <row r="208">
      <c r="A208" s="11" t="inlineStr">
        <is>
          <t>CA-LEMOOREN-024</t>
        </is>
      </c>
      <c r="B208" s="8" t="inlineStr">
        <is>
          <t>Lemoore NAS</t>
        </is>
      </c>
      <c r="C208" s="11" t="inlineStr"/>
      <c r="D208" s="11" t="inlineStr">
        <is>
          <t>CA</t>
        </is>
      </c>
      <c r="E208" s="11" t="inlineStr">
        <is>
          <t>Fresno-Visalia</t>
        </is>
      </c>
      <c r="F208" s="11" t="inlineStr">
        <is>
          <t>93246</t>
        </is>
      </c>
      <c r="G208" s="11" t="inlineStr">
        <is>
          <t>Navy</t>
        </is>
      </c>
      <c r="H208" s="11" t="inlineStr">
        <is>
          <t>Large Format</t>
        </is>
      </c>
      <c r="I208" s="8" t="inlineStr">
        <is>
          <t>Wrap/Cling -Wall</t>
        </is>
      </c>
      <c r="J208" s="11" t="inlineStr">
        <is>
          <t>9'W x 3'H</t>
        </is>
      </c>
      <c r="K208" s="8" t="inlineStr">
        <is>
          <t>Your ad will appear in approved installation facilities.</t>
        </is>
      </c>
      <c r="L208" s="11" t="n">
        <v>1</v>
      </c>
      <c r="M208" s="12" t="n">
        <v>300</v>
      </c>
      <c r="N208" s="12" t="n">
        <v>900</v>
      </c>
      <c r="O208" s="12" t="n">
        <v>1800</v>
      </c>
      <c r="P208" s="12" t="n">
        <v>3600</v>
      </c>
      <c r="Q208" s="12" t="n"/>
      <c r="R208" s="13">
        <f>IF(ISNUMBER(M208),ROUND(M208/(1-Settings!$B$2)/Settings!$B$3,0)*Settings!$B$3,"")</f>
        <v/>
      </c>
      <c r="S208" s="13">
        <f>IF(ISNUMBER(N208),ROUND(N208/(1-Settings!$B$2)/Settings!$B$3,0)*Settings!$B$3,"")</f>
        <v/>
      </c>
      <c r="T208" s="13">
        <f>IF(ISNUMBER(O208),ROUND(O208/(1-Settings!$B$2)/Settings!$B$3,0)*Settings!$B$3,"")</f>
        <v/>
      </c>
      <c r="U208" s="13">
        <f>IF(ISNUMBER(P208),ROUND(P208/(1-Settings!$B$2)/Settings!$B$3,0)*Settings!$B$3,"")</f>
        <v/>
      </c>
      <c r="V208" s="13">
        <f>IF(ISNUMBER(Q208),ROUND(Q208/(1-Settings!$B$2)/Settings!$B$3,0)*Settings!$B$3,"")</f>
        <v/>
      </c>
      <c r="W208" s="14" t="n"/>
      <c r="X208" s="14" t="n"/>
      <c r="Y208" s="11" t="inlineStr"/>
      <c r="Z208" s="11" t="inlineStr"/>
      <c r="AA208" s="8" t="inlineStr"/>
      <c r="AB208" s="8" t="inlineStr"/>
      <c r="AC208" s="11" t="inlineStr">
        <is>
          <t>MasterMilitaryOnBaseList 12.2.25 NS.xlsx</t>
        </is>
      </c>
      <c r="AD208" s="11" t="inlineStr">
        <is>
          <t>NASL 2026 Advertising Menu.xlsx</t>
        </is>
      </c>
      <c r="AE208" s="15" t="inlineStr">
        <is>
          <t>Open in Box</t>
        </is>
      </c>
      <c r="AF208" s="15" t="inlineStr">
        <is>
          <t>Open in Box</t>
        </is>
      </c>
    </row>
    <row r="209">
      <c r="A209" s="11" t="inlineStr">
        <is>
          <t>CA-LEMOOREN-025</t>
        </is>
      </c>
      <c r="B209" s="8" t="inlineStr">
        <is>
          <t>Lemoore NAS</t>
        </is>
      </c>
      <c r="C209" s="11" t="inlineStr"/>
      <c r="D209" s="11" t="inlineStr">
        <is>
          <t>CA</t>
        </is>
      </c>
      <c r="E209" s="11" t="inlineStr">
        <is>
          <t>Fresno-Visalia</t>
        </is>
      </c>
      <c r="F209" s="11" t="inlineStr">
        <is>
          <t>93246</t>
        </is>
      </c>
      <c r="G209" s="11" t="inlineStr">
        <is>
          <t>Navy</t>
        </is>
      </c>
      <c r="H209" s="11" t="inlineStr">
        <is>
          <t>Large Format</t>
        </is>
      </c>
      <c r="I209" s="8" t="inlineStr">
        <is>
          <t>Wrap/Cling -Window</t>
        </is>
      </c>
      <c r="J209" s="11" t="inlineStr">
        <is>
          <t>36"W x 48"H</t>
        </is>
      </c>
      <c r="K209" s="8" t="inlineStr">
        <is>
          <t>Your ad will appear in approved installation facilities.</t>
        </is>
      </c>
      <c r="L209" s="11" t="n">
        <v>1</v>
      </c>
      <c r="M209" s="12" t="n">
        <v>150</v>
      </c>
      <c r="N209" s="12" t="n">
        <v>450</v>
      </c>
      <c r="O209" s="12" t="n">
        <v>900</v>
      </c>
      <c r="P209" s="12" t="n">
        <v>1800</v>
      </c>
      <c r="Q209" s="12" t="n"/>
      <c r="R209" s="13">
        <f>IF(ISNUMBER(M209),ROUND(M209/(1-Settings!$B$2)/Settings!$B$3,0)*Settings!$B$3,"")</f>
        <v/>
      </c>
      <c r="S209" s="13">
        <f>IF(ISNUMBER(N209),ROUND(N209/(1-Settings!$B$2)/Settings!$B$3,0)*Settings!$B$3,"")</f>
        <v/>
      </c>
      <c r="T209" s="13">
        <f>IF(ISNUMBER(O209),ROUND(O209/(1-Settings!$B$2)/Settings!$B$3,0)*Settings!$B$3,"")</f>
        <v/>
      </c>
      <c r="U209" s="13">
        <f>IF(ISNUMBER(P209),ROUND(P209/(1-Settings!$B$2)/Settings!$B$3,0)*Settings!$B$3,"")</f>
        <v/>
      </c>
      <c r="V209" s="13">
        <f>IF(ISNUMBER(Q209),ROUND(Q209/(1-Settings!$B$2)/Settings!$B$3,0)*Settings!$B$3,"")</f>
        <v/>
      </c>
      <c r="W209" s="14" t="n"/>
      <c r="X209" s="14" t="n"/>
      <c r="Y209" s="11" t="inlineStr"/>
      <c r="Z209" s="11" t="inlineStr"/>
      <c r="AA209" s="8" t="inlineStr"/>
      <c r="AB209" s="8" t="inlineStr"/>
      <c r="AC209" s="11" t="inlineStr">
        <is>
          <t>MasterMilitaryOnBaseList 12.2.25 NS.xlsx</t>
        </is>
      </c>
      <c r="AD209" s="11" t="inlineStr">
        <is>
          <t>NASL 2026 Advertising Menu.xlsx</t>
        </is>
      </c>
      <c r="AE209" s="15" t="inlineStr">
        <is>
          <t>Open in Box</t>
        </is>
      </c>
      <c r="AF209" s="15" t="inlineStr">
        <is>
          <t>Open in Box</t>
        </is>
      </c>
    </row>
    <row r="210">
      <c r="A210" s="11" t="inlineStr">
        <is>
          <t>CA-LEMOOREN-026</t>
        </is>
      </c>
      <c r="B210" s="8" t="inlineStr">
        <is>
          <t>Lemoore NAS</t>
        </is>
      </c>
      <c r="C210" s="11" t="inlineStr"/>
      <c r="D210" s="11" t="inlineStr">
        <is>
          <t>CA</t>
        </is>
      </c>
      <c r="E210" s="11" t="inlineStr">
        <is>
          <t>Fresno-Visalia</t>
        </is>
      </c>
      <c r="F210" s="11" t="inlineStr">
        <is>
          <t>93246</t>
        </is>
      </c>
      <c r="G210" s="11" t="inlineStr">
        <is>
          <t>Navy</t>
        </is>
      </c>
      <c r="H210" s="11" t="inlineStr">
        <is>
          <t>Large Format</t>
        </is>
      </c>
      <c r="I210" s="8" t="inlineStr">
        <is>
          <t>Wrap/Cling -Window</t>
        </is>
      </c>
      <c r="J210" s="11" t="inlineStr">
        <is>
          <t>42"W x 54"H</t>
        </is>
      </c>
      <c r="K210" s="8" t="inlineStr">
        <is>
          <t>Your ad will appear in approved installation facilities.</t>
        </is>
      </c>
      <c r="L210" s="11" t="n">
        <v>1</v>
      </c>
      <c r="M210" s="12" t="n">
        <v>150</v>
      </c>
      <c r="N210" s="12" t="n">
        <v>450</v>
      </c>
      <c r="O210" s="12" t="n">
        <v>900</v>
      </c>
      <c r="P210" s="12" t="n">
        <v>1800</v>
      </c>
      <c r="Q210" s="12" t="n"/>
      <c r="R210" s="13">
        <f>IF(ISNUMBER(M210),ROUND(M210/(1-Settings!$B$2)/Settings!$B$3,0)*Settings!$B$3,"")</f>
        <v/>
      </c>
      <c r="S210" s="13">
        <f>IF(ISNUMBER(N210),ROUND(N210/(1-Settings!$B$2)/Settings!$B$3,0)*Settings!$B$3,"")</f>
        <v/>
      </c>
      <c r="T210" s="13">
        <f>IF(ISNUMBER(O210),ROUND(O210/(1-Settings!$B$2)/Settings!$B$3,0)*Settings!$B$3,"")</f>
        <v/>
      </c>
      <c r="U210" s="13">
        <f>IF(ISNUMBER(P210),ROUND(P210/(1-Settings!$B$2)/Settings!$B$3,0)*Settings!$B$3,"")</f>
        <v/>
      </c>
      <c r="V210" s="13">
        <f>IF(ISNUMBER(Q210),ROUND(Q210/(1-Settings!$B$2)/Settings!$B$3,0)*Settings!$B$3,"")</f>
        <v/>
      </c>
      <c r="W210" s="14" t="n"/>
      <c r="X210" s="14" t="n"/>
      <c r="Y210" s="11" t="inlineStr"/>
      <c r="Z210" s="11" t="inlineStr"/>
      <c r="AA210" s="8" t="inlineStr"/>
      <c r="AB210" s="8" t="inlineStr"/>
      <c r="AC210" s="11" t="inlineStr">
        <is>
          <t>MasterMilitaryOnBaseList 12.2.25 NS.xlsx</t>
        </is>
      </c>
      <c r="AD210" s="11" t="inlineStr">
        <is>
          <t>NASL 2026 Advertising Menu.xlsx</t>
        </is>
      </c>
      <c r="AE210" s="15" t="inlineStr">
        <is>
          <t>Open in Box</t>
        </is>
      </c>
      <c r="AF210" s="15" t="inlineStr">
        <is>
          <t>Open in Box</t>
        </is>
      </c>
    </row>
    <row r="211">
      <c r="A211" s="11" t="inlineStr">
        <is>
          <t>CA-LEMOOREN-005</t>
        </is>
      </c>
      <c r="B211" s="8" t="inlineStr">
        <is>
          <t>Lemoore NAS</t>
        </is>
      </c>
      <c r="C211" s="11" t="inlineStr"/>
      <c r="D211" s="11" t="inlineStr">
        <is>
          <t>CA</t>
        </is>
      </c>
      <c r="E211" s="11" t="inlineStr">
        <is>
          <t>Fresno-Visalia</t>
        </is>
      </c>
      <c r="F211" s="11" t="inlineStr">
        <is>
          <t>93246</t>
        </is>
      </c>
      <c r="G211" s="11" t="inlineStr">
        <is>
          <t>Navy</t>
        </is>
      </c>
      <c r="H211" s="11" t="inlineStr">
        <is>
          <t>Standard Media</t>
        </is>
      </c>
      <c r="I211" s="8" t="inlineStr">
        <is>
          <t>Banner</t>
        </is>
      </c>
      <c r="J211" s="11" t="inlineStr">
        <is>
          <t>8'W x 4'H</t>
        </is>
      </c>
      <c r="K211" s="8" t="inlineStr">
        <is>
          <t>Your ad will appear at an approved installation facility.</t>
        </is>
      </c>
      <c r="L211" s="11" t="n">
        <v>1</v>
      </c>
      <c r="M211" s="12" t="n">
        <v>300</v>
      </c>
      <c r="N211" s="12" t="n">
        <v>1350</v>
      </c>
      <c r="O211" s="12" t="n">
        <v>2700</v>
      </c>
      <c r="P211" s="12" t="n">
        <v>5400</v>
      </c>
      <c r="Q211" s="12" t="n"/>
      <c r="R211" s="13">
        <f>IF(ISNUMBER(M211),ROUND(M211/(1-Settings!$B$2)/Settings!$B$3,0)*Settings!$B$3,"")</f>
        <v/>
      </c>
      <c r="S211" s="13">
        <f>IF(ISNUMBER(N211),ROUND(N211/(1-Settings!$B$2)/Settings!$B$3,0)*Settings!$B$3,"")</f>
        <v/>
      </c>
      <c r="T211" s="13">
        <f>IF(ISNUMBER(O211),ROUND(O211/(1-Settings!$B$2)/Settings!$B$3,0)*Settings!$B$3,"")</f>
        <v/>
      </c>
      <c r="U211" s="13">
        <f>IF(ISNUMBER(P211),ROUND(P211/(1-Settings!$B$2)/Settings!$B$3,0)*Settings!$B$3,"")</f>
        <v/>
      </c>
      <c r="V211" s="13">
        <f>IF(ISNUMBER(Q211),ROUND(Q211/(1-Settings!$B$2)/Settings!$B$3,0)*Settings!$B$3,"")</f>
        <v/>
      </c>
      <c r="W211" s="14" t="n"/>
      <c r="X211" s="14" t="n"/>
      <c r="Y211" s="11" t="inlineStr"/>
      <c r="Z211" s="11" t="inlineStr"/>
      <c r="AA211" s="8" t="inlineStr"/>
      <c r="AB211" s="8" t="inlineStr"/>
      <c r="AC211" s="11" t="inlineStr">
        <is>
          <t>MasterMilitaryOnBaseList 12.2.25 NS.xlsx</t>
        </is>
      </c>
      <c r="AD211" s="11" t="inlineStr">
        <is>
          <t>NASL 2026 Advertising Menu.xlsx</t>
        </is>
      </c>
      <c r="AE211" s="15" t="inlineStr">
        <is>
          <t>Open in Box</t>
        </is>
      </c>
      <c r="AF211" s="15" t="inlineStr">
        <is>
          <t>Open in Box</t>
        </is>
      </c>
    </row>
    <row r="212">
      <c r="A212" s="11" t="inlineStr">
        <is>
          <t>CA-LEMOOREN-006</t>
        </is>
      </c>
      <c r="B212" s="8" t="inlineStr">
        <is>
          <t>Lemoore NAS</t>
        </is>
      </c>
      <c r="C212" s="11" t="inlineStr"/>
      <c r="D212" s="11" t="inlineStr">
        <is>
          <t>CA</t>
        </is>
      </c>
      <c r="E212" s="11" t="inlineStr">
        <is>
          <t>Fresno-Visalia</t>
        </is>
      </c>
      <c r="F212" s="11" t="inlineStr">
        <is>
          <t>93246</t>
        </is>
      </c>
      <c r="G212" s="11" t="inlineStr">
        <is>
          <t>Navy</t>
        </is>
      </c>
      <c r="H212" s="11" t="inlineStr">
        <is>
          <t>Standard Media</t>
        </is>
      </c>
      <c r="I212" s="8" t="inlineStr">
        <is>
          <t>Banner</t>
        </is>
      </c>
      <c r="J212" s="11" t="inlineStr">
        <is>
          <t>10'W x 5'H</t>
        </is>
      </c>
      <c r="K212" s="8" t="inlineStr">
        <is>
          <t>Your ad will appear at an approved installation facility.</t>
        </is>
      </c>
      <c r="L212" s="11" t="n">
        <v>1</v>
      </c>
      <c r="M212" s="12" t="n">
        <v>450</v>
      </c>
      <c r="N212" s="12" t="n">
        <v>1350</v>
      </c>
      <c r="O212" s="12" t="n">
        <v>2700</v>
      </c>
      <c r="P212" s="12" t="n">
        <v>5400</v>
      </c>
      <c r="Q212" s="12" t="n">
        <v>200</v>
      </c>
      <c r="R212" s="13">
        <f>IF(ISNUMBER(M212),ROUND(M212/(1-Settings!$B$2)/Settings!$B$3,0)*Settings!$B$3,"")</f>
        <v/>
      </c>
      <c r="S212" s="13">
        <f>IF(ISNUMBER(N212),ROUND(N212/(1-Settings!$B$2)/Settings!$B$3,0)*Settings!$B$3,"")</f>
        <v/>
      </c>
      <c r="T212" s="13">
        <f>IF(ISNUMBER(O212),ROUND(O212/(1-Settings!$B$2)/Settings!$B$3,0)*Settings!$B$3,"")</f>
        <v/>
      </c>
      <c r="U212" s="13">
        <f>IF(ISNUMBER(P212),ROUND(P212/(1-Settings!$B$2)/Settings!$B$3,0)*Settings!$B$3,"")</f>
        <v/>
      </c>
      <c r="V212" s="13">
        <f>IF(ISNUMBER(Q212),ROUND(Q212/(1-Settings!$B$2)/Settings!$B$3,0)*Settings!$B$3,"")</f>
        <v/>
      </c>
      <c r="W212" s="14" t="n"/>
      <c r="X212" s="14" t="n"/>
      <c r="Y212" s="11" t="inlineStr"/>
      <c r="Z212" s="11" t="inlineStr"/>
      <c r="AA212" s="8" t="inlineStr"/>
      <c r="AB212" s="8" t="inlineStr"/>
      <c r="AC212" s="11" t="inlineStr">
        <is>
          <t>MasterMilitaryOnBaseList 12.2.25 NS.xlsx</t>
        </is>
      </c>
      <c r="AD212" s="11" t="inlineStr">
        <is>
          <t>NASL 2026 Advertising Menu.xlsx</t>
        </is>
      </c>
      <c r="AE212" s="15" t="inlineStr">
        <is>
          <t>Open in Box</t>
        </is>
      </c>
      <c r="AF212" s="15" t="inlineStr">
        <is>
          <t>Open in Box</t>
        </is>
      </c>
    </row>
    <row r="213">
      <c r="A213" s="11" t="inlineStr">
        <is>
          <t>CA-LEMOOREN-007</t>
        </is>
      </c>
      <c r="B213" s="8" t="inlineStr">
        <is>
          <t>Lemoore NAS</t>
        </is>
      </c>
      <c r="C213" s="11" t="inlineStr"/>
      <c r="D213" s="11" t="inlineStr">
        <is>
          <t>CA</t>
        </is>
      </c>
      <c r="E213" s="11" t="inlineStr">
        <is>
          <t>Fresno-Visalia</t>
        </is>
      </c>
      <c r="F213" s="11" t="inlineStr">
        <is>
          <t>93246</t>
        </is>
      </c>
      <c r="G213" s="11" t="inlineStr">
        <is>
          <t>Navy</t>
        </is>
      </c>
      <c r="H213" s="11" t="inlineStr">
        <is>
          <t>Standard Media</t>
        </is>
      </c>
      <c r="I213" s="8" t="inlineStr">
        <is>
          <t>Banner</t>
        </is>
      </c>
      <c r="J213" s="11" t="inlineStr">
        <is>
          <t>10'W x 5'H</t>
        </is>
      </c>
      <c r="K213" s="8" t="inlineStr">
        <is>
          <t>Your ad will appear at an approved installation facility.</t>
        </is>
      </c>
      <c r="L213" s="11" t="n">
        <v>1</v>
      </c>
      <c r="M213" s="12" t="n">
        <v>450</v>
      </c>
      <c r="N213" s="12" t="n">
        <v>1350</v>
      </c>
      <c r="O213" s="12" t="n">
        <v>2700</v>
      </c>
      <c r="P213" s="12" t="n">
        <v>5400</v>
      </c>
      <c r="Q213" s="12" t="n">
        <v>200</v>
      </c>
      <c r="R213" s="13">
        <f>IF(ISNUMBER(M213),ROUND(M213/(1-Settings!$B$2)/Settings!$B$3,0)*Settings!$B$3,"")</f>
        <v/>
      </c>
      <c r="S213" s="13">
        <f>IF(ISNUMBER(N213),ROUND(N213/(1-Settings!$B$2)/Settings!$B$3,0)*Settings!$B$3,"")</f>
        <v/>
      </c>
      <c r="T213" s="13">
        <f>IF(ISNUMBER(O213),ROUND(O213/(1-Settings!$B$2)/Settings!$B$3,0)*Settings!$B$3,"")</f>
        <v/>
      </c>
      <c r="U213" s="13">
        <f>IF(ISNUMBER(P213),ROUND(P213/(1-Settings!$B$2)/Settings!$B$3,0)*Settings!$B$3,"")</f>
        <v/>
      </c>
      <c r="V213" s="13">
        <f>IF(ISNUMBER(Q213),ROUND(Q213/(1-Settings!$B$2)/Settings!$B$3,0)*Settings!$B$3,"")</f>
        <v/>
      </c>
      <c r="W213" s="14" t="n"/>
      <c r="X213" s="14" t="n"/>
      <c r="Y213" s="11" t="inlineStr"/>
      <c r="Z213" s="11" t="inlineStr"/>
      <c r="AA213" s="8" t="inlineStr"/>
      <c r="AB213" s="8" t="inlineStr"/>
      <c r="AC213" s="11" t="inlineStr">
        <is>
          <t>MasterMilitaryOnBaseList 12.2.25 NS.xlsx</t>
        </is>
      </c>
      <c r="AD213" s="11" t="inlineStr">
        <is>
          <t>NASL 2026 Advertising Menu.xlsx</t>
        </is>
      </c>
      <c r="AE213" s="15" t="inlineStr">
        <is>
          <t>Open in Box</t>
        </is>
      </c>
      <c r="AF213" s="15" t="inlineStr">
        <is>
          <t>Open in Box</t>
        </is>
      </c>
    </row>
    <row r="214">
      <c r="A214" s="11" t="inlineStr">
        <is>
          <t>CA-LEMOOREN-008</t>
        </is>
      </c>
      <c r="B214" s="8" t="inlineStr">
        <is>
          <t>Lemoore NAS</t>
        </is>
      </c>
      <c r="C214" s="11" t="inlineStr"/>
      <c r="D214" s="11" t="inlineStr">
        <is>
          <t>CA</t>
        </is>
      </c>
      <c r="E214" s="11" t="inlineStr">
        <is>
          <t>Fresno-Visalia</t>
        </is>
      </c>
      <c r="F214" s="11" t="inlineStr">
        <is>
          <t>93246</t>
        </is>
      </c>
      <c r="G214" s="11" t="inlineStr">
        <is>
          <t>Navy</t>
        </is>
      </c>
      <c r="H214" s="11" t="inlineStr">
        <is>
          <t>Standard Media</t>
        </is>
      </c>
      <c r="I214" s="8" t="inlineStr">
        <is>
          <t>Banner</t>
        </is>
      </c>
      <c r="J214" s="11" t="inlineStr">
        <is>
          <t>8'W x 4'H</t>
        </is>
      </c>
      <c r="K214" s="8" t="inlineStr">
        <is>
          <t>Your ad will appear at an approved installation facility.</t>
        </is>
      </c>
      <c r="L214" s="11" t="n">
        <v>1</v>
      </c>
      <c r="M214" s="12" t="n">
        <v>450</v>
      </c>
      <c r="N214" s="12" t="n">
        <v>1350</v>
      </c>
      <c r="O214" s="12" t="n">
        <v>2700</v>
      </c>
      <c r="P214" s="12" t="n">
        <v>5400</v>
      </c>
      <c r="Q214" s="12" t="n">
        <v>200</v>
      </c>
      <c r="R214" s="13">
        <f>IF(ISNUMBER(M214),ROUND(M214/(1-Settings!$B$2)/Settings!$B$3,0)*Settings!$B$3,"")</f>
        <v/>
      </c>
      <c r="S214" s="13">
        <f>IF(ISNUMBER(N214),ROUND(N214/(1-Settings!$B$2)/Settings!$B$3,0)*Settings!$B$3,"")</f>
        <v/>
      </c>
      <c r="T214" s="13">
        <f>IF(ISNUMBER(O214),ROUND(O214/(1-Settings!$B$2)/Settings!$B$3,0)*Settings!$B$3,"")</f>
        <v/>
      </c>
      <c r="U214" s="13">
        <f>IF(ISNUMBER(P214),ROUND(P214/(1-Settings!$B$2)/Settings!$B$3,0)*Settings!$B$3,"")</f>
        <v/>
      </c>
      <c r="V214" s="13">
        <f>IF(ISNUMBER(Q214),ROUND(Q214/(1-Settings!$B$2)/Settings!$B$3,0)*Settings!$B$3,"")</f>
        <v/>
      </c>
      <c r="W214" s="14" t="n"/>
      <c r="X214" s="14" t="n"/>
      <c r="Y214" s="11" t="inlineStr"/>
      <c r="Z214" s="11" t="inlineStr"/>
      <c r="AA214" s="8" t="inlineStr"/>
      <c r="AB214" s="8" t="inlineStr"/>
      <c r="AC214" s="11" t="inlineStr">
        <is>
          <t>MasterMilitaryOnBaseList 12.2.25 NS.xlsx</t>
        </is>
      </c>
      <c r="AD214" s="11" t="inlineStr">
        <is>
          <t>NASL 2026 Advertising Menu.xlsx</t>
        </is>
      </c>
      <c r="AE214" s="15" t="inlineStr">
        <is>
          <t>Open in Box</t>
        </is>
      </c>
      <c r="AF214" s="15" t="inlineStr">
        <is>
          <t>Open in Box</t>
        </is>
      </c>
    </row>
    <row r="215">
      <c r="A215" s="11" t="inlineStr">
        <is>
          <t>CA-LEMOOREN-009</t>
        </is>
      </c>
      <c r="B215" s="8" t="inlineStr">
        <is>
          <t>Lemoore NAS</t>
        </is>
      </c>
      <c r="C215" s="11" t="inlineStr"/>
      <c r="D215" s="11" t="inlineStr">
        <is>
          <t>CA</t>
        </is>
      </c>
      <c r="E215" s="11" t="inlineStr">
        <is>
          <t>Fresno-Visalia</t>
        </is>
      </c>
      <c r="F215" s="11" t="inlineStr">
        <is>
          <t>93246</t>
        </is>
      </c>
      <c r="G215" s="11" t="inlineStr">
        <is>
          <t>Navy</t>
        </is>
      </c>
      <c r="H215" s="11" t="inlineStr">
        <is>
          <t>Standard Media</t>
        </is>
      </c>
      <c r="I215" s="8" t="inlineStr">
        <is>
          <t>Banner</t>
        </is>
      </c>
      <c r="J215" s="11" t="inlineStr">
        <is>
          <t>8'W x 4'H</t>
        </is>
      </c>
      <c r="K215" s="8" t="inlineStr">
        <is>
          <t>Your ad will appear at an approved installation facility.</t>
        </is>
      </c>
      <c r="L215" s="11" t="n">
        <v>1</v>
      </c>
      <c r="M215" s="12" t="n">
        <v>450</v>
      </c>
      <c r="N215" s="12" t="n">
        <v>1350</v>
      </c>
      <c r="O215" s="12" t="n">
        <v>2700</v>
      </c>
      <c r="P215" s="12" t="n">
        <v>5400</v>
      </c>
      <c r="Q215" s="12" t="n">
        <v>200</v>
      </c>
      <c r="R215" s="13">
        <f>IF(ISNUMBER(M215),ROUND(M215/(1-Settings!$B$2)/Settings!$B$3,0)*Settings!$B$3,"")</f>
        <v/>
      </c>
      <c r="S215" s="13">
        <f>IF(ISNUMBER(N215),ROUND(N215/(1-Settings!$B$2)/Settings!$B$3,0)*Settings!$B$3,"")</f>
        <v/>
      </c>
      <c r="T215" s="13">
        <f>IF(ISNUMBER(O215),ROUND(O215/(1-Settings!$B$2)/Settings!$B$3,0)*Settings!$B$3,"")</f>
        <v/>
      </c>
      <c r="U215" s="13">
        <f>IF(ISNUMBER(P215),ROUND(P215/(1-Settings!$B$2)/Settings!$B$3,0)*Settings!$B$3,"")</f>
        <v/>
      </c>
      <c r="V215" s="13">
        <f>IF(ISNUMBER(Q215),ROUND(Q215/(1-Settings!$B$2)/Settings!$B$3,0)*Settings!$B$3,"")</f>
        <v/>
      </c>
      <c r="W215" s="14" t="n"/>
      <c r="X215" s="14" t="n"/>
      <c r="Y215" s="11" t="inlineStr"/>
      <c r="Z215" s="11" t="inlineStr"/>
      <c r="AA215" s="8" t="inlineStr"/>
      <c r="AB215" s="8" t="inlineStr"/>
      <c r="AC215" s="11" t="inlineStr">
        <is>
          <t>MasterMilitaryOnBaseList 12.2.25 NS.xlsx</t>
        </is>
      </c>
      <c r="AD215" s="11" t="inlineStr">
        <is>
          <t>NASL 2026 Advertising Menu.xlsx</t>
        </is>
      </c>
      <c r="AE215" s="15" t="inlineStr">
        <is>
          <t>Open in Box</t>
        </is>
      </c>
      <c r="AF215" s="15" t="inlineStr">
        <is>
          <t>Open in Box</t>
        </is>
      </c>
    </row>
    <row r="216">
      <c r="A216" s="11" t="inlineStr">
        <is>
          <t>CA-LEMOOREN-010</t>
        </is>
      </c>
      <c r="B216" s="8" t="inlineStr">
        <is>
          <t>Lemoore NAS</t>
        </is>
      </c>
      <c r="C216" s="11" t="inlineStr"/>
      <c r="D216" s="11" t="inlineStr">
        <is>
          <t>CA</t>
        </is>
      </c>
      <c r="E216" s="11" t="inlineStr">
        <is>
          <t>Fresno-Visalia</t>
        </is>
      </c>
      <c r="F216" s="11" t="inlineStr">
        <is>
          <t>93246</t>
        </is>
      </c>
      <c r="G216" s="11" t="inlineStr">
        <is>
          <t>Navy</t>
        </is>
      </c>
      <c r="H216" s="11" t="inlineStr">
        <is>
          <t>Standard Media</t>
        </is>
      </c>
      <c r="I216" s="8" t="inlineStr">
        <is>
          <t>Mouse Pads</t>
        </is>
      </c>
      <c r="J216" s="11" t="inlineStr">
        <is>
          <t>Standard Mouse Pad</t>
        </is>
      </c>
      <c r="K216" s="8" t="inlineStr">
        <is>
          <t>Your ad will appear on mouse pads in an approved installation facility.</t>
        </is>
      </c>
      <c r="L216" s="11" t="n">
        <v>1</v>
      </c>
      <c r="M216" s="12" t="n">
        <v>50</v>
      </c>
      <c r="N216" s="12" t="n">
        <v>150</v>
      </c>
      <c r="O216" s="12" t="n">
        <v>300</v>
      </c>
      <c r="P216" s="12" t="n">
        <v>600</v>
      </c>
      <c r="Q216" s="12" t="n"/>
      <c r="R216" s="13">
        <f>IF(ISNUMBER(M216),ROUND(M216/(1-Settings!$B$2)/Settings!$B$3,0)*Settings!$B$3,"")</f>
        <v/>
      </c>
      <c r="S216" s="13">
        <f>IF(ISNUMBER(N216),ROUND(N216/(1-Settings!$B$2)/Settings!$B$3,0)*Settings!$B$3,"")</f>
        <v/>
      </c>
      <c r="T216" s="13">
        <f>IF(ISNUMBER(O216),ROUND(O216/(1-Settings!$B$2)/Settings!$B$3,0)*Settings!$B$3,"")</f>
        <v/>
      </c>
      <c r="U216" s="13">
        <f>IF(ISNUMBER(P216),ROUND(P216/(1-Settings!$B$2)/Settings!$B$3,0)*Settings!$B$3,"")</f>
        <v/>
      </c>
      <c r="V216" s="13">
        <f>IF(ISNUMBER(Q216),ROUND(Q216/(1-Settings!$B$2)/Settings!$B$3,0)*Settings!$B$3,"")</f>
        <v/>
      </c>
      <c r="W216" s="14" t="n"/>
      <c r="X216" s="14" t="n"/>
      <c r="Y216" s="11" t="inlineStr"/>
      <c r="Z216" s="11" t="inlineStr"/>
      <c r="AA216" s="8" t="inlineStr"/>
      <c r="AB216" s="8" t="inlineStr"/>
      <c r="AC216" s="11" t="inlineStr">
        <is>
          <t>MasterMilitaryOnBaseList 12.2.25 NS.xlsx</t>
        </is>
      </c>
      <c r="AD216" s="11" t="inlineStr">
        <is>
          <t>NASL 2026 Advertising Menu.xlsx</t>
        </is>
      </c>
      <c r="AE216" s="15" t="inlineStr">
        <is>
          <t>Open in Box</t>
        </is>
      </c>
      <c r="AF216" s="15" t="inlineStr">
        <is>
          <t>Open in Box</t>
        </is>
      </c>
    </row>
    <row r="217">
      <c r="A217" s="11" t="inlineStr">
        <is>
          <t>CA-LEMOOREN-011</t>
        </is>
      </c>
      <c r="B217" s="8" t="inlineStr">
        <is>
          <t>Lemoore NAS</t>
        </is>
      </c>
      <c r="C217" s="11" t="inlineStr"/>
      <c r="D217" s="11" t="inlineStr">
        <is>
          <t>CA</t>
        </is>
      </c>
      <c r="E217" s="11" t="inlineStr">
        <is>
          <t>Fresno-Visalia</t>
        </is>
      </c>
      <c r="F217" s="11" t="inlineStr">
        <is>
          <t>93246</t>
        </is>
      </c>
      <c r="G217" s="11" t="inlineStr">
        <is>
          <t>Navy</t>
        </is>
      </c>
      <c r="H217" s="11" t="inlineStr">
        <is>
          <t>Standard Media</t>
        </is>
      </c>
      <c r="I217" s="8" t="inlineStr">
        <is>
          <t>Mouse Pads</t>
        </is>
      </c>
      <c r="J217" s="11" t="inlineStr">
        <is>
          <t>TBD</t>
        </is>
      </c>
      <c r="K217" s="8" t="inlineStr">
        <is>
          <t>Your ad will appear on 5 computer mouse pads.</t>
        </is>
      </c>
      <c r="L217" s="11" t="n">
        <v>1</v>
      </c>
      <c r="M217" s="12" t="n">
        <v>50</v>
      </c>
      <c r="N217" s="12" t="n">
        <v>150</v>
      </c>
      <c r="O217" s="12" t="n">
        <v>300</v>
      </c>
      <c r="P217" s="12" t="n">
        <v>600</v>
      </c>
      <c r="Q217" s="12" t="n"/>
      <c r="R217" s="13">
        <f>IF(ISNUMBER(M217),ROUND(M217/(1-Settings!$B$2)/Settings!$B$3,0)*Settings!$B$3,"")</f>
        <v/>
      </c>
      <c r="S217" s="13">
        <f>IF(ISNUMBER(N217),ROUND(N217/(1-Settings!$B$2)/Settings!$B$3,0)*Settings!$B$3,"")</f>
        <v/>
      </c>
      <c r="T217" s="13">
        <f>IF(ISNUMBER(O217),ROUND(O217/(1-Settings!$B$2)/Settings!$B$3,0)*Settings!$B$3,"")</f>
        <v/>
      </c>
      <c r="U217" s="13">
        <f>IF(ISNUMBER(P217),ROUND(P217/(1-Settings!$B$2)/Settings!$B$3,0)*Settings!$B$3,"")</f>
        <v/>
      </c>
      <c r="V217" s="13">
        <f>IF(ISNUMBER(Q217),ROUND(Q217/(1-Settings!$B$2)/Settings!$B$3,0)*Settings!$B$3,"")</f>
        <v/>
      </c>
      <c r="W217" s="14" t="n"/>
      <c r="X217" s="14" t="n"/>
      <c r="Y217" s="11" t="inlineStr"/>
      <c r="Z217" s="11" t="inlineStr"/>
      <c r="AA217" s="8" t="inlineStr"/>
      <c r="AB217" s="8" t="inlineStr"/>
      <c r="AC217" s="11" t="inlineStr">
        <is>
          <t>MasterMilitaryOnBaseList 12.2.25 NS.xlsx</t>
        </is>
      </c>
      <c r="AD217" s="11" t="inlineStr">
        <is>
          <t>NASL 2026 Advertising Menu.xlsx</t>
        </is>
      </c>
      <c r="AE217" s="15" t="inlineStr">
        <is>
          <t>Open in Box</t>
        </is>
      </c>
      <c r="AF217" s="15" t="inlineStr">
        <is>
          <t>Open in Box</t>
        </is>
      </c>
    </row>
    <row r="218">
      <c r="A218" s="11" t="inlineStr">
        <is>
          <t>CA-LEMOOREN-012</t>
        </is>
      </c>
      <c r="B218" s="8" t="inlineStr">
        <is>
          <t>Lemoore NAS</t>
        </is>
      </c>
      <c r="C218" s="11" t="inlineStr"/>
      <c r="D218" s="11" t="inlineStr">
        <is>
          <t>CA</t>
        </is>
      </c>
      <c r="E218" s="11" t="inlineStr">
        <is>
          <t>Fresno-Visalia</t>
        </is>
      </c>
      <c r="F218" s="11" t="inlineStr">
        <is>
          <t>93246</t>
        </is>
      </c>
      <c r="G218" s="11" t="inlineStr">
        <is>
          <t>Navy</t>
        </is>
      </c>
      <c r="H218" s="11" t="inlineStr">
        <is>
          <t>Standard Media</t>
        </is>
      </c>
      <c r="I218" s="8" t="inlineStr">
        <is>
          <t>Poster</t>
        </is>
      </c>
      <c r="J218" s="11" t="inlineStr">
        <is>
          <t>22"Wx28"H</t>
        </is>
      </c>
      <c r="K218" s="8" t="inlineStr">
        <is>
          <t>Your ad will appear in or outside of Spuds Restaurant.</t>
        </is>
      </c>
      <c r="L218" s="11" t="n">
        <v>1</v>
      </c>
      <c r="M218" s="12" t="n">
        <v>75</v>
      </c>
      <c r="N218" s="12" t="n">
        <v>225</v>
      </c>
      <c r="O218" s="12" t="n">
        <v>450</v>
      </c>
      <c r="P218" s="12" t="n">
        <v>900</v>
      </c>
      <c r="Q218" s="12" t="n">
        <v>100</v>
      </c>
      <c r="R218" s="13">
        <f>IF(ISNUMBER(M218),ROUND(M218/(1-Settings!$B$2)/Settings!$B$3,0)*Settings!$B$3,"")</f>
        <v/>
      </c>
      <c r="S218" s="13">
        <f>IF(ISNUMBER(N218),ROUND(N218/(1-Settings!$B$2)/Settings!$B$3,0)*Settings!$B$3,"")</f>
        <v/>
      </c>
      <c r="T218" s="13">
        <f>IF(ISNUMBER(O218),ROUND(O218/(1-Settings!$B$2)/Settings!$B$3,0)*Settings!$B$3,"")</f>
        <v/>
      </c>
      <c r="U218" s="13">
        <f>IF(ISNUMBER(P218),ROUND(P218/(1-Settings!$B$2)/Settings!$B$3,0)*Settings!$B$3,"")</f>
        <v/>
      </c>
      <c r="V218" s="13">
        <f>IF(ISNUMBER(Q218),ROUND(Q218/(1-Settings!$B$2)/Settings!$B$3,0)*Settings!$B$3,"")</f>
        <v/>
      </c>
      <c r="W218" s="14" t="n"/>
      <c r="X218" s="14" t="n"/>
      <c r="Y218" s="11" t="inlineStr"/>
      <c r="Z218" s="11" t="inlineStr"/>
      <c r="AA218" s="8" t="inlineStr"/>
      <c r="AB218" s="8" t="inlineStr"/>
      <c r="AC218" s="11" t="inlineStr">
        <is>
          <t>MasterMilitaryOnBaseList 12.2.25 NS.xlsx</t>
        </is>
      </c>
      <c r="AD218" s="11" t="inlineStr">
        <is>
          <t>NASL 2026 Advertising Menu.xlsx</t>
        </is>
      </c>
      <c r="AE218" s="15" t="inlineStr">
        <is>
          <t>Open in Box</t>
        </is>
      </c>
      <c r="AF218" s="15" t="inlineStr">
        <is>
          <t>Open in Box</t>
        </is>
      </c>
    </row>
    <row r="219">
      <c r="A219" s="11" t="inlineStr">
        <is>
          <t>CA-LEMOOREN-013</t>
        </is>
      </c>
      <c r="B219" s="8" t="inlineStr">
        <is>
          <t>Lemoore NAS</t>
        </is>
      </c>
      <c r="C219" s="11" t="inlineStr"/>
      <c r="D219" s="11" t="inlineStr">
        <is>
          <t>CA</t>
        </is>
      </c>
      <c r="E219" s="11" t="inlineStr">
        <is>
          <t>Fresno-Visalia</t>
        </is>
      </c>
      <c r="F219" s="11" t="inlineStr">
        <is>
          <t>93246</t>
        </is>
      </c>
      <c r="G219" s="11" t="inlineStr">
        <is>
          <t>Navy</t>
        </is>
      </c>
      <c r="H219" s="11" t="inlineStr">
        <is>
          <t>Standard Media</t>
        </is>
      </c>
      <c r="I219" s="8" t="inlineStr">
        <is>
          <t>Poster</t>
        </is>
      </c>
      <c r="J219" s="11" t="inlineStr">
        <is>
          <t>22"Wx28"H</t>
        </is>
      </c>
      <c r="K219" s="8" t="inlineStr">
        <is>
          <t>Your ad will appear in approved installation facilities.</t>
        </is>
      </c>
      <c r="L219" s="11" t="n">
        <v>1</v>
      </c>
      <c r="M219" s="12" t="n">
        <v>50</v>
      </c>
      <c r="N219" s="12" t="n">
        <v>150</v>
      </c>
      <c r="O219" s="12" t="n">
        <v>300</v>
      </c>
      <c r="P219" s="12" t="n">
        <v>600</v>
      </c>
      <c r="Q219" s="12" t="n">
        <v>100</v>
      </c>
      <c r="R219" s="13">
        <f>IF(ISNUMBER(M219),ROUND(M219/(1-Settings!$B$2)/Settings!$B$3,0)*Settings!$B$3,"")</f>
        <v/>
      </c>
      <c r="S219" s="13">
        <f>IF(ISNUMBER(N219),ROUND(N219/(1-Settings!$B$2)/Settings!$B$3,0)*Settings!$B$3,"")</f>
        <v/>
      </c>
      <c r="T219" s="13">
        <f>IF(ISNUMBER(O219),ROUND(O219/(1-Settings!$B$2)/Settings!$B$3,0)*Settings!$B$3,"")</f>
        <v/>
      </c>
      <c r="U219" s="13">
        <f>IF(ISNUMBER(P219),ROUND(P219/(1-Settings!$B$2)/Settings!$B$3,0)*Settings!$B$3,"")</f>
        <v/>
      </c>
      <c r="V219" s="13">
        <f>IF(ISNUMBER(Q219),ROUND(Q219/(1-Settings!$B$2)/Settings!$B$3,0)*Settings!$B$3,"")</f>
        <v/>
      </c>
      <c r="W219" s="14" t="n"/>
      <c r="X219" s="14" t="n"/>
      <c r="Y219" s="11" t="inlineStr"/>
      <c r="Z219" s="11" t="inlineStr"/>
      <c r="AA219" s="8" t="inlineStr"/>
      <c r="AB219" s="8" t="inlineStr"/>
      <c r="AC219" s="11" t="inlineStr">
        <is>
          <t>MasterMilitaryOnBaseList 12.2.25 NS.xlsx</t>
        </is>
      </c>
      <c r="AD219" s="11" t="inlineStr">
        <is>
          <t>NASL 2026 Advertising Menu.xlsx</t>
        </is>
      </c>
      <c r="AE219" s="15" t="inlineStr">
        <is>
          <t>Open in Box</t>
        </is>
      </c>
      <c r="AF219" s="15" t="inlineStr">
        <is>
          <t>Open in Box</t>
        </is>
      </c>
    </row>
    <row r="220">
      <c r="A220" s="11" t="inlineStr">
        <is>
          <t>CA-LEMOOREN-014</t>
        </is>
      </c>
      <c r="B220" s="8" t="inlineStr">
        <is>
          <t>Lemoore NAS</t>
        </is>
      </c>
      <c r="C220" s="11" t="inlineStr"/>
      <c r="D220" s="11" t="inlineStr">
        <is>
          <t>CA</t>
        </is>
      </c>
      <c r="E220" s="11" t="inlineStr">
        <is>
          <t>Fresno-Visalia</t>
        </is>
      </c>
      <c r="F220" s="11" t="inlineStr">
        <is>
          <t>93246</t>
        </is>
      </c>
      <c r="G220" s="11" t="inlineStr">
        <is>
          <t>Navy</t>
        </is>
      </c>
      <c r="H220" s="11" t="inlineStr">
        <is>
          <t>Standard Media</t>
        </is>
      </c>
      <c r="I220" s="8" t="inlineStr">
        <is>
          <t>Poster</t>
        </is>
      </c>
      <c r="J220" s="11" t="inlineStr">
        <is>
          <t>22"W x 28"H</t>
        </is>
      </c>
      <c r="K220" s="8" t="inlineStr">
        <is>
          <t>Your ad will appear at an approved installation facility.</t>
        </is>
      </c>
      <c r="L220" s="11" t="n">
        <v>1</v>
      </c>
      <c r="M220" s="12" t="n">
        <v>75</v>
      </c>
      <c r="N220" s="12" t="n">
        <v>225</v>
      </c>
      <c r="O220" s="12" t="n">
        <v>450</v>
      </c>
      <c r="P220" s="12" t="n">
        <v>900</v>
      </c>
      <c r="Q220" s="12" t="n">
        <v>100</v>
      </c>
      <c r="R220" s="13">
        <f>IF(ISNUMBER(M220),ROUND(M220/(1-Settings!$B$2)/Settings!$B$3,0)*Settings!$B$3,"")</f>
        <v/>
      </c>
      <c r="S220" s="13">
        <f>IF(ISNUMBER(N220),ROUND(N220/(1-Settings!$B$2)/Settings!$B$3,0)*Settings!$B$3,"")</f>
        <v/>
      </c>
      <c r="T220" s="13">
        <f>IF(ISNUMBER(O220),ROUND(O220/(1-Settings!$B$2)/Settings!$B$3,0)*Settings!$B$3,"")</f>
        <v/>
      </c>
      <c r="U220" s="13">
        <f>IF(ISNUMBER(P220),ROUND(P220/(1-Settings!$B$2)/Settings!$B$3,0)*Settings!$B$3,"")</f>
        <v/>
      </c>
      <c r="V220" s="13">
        <f>IF(ISNUMBER(Q220),ROUND(Q220/(1-Settings!$B$2)/Settings!$B$3,0)*Settings!$B$3,"")</f>
        <v/>
      </c>
      <c r="W220" s="14" t="n"/>
      <c r="X220" s="14" t="n"/>
      <c r="Y220" s="11" t="inlineStr"/>
      <c r="Z220" s="11" t="inlineStr"/>
      <c r="AA220" s="8" t="inlineStr"/>
      <c r="AB220" s="8" t="inlineStr"/>
      <c r="AC220" s="11" t="inlineStr">
        <is>
          <t>MasterMilitaryOnBaseList 12.2.25 NS.xlsx</t>
        </is>
      </c>
      <c r="AD220" s="11" t="inlineStr">
        <is>
          <t>NASL 2026 Advertising Menu.xlsx</t>
        </is>
      </c>
      <c r="AE220" s="15" t="inlineStr">
        <is>
          <t>Open in Box</t>
        </is>
      </c>
      <c r="AF220" s="15" t="inlineStr">
        <is>
          <t>Open in Box</t>
        </is>
      </c>
    </row>
    <row r="221">
      <c r="A221" s="11" t="inlineStr">
        <is>
          <t>CA-LEMOOREN-015</t>
        </is>
      </c>
      <c r="B221" s="8" t="inlineStr">
        <is>
          <t>Lemoore NAS</t>
        </is>
      </c>
      <c r="C221" s="11" t="inlineStr"/>
      <c r="D221" s="11" t="inlineStr">
        <is>
          <t>CA</t>
        </is>
      </c>
      <c r="E221" s="11" t="inlineStr">
        <is>
          <t>Fresno-Visalia</t>
        </is>
      </c>
      <c r="F221" s="11" t="inlineStr">
        <is>
          <t>93246</t>
        </is>
      </c>
      <c r="G221" s="11" t="inlineStr">
        <is>
          <t>Navy</t>
        </is>
      </c>
      <c r="H221" s="11" t="inlineStr">
        <is>
          <t>Standard Media</t>
        </is>
      </c>
      <c r="I221" s="8" t="inlineStr">
        <is>
          <t>Table Tents</t>
        </is>
      </c>
      <c r="J221" s="11" t="inlineStr">
        <is>
          <t>4"W x 6"H</t>
        </is>
      </c>
      <c r="K221" s="8" t="inlineStr">
        <is>
          <t>Your ad will appear in approved restaurants within the installation.</t>
        </is>
      </c>
      <c r="L221" s="11" t="n">
        <v>1</v>
      </c>
      <c r="M221" s="12" t="n">
        <v>300</v>
      </c>
      <c r="N221" s="12" t="n">
        <v>900</v>
      </c>
      <c r="O221" s="12" t="n">
        <v>1800</v>
      </c>
      <c r="P221" s="12" t="n">
        <v>3600</v>
      </c>
      <c r="Q221" s="12" t="n"/>
      <c r="R221" s="13">
        <f>IF(ISNUMBER(M221),ROUND(M221/(1-Settings!$B$2)/Settings!$B$3,0)*Settings!$B$3,"")</f>
        <v/>
      </c>
      <c r="S221" s="13">
        <f>IF(ISNUMBER(N221),ROUND(N221/(1-Settings!$B$2)/Settings!$B$3,0)*Settings!$B$3,"")</f>
        <v/>
      </c>
      <c r="T221" s="13">
        <f>IF(ISNUMBER(O221),ROUND(O221/(1-Settings!$B$2)/Settings!$B$3,0)*Settings!$B$3,"")</f>
        <v/>
      </c>
      <c r="U221" s="13">
        <f>IF(ISNUMBER(P221),ROUND(P221/(1-Settings!$B$2)/Settings!$B$3,0)*Settings!$B$3,"")</f>
        <v/>
      </c>
      <c r="V221" s="13">
        <f>IF(ISNUMBER(Q221),ROUND(Q221/(1-Settings!$B$2)/Settings!$B$3,0)*Settings!$B$3,"")</f>
        <v/>
      </c>
      <c r="W221" s="14" t="n"/>
      <c r="X221" s="14" t="n"/>
      <c r="Y221" s="11" t="inlineStr"/>
      <c r="Z221" s="11" t="inlineStr"/>
      <c r="AA221" s="8" t="inlineStr"/>
      <c r="AB221" s="8" t="inlineStr"/>
      <c r="AC221" s="11" t="inlineStr">
        <is>
          <t>MasterMilitaryOnBaseList 12.2.25 NS.xlsx</t>
        </is>
      </c>
      <c r="AD221" s="11" t="inlineStr">
        <is>
          <t>NASL 2026 Advertising Menu.xlsx</t>
        </is>
      </c>
      <c r="AE221" s="15" t="inlineStr">
        <is>
          <t>Open in Box</t>
        </is>
      </c>
      <c r="AF221" s="15" t="inlineStr">
        <is>
          <t>Open in Box</t>
        </is>
      </c>
    </row>
    <row r="222">
      <c r="A222" s="11" t="inlineStr">
        <is>
          <t>CA-LEMOOREN-016</t>
        </is>
      </c>
      <c r="B222" s="8" t="inlineStr">
        <is>
          <t>Lemoore NAS</t>
        </is>
      </c>
      <c r="C222" s="11" t="inlineStr"/>
      <c r="D222" s="11" t="inlineStr">
        <is>
          <t>CA</t>
        </is>
      </c>
      <c r="E222" s="11" t="inlineStr">
        <is>
          <t>Fresno-Visalia</t>
        </is>
      </c>
      <c r="F222" s="11" t="inlineStr">
        <is>
          <t>93246</t>
        </is>
      </c>
      <c r="G222" s="11" t="inlineStr">
        <is>
          <t>Navy</t>
        </is>
      </c>
      <c r="H222" s="11" t="inlineStr">
        <is>
          <t>Standard Media</t>
        </is>
      </c>
      <c r="I222" s="8" t="inlineStr">
        <is>
          <t>Tables Tents</t>
        </is>
      </c>
      <c r="J222" s="11" t="inlineStr">
        <is>
          <t>4"W x 6"H</t>
        </is>
      </c>
      <c r="K222" s="8" t="inlineStr">
        <is>
          <t>Your ad will appear at 40 approved tables.</t>
        </is>
      </c>
      <c r="L222" s="11" t="n">
        <v>1</v>
      </c>
      <c r="M222" s="12" t="n">
        <v>300</v>
      </c>
      <c r="N222" s="12" t="n">
        <v>900</v>
      </c>
      <c r="O222" s="12" t="n">
        <v>1800</v>
      </c>
      <c r="P222" s="12" t="n">
        <v>3600</v>
      </c>
      <c r="Q222" s="12" t="n"/>
      <c r="R222" s="13">
        <f>IF(ISNUMBER(M222),ROUND(M222/(1-Settings!$B$2)/Settings!$B$3,0)*Settings!$B$3,"")</f>
        <v/>
      </c>
      <c r="S222" s="13">
        <f>IF(ISNUMBER(N222),ROUND(N222/(1-Settings!$B$2)/Settings!$B$3,0)*Settings!$B$3,"")</f>
        <v/>
      </c>
      <c r="T222" s="13">
        <f>IF(ISNUMBER(O222),ROUND(O222/(1-Settings!$B$2)/Settings!$B$3,0)*Settings!$B$3,"")</f>
        <v/>
      </c>
      <c r="U222" s="13">
        <f>IF(ISNUMBER(P222),ROUND(P222/(1-Settings!$B$2)/Settings!$B$3,0)*Settings!$B$3,"")</f>
        <v/>
      </c>
      <c r="V222" s="13">
        <f>IF(ISNUMBER(Q222),ROUND(Q222/(1-Settings!$B$2)/Settings!$B$3,0)*Settings!$B$3,"")</f>
        <v/>
      </c>
      <c r="W222" s="14" t="n"/>
      <c r="X222" s="14" t="n"/>
      <c r="Y222" s="11" t="inlineStr"/>
      <c r="Z222" s="11" t="inlineStr"/>
      <c r="AA222" s="8" t="inlineStr"/>
      <c r="AB222" s="8" t="inlineStr"/>
      <c r="AC222" s="11" t="inlineStr">
        <is>
          <t>MasterMilitaryOnBaseList 12.2.25 NS.xlsx</t>
        </is>
      </c>
      <c r="AD222" s="11" t="inlineStr">
        <is>
          <t>NASL 2026 Advertising Menu.xlsx</t>
        </is>
      </c>
      <c r="AE222" s="15" t="inlineStr">
        <is>
          <t>Open in Box</t>
        </is>
      </c>
      <c r="AF222" s="15" t="inlineStr">
        <is>
          <t>Open in Box</t>
        </is>
      </c>
    </row>
    <row r="223">
      <c r="A223" s="11" t="inlineStr">
        <is>
          <t>CA-LOSANGEL-001</t>
        </is>
      </c>
      <c r="B223" s="8" t="inlineStr">
        <is>
          <t>Los Angeles AFB</t>
        </is>
      </c>
      <c r="C223" s="11" t="inlineStr"/>
      <c r="D223" s="11" t="inlineStr">
        <is>
          <t>CA</t>
        </is>
      </c>
      <c r="E223" s="11" t="inlineStr">
        <is>
          <t>Los Angeles</t>
        </is>
      </c>
      <c r="F223" s="11" t="inlineStr">
        <is>
          <t>90245</t>
        </is>
      </c>
      <c r="G223" s="11" t="inlineStr">
        <is>
          <t>Air Force</t>
        </is>
      </c>
      <c r="H223" s="11" t="inlineStr">
        <is>
          <t>Digital</t>
        </is>
      </c>
      <c r="I223" s="8" t="inlineStr">
        <is>
          <t>LED Outdoor Sign (Static)</t>
        </is>
      </c>
      <c r="J223" s="11" t="inlineStr">
        <is>
          <t>1920pxW x 1080pxH (72 ppi)</t>
        </is>
      </c>
      <c r="K223" s="8" t="inlineStr">
        <is>
          <t>Your ad will appear on approved monitors on the installation.</t>
        </is>
      </c>
      <c r="L223" s="11" t="n">
        <v>1</v>
      </c>
      <c r="M223" s="12" t="n">
        <v>350</v>
      </c>
      <c r="N223" s="12" t="n">
        <v>998</v>
      </c>
      <c r="O223" s="12" t="n">
        <v>1890</v>
      </c>
      <c r="P223" s="12" t="n">
        <v>3570</v>
      </c>
      <c r="Q223" s="12" t="n">
        <v>0</v>
      </c>
      <c r="R223" s="13">
        <f>IF(ISNUMBER(M223),ROUND(M223/(1-Settings!$B$2)/Settings!$B$3,0)*Settings!$B$3,"")</f>
        <v/>
      </c>
      <c r="S223" s="13">
        <f>IF(ISNUMBER(N223),ROUND(N223/(1-Settings!$B$2)/Settings!$B$3,0)*Settings!$B$3,"")</f>
        <v/>
      </c>
      <c r="T223" s="13">
        <f>IF(ISNUMBER(O223),ROUND(O223/(1-Settings!$B$2)/Settings!$B$3,0)*Settings!$B$3,"")</f>
        <v/>
      </c>
      <c r="U223" s="13">
        <f>IF(ISNUMBER(P223),ROUND(P223/(1-Settings!$B$2)/Settings!$B$3,0)*Settings!$B$3,"")</f>
        <v/>
      </c>
      <c r="V223" s="13">
        <f>IF(ISNUMBER(Q223),ROUND(Q223/(1-Settings!$B$2)/Settings!$B$3,0)*Settings!$B$3,"")</f>
        <v/>
      </c>
      <c r="W223" s="14" t="n"/>
      <c r="X223" s="14" t="n"/>
      <c r="Y223" s="11" t="inlineStr"/>
      <c r="Z223" s="11" t="inlineStr"/>
      <c r="AA223" s="8" t="inlineStr"/>
      <c r="AB223" s="8" t="inlineStr"/>
      <c r="AC223" s="11" t="inlineStr">
        <is>
          <t>MasterMilitaryOnBaseList 12.2.25 NS.xlsx</t>
        </is>
      </c>
      <c r="AD223" s="11" t="inlineStr">
        <is>
          <t>Advertising no prices.docx</t>
        </is>
      </c>
      <c r="AE223" s="15" t="inlineStr">
        <is>
          <t>Open in Box</t>
        </is>
      </c>
      <c r="AF223" s="15" t="inlineStr">
        <is>
          <t>Open in Box</t>
        </is>
      </c>
    </row>
    <row r="224">
      <c r="A224" s="11" t="inlineStr">
        <is>
          <t>CA-LOSANGEL-002</t>
        </is>
      </c>
      <c r="B224" s="8" t="inlineStr">
        <is>
          <t>Los Angeles AFB</t>
        </is>
      </c>
      <c r="C224" s="11" t="inlineStr"/>
      <c r="D224" s="11" t="inlineStr">
        <is>
          <t>CA</t>
        </is>
      </c>
      <c r="E224" s="11" t="inlineStr">
        <is>
          <t>Los Angeles</t>
        </is>
      </c>
      <c r="F224" s="11" t="inlineStr">
        <is>
          <t>90245</t>
        </is>
      </c>
      <c r="G224" s="11" t="inlineStr">
        <is>
          <t>Air Force</t>
        </is>
      </c>
      <c r="H224" s="11" t="inlineStr">
        <is>
          <t>Digital</t>
        </is>
      </c>
      <c r="I224" s="8" t="inlineStr">
        <is>
          <t>LED Outdoor Sign (Video)</t>
        </is>
      </c>
      <c r="J224" s="11" t="inlineStr">
        <is>
          <t>16:9/60fps/MPEG-4</t>
        </is>
      </c>
      <c r="K224" s="8" t="inlineStr">
        <is>
          <t>Your ad will appear on approved monitors on the installation.</t>
        </is>
      </c>
      <c r="L224" s="11" t="n">
        <v>1</v>
      </c>
      <c r="M224" s="12" t="n">
        <v>450</v>
      </c>
      <c r="N224" s="12" t="n">
        <v>1283</v>
      </c>
      <c r="O224" s="12" t="n">
        <v>2430</v>
      </c>
      <c r="P224" s="12" t="n">
        <v>4590</v>
      </c>
      <c r="Q224" s="12" t="n">
        <v>0</v>
      </c>
      <c r="R224" s="13">
        <f>IF(ISNUMBER(M224),ROUND(M224/(1-Settings!$B$2)/Settings!$B$3,0)*Settings!$B$3,"")</f>
        <v/>
      </c>
      <c r="S224" s="13">
        <f>IF(ISNUMBER(N224),ROUND(N224/(1-Settings!$B$2)/Settings!$B$3,0)*Settings!$B$3,"")</f>
        <v/>
      </c>
      <c r="T224" s="13">
        <f>IF(ISNUMBER(O224),ROUND(O224/(1-Settings!$B$2)/Settings!$B$3,0)*Settings!$B$3,"")</f>
        <v/>
      </c>
      <c r="U224" s="13">
        <f>IF(ISNUMBER(P224),ROUND(P224/(1-Settings!$B$2)/Settings!$B$3,0)*Settings!$B$3,"")</f>
        <v/>
      </c>
      <c r="V224" s="13">
        <f>IF(ISNUMBER(Q224),ROUND(Q224/(1-Settings!$B$2)/Settings!$B$3,0)*Settings!$B$3,"")</f>
        <v/>
      </c>
      <c r="W224" s="14" t="n"/>
      <c r="X224" s="14" t="n"/>
      <c r="Y224" s="11" t="inlineStr"/>
      <c r="Z224" s="11" t="inlineStr"/>
      <c r="AA224" s="8" t="inlineStr"/>
      <c r="AB224" s="8" t="inlineStr"/>
      <c r="AC224" s="11" t="inlineStr">
        <is>
          <t>MasterMilitaryOnBaseList 12.2.25 NS.xlsx</t>
        </is>
      </c>
      <c r="AD224" s="11" t="inlineStr">
        <is>
          <t>Advertising no prices.docx</t>
        </is>
      </c>
      <c r="AE224" s="15" t="inlineStr">
        <is>
          <t>Open in Box</t>
        </is>
      </c>
      <c r="AF224" s="15" t="inlineStr">
        <is>
          <t>Open in Box</t>
        </is>
      </c>
    </row>
    <row r="225">
      <c r="A225" s="11" t="inlineStr">
        <is>
          <t>CA-LOSANGEL-003</t>
        </is>
      </c>
      <c r="B225" s="8" t="inlineStr">
        <is>
          <t>Los Angeles AFB</t>
        </is>
      </c>
      <c r="C225" s="11" t="inlineStr"/>
      <c r="D225" s="11" t="inlineStr">
        <is>
          <t>CA</t>
        </is>
      </c>
      <c r="E225" s="11" t="inlineStr">
        <is>
          <t>Los Angeles</t>
        </is>
      </c>
      <c r="F225" s="11" t="inlineStr">
        <is>
          <t>90245</t>
        </is>
      </c>
      <c r="G225" s="11" t="inlineStr">
        <is>
          <t>Air Force</t>
        </is>
      </c>
      <c r="H225" s="11" t="inlineStr">
        <is>
          <t>Digital</t>
        </is>
      </c>
      <c r="I225" s="8" t="inlineStr">
        <is>
          <t>TV Network Display (Static)</t>
        </is>
      </c>
      <c r="J225" s="11" t="inlineStr">
        <is>
          <t>1920pxW x 1080pxH (72 ppi)</t>
        </is>
      </c>
      <c r="K225" s="8" t="inlineStr">
        <is>
          <t>Your ad will appear on approved monitors on the installation.</t>
        </is>
      </c>
      <c r="L225" s="11" t="n">
        <v>1</v>
      </c>
      <c r="M225" s="12" t="n">
        <v>250</v>
      </c>
      <c r="N225" s="12" t="n">
        <v>713</v>
      </c>
      <c r="O225" s="12" t="n">
        <v>1350</v>
      </c>
      <c r="P225" s="12" t="n">
        <v>2550</v>
      </c>
      <c r="Q225" s="12" t="n">
        <v>0</v>
      </c>
      <c r="R225" s="13">
        <f>IF(ISNUMBER(M225),ROUND(M225/(1-Settings!$B$2)/Settings!$B$3,0)*Settings!$B$3,"")</f>
        <v/>
      </c>
      <c r="S225" s="13">
        <f>IF(ISNUMBER(N225),ROUND(N225/(1-Settings!$B$2)/Settings!$B$3,0)*Settings!$B$3,"")</f>
        <v/>
      </c>
      <c r="T225" s="13">
        <f>IF(ISNUMBER(O225),ROUND(O225/(1-Settings!$B$2)/Settings!$B$3,0)*Settings!$B$3,"")</f>
        <v/>
      </c>
      <c r="U225" s="13">
        <f>IF(ISNUMBER(P225),ROUND(P225/(1-Settings!$B$2)/Settings!$B$3,0)*Settings!$B$3,"")</f>
        <v/>
      </c>
      <c r="V225" s="13">
        <f>IF(ISNUMBER(Q225),ROUND(Q225/(1-Settings!$B$2)/Settings!$B$3,0)*Settings!$B$3,"")</f>
        <v/>
      </c>
      <c r="W225" s="14" t="n"/>
      <c r="X225" s="14" t="n"/>
      <c r="Y225" s="11" t="inlineStr"/>
      <c r="Z225" s="11" t="inlineStr"/>
      <c r="AA225" s="8" t="inlineStr"/>
      <c r="AB225" s="8" t="inlineStr"/>
      <c r="AC225" s="11" t="inlineStr">
        <is>
          <t>MasterMilitaryOnBaseList 12.2.25 NS.xlsx</t>
        </is>
      </c>
      <c r="AD225" s="11" t="inlineStr">
        <is>
          <t>Advertising no prices.docx</t>
        </is>
      </c>
      <c r="AE225" s="15" t="inlineStr">
        <is>
          <t>Open in Box</t>
        </is>
      </c>
      <c r="AF225" s="15" t="inlineStr">
        <is>
          <t>Open in Box</t>
        </is>
      </c>
    </row>
    <row r="226">
      <c r="A226" s="11" t="inlineStr">
        <is>
          <t>CA-LOSANGEL-004</t>
        </is>
      </c>
      <c r="B226" s="8" t="inlineStr">
        <is>
          <t>Los Angeles AFB</t>
        </is>
      </c>
      <c r="C226" s="11" t="inlineStr"/>
      <c r="D226" s="11" t="inlineStr">
        <is>
          <t>CA</t>
        </is>
      </c>
      <c r="E226" s="11" t="inlineStr">
        <is>
          <t>Los Angeles</t>
        </is>
      </c>
      <c r="F226" s="11" t="inlineStr">
        <is>
          <t>90245</t>
        </is>
      </c>
      <c r="G226" s="11" t="inlineStr">
        <is>
          <t>Air Force</t>
        </is>
      </c>
      <c r="H226" s="11" t="inlineStr">
        <is>
          <t>Digital</t>
        </is>
      </c>
      <c r="I226" s="8" t="inlineStr">
        <is>
          <t>TV Network Display (Video)</t>
        </is>
      </c>
      <c r="J226" s="11" t="inlineStr">
        <is>
          <t>16:9/60fps/MPEG-4</t>
        </is>
      </c>
      <c r="K226" s="8" t="inlineStr">
        <is>
          <t>Your ad will appear on approved monitors on the installation.</t>
        </is>
      </c>
      <c r="L226" s="11" t="n">
        <v>1</v>
      </c>
      <c r="M226" s="12" t="n">
        <v>350</v>
      </c>
      <c r="N226" s="12" t="n">
        <v>998</v>
      </c>
      <c r="O226" s="12" t="n">
        <v>1890</v>
      </c>
      <c r="P226" s="12" t="n">
        <v>3570</v>
      </c>
      <c r="Q226" s="12" t="n">
        <v>0</v>
      </c>
      <c r="R226" s="13">
        <f>IF(ISNUMBER(M226),ROUND(M226/(1-Settings!$B$2)/Settings!$B$3,0)*Settings!$B$3,"")</f>
        <v/>
      </c>
      <c r="S226" s="13">
        <f>IF(ISNUMBER(N226),ROUND(N226/(1-Settings!$B$2)/Settings!$B$3,0)*Settings!$B$3,"")</f>
        <v/>
      </c>
      <c r="T226" s="13">
        <f>IF(ISNUMBER(O226),ROUND(O226/(1-Settings!$B$2)/Settings!$B$3,0)*Settings!$B$3,"")</f>
        <v/>
      </c>
      <c r="U226" s="13">
        <f>IF(ISNUMBER(P226),ROUND(P226/(1-Settings!$B$2)/Settings!$B$3,0)*Settings!$B$3,"")</f>
        <v/>
      </c>
      <c r="V226" s="13">
        <f>IF(ISNUMBER(Q226),ROUND(Q226/(1-Settings!$B$2)/Settings!$B$3,0)*Settings!$B$3,"")</f>
        <v/>
      </c>
      <c r="W226" s="14" t="n"/>
      <c r="X226" s="14" t="n"/>
      <c r="Y226" s="11" t="inlineStr"/>
      <c r="Z226" s="11" t="inlineStr"/>
      <c r="AA226" s="8" t="inlineStr"/>
      <c r="AB226" s="8" t="inlineStr"/>
      <c r="AC226" s="11" t="inlineStr">
        <is>
          <t>MasterMilitaryOnBaseList 12.2.25 NS.xlsx</t>
        </is>
      </c>
      <c r="AD226" s="11" t="inlineStr">
        <is>
          <t>Advertising no prices.docx</t>
        </is>
      </c>
      <c r="AE226" s="15" t="inlineStr">
        <is>
          <t>Open in Box</t>
        </is>
      </c>
      <c r="AF226" s="15" t="inlineStr">
        <is>
          <t>Open in Box</t>
        </is>
      </c>
    </row>
    <row r="227">
      <c r="A227" s="11" t="inlineStr">
        <is>
          <t>CA-LOSANGEL-007</t>
        </is>
      </c>
      <c r="B227" s="8" t="inlineStr">
        <is>
          <t>Los Angeles AFB</t>
        </is>
      </c>
      <c r="C227" s="11" t="inlineStr"/>
      <c r="D227" s="11" t="inlineStr">
        <is>
          <t>CA</t>
        </is>
      </c>
      <c r="E227" s="11" t="inlineStr">
        <is>
          <t>Los Angeles</t>
        </is>
      </c>
      <c r="F227" s="11" t="inlineStr">
        <is>
          <t>90245</t>
        </is>
      </c>
      <c r="G227" s="11" t="inlineStr">
        <is>
          <t>Air Force</t>
        </is>
      </c>
      <c r="H227" s="11" t="inlineStr">
        <is>
          <t>Large Format</t>
        </is>
      </c>
      <c r="I227" s="8" t="inlineStr">
        <is>
          <t>Counter Wrap</t>
        </is>
      </c>
      <c r="J227" s="11" t="inlineStr">
        <is>
          <t>TBD</t>
        </is>
      </c>
      <c r="K227" s="8" t="inlineStr">
        <is>
          <t>Your ad will appear in approved installation facilities. (2 year pricing: %9,180)</t>
        </is>
      </c>
      <c r="L227" s="11" t="n">
        <v>6</v>
      </c>
      <c r="M227" s="12" t="n"/>
      <c r="N227" s="12" t="n"/>
      <c r="O227" s="12" t="n">
        <v>2700</v>
      </c>
      <c r="P227" s="12" t="n">
        <v>5130</v>
      </c>
      <c r="Q227" s="12" t="n"/>
      <c r="R227" s="13">
        <f>IF(ISNUMBER(M227),ROUND(M227/(1-Settings!$B$2)/Settings!$B$3,0)*Settings!$B$3,"")</f>
        <v/>
      </c>
      <c r="S227" s="13">
        <f>IF(ISNUMBER(N227),ROUND(N227/(1-Settings!$B$2)/Settings!$B$3,0)*Settings!$B$3,"")</f>
        <v/>
      </c>
      <c r="T227" s="13">
        <f>IF(ISNUMBER(O227),ROUND(O227/(1-Settings!$B$2)/Settings!$B$3,0)*Settings!$B$3,"")</f>
        <v/>
      </c>
      <c r="U227" s="13">
        <f>IF(ISNUMBER(P227),ROUND(P227/(1-Settings!$B$2)/Settings!$B$3,0)*Settings!$B$3,"")</f>
        <v/>
      </c>
      <c r="V227" s="13">
        <f>IF(ISNUMBER(Q227),ROUND(Q227/(1-Settings!$B$2)/Settings!$B$3,0)*Settings!$B$3,"")</f>
        <v/>
      </c>
      <c r="W227" s="14" t="n"/>
      <c r="X227" s="14" t="n"/>
      <c r="Y227" s="11" t="inlineStr"/>
      <c r="Z227" s="11" t="inlineStr"/>
      <c r="AA227" s="8" t="inlineStr"/>
      <c r="AB227" s="16" t="inlineStr">
        <is>
          <t>Source formula errors</t>
        </is>
      </c>
      <c r="AC227" s="11" t="inlineStr">
        <is>
          <t>MasterMilitaryOnBaseList 12.2.25 NS.xlsx</t>
        </is>
      </c>
      <c r="AD227" s="11" t="inlineStr">
        <is>
          <t>Advertising no prices.docx</t>
        </is>
      </c>
      <c r="AE227" s="15" t="inlineStr">
        <is>
          <t>Open in Box</t>
        </is>
      </c>
      <c r="AF227" s="15" t="inlineStr">
        <is>
          <t>Open in Box</t>
        </is>
      </c>
    </row>
    <row r="228">
      <c r="A228" s="11" t="inlineStr">
        <is>
          <t>CA-LOSANGEL-008</t>
        </is>
      </c>
      <c r="B228" s="8" t="inlineStr">
        <is>
          <t>Los Angeles AFB</t>
        </is>
      </c>
      <c r="C228" s="11" t="inlineStr"/>
      <c r="D228" s="11" t="inlineStr">
        <is>
          <t>CA</t>
        </is>
      </c>
      <c r="E228" s="11" t="inlineStr">
        <is>
          <t>Los Angeles</t>
        </is>
      </c>
      <c r="F228" s="11" t="inlineStr">
        <is>
          <t>90245</t>
        </is>
      </c>
      <c r="G228" s="11" t="inlineStr">
        <is>
          <t>Air Force</t>
        </is>
      </c>
      <c r="H228" s="11" t="inlineStr">
        <is>
          <t>Print &amp; Publications</t>
        </is>
      </c>
      <c r="I228" s="8" t="inlineStr">
        <is>
          <t>Magazine</t>
        </is>
      </c>
      <c r="J228" s="11" t="inlineStr">
        <is>
          <t>8.25"Wx10.375"H</t>
        </is>
      </c>
      <c r="K228" s="8" t="inlineStr">
        <is>
          <t>Your ad will appear in the installation magazine.</t>
        </is>
      </c>
      <c r="L228" s="11" t="n">
        <v>1</v>
      </c>
      <c r="M228" s="12" t="n">
        <v>350</v>
      </c>
      <c r="N228" s="12" t="n">
        <v>996</v>
      </c>
      <c r="O228" s="12" t="n">
        <v>1890</v>
      </c>
      <c r="P228" s="12" t="n">
        <v>3564</v>
      </c>
      <c r="Q228" s="12" t="n"/>
      <c r="R228" s="13">
        <f>IF(ISNUMBER(M228),ROUND(M228/(1-Settings!$B$2)/Settings!$B$3,0)*Settings!$B$3,"")</f>
        <v/>
      </c>
      <c r="S228" s="13">
        <f>IF(ISNUMBER(N228),ROUND(N228/(1-Settings!$B$2)/Settings!$B$3,0)*Settings!$B$3,"")</f>
        <v/>
      </c>
      <c r="T228" s="13">
        <f>IF(ISNUMBER(O228),ROUND(O228/(1-Settings!$B$2)/Settings!$B$3,0)*Settings!$B$3,"")</f>
        <v/>
      </c>
      <c r="U228" s="13">
        <f>IF(ISNUMBER(P228),ROUND(P228/(1-Settings!$B$2)/Settings!$B$3,0)*Settings!$B$3,"")</f>
        <v/>
      </c>
      <c r="V228" s="13">
        <f>IF(ISNUMBER(Q228),ROUND(Q228/(1-Settings!$B$2)/Settings!$B$3,0)*Settings!$B$3,"")</f>
        <v/>
      </c>
      <c r="W228" s="14" t="n"/>
      <c r="X228" s="14" t="n"/>
      <c r="Y228" s="11" t="inlineStr"/>
      <c r="Z228" s="11" t="inlineStr"/>
      <c r="AA228" s="8" t="inlineStr"/>
      <c r="AB228" s="8" t="inlineStr"/>
      <c r="AC228" s="11" t="inlineStr">
        <is>
          <t>MasterMilitaryOnBaseList 12.2.25 NS.xlsx</t>
        </is>
      </c>
      <c r="AD228" s="11" t="inlineStr">
        <is>
          <t>Advertising no prices.docx</t>
        </is>
      </c>
      <c r="AE228" s="15" t="inlineStr">
        <is>
          <t>Open in Box</t>
        </is>
      </c>
      <c r="AF228" s="15" t="inlineStr">
        <is>
          <t>Open in Box</t>
        </is>
      </c>
    </row>
    <row r="229">
      <c r="A229" s="11" t="inlineStr">
        <is>
          <t>CA-LOSANGEL-005</t>
        </is>
      </c>
      <c r="B229" s="8" t="inlineStr">
        <is>
          <t>Los Angeles AFB</t>
        </is>
      </c>
      <c r="C229" s="11" t="inlineStr"/>
      <c r="D229" s="11" t="inlineStr">
        <is>
          <t>CA</t>
        </is>
      </c>
      <c r="E229" s="11" t="inlineStr">
        <is>
          <t>Los Angeles</t>
        </is>
      </c>
      <c r="F229" s="11" t="inlineStr">
        <is>
          <t>90245</t>
        </is>
      </c>
      <c r="G229" s="11" t="inlineStr">
        <is>
          <t>Air Force</t>
        </is>
      </c>
      <c r="H229" s="11" t="inlineStr">
        <is>
          <t>Standard Media</t>
        </is>
      </c>
      <c r="I229" s="8" t="inlineStr">
        <is>
          <t>Banner</t>
        </is>
      </c>
      <c r="J229" s="11" t="inlineStr">
        <is>
          <t>Up tp 3'H x 8'W</t>
        </is>
      </c>
      <c r="K229" s="8" t="inlineStr">
        <is>
          <t>Your ad will appear at an approved installation facility.</t>
        </is>
      </c>
      <c r="L229" s="11" t="n">
        <v>1</v>
      </c>
      <c r="M229" s="12" t="n">
        <v>250</v>
      </c>
      <c r="N229" s="12" t="n">
        <v>713</v>
      </c>
      <c r="O229" s="12" t="n">
        <v>1350</v>
      </c>
      <c r="P229" s="12" t="n">
        <v>2550</v>
      </c>
      <c r="Q229" s="12" t="n">
        <v>200</v>
      </c>
      <c r="R229" s="13">
        <f>IF(ISNUMBER(M229),ROUND(M229/(1-Settings!$B$2)/Settings!$B$3,0)*Settings!$B$3,"")</f>
        <v/>
      </c>
      <c r="S229" s="13">
        <f>IF(ISNUMBER(N229),ROUND(N229/(1-Settings!$B$2)/Settings!$B$3,0)*Settings!$B$3,"")</f>
        <v/>
      </c>
      <c r="T229" s="13">
        <f>IF(ISNUMBER(O229),ROUND(O229/(1-Settings!$B$2)/Settings!$B$3,0)*Settings!$B$3,"")</f>
        <v/>
      </c>
      <c r="U229" s="13">
        <f>IF(ISNUMBER(P229),ROUND(P229/(1-Settings!$B$2)/Settings!$B$3,0)*Settings!$B$3,"")</f>
        <v/>
      </c>
      <c r="V229" s="13">
        <f>IF(ISNUMBER(Q229),ROUND(Q229/(1-Settings!$B$2)/Settings!$B$3,0)*Settings!$B$3,"")</f>
        <v/>
      </c>
      <c r="W229" s="14" t="n"/>
      <c r="X229" s="14" t="n"/>
      <c r="Y229" s="11" t="inlineStr"/>
      <c r="Z229" s="11" t="inlineStr"/>
      <c r="AA229" s="8" t="inlineStr"/>
      <c r="AB229" s="8" t="inlineStr"/>
      <c r="AC229" s="11" t="inlineStr">
        <is>
          <t>MasterMilitaryOnBaseList 12.2.25 NS.xlsx</t>
        </is>
      </c>
      <c r="AD229" s="11" t="inlineStr">
        <is>
          <t>Advertising no prices.docx</t>
        </is>
      </c>
      <c r="AE229" s="15" t="inlineStr">
        <is>
          <t>Open in Box</t>
        </is>
      </c>
      <c r="AF229" s="15" t="inlineStr">
        <is>
          <t>Open in Box</t>
        </is>
      </c>
    </row>
    <row r="230">
      <c r="A230" s="11" t="inlineStr">
        <is>
          <t>CA-LOSANGEL-006</t>
        </is>
      </c>
      <c r="B230" s="8" t="inlineStr">
        <is>
          <t>Los Angeles AFB</t>
        </is>
      </c>
      <c r="C230" s="11" t="inlineStr"/>
      <c r="D230" s="11" t="inlineStr">
        <is>
          <t>CA</t>
        </is>
      </c>
      <c r="E230" s="11" t="inlineStr">
        <is>
          <t>Los Angeles</t>
        </is>
      </c>
      <c r="F230" s="11" t="inlineStr">
        <is>
          <t>90245</t>
        </is>
      </c>
      <c r="G230" s="11" t="inlineStr">
        <is>
          <t>Air Force</t>
        </is>
      </c>
      <c r="H230" s="11" t="inlineStr">
        <is>
          <t>Standard Media</t>
        </is>
      </c>
      <c r="I230" s="8" t="inlineStr">
        <is>
          <t>Poster</t>
        </is>
      </c>
      <c r="J230" s="11" t="inlineStr">
        <is>
          <t>22"W x 28"H</t>
        </is>
      </c>
      <c r="K230" s="8" t="inlineStr">
        <is>
          <t>Your ad will appear in approved installation facilities.</t>
        </is>
      </c>
      <c r="L230" s="11" t="n">
        <v>1</v>
      </c>
      <c r="M230" s="12" t="n">
        <v>150</v>
      </c>
      <c r="N230" s="12" t="n">
        <v>428</v>
      </c>
      <c r="O230" s="12" t="n">
        <v>810</v>
      </c>
      <c r="P230" s="12" t="n">
        <v>1530</v>
      </c>
      <c r="Q230" s="12" t="n">
        <v>100</v>
      </c>
      <c r="R230" s="13">
        <f>IF(ISNUMBER(M230),ROUND(M230/(1-Settings!$B$2)/Settings!$B$3,0)*Settings!$B$3,"")</f>
        <v/>
      </c>
      <c r="S230" s="13">
        <f>IF(ISNUMBER(N230),ROUND(N230/(1-Settings!$B$2)/Settings!$B$3,0)*Settings!$B$3,"")</f>
        <v/>
      </c>
      <c r="T230" s="13">
        <f>IF(ISNUMBER(O230),ROUND(O230/(1-Settings!$B$2)/Settings!$B$3,0)*Settings!$B$3,"")</f>
        <v/>
      </c>
      <c r="U230" s="13">
        <f>IF(ISNUMBER(P230),ROUND(P230/(1-Settings!$B$2)/Settings!$B$3,0)*Settings!$B$3,"")</f>
        <v/>
      </c>
      <c r="V230" s="13">
        <f>IF(ISNUMBER(Q230),ROUND(Q230/(1-Settings!$B$2)/Settings!$B$3,0)*Settings!$B$3,"")</f>
        <v/>
      </c>
      <c r="W230" s="14" t="n"/>
      <c r="X230" s="14" t="n"/>
      <c r="Y230" s="11" t="inlineStr"/>
      <c r="Z230" s="11" t="inlineStr"/>
      <c r="AA230" s="8" t="inlineStr"/>
      <c r="AB230" s="8" t="inlineStr"/>
      <c r="AC230" s="11" t="inlineStr">
        <is>
          <t>MasterMilitaryOnBaseList 12.2.25 NS.xlsx</t>
        </is>
      </c>
      <c r="AD230" s="11" t="inlineStr">
        <is>
          <t>Advertising no prices.docx</t>
        </is>
      </c>
      <c r="AE230" s="15" t="inlineStr">
        <is>
          <t>Open in Box</t>
        </is>
      </c>
      <c r="AF230" s="15" t="inlineStr">
        <is>
          <t>Open in Box</t>
        </is>
      </c>
    </row>
    <row r="231">
      <c r="A231" s="11" t="inlineStr">
        <is>
          <t>CA-LOSANGEL-009</t>
        </is>
      </c>
      <c r="B231" s="8" t="inlineStr">
        <is>
          <t>Los Angeles AFB</t>
        </is>
      </c>
      <c r="C231" s="11" t="inlineStr"/>
      <c r="D231" s="11" t="inlineStr">
        <is>
          <t>CA</t>
        </is>
      </c>
      <c r="E231" s="11" t="inlineStr">
        <is>
          <t>Los Angeles</t>
        </is>
      </c>
      <c r="F231" s="11" t="inlineStr">
        <is>
          <t>92518</t>
        </is>
      </c>
      <c r="G231" s="11" t="inlineStr">
        <is>
          <t>Air Force</t>
        </is>
      </c>
      <c r="H231" s="11" t="inlineStr">
        <is>
          <t>Web &amp; Email</t>
        </is>
      </c>
      <c r="I231" s="8" t="inlineStr">
        <is>
          <t>Email Banner</t>
        </is>
      </c>
      <c r="J231" s="11" t="inlineStr">
        <is>
          <t>600pxW x 150pxH</t>
        </is>
      </c>
      <c r="K231" s="8" t="inlineStr">
        <is>
          <t>Your ad will appear in the FSS Email Newsletter (up to 2 emails per month)</t>
        </is>
      </c>
      <c r="L231" s="11" t="n">
        <v>1</v>
      </c>
      <c r="M231" s="12" t="n">
        <v>75</v>
      </c>
      <c r="N231" s="12" t="n">
        <v>214</v>
      </c>
      <c r="O231" s="12" t="n">
        <v>405</v>
      </c>
      <c r="P231" s="12" t="n">
        <v>765</v>
      </c>
      <c r="Q231" s="12" t="n">
        <v>0</v>
      </c>
      <c r="R231" s="13">
        <f>IF(ISNUMBER(M231),ROUND(M231/(1-Settings!$B$2)/Settings!$B$3,0)*Settings!$B$3,"")</f>
        <v/>
      </c>
      <c r="S231" s="13">
        <f>IF(ISNUMBER(N231),ROUND(N231/(1-Settings!$B$2)/Settings!$B$3,0)*Settings!$B$3,"")</f>
        <v/>
      </c>
      <c r="T231" s="13">
        <f>IF(ISNUMBER(O231),ROUND(O231/(1-Settings!$B$2)/Settings!$B$3,0)*Settings!$B$3,"")</f>
        <v/>
      </c>
      <c r="U231" s="13">
        <f>IF(ISNUMBER(P231),ROUND(P231/(1-Settings!$B$2)/Settings!$B$3,0)*Settings!$B$3,"")</f>
        <v/>
      </c>
      <c r="V231" s="13">
        <f>IF(ISNUMBER(Q231),ROUND(Q231/(1-Settings!$B$2)/Settings!$B$3,0)*Settings!$B$3,"")</f>
        <v/>
      </c>
      <c r="W231" s="14" t="n"/>
      <c r="X231" s="14" t="n"/>
      <c r="Y231" s="11" t="inlineStr"/>
      <c r="Z231" s="11" t="inlineStr"/>
      <c r="AA231" s="8" t="inlineStr"/>
      <c r="AB231" s="8" t="inlineStr"/>
      <c r="AC231" s="11" t="inlineStr">
        <is>
          <t>MasterMilitaryOnBaseList 12.2.25 NS.xlsx</t>
        </is>
      </c>
      <c r="AD231" s="11" t="inlineStr">
        <is>
          <t>Advertising no prices.docx</t>
        </is>
      </c>
      <c r="AE231" s="15" t="inlineStr">
        <is>
          <t>Open in Box</t>
        </is>
      </c>
      <c r="AF231" s="15" t="inlineStr">
        <is>
          <t>Open in Box</t>
        </is>
      </c>
    </row>
    <row r="232">
      <c r="A232" s="11" t="inlineStr">
        <is>
          <t>CA-LOSANGEL-010</t>
        </is>
      </c>
      <c r="B232" s="8" t="inlineStr">
        <is>
          <t>Los Angeles AFB</t>
        </is>
      </c>
      <c r="C232" s="11" t="inlineStr"/>
      <c r="D232" s="11" t="inlineStr">
        <is>
          <t>CA</t>
        </is>
      </c>
      <c r="E232" s="11" t="inlineStr">
        <is>
          <t>Los Angeles</t>
        </is>
      </c>
      <c r="F232" s="11" t="inlineStr">
        <is>
          <t>90245</t>
        </is>
      </c>
      <c r="G232" s="11" t="inlineStr">
        <is>
          <t>Air Force</t>
        </is>
      </c>
      <c r="H232" s="11" t="inlineStr">
        <is>
          <t>Web &amp; Email</t>
        </is>
      </c>
      <c r="I232" s="8" t="inlineStr">
        <is>
          <t>Email Square</t>
        </is>
      </c>
      <c r="J232" s="11" t="inlineStr">
        <is>
          <t>600pxWx500pxH</t>
        </is>
      </c>
      <c r="K232" s="8" t="inlineStr">
        <is>
          <t>Your ad will appear in the FSS Email Newsletter (up to 2 emails per month)</t>
        </is>
      </c>
      <c r="L232" s="11" t="n">
        <v>1</v>
      </c>
      <c r="M232" s="12" t="n">
        <v>150</v>
      </c>
      <c r="N232" s="12" t="n">
        <v>428</v>
      </c>
      <c r="O232" s="12" t="n">
        <v>810</v>
      </c>
      <c r="P232" s="12" t="n">
        <v>1530</v>
      </c>
      <c r="Q232" s="12" t="n">
        <v>0</v>
      </c>
      <c r="R232" s="13">
        <f>IF(ISNUMBER(M232),ROUND(M232/(1-Settings!$B$2)/Settings!$B$3,0)*Settings!$B$3,"")</f>
        <v/>
      </c>
      <c r="S232" s="13">
        <f>IF(ISNUMBER(N232),ROUND(N232/(1-Settings!$B$2)/Settings!$B$3,0)*Settings!$B$3,"")</f>
        <v/>
      </c>
      <c r="T232" s="13">
        <f>IF(ISNUMBER(O232),ROUND(O232/(1-Settings!$B$2)/Settings!$B$3,0)*Settings!$B$3,"")</f>
        <v/>
      </c>
      <c r="U232" s="13">
        <f>IF(ISNUMBER(P232),ROUND(P232/(1-Settings!$B$2)/Settings!$B$3,0)*Settings!$B$3,"")</f>
        <v/>
      </c>
      <c r="V232" s="13">
        <f>IF(ISNUMBER(Q232),ROUND(Q232/(1-Settings!$B$2)/Settings!$B$3,0)*Settings!$B$3,"")</f>
        <v/>
      </c>
      <c r="W232" s="14" t="n"/>
      <c r="X232" s="14" t="n"/>
      <c r="Y232" s="11" t="inlineStr"/>
      <c r="Z232" s="11" t="inlineStr"/>
      <c r="AA232" s="8" t="inlineStr"/>
      <c r="AB232" s="8" t="inlineStr"/>
      <c r="AC232" s="11" t="inlineStr">
        <is>
          <t>MasterMilitaryOnBaseList 12.2.25 NS.xlsx</t>
        </is>
      </c>
      <c r="AD232" s="11" t="inlineStr">
        <is>
          <t>Advertising no prices.docx</t>
        </is>
      </c>
      <c r="AE232" s="15" t="inlineStr">
        <is>
          <t>Open in Box</t>
        </is>
      </c>
      <c r="AF232" s="15" t="inlineStr">
        <is>
          <t>Open in Box</t>
        </is>
      </c>
    </row>
    <row r="233">
      <c r="A233" s="11" t="inlineStr">
        <is>
          <t>CA-LOSANGEL-011</t>
        </is>
      </c>
      <c r="B233" s="8" t="inlineStr">
        <is>
          <t>Los Angeles AFB</t>
        </is>
      </c>
      <c r="C233" s="11" t="inlineStr"/>
      <c r="D233" s="11" t="inlineStr">
        <is>
          <t>CA</t>
        </is>
      </c>
      <c r="E233" s="11" t="inlineStr">
        <is>
          <t>Los Angeles</t>
        </is>
      </c>
      <c r="F233" s="11" t="inlineStr">
        <is>
          <t>90245</t>
        </is>
      </c>
      <c r="G233" s="11" t="inlineStr">
        <is>
          <t>Air Force</t>
        </is>
      </c>
      <c r="H233" s="11" t="inlineStr">
        <is>
          <t>Web &amp; Email</t>
        </is>
      </c>
      <c r="I233" s="8" t="inlineStr">
        <is>
          <t>Email Square + Text</t>
        </is>
      </c>
      <c r="J233" s="11" t="inlineStr">
        <is>
          <t>600pxW x 150pxH</t>
        </is>
      </c>
      <c r="K233" s="8" t="inlineStr">
        <is>
          <t>Your ad will appear in the FSS Email Newsletter (up to 2 emails per month)</t>
        </is>
      </c>
      <c r="L233" s="11" t="n">
        <v>1</v>
      </c>
      <c r="M233" s="12" t="n">
        <v>250</v>
      </c>
      <c r="N233" s="12" t="n">
        <v>713</v>
      </c>
      <c r="O233" s="12" t="n">
        <v>1350</v>
      </c>
      <c r="P233" s="12" t="n">
        <v>2550</v>
      </c>
      <c r="Q233" s="12" t="n">
        <v>0</v>
      </c>
      <c r="R233" s="13">
        <f>IF(ISNUMBER(M233),ROUND(M233/(1-Settings!$B$2)/Settings!$B$3,0)*Settings!$B$3,"")</f>
        <v/>
      </c>
      <c r="S233" s="13">
        <f>IF(ISNUMBER(N233),ROUND(N233/(1-Settings!$B$2)/Settings!$B$3,0)*Settings!$B$3,"")</f>
        <v/>
      </c>
      <c r="T233" s="13">
        <f>IF(ISNUMBER(O233),ROUND(O233/(1-Settings!$B$2)/Settings!$B$3,0)*Settings!$B$3,"")</f>
        <v/>
      </c>
      <c r="U233" s="13">
        <f>IF(ISNUMBER(P233),ROUND(P233/(1-Settings!$B$2)/Settings!$B$3,0)*Settings!$B$3,"")</f>
        <v/>
      </c>
      <c r="V233" s="13">
        <f>IF(ISNUMBER(Q233),ROUND(Q233/(1-Settings!$B$2)/Settings!$B$3,0)*Settings!$B$3,"")</f>
        <v/>
      </c>
      <c r="W233" s="14" t="n"/>
      <c r="X233" s="14" t="n"/>
      <c r="Y233" s="11" t="inlineStr"/>
      <c r="Z233" s="11" t="inlineStr"/>
      <c r="AA233" s="8" t="inlineStr"/>
      <c r="AB233" s="8" t="inlineStr"/>
      <c r="AC233" s="11" t="inlineStr">
        <is>
          <t>MasterMilitaryOnBaseList 12.2.25 NS.xlsx</t>
        </is>
      </c>
      <c r="AD233" s="11" t="inlineStr">
        <is>
          <t>Advertising no prices.docx</t>
        </is>
      </c>
      <c r="AE233" s="15" t="inlineStr">
        <is>
          <t>Open in Box</t>
        </is>
      </c>
      <c r="AF233" s="15" t="inlineStr">
        <is>
          <t>Open in Box</t>
        </is>
      </c>
    </row>
    <row r="234">
      <c r="A234" s="11" t="inlineStr">
        <is>
          <t>CA-MCASMIRA-001</t>
        </is>
      </c>
      <c r="B234" s="8" t="inlineStr">
        <is>
          <t>MCAS Miramar</t>
        </is>
      </c>
      <c r="C234" s="11" t="inlineStr"/>
      <c r="D234" s="11" t="inlineStr">
        <is>
          <t>CA</t>
        </is>
      </c>
      <c r="E234" s="11" t="inlineStr">
        <is>
          <t>San Diego</t>
        </is>
      </c>
      <c r="F234" s="11" t="inlineStr">
        <is>
          <t>92145</t>
        </is>
      </c>
      <c r="G234" s="11" t="inlineStr">
        <is>
          <t>Marine Corps</t>
        </is>
      </c>
      <c r="H234" s="11" t="inlineStr">
        <is>
          <t>Digital</t>
        </is>
      </c>
      <c r="I234" s="8" t="inlineStr">
        <is>
          <t>0:30 Theater Commercial</t>
        </is>
      </c>
      <c r="J234" s="11" t="inlineStr">
        <is>
          <t>DCP or MWV H.264 Digital High Definition</t>
        </is>
      </c>
      <c r="K234" s="8" t="inlineStr">
        <is>
          <t>Your ad will appear in the Bob Hope Theater in the installation.</t>
        </is>
      </c>
      <c r="L234" s="11" t="n">
        <v>1</v>
      </c>
      <c r="M234" s="12" t="n">
        <v>550</v>
      </c>
      <c r="N234" s="12" t="n">
        <v>1650</v>
      </c>
      <c r="O234" s="12" t="n">
        <v>3300</v>
      </c>
      <c r="P234" s="12" t="n">
        <v>6600</v>
      </c>
      <c r="Q234" s="12" t="n">
        <v>0</v>
      </c>
      <c r="R234" s="13">
        <f>IF(ISNUMBER(M234),ROUND(M234/(1-Settings!$B$2)/Settings!$B$3,0)*Settings!$B$3,"")</f>
        <v/>
      </c>
      <c r="S234" s="13">
        <f>IF(ISNUMBER(N234),ROUND(N234/(1-Settings!$B$2)/Settings!$B$3,0)*Settings!$B$3,"")</f>
        <v/>
      </c>
      <c r="T234" s="13">
        <f>IF(ISNUMBER(O234),ROUND(O234/(1-Settings!$B$2)/Settings!$B$3,0)*Settings!$B$3,"")</f>
        <v/>
      </c>
      <c r="U234" s="13">
        <f>IF(ISNUMBER(P234),ROUND(P234/(1-Settings!$B$2)/Settings!$B$3,0)*Settings!$B$3,"")</f>
        <v/>
      </c>
      <c r="V234" s="13">
        <f>IF(ISNUMBER(Q234),ROUND(Q234/(1-Settings!$B$2)/Settings!$B$3,0)*Settings!$B$3,"")</f>
        <v/>
      </c>
      <c r="W234" s="14" t="n">
        <v>7535</v>
      </c>
      <c r="X234" s="14" t="n">
        <v>7007</v>
      </c>
      <c r="Y234" s="11" t="inlineStr"/>
      <c r="Z234" s="11" t="inlineStr"/>
      <c r="AA234" s="8" t="inlineStr">
        <is>
          <t>Inventory master 6/2026 lists Movie Theater Ad at $500 (1 mo)</t>
        </is>
      </c>
      <c r="AB234" s="8" t="inlineStr"/>
      <c r="AC234" s="11" t="inlineStr">
        <is>
          <t>MasterMilitaryOnBaseList 12.2.25 NS.xlsx</t>
        </is>
      </c>
      <c r="AD234" s="11" t="inlineStr">
        <is>
          <t>2026 MCCS Miramar Deck.pdf</t>
        </is>
      </c>
      <c r="AE234" s="15" t="inlineStr">
        <is>
          <t>Open in Box</t>
        </is>
      </c>
      <c r="AF234" s="15" t="inlineStr">
        <is>
          <t>Open in Box</t>
        </is>
      </c>
    </row>
    <row r="235">
      <c r="A235" s="11" t="inlineStr">
        <is>
          <t>CA-MCASMIRA-002</t>
        </is>
      </c>
      <c r="B235" s="8" t="inlineStr">
        <is>
          <t>MCAS Miramar</t>
        </is>
      </c>
      <c r="C235" s="11" t="inlineStr"/>
      <c r="D235" s="11" t="inlineStr">
        <is>
          <t>CA</t>
        </is>
      </c>
      <c r="E235" s="11" t="inlineStr">
        <is>
          <t>San Diego</t>
        </is>
      </c>
      <c r="F235" s="11" t="inlineStr">
        <is>
          <t>92145</t>
        </is>
      </c>
      <c r="G235" s="11" t="inlineStr">
        <is>
          <t>Marine Corps</t>
        </is>
      </c>
      <c r="H235" s="11" t="inlineStr">
        <is>
          <t>Digital</t>
        </is>
      </c>
      <c r="I235" s="8" t="inlineStr">
        <is>
          <t>Static Slideshow Ad</t>
        </is>
      </c>
      <c r="J235" s="11" t="inlineStr">
        <is>
          <t>1920pxW x 1080pxH</t>
        </is>
      </c>
      <c r="K235" s="8" t="inlineStr">
        <is>
          <t>Your ad will appear in the Bob Hope Theater in the installation. $200/slide</t>
        </is>
      </c>
      <c r="L235" s="11" t="n">
        <v>3</v>
      </c>
      <c r="M235" s="12" t="n"/>
      <c r="N235" s="12" t="n">
        <v>438</v>
      </c>
      <c r="O235" s="12" t="n">
        <v>875</v>
      </c>
      <c r="P235" s="12" t="n">
        <v>1300</v>
      </c>
      <c r="Q235" s="12" t="n">
        <v>0</v>
      </c>
      <c r="R235" s="13">
        <f>IF(ISNUMBER(M235),ROUND(M235/(1-Settings!$B$2)/Settings!$B$3,0)*Settings!$B$3,"")</f>
        <v/>
      </c>
      <c r="S235" s="13">
        <f>IF(ISNUMBER(N235),ROUND(N235/(1-Settings!$B$2)/Settings!$B$3,0)*Settings!$B$3,"")</f>
        <v/>
      </c>
      <c r="T235" s="13">
        <f>IF(ISNUMBER(O235),ROUND(O235/(1-Settings!$B$2)/Settings!$B$3,0)*Settings!$B$3,"")</f>
        <v/>
      </c>
      <c r="U235" s="13">
        <f>IF(ISNUMBER(P235),ROUND(P235/(1-Settings!$B$2)/Settings!$B$3,0)*Settings!$B$3,"")</f>
        <v/>
      </c>
      <c r="V235" s="13">
        <f>IF(ISNUMBER(Q235),ROUND(Q235/(1-Settings!$B$2)/Settings!$B$3,0)*Settings!$B$3,"")</f>
        <v/>
      </c>
      <c r="W235" s="14" t="n">
        <v>7535</v>
      </c>
      <c r="X235" s="14" t="n">
        <v>7007</v>
      </c>
      <c r="Y235" s="11" t="inlineStr"/>
      <c r="Z235" s="11" t="inlineStr"/>
      <c r="AA235" s="8" t="inlineStr"/>
      <c r="AB235" s="8" t="inlineStr"/>
      <c r="AC235" s="11" t="inlineStr">
        <is>
          <t>MasterMilitaryOnBaseList 12.2.25 NS.xlsx</t>
        </is>
      </c>
      <c r="AD235" s="11" t="inlineStr">
        <is>
          <t>2026 MCCS Miramar Deck.pdf</t>
        </is>
      </c>
      <c r="AE235" s="15" t="inlineStr">
        <is>
          <t>Open in Box</t>
        </is>
      </c>
      <c r="AF235" s="15" t="inlineStr">
        <is>
          <t>Open in Box</t>
        </is>
      </c>
    </row>
    <row r="236">
      <c r="A236" s="11" t="inlineStr">
        <is>
          <t>CA-MCASMIRA-004</t>
        </is>
      </c>
      <c r="B236" s="8" t="inlineStr">
        <is>
          <t>MCAS Miramar</t>
        </is>
      </c>
      <c r="C236" s="11" t="inlineStr"/>
      <c r="D236" s="11" t="inlineStr">
        <is>
          <t>CA</t>
        </is>
      </c>
      <c r="E236" s="11" t="inlineStr">
        <is>
          <t>San Diego</t>
        </is>
      </c>
      <c r="F236" s="11" t="inlineStr">
        <is>
          <t>92145</t>
        </is>
      </c>
      <c r="G236" s="11" t="inlineStr">
        <is>
          <t>Marine Corps</t>
        </is>
      </c>
      <c r="H236" s="11" t="inlineStr">
        <is>
          <t>Large Format</t>
        </is>
      </c>
      <c r="I236" s="8" t="inlineStr">
        <is>
          <t>Gym &amp; Field Banner</t>
        </is>
      </c>
      <c r="J236" s="11" t="inlineStr">
        <is>
          <t>3'h x 8'w [Gym] 4'h x 9'w [Baseball Field]</t>
        </is>
      </c>
      <c r="K236" s="8" t="inlineStr">
        <is>
          <t>Your ad will appear at an approved installation facility.</t>
        </is>
      </c>
      <c r="L236" s="11" t="n">
        <v>3</v>
      </c>
      <c r="M236" s="12" t="n"/>
      <c r="N236" s="12" t="n">
        <v>500</v>
      </c>
      <c r="O236" s="12" t="n">
        <v>1000</v>
      </c>
      <c r="P236" s="12" t="n">
        <v>1700</v>
      </c>
      <c r="Q236" s="12" t="n">
        <v>200</v>
      </c>
      <c r="R236" s="13">
        <f>IF(ISNUMBER(M236),ROUND(M236/(1-Settings!$B$2)/Settings!$B$3,0)*Settings!$B$3,"")</f>
        <v/>
      </c>
      <c r="S236" s="13">
        <f>IF(ISNUMBER(N236),ROUND(N236/(1-Settings!$B$2)/Settings!$B$3,0)*Settings!$B$3,"")</f>
        <v/>
      </c>
      <c r="T236" s="13">
        <f>IF(ISNUMBER(O236),ROUND(O236/(1-Settings!$B$2)/Settings!$B$3,0)*Settings!$B$3,"")</f>
        <v/>
      </c>
      <c r="U236" s="13">
        <f>IF(ISNUMBER(P236),ROUND(P236/(1-Settings!$B$2)/Settings!$B$3,0)*Settings!$B$3,"")</f>
        <v/>
      </c>
      <c r="V236" s="13">
        <f>IF(ISNUMBER(Q236),ROUND(Q236/(1-Settings!$B$2)/Settings!$B$3,0)*Settings!$B$3,"")</f>
        <v/>
      </c>
      <c r="W236" s="14" t="n">
        <v>7535</v>
      </c>
      <c r="X236" s="14" t="n">
        <v>7007</v>
      </c>
      <c r="Y236" s="11" t="inlineStr"/>
      <c r="Z236" s="11" t="inlineStr"/>
      <c r="AA236" s="8" t="inlineStr"/>
      <c r="AB236" s="8" t="inlineStr"/>
      <c r="AC236" s="11" t="inlineStr">
        <is>
          <t>MasterMilitaryOnBaseList 12.2.25 NS.xlsx</t>
        </is>
      </c>
      <c r="AD236" s="11" t="inlineStr">
        <is>
          <t>2026 MCCS Miramar Deck.pdf</t>
        </is>
      </c>
      <c r="AE236" s="15" t="inlineStr">
        <is>
          <t>Open in Box</t>
        </is>
      </c>
      <c r="AF236" s="15" t="inlineStr">
        <is>
          <t>Open in Box</t>
        </is>
      </c>
    </row>
    <row r="237">
      <c r="A237" s="11" t="inlineStr">
        <is>
          <t>CA-MCASMIRA-003</t>
        </is>
      </c>
      <c r="B237" s="8" t="inlineStr">
        <is>
          <t>MCAS Miramar</t>
        </is>
      </c>
      <c r="C237" s="11" t="inlineStr"/>
      <c r="D237" s="11" t="inlineStr">
        <is>
          <t>CA</t>
        </is>
      </c>
      <c r="E237" s="11" t="inlineStr">
        <is>
          <t>San Diego</t>
        </is>
      </c>
      <c r="F237" s="11" t="inlineStr">
        <is>
          <t>92145</t>
        </is>
      </c>
      <c r="G237" s="11" t="inlineStr">
        <is>
          <t>Marine Corps</t>
        </is>
      </c>
      <c r="H237" s="11" t="inlineStr">
        <is>
          <t>Standard Media</t>
        </is>
      </c>
      <c r="I237" s="8" t="inlineStr">
        <is>
          <t>Banner</t>
        </is>
      </c>
      <c r="J237" s="11" t="inlineStr">
        <is>
          <t>72.5"h x 103"w</t>
        </is>
      </c>
      <c r="K237" s="8" t="inlineStr">
        <is>
          <t>Your ad will appear at an approved installation facility.</t>
        </is>
      </c>
      <c r="L237" s="11" t="n">
        <v>3</v>
      </c>
      <c r="M237" s="12" t="n"/>
      <c r="N237" s="12" t="n">
        <v>1100</v>
      </c>
      <c r="O237" s="12" t="n">
        <v>2200</v>
      </c>
      <c r="P237" s="12" t="n">
        <v>3900</v>
      </c>
      <c r="Q237" s="12" t="n">
        <v>200</v>
      </c>
      <c r="R237" s="13">
        <f>IF(ISNUMBER(M237),ROUND(M237/(1-Settings!$B$2)/Settings!$B$3,0)*Settings!$B$3,"")</f>
        <v/>
      </c>
      <c r="S237" s="13">
        <f>IF(ISNUMBER(N237),ROUND(N237/(1-Settings!$B$2)/Settings!$B$3,0)*Settings!$B$3,"")</f>
        <v/>
      </c>
      <c r="T237" s="13">
        <f>IF(ISNUMBER(O237),ROUND(O237/(1-Settings!$B$2)/Settings!$B$3,0)*Settings!$B$3,"")</f>
        <v/>
      </c>
      <c r="U237" s="13">
        <f>IF(ISNUMBER(P237),ROUND(P237/(1-Settings!$B$2)/Settings!$B$3,0)*Settings!$B$3,"")</f>
        <v/>
      </c>
      <c r="V237" s="13">
        <f>IF(ISNUMBER(Q237),ROUND(Q237/(1-Settings!$B$2)/Settings!$B$3,0)*Settings!$B$3,"")</f>
        <v/>
      </c>
      <c r="W237" s="14" t="n">
        <v>7535</v>
      </c>
      <c r="X237" s="14" t="n">
        <v>7007</v>
      </c>
      <c r="Y237" s="11" t="inlineStr"/>
      <c r="Z237" s="11" t="inlineStr"/>
      <c r="AA237" s="8" t="inlineStr"/>
      <c r="AB237" s="8" t="inlineStr"/>
      <c r="AC237" s="11" t="inlineStr">
        <is>
          <t>MasterMilitaryOnBaseList 12.2.25 NS.xlsx</t>
        </is>
      </c>
      <c r="AD237" s="11" t="inlineStr">
        <is>
          <t>2026 MCCS Miramar Deck.pdf</t>
        </is>
      </c>
      <c r="AE237" s="15" t="inlineStr">
        <is>
          <t>Open in Box</t>
        </is>
      </c>
      <c r="AF237" s="15" t="inlineStr">
        <is>
          <t>Open in Box</t>
        </is>
      </c>
    </row>
    <row r="238">
      <c r="A238" s="11" t="inlineStr">
        <is>
          <t>CA-MCASMIRA-005</t>
        </is>
      </c>
      <c r="B238" s="8" t="inlineStr">
        <is>
          <t>MCAS Miramar</t>
        </is>
      </c>
      <c r="C238" s="11" t="inlineStr"/>
      <c r="D238" s="11" t="inlineStr">
        <is>
          <t>CA</t>
        </is>
      </c>
      <c r="E238" s="11" t="inlineStr">
        <is>
          <t>San Diego</t>
        </is>
      </c>
      <c r="F238" s="11" t="inlineStr">
        <is>
          <t>92145</t>
        </is>
      </c>
      <c r="G238" s="11" t="inlineStr">
        <is>
          <t>Marine Corps</t>
        </is>
      </c>
      <c r="H238" s="11" t="inlineStr">
        <is>
          <t>Web &amp; Email</t>
        </is>
      </c>
      <c r="I238" s="8" t="inlineStr">
        <is>
          <t>Facebook + Instagram Posts</t>
        </is>
      </c>
      <c r="J238" s="11" t="inlineStr">
        <is>
          <t>1080pxW x 1080pxH</t>
        </is>
      </c>
      <c r="K238" s="8" t="inlineStr">
        <is>
          <t>Your ad will appear on the MCCS Miramar social pages (Facebook and Instagram). $100/post.</t>
        </is>
      </c>
      <c r="L238" s="11" t="n"/>
      <c r="M238" s="12" t="n"/>
      <c r="N238" s="12" t="n"/>
      <c r="O238" s="12" t="n"/>
      <c r="P238" s="12" t="n"/>
      <c r="Q238" s="12" t="n"/>
      <c r="R238" s="13">
        <f>IF(ISNUMBER(M238),ROUND(M238/(1-Settings!$B$2)/Settings!$B$3,0)*Settings!$B$3,"")</f>
        <v/>
      </c>
      <c r="S238" s="13">
        <f>IF(ISNUMBER(N238),ROUND(N238/(1-Settings!$B$2)/Settings!$B$3,0)*Settings!$B$3,"")</f>
        <v/>
      </c>
      <c r="T238" s="13">
        <f>IF(ISNUMBER(O238),ROUND(O238/(1-Settings!$B$2)/Settings!$B$3,0)*Settings!$B$3,"")</f>
        <v/>
      </c>
      <c r="U238" s="13">
        <f>IF(ISNUMBER(P238),ROUND(P238/(1-Settings!$B$2)/Settings!$B$3,0)*Settings!$B$3,"")</f>
        <v/>
      </c>
      <c r="V238" s="13">
        <f>IF(ISNUMBER(Q238),ROUND(Q238/(1-Settings!$B$2)/Settings!$B$3,0)*Settings!$B$3,"")</f>
        <v/>
      </c>
      <c r="W238" s="14" t="n">
        <v>7535</v>
      </c>
      <c r="X238" s="14" t="n">
        <v>7007</v>
      </c>
      <c r="Y238" s="11" t="inlineStr"/>
      <c r="Z238" s="11" t="inlineStr"/>
      <c r="AA238" s="8" t="inlineStr"/>
      <c r="AB238" s="16" t="inlineStr">
        <is>
          <t>No price on file - inquire</t>
        </is>
      </c>
      <c r="AC238" s="11" t="inlineStr">
        <is>
          <t>MasterMilitaryOnBaseList 12.2.25 NS.xlsx</t>
        </is>
      </c>
      <c r="AD238" s="11" t="inlineStr">
        <is>
          <t>2026 MCCS Miramar Deck.pdf</t>
        </is>
      </c>
      <c r="AE238" s="15" t="inlineStr">
        <is>
          <t>Open in Box</t>
        </is>
      </c>
      <c r="AF238" s="15" t="inlineStr">
        <is>
          <t>Open in Box</t>
        </is>
      </c>
    </row>
    <row r="239">
      <c r="A239" s="11" t="inlineStr">
        <is>
          <t>CA-MCASMIRA-006</t>
        </is>
      </c>
      <c r="B239" s="8" t="inlineStr">
        <is>
          <t>MCAS Miramar</t>
        </is>
      </c>
      <c r="C239" s="11" t="inlineStr"/>
      <c r="D239" s="11" t="inlineStr">
        <is>
          <t>CA</t>
        </is>
      </c>
      <c r="E239" s="11" t="inlineStr">
        <is>
          <t>San Diego</t>
        </is>
      </c>
      <c r="F239" s="11" t="inlineStr"/>
      <c r="G239" s="11" t="inlineStr">
        <is>
          <t>Marine Corps</t>
        </is>
      </c>
      <c r="H239" s="11" t="inlineStr">
        <is>
          <t>Web &amp; Email</t>
        </is>
      </c>
      <c r="I239" s="8" t="inlineStr">
        <is>
          <t>Monthly E-Newsletter Ad</t>
        </is>
      </c>
      <c r="J239" s="11" t="inlineStr"/>
      <c r="K239" s="8" t="inlineStr">
        <is>
          <t>Your ad will appear in the monthly e-newsletter emailed to the installation community.</t>
        </is>
      </c>
      <c r="L239" s="11" t="n">
        <v>1</v>
      </c>
      <c r="M239" s="12" t="n">
        <v>275</v>
      </c>
      <c r="N239" s="12" t="n"/>
      <c r="O239" s="12" t="n"/>
      <c r="P239" s="12" t="n"/>
      <c r="Q239" s="12" t="n"/>
      <c r="R239" s="13">
        <f>IF(ISNUMBER(M239),ROUND(M239/(1-Settings!$B$2)/Settings!$B$3,0)*Settings!$B$3,"")</f>
        <v/>
      </c>
      <c r="S239" s="13">
        <f>IF(ISNUMBER(N239),ROUND(N239/(1-Settings!$B$2)/Settings!$B$3,0)*Settings!$B$3,"")</f>
        <v/>
      </c>
      <c r="T239" s="13">
        <f>IF(ISNUMBER(O239),ROUND(O239/(1-Settings!$B$2)/Settings!$B$3,0)*Settings!$B$3,"")</f>
        <v/>
      </c>
      <c r="U239" s="13">
        <f>IF(ISNUMBER(P239),ROUND(P239/(1-Settings!$B$2)/Settings!$B$3,0)*Settings!$B$3,"")</f>
        <v/>
      </c>
      <c r="V239" s="13">
        <f>IF(ISNUMBER(Q239),ROUND(Q239/(1-Settings!$B$2)/Settings!$B$3,0)*Settings!$B$3,"")</f>
        <v/>
      </c>
      <c r="W239" s="14" t="n">
        <v>7535</v>
      </c>
      <c r="X239" s="14" t="n">
        <v>7007</v>
      </c>
      <c r="Y239" s="11" t="inlineStr">
        <is>
          <t>2026</t>
        </is>
      </c>
      <c r="Z239" s="11" t="inlineStr">
        <is>
          <t>2026-06</t>
        </is>
      </c>
      <c r="AA239" s="8" t="inlineStr">
        <is>
          <t>Unclear if this is per month or per week (states "per email")</t>
        </is>
      </c>
      <c r="AB239" s="8" t="inlineStr"/>
      <c r="AC239" s="11" t="inlineStr">
        <is>
          <t>Military - National Publication Inventory Master_June 2026.xlsx</t>
        </is>
      </c>
      <c r="AD239" s="11" t="inlineStr">
        <is>
          <t>2026 MCCS Miramar Deck.pdf</t>
        </is>
      </c>
      <c r="AE239" s="15" t="inlineStr">
        <is>
          <t>Open in Box</t>
        </is>
      </c>
      <c r="AF239" s="15" t="inlineStr">
        <is>
          <t>Open in Box</t>
        </is>
      </c>
    </row>
    <row r="240">
      <c r="A240" s="11" t="inlineStr">
        <is>
          <t>CA-MCASMIRA-007</t>
        </is>
      </c>
      <c r="B240" s="8" t="inlineStr">
        <is>
          <t>MCAS Miramar</t>
        </is>
      </c>
      <c r="C240" s="11" t="inlineStr"/>
      <c r="D240" s="11" t="inlineStr">
        <is>
          <t>CA</t>
        </is>
      </c>
      <c r="E240" s="11" t="inlineStr">
        <is>
          <t>San Diego</t>
        </is>
      </c>
      <c r="F240" s="11" t="inlineStr"/>
      <c r="G240" s="11" t="inlineStr">
        <is>
          <t>Marine Corps</t>
        </is>
      </c>
      <c r="H240" s="11" t="inlineStr">
        <is>
          <t>Web &amp; Email</t>
        </is>
      </c>
      <c r="I240" s="8" t="inlineStr">
        <is>
          <t>Web Ad</t>
        </is>
      </c>
      <c r="J240" s="11" t="inlineStr"/>
      <c r="K240" s="8" t="inlineStr">
        <is>
          <t>Your ad will appear on the installation MWR / FSS website.</t>
        </is>
      </c>
      <c r="L240" s="11" t="n">
        <v>1</v>
      </c>
      <c r="M240" s="12" t="n">
        <v>250</v>
      </c>
      <c r="N240" s="12" t="n"/>
      <c r="O240" s="12" t="n"/>
      <c r="P240" s="12" t="n"/>
      <c r="Q240" s="12" t="n"/>
      <c r="R240" s="13">
        <f>IF(ISNUMBER(M240),ROUND(M240/(1-Settings!$B$2)/Settings!$B$3,0)*Settings!$B$3,"")</f>
        <v/>
      </c>
      <c r="S240" s="13">
        <f>IF(ISNUMBER(N240),ROUND(N240/(1-Settings!$B$2)/Settings!$B$3,0)*Settings!$B$3,"")</f>
        <v/>
      </c>
      <c r="T240" s="13">
        <f>IF(ISNUMBER(O240),ROUND(O240/(1-Settings!$B$2)/Settings!$B$3,0)*Settings!$B$3,"")</f>
        <v/>
      </c>
      <c r="U240" s="13">
        <f>IF(ISNUMBER(P240),ROUND(P240/(1-Settings!$B$2)/Settings!$B$3,0)*Settings!$B$3,"")</f>
        <v/>
      </c>
      <c r="V240" s="13">
        <f>IF(ISNUMBER(Q240),ROUND(Q240/(1-Settings!$B$2)/Settings!$B$3,0)*Settings!$B$3,"")</f>
        <v/>
      </c>
      <c r="W240" s="14" t="n">
        <v>7535</v>
      </c>
      <c r="X240" s="14" t="n">
        <v>7007</v>
      </c>
      <c r="Y240" s="11" t="inlineStr">
        <is>
          <t>2026</t>
        </is>
      </c>
      <c r="Z240" s="11" t="inlineStr">
        <is>
          <t>2026-06</t>
        </is>
      </c>
      <c r="AA240" s="8" t="inlineStr">
        <is>
          <t>Unclear if this is per month or per week (states "per email")</t>
        </is>
      </c>
      <c r="AB240" s="8" t="inlineStr"/>
      <c r="AC240" s="11" t="inlineStr">
        <is>
          <t>Military - National Publication Inventory Master_June 2026.xlsx</t>
        </is>
      </c>
      <c r="AD240" s="11" t="inlineStr">
        <is>
          <t>2026 MCCS Miramar Deck.pdf</t>
        </is>
      </c>
      <c r="AE240" s="15" t="inlineStr">
        <is>
          <t>Open in Box</t>
        </is>
      </c>
      <c r="AF240" s="15" t="inlineStr">
        <is>
          <t>Open in Box</t>
        </is>
      </c>
    </row>
    <row r="241">
      <c r="A241" s="11" t="inlineStr">
        <is>
          <t>CA-NBVCPORT-001</t>
        </is>
      </c>
      <c r="B241" s="8" t="inlineStr">
        <is>
          <t>NBVC Port Hueneme NCBC</t>
        </is>
      </c>
      <c r="C241" s="11" t="inlineStr">
        <is>
          <t>Naval Base Ventura County</t>
        </is>
      </c>
      <c r="D241" s="11" t="inlineStr">
        <is>
          <t>CA</t>
        </is>
      </c>
      <c r="E241" s="11" t="inlineStr">
        <is>
          <t>Los Angeles</t>
        </is>
      </c>
      <c r="F241" s="11" t="inlineStr">
        <is>
          <t>93043</t>
        </is>
      </c>
      <c r="G241" s="11" t="inlineStr">
        <is>
          <t>Navy</t>
        </is>
      </c>
      <c r="H241" s="11" t="inlineStr">
        <is>
          <t>Digital</t>
        </is>
      </c>
      <c r="I241" s="8" t="inlineStr">
        <is>
          <t>Counter Wrap - Bowling Alley</t>
        </is>
      </c>
      <c r="J241" s="11" t="inlineStr">
        <is>
          <t>10.5'W x 3'H</t>
        </is>
      </c>
      <c r="K241" s="8" t="inlineStr">
        <is>
          <t>Your ad will appear in approved installation facilities.</t>
        </is>
      </c>
      <c r="L241" s="11" t="n">
        <v>1</v>
      </c>
      <c r="M241" s="12" t="n">
        <v>500</v>
      </c>
      <c r="N241" s="12" t="n">
        <v>1500</v>
      </c>
      <c r="O241" s="12" t="n">
        <v>3000</v>
      </c>
      <c r="P241" s="12" t="n">
        <v>6000</v>
      </c>
      <c r="Q241" s="12" t="n">
        <v>0</v>
      </c>
      <c r="R241" s="13">
        <f>IF(ISNUMBER(M241),ROUND(M241/(1-Settings!$B$2)/Settings!$B$3,0)*Settings!$B$3,"")</f>
        <v/>
      </c>
      <c r="S241" s="13">
        <f>IF(ISNUMBER(N241),ROUND(N241/(1-Settings!$B$2)/Settings!$B$3,0)*Settings!$B$3,"")</f>
        <v/>
      </c>
      <c r="T241" s="13">
        <f>IF(ISNUMBER(O241),ROUND(O241/(1-Settings!$B$2)/Settings!$B$3,0)*Settings!$B$3,"")</f>
        <v/>
      </c>
      <c r="U241" s="13">
        <f>IF(ISNUMBER(P241),ROUND(P241/(1-Settings!$B$2)/Settings!$B$3,0)*Settings!$B$3,"")</f>
        <v/>
      </c>
      <c r="V241" s="13">
        <f>IF(ISNUMBER(Q241),ROUND(Q241/(1-Settings!$B$2)/Settings!$B$3,0)*Settings!$B$3,"")</f>
        <v/>
      </c>
      <c r="W241" s="14" t="n"/>
      <c r="X241" s="14" t="n"/>
      <c r="Y241" s="11" t="inlineStr"/>
      <c r="Z241" s="11" t="inlineStr"/>
      <c r="AA241" s="8" t="inlineStr"/>
      <c r="AB241" s="8" t="inlineStr"/>
      <c r="AC241" s="11" t="inlineStr">
        <is>
          <t>MasterMilitaryOnBaseList 12.2.25 NS.xlsx</t>
        </is>
      </c>
      <c r="AD241" s="11" t="inlineStr">
        <is>
          <t>NBVC Advertising Brochure.pdf</t>
        </is>
      </c>
      <c r="AE241" s="15" t="inlineStr">
        <is>
          <t>Open in Box</t>
        </is>
      </c>
      <c r="AF241" s="15" t="inlineStr">
        <is>
          <t>Open in Box</t>
        </is>
      </c>
    </row>
    <row r="242">
      <c r="A242" s="11" t="inlineStr">
        <is>
          <t>CA-NBVCPORT-002</t>
        </is>
      </c>
      <c r="B242" s="8" t="inlineStr">
        <is>
          <t>NBVC Port Hueneme NCBC</t>
        </is>
      </c>
      <c r="C242" s="11" t="inlineStr">
        <is>
          <t>Naval Base Ventura County</t>
        </is>
      </c>
      <c r="D242" s="11" t="inlineStr">
        <is>
          <t>CA</t>
        </is>
      </c>
      <c r="E242" s="11" t="inlineStr">
        <is>
          <t>Los Angeles</t>
        </is>
      </c>
      <c r="F242" s="11" t="inlineStr">
        <is>
          <t>93043</t>
        </is>
      </c>
      <c r="G242" s="11" t="inlineStr">
        <is>
          <t>Navy</t>
        </is>
      </c>
      <c r="H242" s="11" t="inlineStr">
        <is>
          <t>Digital</t>
        </is>
      </c>
      <c r="I242" s="8" t="inlineStr">
        <is>
          <t>Digital Monitors - Slide (15 sec)</t>
        </is>
      </c>
      <c r="J242" s="11" t="inlineStr">
        <is>
          <t>1920pxW x 1080pxH (JPEG at 300 dpi)</t>
        </is>
      </c>
      <c r="K242" s="8" t="inlineStr">
        <is>
          <t>Your ad will appear on approved monitors on the installation.</t>
        </is>
      </c>
      <c r="L242" s="11" t="n">
        <v>1</v>
      </c>
      <c r="M242" s="12" t="n">
        <v>500</v>
      </c>
      <c r="N242" s="12" t="n">
        <v>1500</v>
      </c>
      <c r="O242" s="12" t="n">
        <v>3000</v>
      </c>
      <c r="P242" s="12" t="n">
        <v>6000</v>
      </c>
      <c r="Q242" s="12" t="n">
        <v>0</v>
      </c>
      <c r="R242" s="13">
        <f>IF(ISNUMBER(M242),ROUND(M242/(1-Settings!$B$2)/Settings!$B$3,0)*Settings!$B$3,"")</f>
        <v/>
      </c>
      <c r="S242" s="13">
        <f>IF(ISNUMBER(N242),ROUND(N242/(1-Settings!$B$2)/Settings!$B$3,0)*Settings!$B$3,"")</f>
        <v/>
      </c>
      <c r="T242" s="13">
        <f>IF(ISNUMBER(O242),ROUND(O242/(1-Settings!$B$2)/Settings!$B$3,0)*Settings!$B$3,"")</f>
        <v/>
      </c>
      <c r="U242" s="13">
        <f>IF(ISNUMBER(P242),ROUND(P242/(1-Settings!$B$2)/Settings!$B$3,0)*Settings!$B$3,"")</f>
        <v/>
      </c>
      <c r="V242" s="13">
        <f>IF(ISNUMBER(Q242),ROUND(Q242/(1-Settings!$B$2)/Settings!$B$3,0)*Settings!$B$3,"")</f>
        <v/>
      </c>
      <c r="W242" s="14" t="n"/>
      <c r="X242" s="14" t="n"/>
      <c r="Y242" s="11" t="inlineStr"/>
      <c r="Z242" s="11" t="inlineStr"/>
      <c r="AA242" s="8" t="inlineStr"/>
      <c r="AB242" s="8" t="inlineStr"/>
      <c r="AC242" s="11" t="inlineStr">
        <is>
          <t>MasterMilitaryOnBaseList 12.2.25 NS.xlsx</t>
        </is>
      </c>
      <c r="AD242" s="11" t="inlineStr">
        <is>
          <t>NBVC Advertising Brochure.pdf</t>
        </is>
      </c>
      <c r="AE242" s="15" t="inlineStr">
        <is>
          <t>Open in Box</t>
        </is>
      </c>
      <c r="AF242" s="15" t="inlineStr">
        <is>
          <t>Open in Box</t>
        </is>
      </c>
    </row>
    <row r="243">
      <c r="A243" s="11" t="inlineStr">
        <is>
          <t>CA-NBVCPORT-003</t>
        </is>
      </c>
      <c r="B243" s="8" t="inlineStr">
        <is>
          <t>NBVC Port Hueneme NCBC</t>
        </is>
      </c>
      <c r="C243" s="11" t="inlineStr">
        <is>
          <t>Naval Base Ventura County</t>
        </is>
      </c>
      <c r="D243" s="11" t="inlineStr">
        <is>
          <t>CA</t>
        </is>
      </c>
      <c r="E243" s="11" t="inlineStr">
        <is>
          <t>Los Angeles</t>
        </is>
      </c>
      <c r="F243" s="11" t="inlineStr">
        <is>
          <t>93043</t>
        </is>
      </c>
      <c r="G243" s="11" t="inlineStr">
        <is>
          <t>Navy</t>
        </is>
      </c>
      <c r="H243" s="11" t="inlineStr">
        <is>
          <t>Digital</t>
        </is>
      </c>
      <c r="I243" s="8" t="inlineStr">
        <is>
          <t>Digital Monitors - Video (30 sec)</t>
        </is>
      </c>
      <c r="J243" s="11" t="inlineStr">
        <is>
          <t>1920pxW x 1080pxH (MPEG-4 at 300 dpi)</t>
        </is>
      </c>
      <c r="K243" s="8" t="inlineStr">
        <is>
          <t>Your ad will appear on approved monitors on the installation.</t>
        </is>
      </c>
      <c r="L243" s="11" t="n">
        <v>1</v>
      </c>
      <c r="M243" s="12" t="n">
        <v>750</v>
      </c>
      <c r="N243" s="12" t="n">
        <v>2250</v>
      </c>
      <c r="O243" s="12" t="n">
        <v>4500</v>
      </c>
      <c r="P243" s="12" t="n">
        <v>9000</v>
      </c>
      <c r="Q243" s="12" t="n">
        <v>0</v>
      </c>
      <c r="R243" s="13">
        <f>IF(ISNUMBER(M243),ROUND(M243/(1-Settings!$B$2)/Settings!$B$3,0)*Settings!$B$3,"")</f>
        <v/>
      </c>
      <c r="S243" s="13">
        <f>IF(ISNUMBER(N243),ROUND(N243/(1-Settings!$B$2)/Settings!$B$3,0)*Settings!$B$3,"")</f>
        <v/>
      </c>
      <c r="T243" s="13">
        <f>IF(ISNUMBER(O243),ROUND(O243/(1-Settings!$B$2)/Settings!$B$3,0)*Settings!$B$3,"")</f>
        <v/>
      </c>
      <c r="U243" s="13">
        <f>IF(ISNUMBER(P243),ROUND(P243/(1-Settings!$B$2)/Settings!$B$3,0)*Settings!$B$3,"")</f>
        <v/>
      </c>
      <c r="V243" s="13">
        <f>IF(ISNUMBER(Q243),ROUND(Q243/(1-Settings!$B$2)/Settings!$B$3,0)*Settings!$B$3,"")</f>
        <v/>
      </c>
      <c r="W243" s="14" t="n"/>
      <c r="X243" s="14" t="n"/>
      <c r="Y243" s="11" t="inlineStr"/>
      <c r="Z243" s="11" t="inlineStr"/>
      <c r="AA243" s="8" t="inlineStr"/>
      <c r="AB243" s="8" t="inlineStr"/>
      <c r="AC243" s="11" t="inlineStr">
        <is>
          <t>MasterMilitaryOnBaseList 12.2.25 NS.xlsx</t>
        </is>
      </c>
      <c r="AD243" s="11" t="inlineStr">
        <is>
          <t>NBVC Advertising Brochure.pdf</t>
        </is>
      </c>
      <c r="AE243" s="15" t="inlineStr">
        <is>
          <t>Open in Box</t>
        </is>
      </c>
      <c r="AF243" s="15" t="inlineStr">
        <is>
          <t>Open in Box</t>
        </is>
      </c>
    </row>
    <row r="244">
      <c r="A244" s="11" t="inlineStr">
        <is>
          <t>CA-NBVCPORT-004</t>
        </is>
      </c>
      <c r="B244" s="8" t="inlineStr">
        <is>
          <t>NBVC Port Hueneme NCBC</t>
        </is>
      </c>
      <c r="C244" s="11" t="inlineStr">
        <is>
          <t>Naval Base Ventura County</t>
        </is>
      </c>
      <c r="D244" s="11" t="inlineStr">
        <is>
          <t>CA</t>
        </is>
      </c>
      <c r="E244" s="11" t="inlineStr">
        <is>
          <t>Los Angeles</t>
        </is>
      </c>
      <c r="F244" s="11" t="inlineStr">
        <is>
          <t>93043</t>
        </is>
      </c>
      <c r="G244" s="11" t="inlineStr">
        <is>
          <t>Navy</t>
        </is>
      </c>
      <c r="H244" s="11" t="inlineStr">
        <is>
          <t>Digital</t>
        </is>
      </c>
      <c r="I244" s="8" t="inlineStr">
        <is>
          <t>Digital Monitors - Video (60 sec)</t>
        </is>
      </c>
      <c r="J244" s="11" t="inlineStr">
        <is>
          <t>1920pxW x 1080pxH (MPEG-4 at 300 dpi)</t>
        </is>
      </c>
      <c r="K244" s="8" t="inlineStr">
        <is>
          <t>Your ad will appear on approved monitors on the installation.</t>
        </is>
      </c>
      <c r="L244" s="11" t="n">
        <v>1</v>
      </c>
      <c r="M244" s="12" t="n">
        <v>1000</v>
      </c>
      <c r="N244" s="12" t="n">
        <v>3000</v>
      </c>
      <c r="O244" s="12" t="n">
        <v>6000</v>
      </c>
      <c r="P244" s="12" t="n">
        <v>12000</v>
      </c>
      <c r="Q244" s="12" t="n">
        <v>0</v>
      </c>
      <c r="R244" s="13">
        <f>IF(ISNUMBER(M244),ROUND(M244/(1-Settings!$B$2)/Settings!$B$3,0)*Settings!$B$3,"")</f>
        <v/>
      </c>
      <c r="S244" s="13">
        <f>IF(ISNUMBER(N244),ROUND(N244/(1-Settings!$B$2)/Settings!$B$3,0)*Settings!$B$3,"")</f>
        <v/>
      </c>
      <c r="T244" s="13">
        <f>IF(ISNUMBER(O244),ROUND(O244/(1-Settings!$B$2)/Settings!$B$3,0)*Settings!$B$3,"")</f>
        <v/>
      </c>
      <c r="U244" s="13">
        <f>IF(ISNUMBER(P244),ROUND(P244/(1-Settings!$B$2)/Settings!$B$3,0)*Settings!$B$3,"")</f>
        <v/>
      </c>
      <c r="V244" s="13">
        <f>IF(ISNUMBER(Q244),ROUND(Q244/(1-Settings!$B$2)/Settings!$B$3,0)*Settings!$B$3,"")</f>
        <v/>
      </c>
      <c r="W244" s="14" t="n"/>
      <c r="X244" s="14" t="n"/>
      <c r="Y244" s="11" t="inlineStr"/>
      <c r="Z244" s="11" t="inlineStr"/>
      <c r="AA244" s="8" t="inlineStr"/>
      <c r="AB244" s="8" t="inlineStr"/>
      <c r="AC244" s="11" t="inlineStr">
        <is>
          <t>MasterMilitaryOnBaseList 12.2.25 NS.xlsx</t>
        </is>
      </c>
      <c r="AD244" s="11" t="inlineStr">
        <is>
          <t>NBVC Advertising Brochure.pdf</t>
        </is>
      </c>
      <c r="AE244" s="15" t="inlineStr">
        <is>
          <t>Open in Box</t>
        </is>
      </c>
      <c r="AF244" s="15" t="inlineStr">
        <is>
          <t>Open in Box</t>
        </is>
      </c>
    </row>
    <row r="245">
      <c r="A245" s="11" t="inlineStr">
        <is>
          <t>CA-NBVCPORT-005</t>
        </is>
      </c>
      <c r="B245" s="8" t="inlineStr">
        <is>
          <t>NBVC Port Hueneme NCBC</t>
        </is>
      </c>
      <c r="C245" s="11" t="inlineStr">
        <is>
          <t>Naval Base Ventura County</t>
        </is>
      </c>
      <c r="D245" s="11" t="inlineStr">
        <is>
          <t>CA</t>
        </is>
      </c>
      <c r="E245" s="11" t="inlineStr">
        <is>
          <t>Los Angeles</t>
        </is>
      </c>
      <c r="F245" s="11" t="inlineStr">
        <is>
          <t>93043</t>
        </is>
      </c>
      <c r="G245" s="11" t="inlineStr">
        <is>
          <t>Navy</t>
        </is>
      </c>
      <c r="H245" s="11" t="inlineStr">
        <is>
          <t>Digital</t>
        </is>
      </c>
      <c r="I245" s="8" t="inlineStr">
        <is>
          <t>Digital Newsletter</t>
        </is>
      </c>
      <c r="J245" s="11" t="inlineStr">
        <is>
          <t>2"Wx2"H</t>
        </is>
      </c>
      <c r="K245" s="8" t="inlineStr">
        <is>
          <t>Your ad will appear in the monthly FFR Highlights digital newsletter.</t>
        </is>
      </c>
      <c r="L245" s="11" t="n">
        <v>1</v>
      </c>
      <c r="M245" s="12" t="n">
        <v>500</v>
      </c>
      <c r="N245" s="12" t="n">
        <v>1500</v>
      </c>
      <c r="O245" s="12" t="n">
        <v>3000</v>
      </c>
      <c r="P245" s="12" t="n">
        <v>6000</v>
      </c>
      <c r="Q245" s="12" t="n">
        <v>0</v>
      </c>
      <c r="R245" s="13">
        <f>IF(ISNUMBER(M245),ROUND(M245/(1-Settings!$B$2)/Settings!$B$3,0)*Settings!$B$3,"")</f>
        <v/>
      </c>
      <c r="S245" s="13">
        <f>IF(ISNUMBER(N245),ROUND(N245/(1-Settings!$B$2)/Settings!$B$3,0)*Settings!$B$3,"")</f>
        <v/>
      </c>
      <c r="T245" s="13">
        <f>IF(ISNUMBER(O245),ROUND(O245/(1-Settings!$B$2)/Settings!$B$3,0)*Settings!$B$3,"")</f>
        <v/>
      </c>
      <c r="U245" s="13">
        <f>IF(ISNUMBER(P245),ROUND(P245/(1-Settings!$B$2)/Settings!$B$3,0)*Settings!$B$3,"")</f>
        <v/>
      </c>
      <c r="V245" s="13">
        <f>IF(ISNUMBER(Q245),ROUND(Q245/(1-Settings!$B$2)/Settings!$B$3,0)*Settings!$B$3,"")</f>
        <v/>
      </c>
      <c r="W245" s="14" t="n"/>
      <c r="X245" s="14" t="n"/>
      <c r="Y245" s="11" t="inlineStr"/>
      <c r="Z245" s="11" t="inlineStr"/>
      <c r="AA245" s="8" t="inlineStr"/>
      <c r="AB245" s="8" t="inlineStr"/>
      <c r="AC245" s="11" t="inlineStr">
        <is>
          <t>MasterMilitaryOnBaseList 12.2.25 NS.xlsx</t>
        </is>
      </c>
      <c r="AD245" s="11" t="inlineStr">
        <is>
          <t>NBVC Advertising Brochure.pdf</t>
        </is>
      </c>
      <c r="AE245" s="15" t="inlineStr">
        <is>
          <t>Open in Box</t>
        </is>
      </c>
      <c r="AF245" s="15" t="inlineStr">
        <is>
          <t>Open in Box</t>
        </is>
      </c>
    </row>
    <row r="246">
      <c r="A246" s="11" t="inlineStr">
        <is>
          <t>CA-NBVCPORT-006</t>
        </is>
      </c>
      <c r="B246" s="8" t="inlineStr">
        <is>
          <t>NBVC Port Hueneme NCBC</t>
        </is>
      </c>
      <c r="C246" s="11" t="inlineStr">
        <is>
          <t>Naval Base Ventura County</t>
        </is>
      </c>
      <c r="D246" s="11" t="inlineStr">
        <is>
          <t>CA</t>
        </is>
      </c>
      <c r="E246" s="11" t="inlineStr">
        <is>
          <t>Los Angeles</t>
        </is>
      </c>
      <c r="F246" s="11" t="inlineStr">
        <is>
          <t>93043</t>
        </is>
      </c>
      <c r="G246" s="11" t="inlineStr">
        <is>
          <t>Navy</t>
        </is>
      </c>
      <c r="H246" s="11" t="inlineStr">
        <is>
          <t>Digital</t>
        </is>
      </c>
      <c r="I246" s="8" t="inlineStr">
        <is>
          <t>Door Wrap - Bowling and Ticket Office</t>
        </is>
      </c>
      <c r="J246" s="11" t="inlineStr">
        <is>
          <t>82"W x 70"H</t>
        </is>
      </c>
      <c r="K246" s="8" t="inlineStr">
        <is>
          <t>Your ad will appear in approved installation facilities.</t>
        </is>
      </c>
      <c r="L246" s="11" t="n">
        <v>1</v>
      </c>
      <c r="M246" s="12" t="n">
        <v>500</v>
      </c>
      <c r="N246" s="12" t="n">
        <v>1500</v>
      </c>
      <c r="O246" s="12" t="n">
        <v>3000</v>
      </c>
      <c r="P246" s="12" t="n">
        <v>6000</v>
      </c>
      <c r="Q246" s="12" t="n">
        <v>0</v>
      </c>
      <c r="R246" s="13">
        <f>IF(ISNUMBER(M246),ROUND(M246/(1-Settings!$B$2)/Settings!$B$3,0)*Settings!$B$3,"")</f>
        <v/>
      </c>
      <c r="S246" s="13">
        <f>IF(ISNUMBER(N246),ROUND(N246/(1-Settings!$B$2)/Settings!$B$3,0)*Settings!$B$3,"")</f>
        <v/>
      </c>
      <c r="T246" s="13">
        <f>IF(ISNUMBER(O246),ROUND(O246/(1-Settings!$B$2)/Settings!$B$3,0)*Settings!$B$3,"")</f>
        <v/>
      </c>
      <c r="U246" s="13">
        <f>IF(ISNUMBER(P246),ROUND(P246/(1-Settings!$B$2)/Settings!$B$3,0)*Settings!$B$3,"")</f>
        <v/>
      </c>
      <c r="V246" s="13">
        <f>IF(ISNUMBER(Q246),ROUND(Q246/(1-Settings!$B$2)/Settings!$B$3,0)*Settings!$B$3,"")</f>
        <v/>
      </c>
      <c r="W246" s="14" t="n"/>
      <c r="X246" s="14" t="n"/>
      <c r="Y246" s="11" t="inlineStr"/>
      <c r="Z246" s="11" t="inlineStr"/>
      <c r="AA246" s="8" t="inlineStr"/>
      <c r="AB246" s="8" t="inlineStr"/>
      <c r="AC246" s="11" t="inlineStr">
        <is>
          <t>MasterMilitaryOnBaseList 12.2.25 NS.xlsx</t>
        </is>
      </c>
      <c r="AD246" s="11" t="inlineStr">
        <is>
          <t>NBVC Advertising Brochure.pdf</t>
        </is>
      </c>
      <c r="AE246" s="15" t="inlineStr">
        <is>
          <t>Open in Box</t>
        </is>
      </c>
      <c r="AF246" s="15" t="inlineStr">
        <is>
          <t>Open in Box</t>
        </is>
      </c>
    </row>
    <row r="247">
      <c r="A247" s="11" t="inlineStr">
        <is>
          <t>CA-NBVCPORT-007</t>
        </is>
      </c>
      <c r="B247" s="8" t="inlineStr">
        <is>
          <t>NBVC Port Hueneme NCBC</t>
        </is>
      </c>
      <c r="C247" s="11" t="inlineStr">
        <is>
          <t>Naval Base Ventura County</t>
        </is>
      </c>
      <c r="D247" s="11" t="inlineStr">
        <is>
          <t>CA</t>
        </is>
      </c>
      <c r="E247" s="11" t="inlineStr">
        <is>
          <t>Los Angeles</t>
        </is>
      </c>
      <c r="F247" s="11" t="inlineStr">
        <is>
          <t>93043</t>
        </is>
      </c>
      <c r="G247" s="11" t="inlineStr">
        <is>
          <t>Navy</t>
        </is>
      </c>
      <c r="H247" s="11" t="inlineStr">
        <is>
          <t>Digital</t>
        </is>
      </c>
      <c r="I247" s="8" t="inlineStr">
        <is>
          <t>Movie Theater Ad - Slide (30 sec)</t>
        </is>
      </c>
      <c r="J247" s="11" t="inlineStr">
        <is>
          <t>1920pxW x 1080pxH (JPEG at 300 dpi)</t>
        </is>
      </c>
      <c r="K247" s="8" t="inlineStr">
        <is>
          <t>Your ad will appear on the movie theater screen on the installation.</t>
        </is>
      </c>
      <c r="L247" s="11" t="n">
        <v>1</v>
      </c>
      <c r="M247" s="12" t="n">
        <v>500</v>
      </c>
      <c r="N247" s="12" t="n">
        <v>1500</v>
      </c>
      <c r="O247" s="12" t="n">
        <v>3000</v>
      </c>
      <c r="P247" s="12" t="n">
        <v>6000</v>
      </c>
      <c r="Q247" s="12" t="n">
        <v>0</v>
      </c>
      <c r="R247" s="13">
        <f>IF(ISNUMBER(M247),ROUND(M247/(1-Settings!$B$2)/Settings!$B$3,0)*Settings!$B$3,"")</f>
        <v/>
      </c>
      <c r="S247" s="13">
        <f>IF(ISNUMBER(N247),ROUND(N247/(1-Settings!$B$2)/Settings!$B$3,0)*Settings!$B$3,"")</f>
        <v/>
      </c>
      <c r="T247" s="13">
        <f>IF(ISNUMBER(O247),ROUND(O247/(1-Settings!$B$2)/Settings!$B$3,0)*Settings!$B$3,"")</f>
        <v/>
      </c>
      <c r="U247" s="13">
        <f>IF(ISNUMBER(P247),ROUND(P247/(1-Settings!$B$2)/Settings!$B$3,0)*Settings!$B$3,"")</f>
        <v/>
      </c>
      <c r="V247" s="13">
        <f>IF(ISNUMBER(Q247),ROUND(Q247/(1-Settings!$B$2)/Settings!$B$3,0)*Settings!$B$3,"")</f>
        <v/>
      </c>
      <c r="W247" s="14" t="n"/>
      <c r="X247" s="14" t="n"/>
      <c r="Y247" s="11" t="inlineStr"/>
      <c r="Z247" s="11" t="inlineStr"/>
      <c r="AA247" s="8" t="inlineStr"/>
      <c r="AB247" s="8" t="inlineStr"/>
      <c r="AC247" s="11" t="inlineStr">
        <is>
          <t>MasterMilitaryOnBaseList 12.2.25 NS.xlsx</t>
        </is>
      </c>
      <c r="AD247" s="11" t="inlineStr">
        <is>
          <t>NBVC Advertising Brochure.pdf</t>
        </is>
      </c>
      <c r="AE247" s="15" t="inlineStr">
        <is>
          <t>Open in Box</t>
        </is>
      </c>
      <c r="AF247" s="15" t="inlineStr">
        <is>
          <t>Open in Box</t>
        </is>
      </c>
    </row>
    <row r="248">
      <c r="A248" s="11" t="inlineStr">
        <is>
          <t>CA-NBVCPORT-008</t>
        </is>
      </c>
      <c r="B248" s="8" t="inlineStr">
        <is>
          <t>NBVC Port Hueneme NCBC</t>
        </is>
      </c>
      <c r="C248" s="11" t="inlineStr">
        <is>
          <t>Naval Base Ventura County</t>
        </is>
      </c>
      <c r="D248" s="11" t="inlineStr">
        <is>
          <t>CA</t>
        </is>
      </c>
      <c r="E248" s="11" t="inlineStr">
        <is>
          <t>Los Angeles</t>
        </is>
      </c>
      <c r="F248" s="11" t="inlineStr">
        <is>
          <t>93043</t>
        </is>
      </c>
      <c r="G248" s="11" t="inlineStr">
        <is>
          <t>Navy</t>
        </is>
      </c>
      <c r="H248" s="11" t="inlineStr">
        <is>
          <t>Digital</t>
        </is>
      </c>
      <c r="I248" s="8" t="inlineStr">
        <is>
          <t>Movie Theater Ad - Video (30 sec)</t>
        </is>
      </c>
      <c r="J248" s="11" t="inlineStr">
        <is>
          <t>1920pxW x 1080pxH (WMV at 300 dpi)</t>
        </is>
      </c>
      <c r="K248" s="8" t="inlineStr">
        <is>
          <t>Your ad will appear on the movie theater screen on the installation.</t>
        </is>
      </c>
      <c r="L248" s="11" t="n">
        <v>1</v>
      </c>
      <c r="M248" s="12" t="n">
        <v>500</v>
      </c>
      <c r="N248" s="12" t="n">
        <v>1500</v>
      </c>
      <c r="O248" s="12" t="n">
        <v>3000</v>
      </c>
      <c r="P248" s="12" t="n">
        <v>6000</v>
      </c>
      <c r="Q248" s="12" t="n">
        <v>0</v>
      </c>
      <c r="R248" s="13">
        <f>IF(ISNUMBER(M248),ROUND(M248/(1-Settings!$B$2)/Settings!$B$3,0)*Settings!$B$3,"")</f>
        <v/>
      </c>
      <c r="S248" s="13">
        <f>IF(ISNUMBER(N248),ROUND(N248/(1-Settings!$B$2)/Settings!$B$3,0)*Settings!$B$3,"")</f>
        <v/>
      </c>
      <c r="T248" s="13">
        <f>IF(ISNUMBER(O248),ROUND(O248/(1-Settings!$B$2)/Settings!$B$3,0)*Settings!$B$3,"")</f>
        <v/>
      </c>
      <c r="U248" s="13">
        <f>IF(ISNUMBER(P248),ROUND(P248/(1-Settings!$B$2)/Settings!$B$3,0)*Settings!$B$3,"")</f>
        <v/>
      </c>
      <c r="V248" s="13">
        <f>IF(ISNUMBER(Q248),ROUND(Q248/(1-Settings!$B$2)/Settings!$B$3,0)*Settings!$B$3,"")</f>
        <v/>
      </c>
      <c r="W248" s="14" t="n"/>
      <c r="X248" s="14" t="n"/>
      <c r="Y248" s="11" t="inlineStr"/>
      <c r="Z248" s="11" t="inlineStr"/>
      <c r="AA248" s="8" t="inlineStr"/>
      <c r="AB248" s="8" t="inlineStr"/>
      <c r="AC248" s="11" t="inlineStr">
        <is>
          <t>MasterMilitaryOnBaseList 12.2.25 NS.xlsx</t>
        </is>
      </c>
      <c r="AD248" s="11" t="inlineStr">
        <is>
          <t>NBVC Advertising Brochure.pdf</t>
        </is>
      </c>
      <c r="AE248" s="15" t="inlineStr">
        <is>
          <t>Open in Box</t>
        </is>
      </c>
      <c r="AF248" s="15" t="inlineStr">
        <is>
          <t>Open in Box</t>
        </is>
      </c>
    </row>
    <row r="249">
      <c r="A249" s="11" t="inlineStr">
        <is>
          <t>CA-NBVCPORT-009</t>
        </is>
      </c>
      <c r="B249" s="8" t="inlineStr">
        <is>
          <t>NBVC Port Hueneme NCBC</t>
        </is>
      </c>
      <c r="C249" s="11" t="inlineStr">
        <is>
          <t>Naval Base Ventura County</t>
        </is>
      </c>
      <c r="D249" s="11" t="inlineStr">
        <is>
          <t>CA</t>
        </is>
      </c>
      <c r="E249" s="11" t="inlineStr">
        <is>
          <t>Los Angeles</t>
        </is>
      </c>
      <c r="F249" s="11" t="inlineStr">
        <is>
          <t>93043</t>
        </is>
      </c>
      <c r="G249" s="11" t="inlineStr">
        <is>
          <t>Navy</t>
        </is>
      </c>
      <c r="H249" s="11" t="inlineStr">
        <is>
          <t>Digital</t>
        </is>
      </c>
      <c r="I249" s="8" t="inlineStr">
        <is>
          <t>Movie Theater Ad - Video (60 sec)</t>
        </is>
      </c>
      <c r="J249" s="11" t="inlineStr">
        <is>
          <t>1920pxW x 1080pxH (WMV at 300 dpi)</t>
        </is>
      </c>
      <c r="K249" s="8" t="inlineStr">
        <is>
          <t>Your ad will appear on the movie theater screen on the installation.</t>
        </is>
      </c>
      <c r="L249" s="11" t="n">
        <v>1</v>
      </c>
      <c r="M249" s="12" t="n">
        <v>750</v>
      </c>
      <c r="N249" s="12" t="n">
        <v>2250</v>
      </c>
      <c r="O249" s="12" t="n">
        <v>4500</v>
      </c>
      <c r="P249" s="12" t="n">
        <v>9000</v>
      </c>
      <c r="Q249" s="12" t="n">
        <v>0</v>
      </c>
      <c r="R249" s="13">
        <f>IF(ISNUMBER(M249),ROUND(M249/(1-Settings!$B$2)/Settings!$B$3,0)*Settings!$B$3,"")</f>
        <v/>
      </c>
      <c r="S249" s="13">
        <f>IF(ISNUMBER(N249),ROUND(N249/(1-Settings!$B$2)/Settings!$B$3,0)*Settings!$B$3,"")</f>
        <v/>
      </c>
      <c r="T249" s="13">
        <f>IF(ISNUMBER(O249),ROUND(O249/(1-Settings!$B$2)/Settings!$B$3,0)*Settings!$B$3,"")</f>
        <v/>
      </c>
      <c r="U249" s="13">
        <f>IF(ISNUMBER(P249),ROUND(P249/(1-Settings!$B$2)/Settings!$B$3,0)*Settings!$B$3,"")</f>
        <v/>
      </c>
      <c r="V249" s="13">
        <f>IF(ISNUMBER(Q249),ROUND(Q249/(1-Settings!$B$2)/Settings!$B$3,0)*Settings!$B$3,"")</f>
        <v/>
      </c>
      <c r="W249" s="14" t="n"/>
      <c r="X249" s="14" t="n"/>
      <c r="Y249" s="11" t="inlineStr"/>
      <c r="Z249" s="11" t="inlineStr"/>
      <c r="AA249" s="8" t="inlineStr"/>
      <c r="AB249" s="8" t="inlineStr"/>
      <c r="AC249" s="11" t="inlineStr">
        <is>
          <t>MasterMilitaryOnBaseList 12.2.25 NS.xlsx</t>
        </is>
      </c>
      <c r="AD249" s="11" t="inlineStr">
        <is>
          <t>NBVC Advertising Brochure.pdf</t>
        </is>
      </c>
      <c r="AE249" s="15" t="inlineStr">
        <is>
          <t>Open in Box</t>
        </is>
      </c>
      <c r="AF249" s="15" t="inlineStr">
        <is>
          <t>Open in Box</t>
        </is>
      </c>
    </row>
    <row r="250">
      <c r="A250" s="11" t="inlineStr">
        <is>
          <t>CA-NBVCPORT-010</t>
        </is>
      </c>
      <c r="B250" s="8" t="inlineStr">
        <is>
          <t>NBVC Port Hueneme NCBC</t>
        </is>
      </c>
      <c r="C250" s="11" t="inlineStr">
        <is>
          <t>Naval Base Ventura County</t>
        </is>
      </c>
      <c r="D250" s="11" t="inlineStr">
        <is>
          <t>CA</t>
        </is>
      </c>
      <c r="E250" s="11" t="inlineStr">
        <is>
          <t>Los Angeles</t>
        </is>
      </c>
      <c r="F250" s="11" t="inlineStr">
        <is>
          <t>93043</t>
        </is>
      </c>
      <c r="G250" s="11" t="inlineStr">
        <is>
          <t>Navy</t>
        </is>
      </c>
      <c r="H250" s="11" t="inlineStr">
        <is>
          <t>Digital</t>
        </is>
      </c>
      <c r="I250" s="8" t="inlineStr">
        <is>
          <t>Table Top Clings - Bowling Alley</t>
        </is>
      </c>
      <c r="J250" s="11" t="inlineStr">
        <is>
          <t>2'W x 4'H</t>
        </is>
      </c>
      <c r="K250" s="8" t="inlineStr">
        <is>
          <t>Your ad will appear in approved installation facilities.</t>
        </is>
      </c>
      <c r="L250" s="11" t="n">
        <v>1</v>
      </c>
      <c r="M250" s="12" t="n">
        <v>350</v>
      </c>
      <c r="N250" s="12" t="n">
        <v>1050</v>
      </c>
      <c r="O250" s="12" t="n">
        <v>2100</v>
      </c>
      <c r="P250" s="12" t="n">
        <v>4200</v>
      </c>
      <c r="Q250" s="12" t="n">
        <v>0</v>
      </c>
      <c r="R250" s="13">
        <f>IF(ISNUMBER(M250),ROUND(M250/(1-Settings!$B$2)/Settings!$B$3,0)*Settings!$B$3,"")</f>
        <v/>
      </c>
      <c r="S250" s="13">
        <f>IF(ISNUMBER(N250),ROUND(N250/(1-Settings!$B$2)/Settings!$B$3,0)*Settings!$B$3,"")</f>
        <v/>
      </c>
      <c r="T250" s="13">
        <f>IF(ISNUMBER(O250),ROUND(O250/(1-Settings!$B$2)/Settings!$B$3,0)*Settings!$B$3,"")</f>
        <v/>
      </c>
      <c r="U250" s="13">
        <f>IF(ISNUMBER(P250),ROUND(P250/(1-Settings!$B$2)/Settings!$B$3,0)*Settings!$B$3,"")</f>
        <v/>
      </c>
      <c r="V250" s="13">
        <f>IF(ISNUMBER(Q250),ROUND(Q250/(1-Settings!$B$2)/Settings!$B$3,0)*Settings!$B$3,"")</f>
        <v/>
      </c>
      <c r="W250" s="14" t="n"/>
      <c r="X250" s="14" t="n"/>
      <c r="Y250" s="11" t="inlineStr"/>
      <c r="Z250" s="11" t="inlineStr"/>
      <c r="AA250" s="8" t="inlineStr"/>
      <c r="AB250" s="8" t="inlineStr"/>
      <c r="AC250" s="11" t="inlineStr">
        <is>
          <t>MasterMilitaryOnBaseList 12.2.25 NS.xlsx</t>
        </is>
      </c>
      <c r="AD250" s="11" t="inlineStr">
        <is>
          <t>NBVC Advertising Brochure.pdf</t>
        </is>
      </c>
      <c r="AE250" s="15" t="inlineStr">
        <is>
          <t>Open in Box</t>
        </is>
      </c>
      <c r="AF250" s="15" t="inlineStr">
        <is>
          <t>Open in Box</t>
        </is>
      </c>
    </row>
    <row r="251">
      <c r="A251" s="11" t="inlineStr">
        <is>
          <t>CA-NBVCPORT-011</t>
        </is>
      </c>
      <c r="B251" s="8" t="inlineStr">
        <is>
          <t>NBVC Port Hueneme NCBC</t>
        </is>
      </c>
      <c r="C251" s="11" t="inlineStr">
        <is>
          <t>Naval Base Ventura County</t>
        </is>
      </c>
      <c r="D251" s="11" t="inlineStr">
        <is>
          <t>CA</t>
        </is>
      </c>
      <c r="E251" s="11" t="inlineStr">
        <is>
          <t>Los Angeles</t>
        </is>
      </c>
      <c r="F251" s="11" t="inlineStr">
        <is>
          <t>93043</t>
        </is>
      </c>
      <c r="G251" s="11" t="inlineStr">
        <is>
          <t>Navy</t>
        </is>
      </c>
      <c r="H251" s="11" t="inlineStr">
        <is>
          <t>Digital</t>
        </is>
      </c>
      <c r="I251" s="8" t="inlineStr">
        <is>
          <t>Wall Wrap - Liberty Center Video Game Wall</t>
        </is>
      </c>
      <c r="J251" s="11" t="inlineStr">
        <is>
          <t>8' x 6'</t>
        </is>
      </c>
      <c r="K251" s="8" t="inlineStr">
        <is>
          <t>Your ad will appear in approved installation facilities.</t>
        </is>
      </c>
      <c r="L251" s="11" t="n">
        <v>1</v>
      </c>
      <c r="M251" s="12" t="n">
        <v>525</v>
      </c>
      <c r="N251" s="12" t="n">
        <v>1575</v>
      </c>
      <c r="O251" s="12" t="n">
        <v>3150</v>
      </c>
      <c r="P251" s="12" t="n">
        <v>6300</v>
      </c>
      <c r="Q251" s="12" t="n"/>
      <c r="R251" s="13">
        <f>IF(ISNUMBER(M251),ROUND(M251/(1-Settings!$B$2)/Settings!$B$3,0)*Settings!$B$3,"")</f>
        <v/>
      </c>
      <c r="S251" s="13">
        <f>IF(ISNUMBER(N251),ROUND(N251/(1-Settings!$B$2)/Settings!$B$3,0)*Settings!$B$3,"")</f>
        <v/>
      </c>
      <c r="T251" s="13">
        <f>IF(ISNUMBER(O251),ROUND(O251/(1-Settings!$B$2)/Settings!$B$3,0)*Settings!$B$3,"")</f>
        <v/>
      </c>
      <c r="U251" s="13">
        <f>IF(ISNUMBER(P251),ROUND(P251/(1-Settings!$B$2)/Settings!$B$3,0)*Settings!$B$3,"")</f>
        <v/>
      </c>
      <c r="V251" s="13">
        <f>IF(ISNUMBER(Q251),ROUND(Q251/(1-Settings!$B$2)/Settings!$B$3,0)*Settings!$B$3,"")</f>
        <v/>
      </c>
      <c r="W251" s="14" t="n"/>
      <c r="X251" s="14" t="n"/>
      <c r="Y251" s="11" t="inlineStr"/>
      <c r="Z251" s="11" t="inlineStr"/>
      <c r="AA251" s="8" t="inlineStr"/>
      <c r="AB251" s="8" t="inlineStr"/>
      <c r="AC251" s="11" t="inlineStr">
        <is>
          <t>MasterMilitaryOnBaseList 12.2.25 NS.xlsx</t>
        </is>
      </c>
      <c r="AD251" s="11" t="inlineStr">
        <is>
          <t>NBVC Advertising Brochure.pdf</t>
        </is>
      </c>
      <c r="AE251" s="15" t="inlineStr">
        <is>
          <t>Open in Box</t>
        </is>
      </c>
      <c r="AF251" s="15" t="inlineStr">
        <is>
          <t>Open in Box</t>
        </is>
      </c>
    </row>
    <row r="252">
      <c r="A252" s="11" t="inlineStr">
        <is>
          <t>CA-NBVCPORT-012</t>
        </is>
      </c>
      <c r="B252" s="8" t="inlineStr">
        <is>
          <t>NBVC Port Hueneme NCBC</t>
        </is>
      </c>
      <c r="C252" s="11" t="inlineStr">
        <is>
          <t>Naval Base Ventura County</t>
        </is>
      </c>
      <c r="D252" s="11" t="inlineStr">
        <is>
          <t>CA</t>
        </is>
      </c>
      <c r="E252" s="11" t="inlineStr">
        <is>
          <t>Los Angeles</t>
        </is>
      </c>
      <c r="F252" s="11" t="inlineStr">
        <is>
          <t>93043</t>
        </is>
      </c>
      <c r="G252" s="11" t="inlineStr">
        <is>
          <t>Navy</t>
        </is>
      </c>
      <c r="H252" s="11" t="inlineStr">
        <is>
          <t>Digital</t>
        </is>
      </c>
      <c r="I252" s="8" t="inlineStr">
        <is>
          <t>Wall Wrap - Movie Theater Entrance Doors</t>
        </is>
      </c>
      <c r="J252" s="11" t="inlineStr">
        <is>
          <t>82" x 67"</t>
        </is>
      </c>
      <c r="K252" s="8" t="inlineStr">
        <is>
          <t>Your ad will appear in approved installation facilities.</t>
        </is>
      </c>
      <c r="L252" s="11" t="n">
        <v>1</v>
      </c>
      <c r="M252" s="12" t="n">
        <v>425</v>
      </c>
      <c r="N252" s="12" t="n">
        <v>1275</v>
      </c>
      <c r="O252" s="12" t="n">
        <v>2550</v>
      </c>
      <c r="P252" s="12" t="n">
        <v>5100</v>
      </c>
      <c r="Q252" s="12" t="n">
        <v>0</v>
      </c>
      <c r="R252" s="13">
        <f>IF(ISNUMBER(M252),ROUND(M252/(1-Settings!$B$2)/Settings!$B$3,0)*Settings!$B$3,"")</f>
        <v/>
      </c>
      <c r="S252" s="13">
        <f>IF(ISNUMBER(N252),ROUND(N252/(1-Settings!$B$2)/Settings!$B$3,0)*Settings!$B$3,"")</f>
        <v/>
      </c>
      <c r="T252" s="13">
        <f>IF(ISNUMBER(O252),ROUND(O252/(1-Settings!$B$2)/Settings!$B$3,0)*Settings!$B$3,"")</f>
        <v/>
      </c>
      <c r="U252" s="13">
        <f>IF(ISNUMBER(P252),ROUND(P252/(1-Settings!$B$2)/Settings!$B$3,0)*Settings!$B$3,"")</f>
        <v/>
      </c>
      <c r="V252" s="13">
        <f>IF(ISNUMBER(Q252),ROUND(Q252/(1-Settings!$B$2)/Settings!$B$3,0)*Settings!$B$3,"")</f>
        <v/>
      </c>
      <c r="W252" s="14" t="n"/>
      <c r="X252" s="14" t="n"/>
      <c r="Y252" s="11" t="inlineStr"/>
      <c r="Z252" s="11" t="inlineStr"/>
      <c r="AA252" s="8" t="inlineStr"/>
      <c r="AB252" s="8" t="inlineStr"/>
      <c r="AC252" s="11" t="inlineStr">
        <is>
          <t>MasterMilitaryOnBaseList 12.2.25 NS.xlsx</t>
        </is>
      </c>
      <c r="AD252" s="11" t="inlineStr">
        <is>
          <t>NBVC Advertising Brochure.pdf</t>
        </is>
      </c>
      <c r="AE252" s="15" t="inlineStr">
        <is>
          <t>Open in Box</t>
        </is>
      </c>
      <c r="AF252" s="15" t="inlineStr">
        <is>
          <t>Open in Box</t>
        </is>
      </c>
    </row>
    <row r="253">
      <c r="A253" s="11" t="inlineStr">
        <is>
          <t>CA-NBVCPORT-013</t>
        </is>
      </c>
      <c r="B253" s="8" t="inlineStr">
        <is>
          <t>NBVC Port Hueneme NCBC</t>
        </is>
      </c>
      <c r="C253" s="11" t="inlineStr">
        <is>
          <t>Naval Base Ventura County</t>
        </is>
      </c>
      <c r="D253" s="11" t="inlineStr">
        <is>
          <t>CA</t>
        </is>
      </c>
      <c r="E253" s="11" t="inlineStr">
        <is>
          <t>Los Angeles</t>
        </is>
      </c>
      <c r="F253" s="11" t="inlineStr">
        <is>
          <t>93043</t>
        </is>
      </c>
      <c r="G253" s="11" t="inlineStr">
        <is>
          <t>Navy</t>
        </is>
      </c>
      <c r="H253" s="11" t="inlineStr">
        <is>
          <t>Digital</t>
        </is>
      </c>
      <c r="I253" s="8" t="inlineStr">
        <is>
          <t>Wall Wrap - Movie Theater Entrance Steps</t>
        </is>
      </c>
      <c r="J253" s="11" t="inlineStr">
        <is>
          <t>5' x 30'</t>
        </is>
      </c>
      <c r="K253" s="8" t="inlineStr">
        <is>
          <t>Your ad will appear in approved installation facilities.</t>
        </is>
      </c>
      <c r="L253" s="11" t="n">
        <v>1</v>
      </c>
      <c r="M253" s="12" t="n">
        <v>1800</v>
      </c>
      <c r="N253" s="12" t="n">
        <v>5400</v>
      </c>
      <c r="O253" s="12" t="n">
        <v>10800</v>
      </c>
      <c r="P253" s="12" t="n">
        <v>21600</v>
      </c>
      <c r="Q253" s="12" t="n">
        <v>0</v>
      </c>
      <c r="R253" s="13">
        <f>IF(ISNUMBER(M253),ROUND(M253/(1-Settings!$B$2)/Settings!$B$3,0)*Settings!$B$3,"")</f>
        <v/>
      </c>
      <c r="S253" s="13">
        <f>IF(ISNUMBER(N253),ROUND(N253/(1-Settings!$B$2)/Settings!$B$3,0)*Settings!$B$3,"")</f>
        <v/>
      </c>
      <c r="T253" s="13">
        <f>IF(ISNUMBER(O253),ROUND(O253/(1-Settings!$B$2)/Settings!$B$3,0)*Settings!$B$3,"")</f>
        <v/>
      </c>
      <c r="U253" s="13">
        <f>IF(ISNUMBER(P253),ROUND(P253/(1-Settings!$B$2)/Settings!$B$3,0)*Settings!$B$3,"")</f>
        <v/>
      </c>
      <c r="V253" s="13">
        <f>IF(ISNUMBER(Q253),ROUND(Q253/(1-Settings!$B$2)/Settings!$B$3,0)*Settings!$B$3,"")</f>
        <v/>
      </c>
      <c r="W253" s="14" t="n"/>
      <c r="X253" s="14" t="n"/>
      <c r="Y253" s="11" t="inlineStr"/>
      <c r="Z253" s="11" t="inlineStr"/>
      <c r="AA253" s="8" t="inlineStr"/>
      <c r="AB253" s="8" t="inlineStr"/>
      <c r="AC253" s="11" t="inlineStr">
        <is>
          <t>MasterMilitaryOnBaseList 12.2.25 NS.xlsx</t>
        </is>
      </c>
      <c r="AD253" s="11" t="inlineStr">
        <is>
          <t>NBVC Advertising Brochure.pdf</t>
        </is>
      </c>
      <c r="AE253" s="15" t="inlineStr">
        <is>
          <t>Open in Box</t>
        </is>
      </c>
      <c r="AF253" s="15" t="inlineStr">
        <is>
          <t>Open in Box</t>
        </is>
      </c>
    </row>
    <row r="254">
      <c r="A254" s="11" t="inlineStr">
        <is>
          <t>CA-NBVCPORT-014</t>
        </is>
      </c>
      <c r="B254" s="8" t="inlineStr">
        <is>
          <t>NBVC Port Hueneme NCBC</t>
        </is>
      </c>
      <c r="C254" s="11" t="inlineStr">
        <is>
          <t>Naval Base Ventura County</t>
        </is>
      </c>
      <c r="D254" s="11" t="inlineStr">
        <is>
          <t>CA</t>
        </is>
      </c>
      <c r="E254" s="11" t="inlineStr">
        <is>
          <t>Los Angeles</t>
        </is>
      </c>
      <c r="F254" s="11" t="inlineStr">
        <is>
          <t>93043</t>
        </is>
      </c>
      <c r="G254" s="11" t="inlineStr">
        <is>
          <t>Navy</t>
        </is>
      </c>
      <c r="H254" s="11" t="inlineStr">
        <is>
          <t>Digital</t>
        </is>
      </c>
      <c r="I254" s="8" t="inlineStr">
        <is>
          <t>Wall Wrap - Point Mugu Gym TV Wall</t>
        </is>
      </c>
      <c r="J254" s="11" t="inlineStr">
        <is>
          <t>4' x 14'</t>
        </is>
      </c>
      <c r="K254" s="8" t="inlineStr">
        <is>
          <t>Your ad will appear in approved installation facilities.</t>
        </is>
      </c>
      <c r="L254" s="11" t="n">
        <v>1</v>
      </c>
      <c r="M254" s="12" t="n">
        <v>625</v>
      </c>
      <c r="N254" s="12" t="n">
        <v>1875</v>
      </c>
      <c r="O254" s="12" t="n">
        <v>3750</v>
      </c>
      <c r="P254" s="12" t="n">
        <v>7500</v>
      </c>
      <c r="Q254" s="12" t="n"/>
      <c r="R254" s="13">
        <f>IF(ISNUMBER(M254),ROUND(M254/(1-Settings!$B$2)/Settings!$B$3,0)*Settings!$B$3,"")</f>
        <v/>
      </c>
      <c r="S254" s="13">
        <f>IF(ISNUMBER(N254),ROUND(N254/(1-Settings!$B$2)/Settings!$B$3,0)*Settings!$B$3,"")</f>
        <v/>
      </c>
      <c r="T254" s="13">
        <f>IF(ISNUMBER(O254),ROUND(O254/(1-Settings!$B$2)/Settings!$B$3,0)*Settings!$B$3,"")</f>
        <v/>
      </c>
      <c r="U254" s="13">
        <f>IF(ISNUMBER(P254),ROUND(P254/(1-Settings!$B$2)/Settings!$B$3,0)*Settings!$B$3,"")</f>
        <v/>
      </c>
      <c r="V254" s="13">
        <f>IF(ISNUMBER(Q254),ROUND(Q254/(1-Settings!$B$2)/Settings!$B$3,0)*Settings!$B$3,"")</f>
        <v/>
      </c>
      <c r="W254" s="14" t="n"/>
      <c r="X254" s="14" t="n"/>
      <c r="Y254" s="11" t="inlineStr"/>
      <c r="Z254" s="11" t="inlineStr"/>
      <c r="AA254" s="8" t="inlineStr"/>
      <c r="AB254" s="8" t="inlineStr"/>
      <c r="AC254" s="11" t="inlineStr">
        <is>
          <t>MasterMilitaryOnBaseList 12.2.25 NS.xlsx</t>
        </is>
      </c>
      <c r="AD254" s="11" t="inlineStr">
        <is>
          <t>NBVC Advertising Brochure.pdf</t>
        </is>
      </c>
      <c r="AE254" s="15" t="inlineStr">
        <is>
          <t>Open in Box</t>
        </is>
      </c>
      <c r="AF254" s="15" t="inlineStr">
        <is>
          <t>Open in Box</t>
        </is>
      </c>
    </row>
    <row r="255">
      <c r="A255" s="11" t="inlineStr">
        <is>
          <t>CA-NBVCPORT-018</t>
        </is>
      </c>
      <c r="B255" s="8" t="inlineStr">
        <is>
          <t>NBVC Port Hueneme NCBC</t>
        </is>
      </c>
      <c r="C255" s="11" t="inlineStr">
        <is>
          <t>Naval Base Ventura County</t>
        </is>
      </c>
      <c r="D255" s="11" t="inlineStr">
        <is>
          <t>CA</t>
        </is>
      </c>
      <c r="E255" s="11" t="inlineStr">
        <is>
          <t>Los Angeles</t>
        </is>
      </c>
      <c r="F255" s="11" t="inlineStr">
        <is>
          <t>93043</t>
        </is>
      </c>
      <c r="G255" s="11" t="inlineStr">
        <is>
          <t>Navy</t>
        </is>
      </c>
      <c r="H255" s="11" t="inlineStr">
        <is>
          <t>Large Format</t>
        </is>
      </c>
      <c r="I255" s="8" t="inlineStr">
        <is>
          <t>Counter Wrap - Flightline Café</t>
        </is>
      </c>
      <c r="J255" s="11" t="inlineStr">
        <is>
          <t>29" x 25'</t>
        </is>
      </c>
      <c r="K255" s="8" t="inlineStr">
        <is>
          <t>Your ad will appear in approved installation facilities.</t>
        </is>
      </c>
      <c r="L255" s="11" t="n">
        <v>1</v>
      </c>
      <c r="M255" s="12" t="n">
        <v>675</v>
      </c>
      <c r="N255" s="12" t="n">
        <v>2025</v>
      </c>
      <c r="O255" s="12" t="n">
        <v>4050</v>
      </c>
      <c r="P255" s="12" t="n">
        <v>8100</v>
      </c>
      <c r="Q255" s="12" t="n"/>
      <c r="R255" s="13">
        <f>IF(ISNUMBER(M255),ROUND(M255/(1-Settings!$B$2)/Settings!$B$3,0)*Settings!$B$3,"")</f>
        <v/>
      </c>
      <c r="S255" s="13">
        <f>IF(ISNUMBER(N255),ROUND(N255/(1-Settings!$B$2)/Settings!$B$3,0)*Settings!$B$3,"")</f>
        <v/>
      </c>
      <c r="T255" s="13">
        <f>IF(ISNUMBER(O255),ROUND(O255/(1-Settings!$B$2)/Settings!$B$3,0)*Settings!$B$3,"")</f>
        <v/>
      </c>
      <c r="U255" s="13">
        <f>IF(ISNUMBER(P255),ROUND(P255/(1-Settings!$B$2)/Settings!$B$3,0)*Settings!$B$3,"")</f>
        <v/>
      </c>
      <c r="V255" s="13">
        <f>IF(ISNUMBER(Q255),ROUND(Q255/(1-Settings!$B$2)/Settings!$B$3,0)*Settings!$B$3,"")</f>
        <v/>
      </c>
      <c r="W255" s="14" t="n"/>
      <c r="X255" s="14" t="n"/>
      <c r="Y255" s="11" t="inlineStr"/>
      <c r="Z255" s="11" t="inlineStr"/>
      <c r="AA255" s="8" t="inlineStr"/>
      <c r="AB255" s="8" t="inlineStr"/>
      <c r="AC255" s="11" t="inlineStr">
        <is>
          <t>MasterMilitaryOnBaseList 12.2.25 NS.xlsx</t>
        </is>
      </c>
      <c r="AD255" s="11" t="inlineStr">
        <is>
          <t>NBVC Advertising Brochure.pdf</t>
        </is>
      </c>
      <c r="AE255" s="15" t="inlineStr">
        <is>
          <t>Open in Box</t>
        </is>
      </c>
      <c r="AF255" s="15" t="inlineStr">
        <is>
          <t>Open in Box</t>
        </is>
      </c>
    </row>
    <row r="256">
      <c r="A256" s="11" t="inlineStr">
        <is>
          <t>CA-NBVCPORT-019</t>
        </is>
      </c>
      <c r="B256" s="8" t="inlineStr">
        <is>
          <t>NBVC Port Hueneme NCBC</t>
        </is>
      </c>
      <c r="C256" s="11" t="inlineStr">
        <is>
          <t>Naval Base Ventura County</t>
        </is>
      </c>
      <c r="D256" s="11" t="inlineStr">
        <is>
          <t>CA</t>
        </is>
      </c>
      <c r="E256" s="11" t="inlineStr">
        <is>
          <t>Los Angeles</t>
        </is>
      </c>
      <c r="F256" s="11" t="inlineStr">
        <is>
          <t>93043</t>
        </is>
      </c>
      <c r="G256" s="11" t="inlineStr">
        <is>
          <t>Navy</t>
        </is>
      </c>
      <c r="H256" s="11" t="inlineStr">
        <is>
          <t>Large Format</t>
        </is>
      </c>
      <c r="I256" s="8" t="inlineStr">
        <is>
          <t>Counter Wrap - Golf Course Bar</t>
        </is>
      </c>
      <c r="J256" s="11" t="inlineStr">
        <is>
          <t>39" x 12'</t>
        </is>
      </c>
      <c r="K256" s="8" t="inlineStr">
        <is>
          <t>Your ad will appear in approved installation facilities.</t>
        </is>
      </c>
      <c r="L256" s="11" t="n">
        <v>1</v>
      </c>
      <c r="M256" s="12" t="n">
        <v>425</v>
      </c>
      <c r="N256" s="12" t="n">
        <v>1275</v>
      </c>
      <c r="O256" s="12" t="n">
        <v>2550</v>
      </c>
      <c r="P256" s="12" t="n">
        <v>5100</v>
      </c>
      <c r="Q256" s="12" t="n">
        <v>0</v>
      </c>
      <c r="R256" s="13">
        <f>IF(ISNUMBER(M256),ROUND(M256/(1-Settings!$B$2)/Settings!$B$3,0)*Settings!$B$3,"")</f>
        <v/>
      </c>
      <c r="S256" s="13">
        <f>IF(ISNUMBER(N256),ROUND(N256/(1-Settings!$B$2)/Settings!$B$3,0)*Settings!$B$3,"")</f>
        <v/>
      </c>
      <c r="T256" s="13">
        <f>IF(ISNUMBER(O256),ROUND(O256/(1-Settings!$B$2)/Settings!$B$3,0)*Settings!$B$3,"")</f>
        <v/>
      </c>
      <c r="U256" s="13">
        <f>IF(ISNUMBER(P256),ROUND(P256/(1-Settings!$B$2)/Settings!$B$3,0)*Settings!$B$3,"")</f>
        <v/>
      </c>
      <c r="V256" s="13">
        <f>IF(ISNUMBER(Q256),ROUND(Q256/(1-Settings!$B$2)/Settings!$B$3,0)*Settings!$B$3,"")</f>
        <v/>
      </c>
      <c r="W256" s="14" t="n"/>
      <c r="X256" s="14" t="n"/>
      <c r="Y256" s="11" t="inlineStr"/>
      <c r="Z256" s="11" t="inlineStr"/>
      <c r="AA256" s="8" t="inlineStr"/>
      <c r="AB256" s="8" t="inlineStr"/>
      <c r="AC256" s="11" t="inlineStr">
        <is>
          <t>MasterMilitaryOnBaseList 12.2.25 NS.xlsx</t>
        </is>
      </c>
      <c r="AD256" s="11" t="inlineStr">
        <is>
          <t>NBVC Advertising Brochure.pdf</t>
        </is>
      </c>
      <c r="AE256" s="15" t="inlineStr">
        <is>
          <t>Open in Box</t>
        </is>
      </c>
      <c r="AF256" s="15" t="inlineStr">
        <is>
          <t>Open in Box</t>
        </is>
      </c>
    </row>
    <row r="257">
      <c r="A257" s="11" t="inlineStr">
        <is>
          <t>CA-NBVCPORT-020</t>
        </is>
      </c>
      <c r="B257" s="8" t="inlineStr">
        <is>
          <t>NBVC Port Hueneme NCBC</t>
        </is>
      </c>
      <c r="C257" s="11" t="inlineStr">
        <is>
          <t>Naval Base Ventura County</t>
        </is>
      </c>
      <c r="D257" s="11" t="inlineStr">
        <is>
          <t>CA</t>
        </is>
      </c>
      <c r="E257" s="11" t="inlineStr">
        <is>
          <t>Los Angeles</t>
        </is>
      </c>
      <c r="F257" s="11" t="inlineStr">
        <is>
          <t>93043</t>
        </is>
      </c>
      <c r="G257" s="11" t="inlineStr">
        <is>
          <t>Navy</t>
        </is>
      </c>
      <c r="H257" s="11" t="inlineStr">
        <is>
          <t>Large Format</t>
        </is>
      </c>
      <c r="I257" s="8" t="inlineStr">
        <is>
          <t>Counter Wrap - Golf Course Driving Range</t>
        </is>
      </c>
      <c r="J257" s="11" t="inlineStr">
        <is>
          <t>100" x 118"</t>
        </is>
      </c>
      <c r="K257" s="8" t="inlineStr">
        <is>
          <t>Your ad will appear in approved installation facilities.</t>
        </is>
      </c>
      <c r="L257" s="11" t="n">
        <v>1</v>
      </c>
      <c r="M257" s="12" t="n">
        <v>2500</v>
      </c>
      <c r="N257" s="12" t="n">
        <v>7500</v>
      </c>
      <c r="O257" s="12" t="n">
        <v>15000</v>
      </c>
      <c r="P257" s="12" t="n">
        <v>30000</v>
      </c>
      <c r="Q257" s="12" t="n">
        <v>0</v>
      </c>
      <c r="R257" s="13">
        <f>IF(ISNUMBER(M257),ROUND(M257/(1-Settings!$B$2)/Settings!$B$3,0)*Settings!$B$3,"")</f>
        <v/>
      </c>
      <c r="S257" s="13">
        <f>IF(ISNUMBER(N257),ROUND(N257/(1-Settings!$B$2)/Settings!$B$3,0)*Settings!$B$3,"")</f>
        <v/>
      </c>
      <c r="T257" s="13">
        <f>IF(ISNUMBER(O257),ROUND(O257/(1-Settings!$B$2)/Settings!$B$3,0)*Settings!$B$3,"")</f>
        <v/>
      </c>
      <c r="U257" s="13">
        <f>IF(ISNUMBER(P257),ROUND(P257/(1-Settings!$B$2)/Settings!$B$3,0)*Settings!$B$3,"")</f>
        <v/>
      </c>
      <c r="V257" s="13">
        <f>IF(ISNUMBER(Q257),ROUND(Q257/(1-Settings!$B$2)/Settings!$B$3,0)*Settings!$B$3,"")</f>
        <v/>
      </c>
      <c r="W257" s="14" t="n"/>
      <c r="X257" s="14" t="n"/>
      <c r="Y257" s="11" t="inlineStr"/>
      <c r="Z257" s="11" t="inlineStr"/>
      <c r="AA257" s="8" t="inlineStr"/>
      <c r="AB257" s="8" t="inlineStr"/>
      <c r="AC257" s="11" t="inlineStr">
        <is>
          <t>MasterMilitaryOnBaseList 12.2.25 NS.xlsx</t>
        </is>
      </c>
      <c r="AD257" s="11" t="inlineStr">
        <is>
          <t>NBVC Advertising Brochure.pdf</t>
        </is>
      </c>
      <c r="AE257" s="15" t="inlineStr">
        <is>
          <t>Open in Box</t>
        </is>
      </c>
      <c r="AF257" s="15" t="inlineStr">
        <is>
          <t>Open in Box</t>
        </is>
      </c>
    </row>
    <row r="258">
      <c r="A258" s="11" t="inlineStr">
        <is>
          <t>CA-NBVCPORT-021</t>
        </is>
      </c>
      <c r="B258" s="8" t="inlineStr">
        <is>
          <t>NBVC Port Hueneme NCBC</t>
        </is>
      </c>
      <c r="C258" s="11" t="inlineStr">
        <is>
          <t>Naval Base Ventura County</t>
        </is>
      </c>
      <c r="D258" s="11" t="inlineStr">
        <is>
          <t>CA</t>
        </is>
      </c>
      <c r="E258" s="11" t="inlineStr">
        <is>
          <t>Los Angeles</t>
        </is>
      </c>
      <c r="F258" s="11" t="inlineStr">
        <is>
          <t>93043</t>
        </is>
      </c>
      <c r="G258" s="11" t="inlineStr">
        <is>
          <t>Navy</t>
        </is>
      </c>
      <c r="H258" s="11" t="inlineStr">
        <is>
          <t>Large Format</t>
        </is>
      </c>
      <c r="I258" s="8" t="inlineStr">
        <is>
          <t>Counter Wrap - Mugu Auto Skills</t>
        </is>
      </c>
      <c r="J258" s="11" t="inlineStr">
        <is>
          <t>23" x 13"</t>
        </is>
      </c>
      <c r="K258" s="8" t="inlineStr">
        <is>
          <t>Your ad will appear in approved installation facilities.</t>
        </is>
      </c>
      <c r="L258" s="11" t="n">
        <v>1</v>
      </c>
      <c r="M258" s="12" t="n">
        <v>500</v>
      </c>
      <c r="N258" s="12" t="n">
        <v>1500</v>
      </c>
      <c r="O258" s="12" t="n">
        <v>3000</v>
      </c>
      <c r="P258" s="12" t="n">
        <v>6000</v>
      </c>
      <c r="Q258" s="12" t="n"/>
      <c r="R258" s="13">
        <f>IF(ISNUMBER(M258),ROUND(M258/(1-Settings!$B$2)/Settings!$B$3,0)*Settings!$B$3,"")</f>
        <v/>
      </c>
      <c r="S258" s="13">
        <f>IF(ISNUMBER(N258),ROUND(N258/(1-Settings!$B$2)/Settings!$B$3,0)*Settings!$B$3,"")</f>
        <v/>
      </c>
      <c r="T258" s="13">
        <f>IF(ISNUMBER(O258),ROUND(O258/(1-Settings!$B$2)/Settings!$B$3,0)*Settings!$B$3,"")</f>
        <v/>
      </c>
      <c r="U258" s="13">
        <f>IF(ISNUMBER(P258),ROUND(P258/(1-Settings!$B$2)/Settings!$B$3,0)*Settings!$B$3,"")</f>
        <v/>
      </c>
      <c r="V258" s="13">
        <f>IF(ISNUMBER(Q258),ROUND(Q258/(1-Settings!$B$2)/Settings!$B$3,0)*Settings!$B$3,"")</f>
        <v/>
      </c>
      <c r="W258" s="14" t="n"/>
      <c r="X258" s="14" t="n"/>
      <c r="Y258" s="11" t="inlineStr"/>
      <c r="Z258" s="11" t="inlineStr"/>
      <c r="AA258" s="8" t="inlineStr"/>
      <c r="AB258" s="8" t="inlineStr"/>
      <c r="AC258" s="11" t="inlineStr">
        <is>
          <t>MasterMilitaryOnBaseList 12.2.25 NS.xlsx</t>
        </is>
      </c>
      <c r="AD258" s="11" t="inlineStr">
        <is>
          <t>NBVC Advertising Brochure.pdf</t>
        </is>
      </c>
      <c r="AE258" s="15" t="inlineStr">
        <is>
          <t>Open in Box</t>
        </is>
      </c>
      <c r="AF258" s="15" t="inlineStr">
        <is>
          <t>Open in Box</t>
        </is>
      </c>
    </row>
    <row r="259">
      <c r="A259" s="11" t="inlineStr">
        <is>
          <t>CA-NBVCPORT-022</t>
        </is>
      </c>
      <c r="B259" s="8" t="inlineStr">
        <is>
          <t>NBVC Port Hueneme NCBC</t>
        </is>
      </c>
      <c r="C259" s="11" t="inlineStr">
        <is>
          <t>Naval Base Ventura County</t>
        </is>
      </c>
      <c r="D259" s="11" t="inlineStr">
        <is>
          <t>CA</t>
        </is>
      </c>
      <c r="E259" s="11" t="inlineStr">
        <is>
          <t>Los Angeles</t>
        </is>
      </c>
      <c r="F259" s="11" t="inlineStr">
        <is>
          <t>93043</t>
        </is>
      </c>
      <c r="G259" s="11" t="inlineStr">
        <is>
          <t>Navy</t>
        </is>
      </c>
      <c r="H259" s="11" t="inlineStr">
        <is>
          <t>Large Format</t>
        </is>
      </c>
      <c r="I259" s="8" t="inlineStr">
        <is>
          <t>Counter Wrap - Mugu Auto Skills Check-in Counter</t>
        </is>
      </c>
      <c r="J259" s="11" t="inlineStr">
        <is>
          <t>7' x 18"</t>
        </is>
      </c>
      <c r="K259" s="8" t="inlineStr">
        <is>
          <t>Your ad will appear in approved installation facilities.</t>
        </is>
      </c>
      <c r="L259" s="11" t="n">
        <v>1</v>
      </c>
      <c r="M259" s="12" t="n">
        <v>1425</v>
      </c>
      <c r="N259" s="12" t="n">
        <v>4275</v>
      </c>
      <c r="O259" s="12" t="n">
        <v>8550</v>
      </c>
      <c r="P259" s="12" t="n">
        <v>17100</v>
      </c>
      <c r="Q259" s="12" t="n"/>
      <c r="R259" s="13">
        <f>IF(ISNUMBER(M259),ROUND(M259/(1-Settings!$B$2)/Settings!$B$3,0)*Settings!$B$3,"")</f>
        <v/>
      </c>
      <c r="S259" s="13">
        <f>IF(ISNUMBER(N259),ROUND(N259/(1-Settings!$B$2)/Settings!$B$3,0)*Settings!$B$3,"")</f>
        <v/>
      </c>
      <c r="T259" s="13">
        <f>IF(ISNUMBER(O259),ROUND(O259/(1-Settings!$B$2)/Settings!$B$3,0)*Settings!$B$3,"")</f>
        <v/>
      </c>
      <c r="U259" s="13">
        <f>IF(ISNUMBER(P259),ROUND(P259/(1-Settings!$B$2)/Settings!$B$3,0)*Settings!$B$3,"")</f>
        <v/>
      </c>
      <c r="V259" s="13">
        <f>IF(ISNUMBER(Q259),ROUND(Q259/(1-Settings!$B$2)/Settings!$B$3,0)*Settings!$B$3,"")</f>
        <v/>
      </c>
      <c r="W259" s="14" t="n"/>
      <c r="X259" s="14" t="n"/>
      <c r="Y259" s="11" t="inlineStr"/>
      <c r="Z259" s="11" t="inlineStr"/>
      <c r="AA259" s="8" t="inlineStr"/>
      <c r="AB259" s="8" t="inlineStr"/>
      <c r="AC259" s="11" t="inlineStr">
        <is>
          <t>MasterMilitaryOnBaseList 12.2.25 NS.xlsx</t>
        </is>
      </c>
      <c r="AD259" s="11" t="inlineStr">
        <is>
          <t>NBVC Advertising Brochure.pdf</t>
        </is>
      </c>
      <c r="AE259" s="15" t="inlineStr">
        <is>
          <t>Open in Box</t>
        </is>
      </c>
      <c r="AF259" s="15" t="inlineStr">
        <is>
          <t>Open in Box</t>
        </is>
      </c>
    </row>
    <row r="260">
      <c r="A260" s="11" t="inlineStr">
        <is>
          <t>CA-NBVCPORT-023</t>
        </is>
      </c>
      <c r="B260" s="8" t="inlineStr">
        <is>
          <t>NBVC Port Hueneme NCBC</t>
        </is>
      </c>
      <c r="C260" s="11" t="inlineStr">
        <is>
          <t>Naval Base Ventura County</t>
        </is>
      </c>
      <c r="D260" s="11" t="inlineStr">
        <is>
          <t>CA</t>
        </is>
      </c>
      <c r="E260" s="11" t="inlineStr">
        <is>
          <t>Los Angeles</t>
        </is>
      </c>
      <c r="F260" s="11" t="inlineStr">
        <is>
          <t>93043</t>
        </is>
      </c>
      <c r="G260" s="11" t="inlineStr">
        <is>
          <t>Navy</t>
        </is>
      </c>
      <c r="H260" s="11" t="inlineStr">
        <is>
          <t>Large Format</t>
        </is>
      </c>
      <c r="I260" s="8" t="inlineStr">
        <is>
          <t>Counter Wrap - Mugu Recreation Center, SurfNet</t>
        </is>
      </c>
      <c r="J260" s="11" t="inlineStr">
        <is>
          <t>34" x 90"</t>
        </is>
      </c>
      <c r="K260" s="8" t="inlineStr">
        <is>
          <t>Your ad will appear in approved installation facilities.</t>
        </is>
      </c>
      <c r="L260" s="11" t="n">
        <v>1</v>
      </c>
      <c r="M260" s="12" t="n">
        <v>500</v>
      </c>
      <c r="N260" s="12" t="n">
        <v>1500</v>
      </c>
      <c r="O260" s="12" t="n">
        <v>3000</v>
      </c>
      <c r="P260" s="12" t="n">
        <v>6000</v>
      </c>
      <c r="Q260" s="12" t="n"/>
      <c r="R260" s="13">
        <f>IF(ISNUMBER(M260),ROUND(M260/(1-Settings!$B$2)/Settings!$B$3,0)*Settings!$B$3,"")</f>
        <v/>
      </c>
      <c r="S260" s="13">
        <f>IF(ISNUMBER(N260),ROUND(N260/(1-Settings!$B$2)/Settings!$B$3,0)*Settings!$B$3,"")</f>
        <v/>
      </c>
      <c r="T260" s="13">
        <f>IF(ISNUMBER(O260),ROUND(O260/(1-Settings!$B$2)/Settings!$B$3,0)*Settings!$B$3,"")</f>
        <v/>
      </c>
      <c r="U260" s="13">
        <f>IF(ISNUMBER(P260),ROUND(P260/(1-Settings!$B$2)/Settings!$B$3,0)*Settings!$B$3,"")</f>
        <v/>
      </c>
      <c r="V260" s="13">
        <f>IF(ISNUMBER(Q260),ROUND(Q260/(1-Settings!$B$2)/Settings!$B$3,0)*Settings!$B$3,"")</f>
        <v/>
      </c>
      <c r="W260" s="14" t="n"/>
      <c r="X260" s="14" t="n"/>
      <c r="Y260" s="11" t="inlineStr"/>
      <c r="Z260" s="11" t="inlineStr"/>
      <c r="AA260" s="8" t="inlineStr"/>
      <c r="AB260" s="8" t="inlineStr"/>
      <c r="AC260" s="11" t="inlineStr">
        <is>
          <t>MasterMilitaryOnBaseList 12.2.25 NS.xlsx</t>
        </is>
      </c>
      <c r="AD260" s="11" t="inlineStr">
        <is>
          <t>NBVC Advertising Brochure.pdf</t>
        </is>
      </c>
      <c r="AE260" s="15" t="inlineStr">
        <is>
          <t>Open in Box</t>
        </is>
      </c>
      <c r="AF260" s="15" t="inlineStr">
        <is>
          <t>Open in Box</t>
        </is>
      </c>
    </row>
    <row r="261">
      <c r="A261" s="11" t="inlineStr">
        <is>
          <t>CA-NBVCPORT-024</t>
        </is>
      </c>
      <c r="B261" s="8" t="inlineStr">
        <is>
          <t>NBVC Port Hueneme NCBC</t>
        </is>
      </c>
      <c r="C261" s="11" t="inlineStr">
        <is>
          <t>Naval Base Ventura County</t>
        </is>
      </c>
      <c r="D261" s="11" t="inlineStr">
        <is>
          <t>CA</t>
        </is>
      </c>
      <c r="E261" s="11" t="inlineStr">
        <is>
          <t>Los Angeles</t>
        </is>
      </c>
      <c r="F261" s="11" t="inlineStr">
        <is>
          <t>93043</t>
        </is>
      </c>
      <c r="G261" s="11" t="inlineStr">
        <is>
          <t>Navy</t>
        </is>
      </c>
      <c r="H261" s="11" t="inlineStr">
        <is>
          <t>Large Format</t>
        </is>
      </c>
      <c r="I261" s="8" t="inlineStr">
        <is>
          <t>Counter Wrap - Point Mugu Gym Check-in Counter 1</t>
        </is>
      </c>
      <c r="J261" s="11" t="inlineStr">
        <is>
          <t>31" x 5.5'</t>
        </is>
      </c>
      <c r="K261" s="8" t="inlineStr">
        <is>
          <t>Your ad will appear in approved installation facilities.</t>
        </is>
      </c>
      <c r="L261" s="11" t="n">
        <v>1</v>
      </c>
      <c r="M261" s="12" t="n">
        <v>500</v>
      </c>
      <c r="N261" s="12" t="n">
        <v>1500</v>
      </c>
      <c r="O261" s="12" t="n">
        <v>3000</v>
      </c>
      <c r="P261" s="12" t="n">
        <v>6000</v>
      </c>
      <c r="Q261" s="12" t="n"/>
      <c r="R261" s="13">
        <f>IF(ISNUMBER(M261),ROUND(M261/(1-Settings!$B$2)/Settings!$B$3,0)*Settings!$B$3,"")</f>
        <v/>
      </c>
      <c r="S261" s="13">
        <f>IF(ISNUMBER(N261),ROUND(N261/(1-Settings!$B$2)/Settings!$B$3,0)*Settings!$B$3,"")</f>
        <v/>
      </c>
      <c r="T261" s="13">
        <f>IF(ISNUMBER(O261),ROUND(O261/(1-Settings!$B$2)/Settings!$B$3,0)*Settings!$B$3,"")</f>
        <v/>
      </c>
      <c r="U261" s="13">
        <f>IF(ISNUMBER(P261),ROUND(P261/(1-Settings!$B$2)/Settings!$B$3,0)*Settings!$B$3,"")</f>
        <v/>
      </c>
      <c r="V261" s="13">
        <f>IF(ISNUMBER(Q261),ROUND(Q261/(1-Settings!$B$2)/Settings!$B$3,0)*Settings!$B$3,"")</f>
        <v/>
      </c>
      <c r="W261" s="14" t="n"/>
      <c r="X261" s="14" t="n"/>
      <c r="Y261" s="11" t="inlineStr"/>
      <c r="Z261" s="11" t="inlineStr"/>
      <c r="AA261" s="8" t="inlineStr"/>
      <c r="AB261" s="8" t="inlineStr"/>
      <c r="AC261" s="11" t="inlineStr">
        <is>
          <t>MasterMilitaryOnBaseList 12.2.25 NS.xlsx</t>
        </is>
      </c>
      <c r="AD261" s="11" t="inlineStr">
        <is>
          <t>NBVC Advertising Brochure.pdf</t>
        </is>
      </c>
      <c r="AE261" s="15" t="inlineStr">
        <is>
          <t>Open in Box</t>
        </is>
      </c>
      <c r="AF261" s="15" t="inlineStr">
        <is>
          <t>Open in Box</t>
        </is>
      </c>
    </row>
    <row r="262">
      <c r="A262" s="11" t="inlineStr">
        <is>
          <t>CA-NBVCPORT-025</t>
        </is>
      </c>
      <c r="B262" s="8" t="inlineStr">
        <is>
          <t>NBVC Port Hueneme NCBC</t>
        </is>
      </c>
      <c r="C262" s="11" t="inlineStr">
        <is>
          <t>Naval Base Ventura County</t>
        </is>
      </c>
      <c r="D262" s="11" t="inlineStr">
        <is>
          <t>CA</t>
        </is>
      </c>
      <c r="E262" s="11" t="inlineStr">
        <is>
          <t>Los Angeles</t>
        </is>
      </c>
      <c r="F262" s="11" t="inlineStr">
        <is>
          <t>93043</t>
        </is>
      </c>
      <c r="G262" s="11" t="inlineStr">
        <is>
          <t>Navy</t>
        </is>
      </c>
      <c r="H262" s="11" t="inlineStr">
        <is>
          <t>Large Format</t>
        </is>
      </c>
      <c r="I262" s="8" t="inlineStr">
        <is>
          <t>Counter Wrap - Point Mugu Gym Check-in Counter 2</t>
        </is>
      </c>
      <c r="J262" s="11" t="inlineStr">
        <is>
          <t>31" x 8'</t>
        </is>
      </c>
      <c r="K262" s="8" t="inlineStr">
        <is>
          <t>Your ad will appear in approved installation facilities.</t>
        </is>
      </c>
      <c r="L262" s="11" t="n">
        <v>1</v>
      </c>
      <c r="M262" s="12" t="n">
        <v>500</v>
      </c>
      <c r="N262" s="12" t="n">
        <v>1500</v>
      </c>
      <c r="O262" s="12" t="n">
        <v>3000</v>
      </c>
      <c r="P262" s="12" t="n">
        <v>6000</v>
      </c>
      <c r="Q262" s="12" t="n"/>
      <c r="R262" s="13">
        <f>IF(ISNUMBER(M262),ROUND(M262/(1-Settings!$B$2)/Settings!$B$3,0)*Settings!$B$3,"")</f>
        <v/>
      </c>
      <c r="S262" s="13">
        <f>IF(ISNUMBER(N262),ROUND(N262/(1-Settings!$B$2)/Settings!$B$3,0)*Settings!$B$3,"")</f>
        <v/>
      </c>
      <c r="T262" s="13">
        <f>IF(ISNUMBER(O262),ROUND(O262/(1-Settings!$B$2)/Settings!$B$3,0)*Settings!$B$3,"")</f>
        <v/>
      </c>
      <c r="U262" s="13">
        <f>IF(ISNUMBER(P262),ROUND(P262/(1-Settings!$B$2)/Settings!$B$3,0)*Settings!$B$3,"")</f>
        <v/>
      </c>
      <c r="V262" s="13">
        <f>IF(ISNUMBER(Q262),ROUND(Q262/(1-Settings!$B$2)/Settings!$B$3,0)*Settings!$B$3,"")</f>
        <v/>
      </c>
      <c r="W262" s="14" t="n"/>
      <c r="X262" s="14" t="n"/>
      <c r="Y262" s="11" t="inlineStr"/>
      <c r="Z262" s="11" t="inlineStr"/>
      <c r="AA262" s="8" t="inlineStr"/>
      <c r="AB262" s="8" t="inlineStr"/>
      <c r="AC262" s="11" t="inlineStr">
        <is>
          <t>MasterMilitaryOnBaseList 12.2.25 NS.xlsx</t>
        </is>
      </c>
      <c r="AD262" s="11" t="inlineStr">
        <is>
          <t>NBVC Advertising Brochure.pdf</t>
        </is>
      </c>
      <c r="AE262" s="15" t="inlineStr">
        <is>
          <t>Open in Box</t>
        </is>
      </c>
      <c r="AF262" s="15" t="inlineStr">
        <is>
          <t>Open in Box</t>
        </is>
      </c>
    </row>
    <row r="263">
      <c r="A263" s="11" t="inlineStr">
        <is>
          <t>CA-NBVCPORT-026</t>
        </is>
      </c>
      <c r="B263" s="8" t="inlineStr">
        <is>
          <t>NBVC Port Hueneme NCBC</t>
        </is>
      </c>
      <c r="C263" s="11" t="inlineStr">
        <is>
          <t>Naval Base Ventura County</t>
        </is>
      </c>
      <c r="D263" s="11" t="inlineStr">
        <is>
          <t>CA</t>
        </is>
      </c>
      <c r="E263" s="11" t="inlineStr">
        <is>
          <t>Los Angeles</t>
        </is>
      </c>
      <c r="F263" s="11" t="inlineStr">
        <is>
          <t>93043</t>
        </is>
      </c>
      <c r="G263" s="11" t="inlineStr">
        <is>
          <t>Navy</t>
        </is>
      </c>
      <c r="H263" s="11" t="inlineStr">
        <is>
          <t>Large Format</t>
        </is>
      </c>
      <c r="I263" s="8" t="inlineStr">
        <is>
          <t>Counter Wrap - Pool Front Counter</t>
        </is>
      </c>
      <c r="J263" s="11" t="inlineStr">
        <is>
          <t>11' x 3'</t>
        </is>
      </c>
      <c r="K263" s="8" t="inlineStr">
        <is>
          <t>Your ad will appear in approved installation facilities.</t>
        </is>
      </c>
      <c r="L263" s="11" t="n">
        <v>1</v>
      </c>
      <c r="M263" s="12" t="n">
        <v>500</v>
      </c>
      <c r="N263" s="12" t="n">
        <v>1500</v>
      </c>
      <c r="O263" s="12" t="n">
        <v>3000</v>
      </c>
      <c r="P263" s="12" t="n">
        <v>6000</v>
      </c>
      <c r="Q263" s="12" t="n">
        <v>0</v>
      </c>
      <c r="R263" s="13">
        <f>IF(ISNUMBER(M263),ROUND(M263/(1-Settings!$B$2)/Settings!$B$3,0)*Settings!$B$3,"")</f>
        <v/>
      </c>
      <c r="S263" s="13">
        <f>IF(ISNUMBER(N263),ROUND(N263/(1-Settings!$B$2)/Settings!$B$3,0)*Settings!$B$3,"")</f>
        <v/>
      </c>
      <c r="T263" s="13">
        <f>IF(ISNUMBER(O263),ROUND(O263/(1-Settings!$B$2)/Settings!$B$3,0)*Settings!$B$3,"")</f>
        <v/>
      </c>
      <c r="U263" s="13">
        <f>IF(ISNUMBER(P263),ROUND(P263/(1-Settings!$B$2)/Settings!$B$3,0)*Settings!$B$3,"")</f>
        <v/>
      </c>
      <c r="V263" s="13">
        <f>IF(ISNUMBER(Q263),ROUND(Q263/(1-Settings!$B$2)/Settings!$B$3,0)*Settings!$B$3,"")</f>
        <v/>
      </c>
      <c r="W263" s="14" t="n"/>
      <c r="X263" s="14" t="n"/>
      <c r="Y263" s="11" t="inlineStr"/>
      <c r="Z263" s="11" t="inlineStr"/>
      <c r="AA263" s="8" t="inlineStr"/>
      <c r="AB263" s="8" t="inlineStr"/>
      <c r="AC263" s="11" t="inlineStr">
        <is>
          <t>MasterMilitaryOnBaseList 12.2.25 NS.xlsx</t>
        </is>
      </c>
      <c r="AD263" s="11" t="inlineStr">
        <is>
          <t>NBVC Advertising Brochure.pdf</t>
        </is>
      </c>
      <c r="AE263" s="15" t="inlineStr">
        <is>
          <t>Open in Box</t>
        </is>
      </c>
      <c r="AF263" s="15" t="inlineStr">
        <is>
          <t>Open in Box</t>
        </is>
      </c>
    </row>
    <row r="264">
      <c r="A264" s="11" t="inlineStr">
        <is>
          <t>CA-NBVCPORT-027</t>
        </is>
      </c>
      <c r="B264" s="8" t="inlineStr">
        <is>
          <t>NBVC Port Hueneme NCBC</t>
        </is>
      </c>
      <c r="C264" s="11" t="inlineStr">
        <is>
          <t>Naval Base Ventura County</t>
        </is>
      </c>
      <c r="D264" s="11" t="inlineStr">
        <is>
          <t>CA</t>
        </is>
      </c>
      <c r="E264" s="11" t="inlineStr">
        <is>
          <t>Los Angeles</t>
        </is>
      </c>
      <c r="F264" s="11" t="inlineStr">
        <is>
          <t>93043</t>
        </is>
      </c>
      <c r="G264" s="11" t="inlineStr">
        <is>
          <t>Navy</t>
        </is>
      </c>
      <c r="H264" s="11" t="inlineStr">
        <is>
          <t>Large Format</t>
        </is>
      </c>
      <c r="I264" s="8" t="inlineStr">
        <is>
          <t>Counter Wrap - Stinger Fields Snack Bar</t>
        </is>
      </c>
      <c r="J264" s="11" t="inlineStr">
        <is>
          <t>41" x 27"</t>
        </is>
      </c>
      <c r="K264" s="8" t="inlineStr">
        <is>
          <t>Your ad will appear in approved installation facilities.</t>
        </is>
      </c>
      <c r="L264" s="11" t="n">
        <v>1</v>
      </c>
      <c r="M264" s="12" t="n">
        <v>1025</v>
      </c>
      <c r="N264" s="12" t="n">
        <v>3075</v>
      </c>
      <c r="O264" s="12" t="n">
        <v>6150</v>
      </c>
      <c r="P264" s="12" t="n">
        <v>12300</v>
      </c>
      <c r="Q264" s="12" t="n"/>
      <c r="R264" s="13">
        <f>IF(ISNUMBER(M264),ROUND(M264/(1-Settings!$B$2)/Settings!$B$3,0)*Settings!$B$3,"")</f>
        <v/>
      </c>
      <c r="S264" s="13">
        <f>IF(ISNUMBER(N264),ROUND(N264/(1-Settings!$B$2)/Settings!$B$3,0)*Settings!$B$3,"")</f>
        <v/>
      </c>
      <c r="T264" s="13">
        <f>IF(ISNUMBER(O264),ROUND(O264/(1-Settings!$B$2)/Settings!$B$3,0)*Settings!$B$3,"")</f>
        <v/>
      </c>
      <c r="U264" s="13">
        <f>IF(ISNUMBER(P264),ROUND(P264/(1-Settings!$B$2)/Settings!$B$3,0)*Settings!$B$3,"")</f>
        <v/>
      </c>
      <c r="V264" s="13">
        <f>IF(ISNUMBER(Q264),ROUND(Q264/(1-Settings!$B$2)/Settings!$B$3,0)*Settings!$B$3,"")</f>
        <v/>
      </c>
      <c r="W264" s="14" t="n"/>
      <c r="X264" s="14" t="n"/>
      <c r="Y264" s="11" t="inlineStr"/>
      <c r="Z264" s="11" t="inlineStr"/>
      <c r="AA264" s="8" t="inlineStr"/>
      <c r="AB264" s="8" t="inlineStr"/>
      <c r="AC264" s="11" t="inlineStr">
        <is>
          <t>MasterMilitaryOnBaseList 12.2.25 NS.xlsx</t>
        </is>
      </c>
      <c r="AD264" s="11" t="inlineStr">
        <is>
          <t>NBVC Advertising Brochure.pdf</t>
        </is>
      </c>
      <c r="AE264" s="15" t="inlineStr">
        <is>
          <t>Open in Box</t>
        </is>
      </c>
      <c r="AF264" s="15" t="inlineStr">
        <is>
          <t>Open in Box</t>
        </is>
      </c>
    </row>
    <row r="265">
      <c r="A265" s="11" t="inlineStr">
        <is>
          <t>CA-NBVCPORT-028</t>
        </is>
      </c>
      <c r="B265" s="8" t="inlineStr">
        <is>
          <t>NBVC Port Hueneme NCBC</t>
        </is>
      </c>
      <c r="C265" s="11" t="inlineStr">
        <is>
          <t>Naval Base Ventura County</t>
        </is>
      </c>
      <c r="D265" s="11" t="inlineStr">
        <is>
          <t>CA</t>
        </is>
      </c>
      <c r="E265" s="11" t="inlineStr">
        <is>
          <t>Los Angeles</t>
        </is>
      </c>
      <c r="F265" s="11" t="inlineStr">
        <is>
          <t>93043</t>
        </is>
      </c>
      <c r="G265" s="11" t="inlineStr">
        <is>
          <t>Navy</t>
        </is>
      </c>
      <c r="H265" s="11" t="inlineStr">
        <is>
          <t>Large Format</t>
        </is>
      </c>
      <c r="I265" s="8" t="inlineStr">
        <is>
          <t>Counter Wrap - Ticket Office Counter</t>
        </is>
      </c>
      <c r="J265" s="11" t="inlineStr">
        <is>
          <t>41"W x 12"H</t>
        </is>
      </c>
      <c r="K265" s="8" t="inlineStr">
        <is>
          <t>Your ad will appear in approved installation facilities.</t>
        </is>
      </c>
      <c r="L265" s="11" t="n">
        <v>1</v>
      </c>
      <c r="M265" s="12" t="n">
        <v>500</v>
      </c>
      <c r="N265" s="12" t="n">
        <v>1500</v>
      </c>
      <c r="O265" s="12" t="n">
        <v>3000</v>
      </c>
      <c r="P265" s="12" t="n">
        <v>6000</v>
      </c>
      <c r="Q265" s="12" t="n">
        <v>0</v>
      </c>
      <c r="R265" s="13">
        <f>IF(ISNUMBER(M265),ROUND(M265/(1-Settings!$B$2)/Settings!$B$3,0)*Settings!$B$3,"")</f>
        <v/>
      </c>
      <c r="S265" s="13">
        <f>IF(ISNUMBER(N265),ROUND(N265/(1-Settings!$B$2)/Settings!$B$3,0)*Settings!$B$3,"")</f>
        <v/>
      </c>
      <c r="T265" s="13">
        <f>IF(ISNUMBER(O265),ROUND(O265/(1-Settings!$B$2)/Settings!$B$3,0)*Settings!$B$3,"")</f>
        <v/>
      </c>
      <c r="U265" s="13">
        <f>IF(ISNUMBER(P265),ROUND(P265/(1-Settings!$B$2)/Settings!$B$3,0)*Settings!$B$3,"")</f>
        <v/>
      </c>
      <c r="V265" s="13">
        <f>IF(ISNUMBER(Q265),ROUND(Q265/(1-Settings!$B$2)/Settings!$B$3,0)*Settings!$B$3,"")</f>
        <v/>
      </c>
      <c r="W265" s="14" t="n"/>
      <c r="X265" s="14" t="n"/>
      <c r="Y265" s="11" t="inlineStr"/>
      <c r="Z265" s="11" t="inlineStr"/>
      <c r="AA265" s="8" t="inlineStr"/>
      <c r="AB265" s="8" t="inlineStr"/>
      <c r="AC265" s="11" t="inlineStr">
        <is>
          <t>MasterMilitaryOnBaseList 12.2.25 NS.xlsx</t>
        </is>
      </c>
      <c r="AD265" s="11" t="inlineStr">
        <is>
          <t>NBVC Advertising Brochure.pdf</t>
        </is>
      </c>
      <c r="AE265" s="15" t="inlineStr">
        <is>
          <t>Open in Box</t>
        </is>
      </c>
      <c r="AF265" s="15" t="inlineStr">
        <is>
          <t>Open in Box</t>
        </is>
      </c>
    </row>
    <row r="266">
      <c r="A266" s="11" t="inlineStr">
        <is>
          <t>CA-NBVCPORT-029</t>
        </is>
      </c>
      <c r="B266" s="8" t="inlineStr">
        <is>
          <t>NBVC Port Hueneme NCBC</t>
        </is>
      </c>
      <c r="C266" s="11" t="inlineStr">
        <is>
          <t>Naval Base Ventura County</t>
        </is>
      </c>
      <c r="D266" s="11" t="inlineStr">
        <is>
          <t>CA</t>
        </is>
      </c>
      <c r="E266" s="11" t="inlineStr">
        <is>
          <t>Los Angeles</t>
        </is>
      </c>
      <c r="F266" s="11" t="inlineStr">
        <is>
          <t>93043</t>
        </is>
      </c>
      <c r="G266" s="11" t="inlineStr">
        <is>
          <t>Navy</t>
        </is>
      </c>
      <c r="H266" s="11" t="inlineStr">
        <is>
          <t>Large Format</t>
        </is>
      </c>
      <c r="I266" s="8" t="inlineStr">
        <is>
          <t>Counter Wrap - Warfield Gym Counter</t>
        </is>
      </c>
      <c r="J266" s="11" t="inlineStr">
        <is>
          <t>32" x 17"</t>
        </is>
      </c>
      <c r="K266" s="8" t="inlineStr">
        <is>
          <t>Your ad will appear in approved installation facilities.</t>
        </is>
      </c>
      <c r="L266" s="11" t="n">
        <v>1</v>
      </c>
      <c r="M266" s="12" t="n">
        <v>500</v>
      </c>
      <c r="N266" s="12" t="n">
        <v>1500</v>
      </c>
      <c r="O266" s="12" t="n">
        <v>3000</v>
      </c>
      <c r="P266" s="12" t="n">
        <v>6000</v>
      </c>
      <c r="Q266" s="12" t="n"/>
      <c r="R266" s="13">
        <f>IF(ISNUMBER(M266),ROUND(M266/(1-Settings!$B$2)/Settings!$B$3,0)*Settings!$B$3,"")</f>
        <v/>
      </c>
      <c r="S266" s="13">
        <f>IF(ISNUMBER(N266),ROUND(N266/(1-Settings!$B$2)/Settings!$B$3,0)*Settings!$B$3,"")</f>
        <v/>
      </c>
      <c r="T266" s="13">
        <f>IF(ISNUMBER(O266),ROUND(O266/(1-Settings!$B$2)/Settings!$B$3,0)*Settings!$B$3,"")</f>
        <v/>
      </c>
      <c r="U266" s="13">
        <f>IF(ISNUMBER(P266),ROUND(P266/(1-Settings!$B$2)/Settings!$B$3,0)*Settings!$B$3,"")</f>
        <v/>
      </c>
      <c r="V266" s="13">
        <f>IF(ISNUMBER(Q266),ROUND(Q266/(1-Settings!$B$2)/Settings!$B$3,0)*Settings!$B$3,"")</f>
        <v/>
      </c>
      <c r="W266" s="14" t="n"/>
      <c r="X266" s="14" t="n"/>
      <c r="Y266" s="11" t="inlineStr"/>
      <c r="Z266" s="11" t="inlineStr"/>
      <c r="AA266" s="8" t="inlineStr"/>
      <c r="AB266" s="8" t="inlineStr"/>
      <c r="AC266" s="11" t="inlineStr">
        <is>
          <t>MasterMilitaryOnBaseList 12.2.25 NS.xlsx</t>
        </is>
      </c>
      <c r="AD266" s="11" t="inlineStr">
        <is>
          <t>NBVC Advertising Brochure.pdf</t>
        </is>
      </c>
      <c r="AE266" s="15" t="inlineStr">
        <is>
          <t>Open in Box</t>
        </is>
      </c>
      <c r="AF266" s="15" t="inlineStr">
        <is>
          <t>Open in Box</t>
        </is>
      </c>
    </row>
    <row r="267">
      <c r="A267" s="11" t="inlineStr">
        <is>
          <t>CA-NBVCPORT-030</t>
        </is>
      </c>
      <c r="B267" s="8" t="inlineStr">
        <is>
          <t>NBVC Port Hueneme NCBC</t>
        </is>
      </c>
      <c r="C267" s="11" t="inlineStr">
        <is>
          <t>Naval Base Ventura County</t>
        </is>
      </c>
      <c r="D267" s="11" t="inlineStr">
        <is>
          <t>CA</t>
        </is>
      </c>
      <c r="E267" s="11" t="inlineStr">
        <is>
          <t>Los Angeles</t>
        </is>
      </c>
      <c r="F267" s="11" t="inlineStr">
        <is>
          <t>93043</t>
        </is>
      </c>
      <c r="G267" s="11" t="inlineStr">
        <is>
          <t>Navy</t>
        </is>
      </c>
      <c r="H267" s="11" t="inlineStr">
        <is>
          <t>Large Format</t>
        </is>
      </c>
      <c r="I267" s="8" t="inlineStr">
        <is>
          <t>Door Wrap - Mugu Recreation Center, SurfNet</t>
        </is>
      </c>
      <c r="J267" s="11" t="inlineStr">
        <is>
          <t>69" x 30"</t>
        </is>
      </c>
      <c r="K267" s="8" t="inlineStr">
        <is>
          <t>Your ad will appear in approved installation facilities.</t>
        </is>
      </c>
      <c r="L267" s="11" t="n">
        <v>1</v>
      </c>
      <c r="M267" s="12" t="n">
        <v>450</v>
      </c>
      <c r="N267" s="12" t="n">
        <v>1350</v>
      </c>
      <c r="O267" s="12" t="n">
        <v>2700</v>
      </c>
      <c r="P267" s="12" t="n">
        <v>5400</v>
      </c>
      <c r="Q267" s="12" t="n"/>
      <c r="R267" s="13">
        <f>IF(ISNUMBER(M267),ROUND(M267/(1-Settings!$B$2)/Settings!$B$3,0)*Settings!$B$3,"")</f>
        <v/>
      </c>
      <c r="S267" s="13">
        <f>IF(ISNUMBER(N267),ROUND(N267/(1-Settings!$B$2)/Settings!$B$3,0)*Settings!$B$3,"")</f>
        <v/>
      </c>
      <c r="T267" s="13">
        <f>IF(ISNUMBER(O267),ROUND(O267/(1-Settings!$B$2)/Settings!$B$3,0)*Settings!$B$3,"")</f>
        <v/>
      </c>
      <c r="U267" s="13">
        <f>IF(ISNUMBER(P267),ROUND(P267/(1-Settings!$B$2)/Settings!$B$3,0)*Settings!$B$3,"")</f>
        <v/>
      </c>
      <c r="V267" s="13">
        <f>IF(ISNUMBER(Q267),ROUND(Q267/(1-Settings!$B$2)/Settings!$B$3,0)*Settings!$B$3,"")</f>
        <v/>
      </c>
      <c r="W267" s="14" t="n"/>
      <c r="X267" s="14" t="n"/>
      <c r="Y267" s="11" t="inlineStr"/>
      <c r="Z267" s="11" t="inlineStr"/>
      <c r="AA267" s="8" t="inlineStr"/>
      <c r="AB267" s="8" t="inlineStr"/>
      <c r="AC267" s="11" t="inlineStr">
        <is>
          <t>MasterMilitaryOnBaseList 12.2.25 NS.xlsx</t>
        </is>
      </c>
      <c r="AD267" s="11" t="inlineStr">
        <is>
          <t>NBVC Advertising Brochure.pdf</t>
        </is>
      </c>
      <c r="AE267" s="15" t="inlineStr">
        <is>
          <t>Open in Box</t>
        </is>
      </c>
      <c r="AF267" s="15" t="inlineStr">
        <is>
          <t>Open in Box</t>
        </is>
      </c>
    </row>
    <row r="268">
      <c r="A268" s="11" t="inlineStr">
        <is>
          <t>CA-NBVCPORT-031</t>
        </is>
      </c>
      <c r="B268" s="8" t="inlineStr">
        <is>
          <t>NBVC Port Hueneme NCBC</t>
        </is>
      </c>
      <c r="C268" s="11" t="inlineStr">
        <is>
          <t>Naval Base Ventura County</t>
        </is>
      </c>
      <c r="D268" s="11" t="inlineStr">
        <is>
          <t>CA</t>
        </is>
      </c>
      <c r="E268" s="11" t="inlineStr">
        <is>
          <t>Los Angeles</t>
        </is>
      </c>
      <c r="F268" s="11" t="inlineStr">
        <is>
          <t>93043</t>
        </is>
      </c>
      <c r="G268" s="11" t="inlineStr">
        <is>
          <t>Navy</t>
        </is>
      </c>
      <c r="H268" s="11" t="inlineStr">
        <is>
          <t>Large Format</t>
        </is>
      </c>
      <c r="I268" s="8" t="inlineStr">
        <is>
          <t>Door Wrap - Pool Entrance Door</t>
        </is>
      </c>
      <c r="J268" s="11" t="inlineStr">
        <is>
          <t>19.25" x 7'</t>
        </is>
      </c>
      <c r="K268" s="8" t="inlineStr">
        <is>
          <t>Your ad will appear in approved installation facilities.</t>
        </is>
      </c>
      <c r="L268" s="11" t="n">
        <v>1</v>
      </c>
      <c r="M268" s="12" t="n">
        <v>500</v>
      </c>
      <c r="N268" s="12" t="n">
        <v>1500</v>
      </c>
      <c r="O268" s="12" t="n">
        <v>3000</v>
      </c>
      <c r="P268" s="12" t="n">
        <v>6000</v>
      </c>
      <c r="Q268" s="12" t="n">
        <v>0</v>
      </c>
      <c r="R268" s="13">
        <f>IF(ISNUMBER(M268),ROUND(M268/(1-Settings!$B$2)/Settings!$B$3,0)*Settings!$B$3,"")</f>
        <v/>
      </c>
      <c r="S268" s="13">
        <f>IF(ISNUMBER(N268),ROUND(N268/(1-Settings!$B$2)/Settings!$B$3,0)*Settings!$B$3,"")</f>
        <v/>
      </c>
      <c r="T268" s="13">
        <f>IF(ISNUMBER(O268),ROUND(O268/(1-Settings!$B$2)/Settings!$B$3,0)*Settings!$B$3,"")</f>
        <v/>
      </c>
      <c r="U268" s="13">
        <f>IF(ISNUMBER(P268),ROUND(P268/(1-Settings!$B$2)/Settings!$B$3,0)*Settings!$B$3,"")</f>
        <v/>
      </c>
      <c r="V268" s="13">
        <f>IF(ISNUMBER(Q268),ROUND(Q268/(1-Settings!$B$2)/Settings!$B$3,0)*Settings!$B$3,"")</f>
        <v/>
      </c>
      <c r="W268" s="14" t="n"/>
      <c r="X268" s="14" t="n"/>
      <c r="Y268" s="11" t="inlineStr"/>
      <c r="Z268" s="11" t="inlineStr"/>
      <c r="AA268" s="8" t="inlineStr"/>
      <c r="AB268" s="8" t="inlineStr"/>
      <c r="AC268" s="11" t="inlineStr">
        <is>
          <t>MasterMilitaryOnBaseList 12.2.25 NS.xlsx</t>
        </is>
      </c>
      <c r="AD268" s="11" t="inlineStr">
        <is>
          <t>NBVC Advertising Brochure.pdf</t>
        </is>
      </c>
      <c r="AE268" s="15" t="inlineStr">
        <is>
          <t>Open in Box</t>
        </is>
      </c>
      <c r="AF268" s="15" t="inlineStr">
        <is>
          <t>Open in Box</t>
        </is>
      </c>
    </row>
    <row r="269">
      <c r="A269" s="11" t="inlineStr">
        <is>
          <t>CA-NBVCPORT-032</t>
        </is>
      </c>
      <c r="B269" s="8" t="inlineStr">
        <is>
          <t>NBVC Port Hueneme NCBC</t>
        </is>
      </c>
      <c r="C269" s="11" t="inlineStr">
        <is>
          <t>Naval Base Ventura County</t>
        </is>
      </c>
      <c r="D269" s="11" t="inlineStr">
        <is>
          <t>CA</t>
        </is>
      </c>
      <c r="E269" s="11" t="inlineStr">
        <is>
          <t>Los Angeles</t>
        </is>
      </c>
      <c r="F269" s="11" t="inlineStr">
        <is>
          <t>93043</t>
        </is>
      </c>
      <c r="G269" s="11" t="inlineStr">
        <is>
          <t>Navy</t>
        </is>
      </c>
      <c r="H269" s="11" t="inlineStr">
        <is>
          <t>Large Format</t>
        </is>
      </c>
      <c r="I269" s="8" t="inlineStr">
        <is>
          <t>Dugout Wrap - Mugu Softball Field</t>
        </is>
      </c>
      <c r="J269" s="11" t="inlineStr">
        <is>
          <t>5' x 22"</t>
        </is>
      </c>
      <c r="K269" s="8" t="inlineStr">
        <is>
          <t>Your ad will appear in approved installation facilities.</t>
        </is>
      </c>
      <c r="L269" s="11" t="n">
        <v>1</v>
      </c>
      <c r="M269" s="12" t="n">
        <v>1200</v>
      </c>
      <c r="N269" s="12" t="n">
        <v>3600</v>
      </c>
      <c r="O269" s="12" t="n">
        <v>7200</v>
      </c>
      <c r="P269" s="12" t="n">
        <v>14400</v>
      </c>
      <c r="Q269" s="12" t="n"/>
      <c r="R269" s="13">
        <f>IF(ISNUMBER(M269),ROUND(M269/(1-Settings!$B$2)/Settings!$B$3,0)*Settings!$B$3,"")</f>
        <v/>
      </c>
      <c r="S269" s="13">
        <f>IF(ISNUMBER(N269),ROUND(N269/(1-Settings!$B$2)/Settings!$B$3,0)*Settings!$B$3,"")</f>
        <v/>
      </c>
      <c r="T269" s="13">
        <f>IF(ISNUMBER(O269),ROUND(O269/(1-Settings!$B$2)/Settings!$B$3,0)*Settings!$B$3,"")</f>
        <v/>
      </c>
      <c r="U269" s="13">
        <f>IF(ISNUMBER(P269),ROUND(P269/(1-Settings!$B$2)/Settings!$B$3,0)*Settings!$B$3,"")</f>
        <v/>
      </c>
      <c r="V269" s="13">
        <f>IF(ISNUMBER(Q269),ROUND(Q269/(1-Settings!$B$2)/Settings!$B$3,0)*Settings!$B$3,"")</f>
        <v/>
      </c>
      <c r="W269" s="14" t="n"/>
      <c r="X269" s="14" t="n"/>
      <c r="Y269" s="11" t="inlineStr"/>
      <c r="Z269" s="11" t="inlineStr"/>
      <c r="AA269" s="8" t="inlineStr"/>
      <c r="AB269" s="8" t="inlineStr"/>
      <c r="AC269" s="11" t="inlineStr">
        <is>
          <t>MasterMilitaryOnBaseList 12.2.25 NS.xlsx</t>
        </is>
      </c>
      <c r="AD269" s="11" t="inlineStr">
        <is>
          <t>NBVC Advertising Brochure.pdf</t>
        </is>
      </c>
      <c r="AE269" s="15" t="inlineStr">
        <is>
          <t>Open in Box</t>
        </is>
      </c>
      <c r="AF269" s="15" t="inlineStr">
        <is>
          <t>Open in Box</t>
        </is>
      </c>
    </row>
    <row r="270">
      <c r="A270" s="11" t="inlineStr">
        <is>
          <t>CA-NBVCPORT-033</t>
        </is>
      </c>
      <c r="B270" s="8" t="inlineStr">
        <is>
          <t>NBVC Port Hueneme NCBC</t>
        </is>
      </c>
      <c r="C270" s="11" t="inlineStr">
        <is>
          <t>Naval Base Ventura County</t>
        </is>
      </c>
      <c r="D270" s="11" t="inlineStr">
        <is>
          <t>CA</t>
        </is>
      </c>
      <c r="E270" s="11" t="inlineStr">
        <is>
          <t>Los Angeles</t>
        </is>
      </c>
      <c r="F270" s="11" t="inlineStr">
        <is>
          <t>93043</t>
        </is>
      </c>
      <c r="G270" s="11" t="inlineStr">
        <is>
          <t>Navy</t>
        </is>
      </c>
      <c r="H270" s="11" t="inlineStr">
        <is>
          <t>Large Format</t>
        </is>
      </c>
      <c r="I270" s="8" t="inlineStr">
        <is>
          <t>Net Wrap - Golf Course Driving Range Net</t>
        </is>
      </c>
      <c r="J270" s="11" t="inlineStr">
        <is>
          <t>20'H x 20'W</t>
        </is>
      </c>
      <c r="K270" s="8" t="inlineStr">
        <is>
          <t>Your ad will appear in approved installation facilities.</t>
        </is>
      </c>
      <c r="L270" s="11" t="n">
        <v>1</v>
      </c>
      <c r="M270" s="12" t="n">
        <v>4000</v>
      </c>
      <c r="N270" s="12" t="n">
        <v>12000</v>
      </c>
      <c r="O270" s="12" t="n">
        <v>24000</v>
      </c>
      <c r="P270" s="12" t="n">
        <v>48000</v>
      </c>
      <c r="Q270" s="12" t="n">
        <v>0</v>
      </c>
      <c r="R270" s="13">
        <f>IF(ISNUMBER(M270),ROUND(M270/(1-Settings!$B$2)/Settings!$B$3,0)*Settings!$B$3,"")</f>
        <v/>
      </c>
      <c r="S270" s="13">
        <f>IF(ISNUMBER(N270),ROUND(N270/(1-Settings!$B$2)/Settings!$B$3,0)*Settings!$B$3,"")</f>
        <v/>
      </c>
      <c r="T270" s="13">
        <f>IF(ISNUMBER(O270),ROUND(O270/(1-Settings!$B$2)/Settings!$B$3,0)*Settings!$B$3,"")</f>
        <v/>
      </c>
      <c r="U270" s="13">
        <f>IF(ISNUMBER(P270),ROUND(P270/(1-Settings!$B$2)/Settings!$B$3,0)*Settings!$B$3,"")</f>
        <v/>
      </c>
      <c r="V270" s="13">
        <f>IF(ISNUMBER(Q270),ROUND(Q270/(1-Settings!$B$2)/Settings!$B$3,0)*Settings!$B$3,"")</f>
        <v/>
      </c>
      <c r="W270" s="14" t="n"/>
      <c r="X270" s="14" t="n"/>
      <c r="Y270" s="11" t="inlineStr"/>
      <c r="Z270" s="11" t="inlineStr"/>
      <c r="AA270" s="8" t="inlineStr"/>
      <c r="AB270" s="8" t="inlineStr"/>
      <c r="AC270" s="11" t="inlineStr">
        <is>
          <t>MasterMilitaryOnBaseList 12.2.25 NS.xlsx</t>
        </is>
      </c>
      <c r="AD270" s="11" t="inlineStr">
        <is>
          <t>NBVC Advertising Brochure.pdf</t>
        </is>
      </c>
      <c r="AE270" s="15" t="inlineStr">
        <is>
          <t>Open in Box</t>
        </is>
      </c>
      <c r="AF270" s="15" t="inlineStr">
        <is>
          <t>Open in Box</t>
        </is>
      </c>
    </row>
    <row r="271">
      <c r="A271" s="11" t="inlineStr">
        <is>
          <t>CA-NBVCPORT-034</t>
        </is>
      </c>
      <c r="B271" s="8" t="inlineStr">
        <is>
          <t>NBVC Port Hueneme NCBC</t>
        </is>
      </c>
      <c r="C271" s="11" t="inlineStr">
        <is>
          <t>Naval Base Ventura County</t>
        </is>
      </c>
      <c r="D271" s="11" t="inlineStr">
        <is>
          <t>CA</t>
        </is>
      </c>
      <c r="E271" s="11" t="inlineStr">
        <is>
          <t>Los Angeles</t>
        </is>
      </c>
      <c r="F271" s="11" t="inlineStr">
        <is>
          <t>93043</t>
        </is>
      </c>
      <c r="G271" s="11" t="inlineStr">
        <is>
          <t>Navy</t>
        </is>
      </c>
      <c r="H271" s="11" t="inlineStr">
        <is>
          <t>Large Format</t>
        </is>
      </c>
      <c r="I271" s="8" t="inlineStr">
        <is>
          <t>Wall Wrap - Bee Fit Gym Cardio Room</t>
        </is>
      </c>
      <c r="J271" s="11" t="inlineStr">
        <is>
          <t>23" x 12'</t>
        </is>
      </c>
      <c r="K271" s="8" t="inlineStr">
        <is>
          <t>Your ad will appear in approved installation facilities.</t>
        </is>
      </c>
      <c r="L271" s="11" t="n">
        <v>1</v>
      </c>
      <c r="M271" s="12" t="n">
        <v>500</v>
      </c>
      <c r="N271" s="12" t="n">
        <v>1500</v>
      </c>
      <c r="O271" s="12" t="n">
        <v>3000</v>
      </c>
      <c r="P271" s="12" t="n">
        <v>6000</v>
      </c>
      <c r="Q271" s="12" t="n">
        <v>0</v>
      </c>
      <c r="R271" s="13">
        <f>IF(ISNUMBER(M271),ROUND(M271/(1-Settings!$B$2)/Settings!$B$3,0)*Settings!$B$3,"")</f>
        <v/>
      </c>
      <c r="S271" s="13">
        <f>IF(ISNUMBER(N271),ROUND(N271/(1-Settings!$B$2)/Settings!$B$3,0)*Settings!$B$3,"")</f>
        <v/>
      </c>
      <c r="T271" s="13">
        <f>IF(ISNUMBER(O271),ROUND(O271/(1-Settings!$B$2)/Settings!$B$3,0)*Settings!$B$3,"")</f>
        <v/>
      </c>
      <c r="U271" s="13">
        <f>IF(ISNUMBER(P271),ROUND(P271/(1-Settings!$B$2)/Settings!$B$3,0)*Settings!$B$3,"")</f>
        <v/>
      </c>
      <c r="V271" s="13">
        <f>IF(ISNUMBER(Q271),ROUND(Q271/(1-Settings!$B$2)/Settings!$B$3,0)*Settings!$B$3,"")</f>
        <v/>
      </c>
      <c r="W271" s="14" t="n"/>
      <c r="X271" s="14" t="n"/>
      <c r="Y271" s="11" t="inlineStr"/>
      <c r="Z271" s="11" t="inlineStr"/>
      <c r="AA271" s="8" t="inlineStr"/>
      <c r="AB271" s="8" t="inlineStr"/>
      <c r="AC271" s="11" t="inlineStr">
        <is>
          <t>MasterMilitaryOnBaseList 12.2.25 NS.xlsx</t>
        </is>
      </c>
      <c r="AD271" s="11" t="inlineStr">
        <is>
          <t>NBVC Advertising Brochure.pdf</t>
        </is>
      </c>
      <c r="AE271" s="15" t="inlineStr">
        <is>
          <t>Open in Box</t>
        </is>
      </c>
      <c r="AF271" s="15" t="inlineStr">
        <is>
          <t>Open in Box</t>
        </is>
      </c>
    </row>
    <row r="272">
      <c r="A272" s="11" t="inlineStr">
        <is>
          <t>CA-NBVCPORT-035</t>
        </is>
      </c>
      <c r="B272" s="8" t="inlineStr">
        <is>
          <t>NBVC Port Hueneme NCBC</t>
        </is>
      </c>
      <c r="C272" s="11" t="inlineStr">
        <is>
          <t>Naval Base Ventura County</t>
        </is>
      </c>
      <c r="D272" s="11" t="inlineStr">
        <is>
          <t>CA</t>
        </is>
      </c>
      <c r="E272" s="11" t="inlineStr">
        <is>
          <t>Los Angeles</t>
        </is>
      </c>
      <c r="F272" s="11" t="inlineStr">
        <is>
          <t>93043</t>
        </is>
      </c>
      <c r="G272" s="11" t="inlineStr">
        <is>
          <t>Navy</t>
        </is>
      </c>
      <c r="H272" s="11" t="inlineStr">
        <is>
          <t>Large Format</t>
        </is>
      </c>
      <c r="I272" s="8" t="inlineStr">
        <is>
          <t>Wall Wrap - Bee Fit Gym Entrance</t>
        </is>
      </c>
      <c r="J272" s="11" t="inlineStr">
        <is>
          <t>8'W x 10'H</t>
        </is>
      </c>
      <c r="K272" s="8" t="inlineStr">
        <is>
          <t>Your ad will appear in approved installation facilities.</t>
        </is>
      </c>
      <c r="L272" s="11" t="n">
        <v>1</v>
      </c>
      <c r="M272" s="12" t="n">
        <v>875</v>
      </c>
      <c r="N272" s="12" t="n">
        <v>2625</v>
      </c>
      <c r="O272" s="12" t="n">
        <v>5250</v>
      </c>
      <c r="P272" s="12" t="n">
        <v>10500</v>
      </c>
      <c r="Q272" s="12" t="n">
        <v>0</v>
      </c>
      <c r="R272" s="13">
        <f>IF(ISNUMBER(M272),ROUND(M272/(1-Settings!$B$2)/Settings!$B$3,0)*Settings!$B$3,"")</f>
        <v/>
      </c>
      <c r="S272" s="13">
        <f>IF(ISNUMBER(N272),ROUND(N272/(1-Settings!$B$2)/Settings!$B$3,0)*Settings!$B$3,"")</f>
        <v/>
      </c>
      <c r="T272" s="13">
        <f>IF(ISNUMBER(O272),ROUND(O272/(1-Settings!$B$2)/Settings!$B$3,0)*Settings!$B$3,"")</f>
        <v/>
      </c>
      <c r="U272" s="13">
        <f>IF(ISNUMBER(P272),ROUND(P272/(1-Settings!$B$2)/Settings!$B$3,0)*Settings!$B$3,"")</f>
        <v/>
      </c>
      <c r="V272" s="13">
        <f>IF(ISNUMBER(Q272),ROUND(Q272/(1-Settings!$B$2)/Settings!$B$3,0)*Settings!$B$3,"")</f>
        <v/>
      </c>
      <c r="W272" s="14" t="n"/>
      <c r="X272" s="14" t="n"/>
      <c r="Y272" s="11" t="inlineStr"/>
      <c r="Z272" s="11" t="inlineStr"/>
      <c r="AA272" s="8" t="inlineStr"/>
      <c r="AB272" s="8" t="inlineStr"/>
      <c r="AC272" s="11" t="inlineStr">
        <is>
          <t>MasterMilitaryOnBaseList 12.2.25 NS.xlsx</t>
        </is>
      </c>
      <c r="AD272" s="11" t="inlineStr">
        <is>
          <t>NBVC Advertising Brochure.pdf</t>
        </is>
      </c>
      <c r="AE272" s="15" t="inlineStr">
        <is>
          <t>Open in Box</t>
        </is>
      </c>
      <c r="AF272" s="15" t="inlineStr">
        <is>
          <t>Open in Box</t>
        </is>
      </c>
    </row>
    <row r="273">
      <c r="A273" s="11" t="inlineStr">
        <is>
          <t>CA-NBVCPORT-036</t>
        </is>
      </c>
      <c r="B273" s="8" t="inlineStr">
        <is>
          <t>NBVC Port Hueneme NCBC</t>
        </is>
      </c>
      <c r="C273" s="11" t="inlineStr">
        <is>
          <t>Naval Base Ventura County</t>
        </is>
      </c>
      <c r="D273" s="11" t="inlineStr">
        <is>
          <t>CA</t>
        </is>
      </c>
      <c r="E273" s="11" t="inlineStr">
        <is>
          <t>Los Angeles</t>
        </is>
      </c>
      <c r="F273" s="11" t="inlineStr">
        <is>
          <t>93043</t>
        </is>
      </c>
      <c r="G273" s="11" t="inlineStr">
        <is>
          <t>Navy</t>
        </is>
      </c>
      <c r="H273" s="11" t="inlineStr">
        <is>
          <t>Large Format</t>
        </is>
      </c>
      <c r="I273" s="8" t="inlineStr">
        <is>
          <t>Wall Wrap - Bee Fit Gym Weight Room</t>
        </is>
      </c>
      <c r="J273" s="11" t="inlineStr">
        <is>
          <t>5'W x 12'H</t>
        </is>
      </c>
      <c r="K273" s="8" t="inlineStr">
        <is>
          <t>Your ad will appear in approved installation facilities.</t>
        </is>
      </c>
      <c r="L273" s="11" t="n">
        <v>1</v>
      </c>
      <c r="M273" s="12" t="n">
        <v>675</v>
      </c>
      <c r="N273" s="12" t="n">
        <v>2025</v>
      </c>
      <c r="O273" s="12" t="n">
        <v>4050</v>
      </c>
      <c r="P273" s="12" t="n">
        <v>8100</v>
      </c>
      <c r="Q273" s="12" t="n">
        <v>0</v>
      </c>
      <c r="R273" s="13">
        <f>IF(ISNUMBER(M273),ROUND(M273/(1-Settings!$B$2)/Settings!$B$3,0)*Settings!$B$3,"")</f>
        <v/>
      </c>
      <c r="S273" s="13">
        <f>IF(ISNUMBER(N273),ROUND(N273/(1-Settings!$B$2)/Settings!$B$3,0)*Settings!$B$3,"")</f>
        <v/>
      </c>
      <c r="T273" s="13">
        <f>IF(ISNUMBER(O273),ROUND(O273/(1-Settings!$B$2)/Settings!$B$3,0)*Settings!$B$3,"")</f>
        <v/>
      </c>
      <c r="U273" s="13">
        <f>IF(ISNUMBER(P273),ROUND(P273/(1-Settings!$B$2)/Settings!$B$3,0)*Settings!$B$3,"")</f>
        <v/>
      </c>
      <c r="V273" s="13">
        <f>IF(ISNUMBER(Q273),ROUND(Q273/(1-Settings!$B$2)/Settings!$B$3,0)*Settings!$B$3,"")</f>
        <v/>
      </c>
      <c r="W273" s="14" t="n"/>
      <c r="X273" s="14" t="n"/>
      <c r="Y273" s="11" t="inlineStr"/>
      <c r="Z273" s="11" t="inlineStr"/>
      <c r="AA273" s="8" t="inlineStr"/>
      <c r="AB273" s="8" t="inlineStr"/>
      <c r="AC273" s="11" t="inlineStr">
        <is>
          <t>MasterMilitaryOnBaseList 12.2.25 NS.xlsx</t>
        </is>
      </c>
      <c r="AD273" s="11" t="inlineStr">
        <is>
          <t>NBVC Advertising Brochure.pdf</t>
        </is>
      </c>
      <c r="AE273" s="15" t="inlineStr">
        <is>
          <t>Open in Box</t>
        </is>
      </c>
      <c r="AF273" s="15" t="inlineStr">
        <is>
          <t>Open in Box</t>
        </is>
      </c>
    </row>
    <row r="274">
      <c r="A274" s="11" t="inlineStr">
        <is>
          <t>CA-NBVCPORT-037</t>
        </is>
      </c>
      <c r="B274" s="8" t="inlineStr">
        <is>
          <t>NBVC Port Hueneme NCBC</t>
        </is>
      </c>
      <c r="C274" s="11" t="inlineStr">
        <is>
          <t>Naval Base Ventura County</t>
        </is>
      </c>
      <c r="D274" s="11" t="inlineStr">
        <is>
          <t>CA</t>
        </is>
      </c>
      <c r="E274" s="11" t="inlineStr">
        <is>
          <t>Los Angeles</t>
        </is>
      </c>
      <c r="F274" s="11" t="inlineStr">
        <is>
          <t>93043</t>
        </is>
      </c>
      <c r="G274" s="11" t="inlineStr">
        <is>
          <t>Navy</t>
        </is>
      </c>
      <c r="H274" s="11" t="inlineStr">
        <is>
          <t>Large Format</t>
        </is>
      </c>
      <c r="I274" s="8" t="inlineStr">
        <is>
          <t>Wall Wrap - Bee Hive Gym Crowd Wall</t>
        </is>
      </c>
      <c r="J274" s="11" t="inlineStr">
        <is>
          <t>7.5' x 18'</t>
        </is>
      </c>
      <c r="K274" s="8" t="inlineStr">
        <is>
          <t>Your ad will appear in approved installation facilities.</t>
        </is>
      </c>
      <c r="L274" s="11" t="n">
        <v>1</v>
      </c>
      <c r="M274" s="12" t="n">
        <v>1475</v>
      </c>
      <c r="N274" s="12" t="n">
        <v>4425</v>
      </c>
      <c r="O274" s="12" t="n">
        <v>8850</v>
      </c>
      <c r="P274" s="12" t="n">
        <v>17700</v>
      </c>
      <c r="Q274" s="12" t="n"/>
      <c r="R274" s="13">
        <f>IF(ISNUMBER(M274),ROUND(M274/(1-Settings!$B$2)/Settings!$B$3,0)*Settings!$B$3,"")</f>
        <v/>
      </c>
      <c r="S274" s="13">
        <f>IF(ISNUMBER(N274),ROUND(N274/(1-Settings!$B$2)/Settings!$B$3,0)*Settings!$B$3,"")</f>
        <v/>
      </c>
      <c r="T274" s="13">
        <f>IF(ISNUMBER(O274),ROUND(O274/(1-Settings!$B$2)/Settings!$B$3,0)*Settings!$B$3,"")</f>
        <v/>
      </c>
      <c r="U274" s="13">
        <f>IF(ISNUMBER(P274),ROUND(P274/(1-Settings!$B$2)/Settings!$B$3,0)*Settings!$B$3,"")</f>
        <v/>
      </c>
      <c r="V274" s="13">
        <f>IF(ISNUMBER(Q274),ROUND(Q274/(1-Settings!$B$2)/Settings!$B$3,0)*Settings!$B$3,"")</f>
        <v/>
      </c>
      <c r="W274" s="14" t="n"/>
      <c r="X274" s="14" t="n"/>
      <c r="Y274" s="11" t="inlineStr"/>
      <c r="Z274" s="11" t="inlineStr"/>
      <c r="AA274" s="8" t="inlineStr"/>
      <c r="AB274" s="8" t="inlineStr"/>
      <c r="AC274" s="11" t="inlineStr">
        <is>
          <t>MasterMilitaryOnBaseList 12.2.25 NS.xlsx</t>
        </is>
      </c>
      <c r="AD274" s="11" t="inlineStr">
        <is>
          <t>NBVC Advertising Brochure.pdf</t>
        </is>
      </c>
      <c r="AE274" s="15" t="inlineStr">
        <is>
          <t>Open in Box</t>
        </is>
      </c>
      <c r="AF274" s="15" t="inlineStr">
        <is>
          <t>Open in Box</t>
        </is>
      </c>
    </row>
    <row r="275">
      <c r="A275" s="11" t="inlineStr">
        <is>
          <t>CA-NBVCPORT-038</t>
        </is>
      </c>
      <c r="B275" s="8" t="inlineStr">
        <is>
          <t>NBVC Port Hueneme NCBC</t>
        </is>
      </c>
      <c r="C275" s="11" t="inlineStr">
        <is>
          <t>Naval Base Ventura County</t>
        </is>
      </c>
      <c r="D275" s="11" t="inlineStr">
        <is>
          <t>CA</t>
        </is>
      </c>
      <c r="E275" s="11" t="inlineStr">
        <is>
          <t>Los Angeles</t>
        </is>
      </c>
      <c r="F275" s="11" t="inlineStr">
        <is>
          <t>93043</t>
        </is>
      </c>
      <c r="G275" s="11" t="inlineStr">
        <is>
          <t>Navy</t>
        </is>
      </c>
      <c r="H275" s="11" t="inlineStr">
        <is>
          <t>Large Format</t>
        </is>
      </c>
      <c r="I275" s="8" t="inlineStr">
        <is>
          <t>Wall Wrap - Bee Hive Gym Long Wall</t>
        </is>
      </c>
      <c r="J275" s="11" t="inlineStr">
        <is>
          <t>4.5' x 30'</t>
        </is>
      </c>
      <c r="K275" s="8" t="inlineStr">
        <is>
          <t>Your ad will appear in approved installation facilities.</t>
        </is>
      </c>
      <c r="L275" s="11" t="n">
        <v>1</v>
      </c>
      <c r="M275" s="12" t="n">
        <v>1475</v>
      </c>
      <c r="N275" s="12" t="n">
        <v>4425</v>
      </c>
      <c r="O275" s="12" t="n">
        <v>8850</v>
      </c>
      <c r="P275" s="12" t="n">
        <v>17700</v>
      </c>
      <c r="Q275" s="12" t="n"/>
      <c r="R275" s="13">
        <f>IF(ISNUMBER(M275),ROUND(M275/(1-Settings!$B$2)/Settings!$B$3,0)*Settings!$B$3,"")</f>
        <v/>
      </c>
      <c r="S275" s="13">
        <f>IF(ISNUMBER(N275),ROUND(N275/(1-Settings!$B$2)/Settings!$B$3,0)*Settings!$B$3,"")</f>
        <v/>
      </c>
      <c r="T275" s="13">
        <f>IF(ISNUMBER(O275),ROUND(O275/(1-Settings!$B$2)/Settings!$B$3,0)*Settings!$B$3,"")</f>
        <v/>
      </c>
      <c r="U275" s="13">
        <f>IF(ISNUMBER(P275),ROUND(P275/(1-Settings!$B$2)/Settings!$B$3,0)*Settings!$B$3,"")</f>
        <v/>
      </c>
      <c r="V275" s="13">
        <f>IF(ISNUMBER(Q275),ROUND(Q275/(1-Settings!$B$2)/Settings!$B$3,0)*Settings!$B$3,"")</f>
        <v/>
      </c>
      <c r="W275" s="14" t="n"/>
      <c r="X275" s="14" t="n"/>
      <c r="Y275" s="11" t="inlineStr"/>
      <c r="Z275" s="11" t="inlineStr"/>
      <c r="AA275" s="8" t="inlineStr"/>
      <c r="AB275" s="8" t="inlineStr"/>
      <c r="AC275" s="11" t="inlineStr">
        <is>
          <t>MasterMilitaryOnBaseList 12.2.25 NS.xlsx</t>
        </is>
      </c>
      <c r="AD275" s="11" t="inlineStr">
        <is>
          <t>NBVC Advertising Brochure.pdf</t>
        </is>
      </c>
      <c r="AE275" s="15" t="inlineStr">
        <is>
          <t>Open in Box</t>
        </is>
      </c>
      <c r="AF275" s="15" t="inlineStr">
        <is>
          <t>Open in Box</t>
        </is>
      </c>
    </row>
    <row r="276">
      <c r="A276" s="11" t="inlineStr">
        <is>
          <t>CA-NBVCPORT-039</t>
        </is>
      </c>
      <c r="B276" s="8" t="inlineStr">
        <is>
          <t>NBVC Port Hueneme NCBC</t>
        </is>
      </c>
      <c r="C276" s="11" t="inlineStr">
        <is>
          <t>Naval Base Ventura County</t>
        </is>
      </c>
      <c r="D276" s="11" t="inlineStr">
        <is>
          <t>CA</t>
        </is>
      </c>
      <c r="E276" s="11" t="inlineStr">
        <is>
          <t>Los Angeles</t>
        </is>
      </c>
      <c r="F276" s="11" t="inlineStr">
        <is>
          <t>93043</t>
        </is>
      </c>
      <c r="G276" s="11" t="inlineStr">
        <is>
          <t>Navy</t>
        </is>
      </c>
      <c r="H276" s="11" t="inlineStr">
        <is>
          <t>Large Format</t>
        </is>
      </c>
      <c r="I276" s="8" t="inlineStr">
        <is>
          <t>Wall Wrap - Car Wash Street Wall 1</t>
        </is>
      </c>
      <c r="J276" s="11" t="inlineStr">
        <is>
          <t>8.5' x 15'</t>
        </is>
      </c>
      <c r="K276" s="8" t="inlineStr">
        <is>
          <t>Your ad will appear in approved installation facilities.</t>
        </is>
      </c>
      <c r="L276" s="11" t="n">
        <v>1</v>
      </c>
      <c r="M276" s="12" t="n">
        <v>1400</v>
      </c>
      <c r="N276" s="12" t="n">
        <v>4200</v>
      </c>
      <c r="O276" s="12" t="n">
        <v>8400</v>
      </c>
      <c r="P276" s="12" t="n">
        <v>16800</v>
      </c>
      <c r="Q276" s="12" t="n"/>
      <c r="R276" s="13">
        <f>IF(ISNUMBER(M276),ROUND(M276/(1-Settings!$B$2)/Settings!$B$3,0)*Settings!$B$3,"")</f>
        <v/>
      </c>
      <c r="S276" s="13">
        <f>IF(ISNUMBER(N276),ROUND(N276/(1-Settings!$B$2)/Settings!$B$3,0)*Settings!$B$3,"")</f>
        <v/>
      </c>
      <c r="T276" s="13">
        <f>IF(ISNUMBER(O276),ROUND(O276/(1-Settings!$B$2)/Settings!$B$3,0)*Settings!$B$3,"")</f>
        <v/>
      </c>
      <c r="U276" s="13">
        <f>IF(ISNUMBER(P276),ROUND(P276/(1-Settings!$B$2)/Settings!$B$3,0)*Settings!$B$3,"")</f>
        <v/>
      </c>
      <c r="V276" s="13">
        <f>IF(ISNUMBER(Q276),ROUND(Q276/(1-Settings!$B$2)/Settings!$B$3,0)*Settings!$B$3,"")</f>
        <v/>
      </c>
      <c r="W276" s="14" t="n"/>
      <c r="X276" s="14" t="n"/>
      <c r="Y276" s="11" t="inlineStr"/>
      <c r="Z276" s="11" t="inlineStr"/>
      <c r="AA276" s="8" t="inlineStr"/>
      <c r="AB276" s="8" t="inlineStr"/>
      <c r="AC276" s="11" t="inlineStr">
        <is>
          <t>MasterMilitaryOnBaseList 12.2.25 NS.xlsx</t>
        </is>
      </c>
      <c r="AD276" s="11" t="inlineStr">
        <is>
          <t>NBVC Advertising Brochure.pdf</t>
        </is>
      </c>
      <c r="AE276" s="15" t="inlineStr">
        <is>
          <t>Open in Box</t>
        </is>
      </c>
      <c r="AF276" s="15" t="inlineStr">
        <is>
          <t>Open in Box</t>
        </is>
      </c>
    </row>
    <row r="277">
      <c r="A277" s="11" t="inlineStr">
        <is>
          <t>CA-NBVCPORT-040</t>
        </is>
      </c>
      <c r="B277" s="8" t="inlineStr">
        <is>
          <t>NBVC Port Hueneme NCBC</t>
        </is>
      </c>
      <c r="C277" s="11" t="inlineStr">
        <is>
          <t>Naval Base Ventura County</t>
        </is>
      </c>
      <c r="D277" s="11" t="inlineStr">
        <is>
          <t>CA</t>
        </is>
      </c>
      <c r="E277" s="11" t="inlineStr">
        <is>
          <t>Los Angeles</t>
        </is>
      </c>
      <c r="F277" s="11" t="inlineStr">
        <is>
          <t>93043</t>
        </is>
      </c>
      <c r="G277" s="11" t="inlineStr">
        <is>
          <t>Navy</t>
        </is>
      </c>
      <c r="H277" s="11" t="inlineStr">
        <is>
          <t>Large Format</t>
        </is>
      </c>
      <c r="I277" s="8" t="inlineStr">
        <is>
          <t>Wall Wrap - Car Wash Street Wall 2</t>
        </is>
      </c>
      <c r="J277" s="11" t="inlineStr">
        <is>
          <t>8.5' x 20'</t>
        </is>
      </c>
      <c r="K277" s="8" t="inlineStr">
        <is>
          <t>Your ad will appear in approved installation facilities.</t>
        </is>
      </c>
      <c r="L277" s="11" t="n">
        <v>1</v>
      </c>
      <c r="M277" s="12" t="n">
        <v>1875</v>
      </c>
      <c r="N277" s="12" t="n">
        <v>5625</v>
      </c>
      <c r="O277" s="12" t="n">
        <v>11250</v>
      </c>
      <c r="P277" s="12" t="n">
        <v>22500</v>
      </c>
      <c r="Q277" s="12" t="n"/>
      <c r="R277" s="13">
        <f>IF(ISNUMBER(M277),ROUND(M277/(1-Settings!$B$2)/Settings!$B$3,0)*Settings!$B$3,"")</f>
        <v/>
      </c>
      <c r="S277" s="13">
        <f>IF(ISNUMBER(N277),ROUND(N277/(1-Settings!$B$2)/Settings!$B$3,0)*Settings!$B$3,"")</f>
        <v/>
      </c>
      <c r="T277" s="13">
        <f>IF(ISNUMBER(O277),ROUND(O277/(1-Settings!$B$2)/Settings!$B$3,0)*Settings!$B$3,"")</f>
        <v/>
      </c>
      <c r="U277" s="13">
        <f>IF(ISNUMBER(P277),ROUND(P277/(1-Settings!$B$2)/Settings!$B$3,0)*Settings!$B$3,"")</f>
        <v/>
      </c>
      <c r="V277" s="13">
        <f>IF(ISNUMBER(Q277),ROUND(Q277/(1-Settings!$B$2)/Settings!$B$3,0)*Settings!$B$3,"")</f>
        <v/>
      </c>
      <c r="W277" s="14" t="n"/>
      <c r="X277" s="14" t="n"/>
      <c r="Y277" s="11" t="inlineStr"/>
      <c r="Z277" s="11" t="inlineStr"/>
      <c r="AA277" s="8" t="inlineStr"/>
      <c r="AB277" s="8" t="inlineStr"/>
      <c r="AC277" s="11" t="inlineStr">
        <is>
          <t>MasterMilitaryOnBaseList 12.2.25 NS.xlsx</t>
        </is>
      </c>
      <c r="AD277" s="11" t="inlineStr">
        <is>
          <t>NBVC Advertising Brochure.pdf</t>
        </is>
      </c>
      <c r="AE277" s="15" t="inlineStr">
        <is>
          <t>Open in Box</t>
        </is>
      </c>
      <c r="AF277" s="15" t="inlineStr">
        <is>
          <t>Open in Box</t>
        </is>
      </c>
    </row>
    <row r="278">
      <c r="A278" s="11" t="inlineStr">
        <is>
          <t>CA-NBVCPORT-041</t>
        </is>
      </c>
      <c r="B278" s="8" t="inlineStr">
        <is>
          <t>NBVC Port Hueneme NCBC</t>
        </is>
      </c>
      <c r="C278" s="11" t="inlineStr">
        <is>
          <t>Naval Base Ventura County</t>
        </is>
      </c>
      <c r="D278" s="11" t="inlineStr">
        <is>
          <t>CA</t>
        </is>
      </c>
      <c r="E278" s="11" t="inlineStr">
        <is>
          <t>Los Angeles</t>
        </is>
      </c>
      <c r="F278" s="11" t="inlineStr">
        <is>
          <t>93043</t>
        </is>
      </c>
      <c r="G278" s="11" t="inlineStr">
        <is>
          <t>Navy</t>
        </is>
      </c>
      <c r="H278" s="11" t="inlineStr">
        <is>
          <t>Large Format</t>
        </is>
      </c>
      <c r="I278" s="8" t="inlineStr">
        <is>
          <t>Wall Wrap - Car Wash Street Wall 3</t>
        </is>
      </c>
      <c r="J278" s="11" t="inlineStr">
        <is>
          <t>8.5' x 25'</t>
        </is>
      </c>
      <c r="K278" s="8" t="inlineStr">
        <is>
          <t>Your ad will appear in approved installation facilities.</t>
        </is>
      </c>
      <c r="L278" s="11" t="n">
        <v>1</v>
      </c>
      <c r="M278" s="12" t="n">
        <v>2350</v>
      </c>
      <c r="N278" s="12" t="n">
        <v>7050</v>
      </c>
      <c r="O278" s="12" t="n">
        <v>14100</v>
      </c>
      <c r="P278" s="12" t="n">
        <v>28200</v>
      </c>
      <c r="Q278" s="12" t="n"/>
      <c r="R278" s="13">
        <f>IF(ISNUMBER(M278),ROUND(M278/(1-Settings!$B$2)/Settings!$B$3,0)*Settings!$B$3,"")</f>
        <v/>
      </c>
      <c r="S278" s="13">
        <f>IF(ISNUMBER(N278),ROUND(N278/(1-Settings!$B$2)/Settings!$B$3,0)*Settings!$B$3,"")</f>
        <v/>
      </c>
      <c r="T278" s="13">
        <f>IF(ISNUMBER(O278),ROUND(O278/(1-Settings!$B$2)/Settings!$B$3,0)*Settings!$B$3,"")</f>
        <v/>
      </c>
      <c r="U278" s="13">
        <f>IF(ISNUMBER(P278),ROUND(P278/(1-Settings!$B$2)/Settings!$B$3,0)*Settings!$B$3,"")</f>
        <v/>
      </c>
      <c r="V278" s="13">
        <f>IF(ISNUMBER(Q278),ROUND(Q278/(1-Settings!$B$2)/Settings!$B$3,0)*Settings!$B$3,"")</f>
        <v/>
      </c>
      <c r="W278" s="14" t="n"/>
      <c r="X278" s="14" t="n"/>
      <c r="Y278" s="11" t="inlineStr"/>
      <c r="Z278" s="11" t="inlineStr"/>
      <c r="AA278" s="8" t="inlineStr"/>
      <c r="AB278" s="8" t="inlineStr"/>
      <c r="AC278" s="11" t="inlineStr">
        <is>
          <t>MasterMilitaryOnBaseList 12.2.25 NS.xlsx</t>
        </is>
      </c>
      <c r="AD278" s="11" t="inlineStr">
        <is>
          <t>NBVC Advertising Brochure.pdf</t>
        </is>
      </c>
      <c r="AE278" s="15" t="inlineStr">
        <is>
          <t>Open in Box</t>
        </is>
      </c>
      <c r="AF278" s="15" t="inlineStr">
        <is>
          <t>Open in Box</t>
        </is>
      </c>
    </row>
    <row r="279">
      <c r="A279" s="11" t="inlineStr">
        <is>
          <t>CA-NBVCPORT-042</t>
        </is>
      </c>
      <c r="B279" s="8" t="inlineStr">
        <is>
          <t>NBVC Port Hueneme NCBC</t>
        </is>
      </c>
      <c r="C279" s="11" t="inlineStr">
        <is>
          <t>Naval Base Ventura County</t>
        </is>
      </c>
      <c r="D279" s="11" t="inlineStr">
        <is>
          <t>CA</t>
        </is>
      </c>
      <c r="E279" s="11" t="inlineStr">
        <is>
          <t>Los Angeles</t>
        </is>
      </c>
      <c r="F279" s="11" t="inlineStr">
        <is>
          <t>93043</t>
        </is>
      </c>
      <c r="G279" s="11" t="inlineStr">
        <is>
          <t>Navy</t>
        </is>
      </c>
      <c r="H279" s="11" t="inlineStr">
        <is>
          <t>Large Format</t>
        </is>
      </c>
      <c r="I279" s="8" t="inlineStr">
        <is>
          <t>Wall Wrap - Golf Course Club House</t>
        </is>
      </c>
      <c r="J279" s="11" t="inlineStr">
        <is>
          <t>4.5' x 8.5'</t>
        </is>
      </c>
      <c r="K279" s="8" t="inlineStr">
        <is>
          <t>Your ad will appear in approved installation facilities.</t>
        </is>
      </c>
      <c r="L279" s="11" t="n">
        <v>1</v>
      </c>
      <c r="M279" s="12" t="n">
        <v>425</v>
      </c>
      <c r="N279" s="12" t="n">
        <v>1275</v>
      </c>
      <c r="O279" s="12" t="n">
        <v>2550</v>
      </c>
      <c r="P279" s="12" t="n">
        <v>5100</v>
      </c>
      <c r="Q279" s="12" t="n">
        <v>0</v>
      </c>
      <c r="R279" s="13">
        <f>IF(ISNUMBER(M279),ROUND(M279/(1-Settings!$B$2)/Settings!$B$3,0)*Settings!$B$3,"")</f>
        <v/>
      </c>
      <c r="S279" s="13">
        <f>IF(ISNUMBER(N279),ROUND(N279/(1-Settings!$B$2)/Settings!$B$3,0)*Settings!$B$3,"")</f>
        <v/>
      </c>
      <c r="T279" s="13">
        <f>IF(ISNUMBER(O279),ROUND(O279/(1-Settings!$B$2)/Settings!$B$3,0)*Settings!$B$3,"")</f>
        <v/>
      </c>
      <c r="U279" s="13">
        <f>IF(ISNUMBER(P279),ROUND(P279/(1-Settings!$B$2)/Settings!$B$3,0)*Settings!$B$3,"")</f>
        <v/>
      </c>
      <c r="V279" s="13">
        <f>IF(ISNUMBER(Q279),ROUND(Q279/(1-Settings!$B$2)/Settings!$B$3,0)*Settings!$B$3,"")</f>
        <v/>
      </c>
      <c r="W279" s="14" t="n"/>
      <c r="X279" s="14" t="n"/>
      <c r="Y279" s="11" t="inlineStr"/>
      <c r="Z279" s="11" t="inlineStr"/>
      <c r="AA279" s="8" t="inlineStr"/>
      <c r="AB279" s="8" t="inlineStr"/>
      <c r="AC279" s="11" t="inlineStr">
        <is>
          <t>MasterMilitaryOnBaseList 12.2.25 NS.xlsx</t>
        </is>
      </c>
      <c r="AD279" s="11" t="inlineStr">
        <is>
          <t>NBVC Advertising Brochure.pdf</t>
        </is>
      </c>
      <c r="AE279" s="15" t="inlineStr">
        <is>
          <t>Open in Box</t>
        </is>
      </c>
      <c r="AF279" s="15" t="inlineStr">
        <is>
          <t>Open in Box</t>
        </is>
      </c>
    </row>
    <row r="280">
      <c r="A280" s="11" t="inlineStr">
        <is>
          <t>CA-NBVCPORT-043</t>
        </is>
      </c>
      <c r="B280" s="8" t="inlineStr">
        <is>
          <t>NBVC Port Hueneme NCBC</t>
        </is>
      </c>
      <c r="C280" s="11" t="inlineStr">
        <is>
          <t>Naval Base Ventura County</t>
        </is>
      </c>
      <c r="D280" s="11" t="inlineStr">
        <is>
          <t>CA</t>
        </is>
      </c>
      <c r="E280" s="11" t="inlineStr">
        <is>
          <t>Los Angeles</t>
        </is>
      </c>
      <c r="F280" s="11" t="inlineStr">
        <is>
          <t>93043</t>
        </is>
      </c>
      <c r="G280" s="11" t="inlineStr">
        <is>
          <t>Navy</t>
        </is>
      </c>
      <c r="H280" s="11" t="inlineStr">
        <is>
          <t>Large Format</t>
        </is>
      </c>
      <c r="I280" s="8" t="inlineStr">
        <is>
          <t>Wall Wrap - Golf Course Driving Range</t>
        </is>
      </c>
      <c r="J280" s="11" t="inlineStr">
        <is>
          <t>8' x 10'</t>
        </is>
      </c>
      <c r="K280" s="8" t="inlineStr">
        <is>
          <t>Your ad will appear in approved installation facilities.</t>
        </is>
      </c>
      <c r="L280" s="11" t="n">
        <v>1</v>
      </c>
      <c r="M280" s="12" t="n">
        <v>1025</v>
      </c>
      <c r="N280" s="12" t="n">
        <v>3075</v>
      </c>
      <c r="O280" s="12" t="n">
        <v>6150</v>
      </c>
      <c r="P280" s="12" t="n">
        <v>12300</v>
      </c>
      <c r="Q280" s="12" t="n">
        <v>0</v>
      </c>
      <c r="R280" s="13">
        <f>IF(ISNUMBER(M280),ROUND(M280/(1-Settings!$B$2)/Settings!$B$3,0)*Settings!$B$3,"")</f>
        <v/>
      </c>
      <c r="S280" s="13">
        <f>IF(ISNUMBER(N280),ROUND(N280/(1-Settings!$B$2)/Settings!$B$3,0)*Settings!$B$3,"")</f>
        <v/>
      </c>
      <c r="T280" s="13">
        <f>IF(ISNUMBER(O280),ROUND(O280/(1-Settings!$B$2)/Settings!$B$3,0)*Settings!$B$3,"")</f>
        <v/>
      </c>
      <c r="U280" s="13">
        <f>IF(ISNUMBER(P280),ROUND(P280/(1-Settings!$B$2)/Settings!$B$3,0)*Settings!$B$3,"")</f>
        <v/>
      </c>
      <c r="V280" s="13">
        <f>IF(ISNUMBER(Q280),ROUND(Q280/(1-Settings!$B$2)/Settings!$B$3,0)*Settings!$B$3,"")</f>
        <v/>
      </c>
      <c r="W280" s="14" t="n"/>
      <c r="X280" s="14" t="n"/>
      <c r="Y280" s="11" t="inlineStr"/>
      <c r="Z280" s="11" t="inlineStr"/>
      <c r="AA280" s="8" t="inlineStr"/>
      <c r="AB280" s="8" t="inlineStr"/>
      <c r="AC280" s="11" t="inlineStr">
        <is>
          <t>MasterMilitaryOnBaseList 12.2.25 NS.xlsx</t>
        </is>
      </c>
      <c r="AD280" s="11" t="inlineStr">
        <is>
          <t>NBVC Advertising Brochure.pdf</t>
        </is>
      </c>
      <c r="AE280" s="15" t="inlineStr">
        <is>
          <t>Open in Box</t>
        </is>
      </c>
      <c r="AF280" s="15" t="inlineStr">
        <is>
          <t>Open in Box</t>
        </is>
      </c>
    </row>
    <row r="281">
      <c r="A281" s="11" t="inlineStr">
        <is>
          <t>CA-NBVCPORT-044</t>
        </is>
      </c>
      <c r="B281" s="8" t="inlineStr">
        <is>
          <t>NBVC Port Hueneme NCBC</t>
        </is>
      </c>
      <c r="C281" s="11" t="inlineStr">
        <is>
          <t>Naval Base Ventura County</t>
        </is>
      </c>
      <c r="D281" s="11" t="inlineStr">
        <is>
          <t>CA</t>
        </is>
      </c>
      <c r="E281" s="11" t="inlineStr">
        <is>
          <t>Los Angeles</t>
        </is>
      </c>
      <c r="F281" s="11" t="inlineStr">
        <is>
          <t>93043</t>
        </is>
      </c>
      <c r="G281" s="11" t="inlineStr">
        <is>
          <t>Navy</t>
        </is>
      </c>
      <c r="H281" s="11" t="inlineStr">
        <is>
          <t>Large Format</t>
        </is>
      </c>
      <c r="I281" s="8" t="inlineStr">
        <is>
          <t>Wall Wrap - Golf Course Entrance</t>
        </is>
      </c>
      <c r="J281" s="11" t="inlineStr">
        <is>
          <t>6.5'H x 15'W</t>
        </is>
      </c>
      <c r="K281" s="8" t="inlineStr">
        <is>
          <t>Your ad will appear in approved installation facilities.</t>
        </is>
      </c>
      <c r="L281" s="11" t="n">
        <v>1</v>
      </c>
      <c r="M281" s="12" t="n">
        <v>1025</v>
      </c>
      <c r="N281" s="12" t="n">
        <v>3075</v>
      </c>
      <c r="O281" s="12" t="n">
        <v>6150</v>
      </c>
      <c r="P281" s="12" t="n">
        <v>12300</v>
      </c>
      <c r="Q281" s="12" t="n">
        <v>0</v>
      </c>
      <c r="R281" s="13">
        <f>IF(ISNUMBER(M281),ROUND(M281/(1-Settings!$B$2)/Settings!$B$3,0)*Settings!$B$3,"")</f>
        <v/>
      </c>
      <c r="S281" s="13">
        <f>IF(ISNUMBER(N281),ROUND(N281/(1-Settings!$B$2)/Settings!$B$3,0)*Settings!$B$3,"")</f>
        <v/>
      </c>
      <c r="T281" s="13">
        <f>IF(ISNUMBER(O281),ROUND(O281/(1-Settings!$B$2)/Settings!$B$3,0)*Settings!$B$3,"")</f>
        <v/>
      </c>
      <c r="U281" s="13">
        <f>IF(ISNUMBER(P281),ROUND(P281/(1-Settings!$B$2)/Settings!$B$3,0)*Settings!$B$3,"")</f>
        <v/>
      </c>
      <c r="V281" s="13">
        <f>IF(ISNUMBER(Q281),ROUND(Q281/(1-Settings!$B$2)/Settings!$B$3,0)*Settings!$B$3,"")</f>
        <v/>
      </c>
      <c r="W281" s="14" t="n"/>
      <c r="X281" s="14" t="n"/>
      <c r="Y281" s="11" t="inlineStr"/>
      <c r="Z281" s="11" t="inlineStr"/>
      <c r="AA281" s="8" t="inlineStr"/>
      <c r="AB281" s="8" t="inlineStr"/>
      <c r="AC281" s="11" t="inlineStr">
        <is>
          <t>MasterMilitaryOnBaseList 12.2.25 NS.xlsx</t>
        </is>
      </c>
      <c r="AD281" s="11" t="inlineStr">
        <is>
          <t>NBVC Advertising Brochure.pdf</t>
        </is>
      </c>
      <c r="AE281" s="15" t="inlineStr">
        <is>
          <t>Open in Box</t>
        </is>
      </c>
      <c r="AF281" s="15" t="inlineStr">
        <is>
          <t>Open in Box</t>
        </is>
      </c>
    </row>
    <row r="282">
      <c r="A282" s="11" t="inlineStr">
        <is>
          <t>CA-NBVCPORT-045</t>
        </is>
      </c>
      <c r="B282" s="8" t="inlineStr">
        <is>
          <t>NBVC Port Hueneme NCBC</t>
        </is>
      </c>
      <c r="C282" s="11" t="inlineStr">
        <is>
          <t>Naval Base Ventura County</t>
        </is>
      </c>
      <c r="D282" s="11" t="inlineStr">
        <is>
          <t>CA</t>
        </is>
      </c>
      <c r="E282" s="11" t="inlineStr">
        <is>
          <t>Los Angeles</t>
        </is>
      </c>
      <c r="F282" s="11" t="inlineStr">
        <is>
          <t>93043</t>
        </is>
      </c>
      <c r="G282" s="11" t="inlineStr">
        <is>
          <t>Navy</t>
        </is>
      </c>
      <c r="H282" s="11" t="inlineStr">
        <is>
          <t>Large Format</t>
        </is>
      </c>
      <c r="I282" s="8" t="inlineStr">
        <is>
          <t>Wall Wrap - Golf Course Inside Entrance</t>
        </is>
      </c>
      <c r="J282" s="11" t="inlineStr">
        <is>
          <t>2' x 13.5'</t>
        </is>
      </c>
      <c r="K282" s="8" t="inlineStr">
        <is>
          <t>Your ad will appear in approved installation facilities.</t>
        </is>
      </c>
      <c r="L282" s="11" t="n">
        <v>1</v>
      </c>
      <c r="M282" s="12" t="n">
        <v>500</v>
      </c>
      <c r="N282" s="12" t="n">
        <v>1500</v>
      </c>
      <c r="O282" s="12" t="n">
        <v>3000</v>
      </c>
      <c r="P282" s="12" t="n">
        <v>6000</v>
      </c>
      <c r="Q282" s="12" t="n">
        <v>0</v>
      </c>
      <c r="R282" s="13">
        <f>IF(ISNUMBER(M282),ROUND(M282/(1-Settings!$B$2)/Settings!$B$3,0)*Settings!$B$3,"")</f>
        <v/>
      </c>
      <c r="S282" s="13">
        <f>IF(ISNUMBER(N282),ROUND(N282/(1-Settings!$B$2)/Settings!$B$3,0)*Settings!$B$3,"")</f>
        <v/>
      </c>
      <c r="T282" s="13">
        <f>IF(ISNUMBER(O282),ROUND(O282/(1-Settings!$B$2)/Settings!$B$3,0)*Settings!$B$3,"")</f>
        <v/>
      </c>
      <c r="U282" s="13">
        <f>IF(ISNUMBER(P282),ROUND(P282/(1-Settings!$B$2)/Settings!$B$3,0)*Settings!$B$3,"")</f>
        <v/>
      </c>
      <c r="V282" s="13">
        <f>IF(ISNUMBER(Q282),ROUND(Q282/(1-Settings!$B$2)/Settings!$B$3,0)*Settings!$B$3,"")</f>
        <v/>
      </c>
      <c r="W282" s="14" t="n"/>
      <c r="X282" s="14" t="n"/>
      <c r="Y282" s="11" t="inlineStr"/>
      <c r="Z282" s="11" t="inlineStr"/>
      <c r="AA282" s="8" t="inlineStr"/>
      <c r="AB282" s="8" t="inlineStr"/>
      <c r="AC282" s="11" t="inlineStr">
        <is>
          <t>MasterMilitaryOnBaseList 12.2.25 NS.xlsx</t>
        </is>
      </c>
      <c r="AD282" s="11" t="inlineStr">
        <is>
          <t>NBVC Advertising Brochure.pdf</t>
        </is>
      </c>
      <c r="AE282" s="15" t="inlineStr">
        <is>
          <t>Open in Box</t>
        </is>
      </c>
      <c r="AF282" s="15" t="inlineStr">
        <is>
          <t>Open in Box</t>
        </is>
      </c>
    </row>
    <row r="283">
      <c r="A283" s="11" t="inlineStr">
        <is>
          <t>CA-NBVCPORT-046</t>
        </is>
      </c>
      <c r="B283" s="8" t="inlineStr">
        <is>
          <t>NBVC Port Hueneme NCBC</t>
        </is>
      </c>
      <c r="C283" s="11" t="inlineStr">
        <is>
          <t>Naval Base Ventura County</t>
        </is>
      </c>
      <c r="D283" s="11" t="inlineStr">
        <is>
          <t>CA</t>
        </is>
      </c>
      <c r="E283" s="11" t="inlineStr">
        <is>
          <t>Los Angeles</t>
        </is>
      </c>
      <c r="F283" s="11" t="inlineStr">
        <is>
          <t>93043</t>
        </is>
      </c>
      <c r="G283" s="11" t="inlineStr">
        <is>
          <t>Navy</t>
        </is>
      </c>
      <c r="H283" s="11" t="inlineStr">
        <is>
          <t>Large Format</t>
        </is>
      </c>
      <c r="I283" s="8" t="inlineStr">
        <is>
          <t>Wall Wrap - Golf Course Patio Wall</t>
        </is>
      </c>
      <c r="J283" s="11" t="inlineStr">
        <is>
          <t>40 "x 18"</t>
        </is>
      </c>
      <c r="K283" s="8" t="inlineStr">
        <is>
          <t>Your ad will appear in approved installation facilities.</t>
        </is>
      </c>
      <c r="L283" s="11" t="n">
        <v>1</v>
      </c>
      <c r="M283" s="12" t="n">
        <v>675</v>
      </c>
      <c r="N283" s="12" t="n">
        <v>2025</v>
      </c>
      <c r="O283" s="12" t="n">
        <v>4050</v>
      </c>
      <c r="P283" s="12" t="n">
        <v>8100</v>
      </c>
      <c r="Q283" s="12" t="n">
        <v>0</v>
      </c>
      <c r="R283" s="13">
        <f>IF(ISNUMBER(M283),ROUND(M283/(1-Settings!$B$2)/Settings!$B$3,0)*Settings!$B$3,"")</f>
        <v/>
      </c>
      <c r="S283" s="13">
        <f>IF(ISNUMBER(N283),ROUND(N283/(1-Settings!$B$2)/Settings!$B$3,0)*Settings!$B$3,"")</f>
        <v/>
      </c>
      <c r="T283" s="13">
        <f>IF(ISNUMBER(O283),ROUND(O283/(1-Settings!$B$2)/Settings!$B$3,0)*Settings!$B$3,"")</f>
        <v/>
      </c>
      <c r="U283" s="13">
        <f>IF(ISNUMBER(P283),ROUND(P283/(1-Settings!$B$2)/Settings!$B$3,0)*Settings!$B$3,"")</f>
        <v/>
      </c>
      <c r="V283" s="13">
        <f>IF(ISNUMBER(Q283),ROUND(Q283/(1-Settings!$B$2)/Settings!$B$3,0)*Settings!$B$3,"")</f>
        <v/>
      </c>
      <c r="W283" s="14" t="n"/>
      <c r="X283" s="14" t="n"/>
      <c r="Y283" s="11" t="inlineStr"/>
      <c r="Z283" s="11" t="inlineStr"/>
      <c r="AA283" s="8" t="inlineStr"/>
      <c r="AB283" s="8" t="inlineStr"/>
      <c r="AC283" s="11" t="inlineStr">
        <is>
          <t>MasterMilitaryOnBaseList 12.2.25 NS.xlsx</t>
        </is>
      </c>
      <c r="AD283" s="11" t="inlineStr">
        <is>
          <t>NBVC Advertising Brochure.pdf</t>
        </is>
      </c>
      <c r="AE283" s="15" t="inlineStr">
        <is>
          <t>Open in Box</t>
        </is>
      </c>
      <c r="AF283" s="15" t="inlineStr">
        <is>
          <t>Open in Box</t>
        </is>
      </c>
    </row>
    <row r="284">
      <c r="A284" s="11" t="inlineStr">
        <is>
          <t>CA-NBVCPORT-047</t>
        </is>
      </c>
      <c r="B284" s="8" t="inlineStr">
        <is>
          <t>NBVC Port Hueneme NCBC</t>
        </is>
      </c>
      <c r="C284" s="11" t="inlineStr">
        <is>
          <t>Naval Base Ventura County</t>
        </is>
      </c>
      <c r="D284" s="11" t="inlineStr">
        <is>
          <t>CA</t>
        </is>
      </c>
      <c r="E284" s="11" t="inlineStr">
        <is>
          <t>Los Angeles</t>
        </is>
      </c>
      <c r="F284" s="11" t="inlineStr">
        <is>
          <t>93043</t>
        </is>
      </c>
      <c r="G284" s="11" t="inlineStr">
        <is>
          <t>Navy</t>
        </is>
      </c>
      <c r="H284" s="11" t="inlineStr">
        <is>
          <t>Large Format</t>
        </is>
      </c>
      <c r="I284" s="8" t="inlineStr">
        <is>
          <t>Wall Wrap - Liberty Center Check-in Wall</t>
        </is>
      </c>
      <c r="J284" s="11" t="inlineStr">
        <is>
          <t>8' x 7'</t>
        </is>
      </c>
      <c r="K284" s="8" t="inlineStr">
        <is>
          <t>Your ad will appear in approved installation facilities.</t>
        </is>
      </c>
      <c r="L284" s="11" t="n">
        <v>1</v>
      </c>
      <c r="M284" s="12" t="n">
        <v>625</v>
      </c>
      <c r="N284" s="12" t="n">
        <v>1875</v>
      </c>
      <c r="O284" s="12" t="n">
        <v>3750</v>
      </c>
      <c r="P284" s="12" t="n">
        <v>7500</v>
      </c>
      <c r="Q284" s="12" t="n"/>
      <c r="R284" s="13">
        <f>IF(ISNUMBER(M284),ROUND(M284/(1-Settings!$B$2)/Settings!$B$3,0)*Settings!$B$3,"")</f>
        <v/>
      </c>
      <c r="S284" s="13">
        <f>IF(ISNUMBER(N284),ROUND(N284/(1-Settings!$B$2)/Settings!$B$3,0)*Settings!$B$3,"")</f>
        <v/>
      </c>
      <c r="T284" s="13">
        <f>IF(ISNUMBER(O284),ROUND(O284/(1-Settings!$B$2)/Settings!$B$3,0)*Settings!$B$3,"")</f>
        <v/>
      </c>
      <c r="U284" s="13">
        <f>IF(ISNUMBER(P284),ROUND(P284/(1-Settings!$B$2)/Settings!$B$3,0)*Settings!$B$3,"")</f>
        <v/>
      </c>
      <c r="V284" s="13">
        <f>IF(ISNUMBER(Q284),ROUND(Q284/(1-Settings!$B$2)/Settings!$B$3,0)*Settings!$B$3,"")</f>
        <v/>
      </c>
      <c r="W284" s="14" t="n"/>
      <c r="X284" s="14" t="n"/>
      <c r="Y284" s="11" t="inlineStr"/>
      <c r="Z284" s="11" t="inlineStr"/>
      <c r="AA284" s="8" t="inlineStr"/>
      <c r="AB284" s="8" t="inlineStr"/>
      <c r="AC284" s="11" t="inlineStr">
        <is>
          <t>MasterMilitaryOnBaseList 12.2.25 NS.xlsx</t>
        </is>
      </c>
      <c r="AD284" s="11" t="inlineStr">
        <is>
          <t>NBVC Advertising Brochure.pdf</t>
        </is>
      </c>
      <c r="AE284" s="15" t="inlineStr">
        <is>
          <t>Open in Box</t>
        </is>
      </c>
      <c r="AF284" s="15" t="inlineStr">
        <is>
          <t>Open in Box</t>
        </is>
      </c>
    </row>
    <row r="285">
      <c r="A285" s="11" t="inlineStr">
        <is>
          <t>CA-NBVCPORT-048</t>
        </is>
      </c>
      <c r="B285" s="8" t="inlineStr">
        <is>
          <t>NBVC Port Hueneme NCBC</t>
        </is>
      </c>
      <c r="C285" s="11" t="inlineStr">
        <is>
          <t>Naval Base Ventura County</t>
        </is>
      </c>
      <c r="D285" s="11" t="inlineStr">
        <is>
          <t>CA</t>
        </is>
      </c>
      <c r="E285" s="11" t="inlineStr">
        <is>
          <t>Los Angeles</t>
        </is>
      </c>
      <c r="F285" s="11" t="inlineStr">
        <is>
          <t>93043</t>
        </is>
      </c>
      <c r="G285" s="11" t="inlineStr">
        <is>
          <t>Navy</t>
        </is>
      </c>
      <c r="H285" s="11" t="inlineStr">
        <is>
          <t>Large Format</t>
        </is>
      </c>
      <c r="I285" s="8" t="inlineStr">
        <is>
          <t>Wall Wrap - Liberty Center Pool Table Wall</t>
        </is>
      </c>
      <c r="J285" s="11" t="inlineStr">
        <is>
          <t>8' x 9'</t>
        </is>
      </c>
      <c r="K285" s="8" t="inlineStr">
        <is>
          <t>Your ad will appear in approved installation facilities.</t>
        </is>
      </c>
      <c r="L285" s="11" t="n">
        <v>1</v>
      </c>
      <c r="M285" s="12" t="n">
        <v>800</v>
      </c>
      <c r="N285" s="12" t="n">
        <v>2400</v>
      </c>
      <c r="O285" s="12" t="n">
        <v>4800</v>
      </c>
      <c r="P285" s="12" t="n">
        <v>9600</v>
      </c>
      <c r="Q285" s="12" t="n"/>
      <c r="R285" s="13">
        <f>IF(ISNUMBER(M285),ROUND(M285/(1-Settings!$B$2)/Settings!$B$3,0)*Settings!$B$3,"")</f>
        <v/>
      </c>
      <c r="S285" s="13">
        <f>IF(ISNUMBER(N285),ROUND(N285/(1-Settings!$B$2)/Settings!$B$3,0)*Settings!$B$3,"")</f>
        <v/>
      </c>
      <c r="T285" s="13">
        <f>IF(ISNUMBER(O285),ROUND(O285/(1-Settings!$B$2)/Settings!$B$3,0)*Settings!$B$3,"")</f>
        <v/>
      </c>
      <c r="U285" s="13">
        <f>IF(ISNUMBER(P285),ROUND(P285/(1-Settings!$B$2)/Settings!$B$3,0)*Settings!$B$3,"")</f>
        <v/>
      </c>
      <c r="V285" s="13">
        <f>IF(ISNUMBER(Q285),ROUND(Q285/(1-Settings!$B$2)/Settings!$B$3,0)*Settings!$B$3,"")</f>
        <v/>
      </c>
      <c r="W285" s="14" t="n"/>
      <c r="X285" s="14" t="n"/>
      <c r="Y285" s="11" t="inlineStr"/>
      <c r="Z285" s="11" t="inlineStr"/>
      <c r="AA285" s="8" t="inlineStr"/>
      <c r="AB285" s="8" t="inlineStr"/>
      <c r="AC285" s="11" t="inlineStr">
        <is>
          <t>MasterMilitaryOnBaseList 12.2.25 NS.xlsx</t>
        </is>
      </c>
      <c r="AD285" s="11" t="inlineStr">
        <is>
          <t>NBVC Advertising Brochure.pdf</t>
        </is>
      </c>
      <c r="AE285" s="15" t="inlineStr">
        <is>
          <t>Open in Box</t>
        </is>
      </c>
      <c r="AF285" s="15" t="inlineStr">
        <is>
          <t>Open in Box</t>
        </is>
      </c>
    </row>
    <row r="286">
      <c r="A286" s="11" t="inlineStr">
        <is>
          <t>CA-NBVCPORT-049</t>
        </is>
      </c>
      <c r="B286" s="8" t="inlineStr">
        <is>
          <t>NBVC Port Hueneme NCBC</t>
        </is>
      </c>
      <c r="C286" s="11" t="inlineStr">
        <is>
          <t>Naval Base Ventura County</t>
        </is>
      </c>
      <c r="D286" s="11" t="inlineStr">
        <is>
          <t>CA</t>
        </is>
      </c>
      <c r="E286" s="11" t="inlineStr">
        <is>
          <t>Los Angeles</t>
        </is>
      </c>
      <c r="F286" s="11" t="inlineStr">
        <is>
          <t>93043</t>
        </is>
      </c>
      <c r="G286" s="11" t="inlineStr">
        <is>
          <t>Navy</t>
        </is>
      </c>
      <c r="H286" s="11" t="inlineStr">
        <is>
          <t>Large Format</t>
        </is>
      </c>
      <c r="I286" s="8" t="inlineStr">
        <is>
          <t>Wall Wrap - Mugu Pool</t>
        </is>
      </c>
      <c r="J286" s="11" t="inlineStr">
        <is>
          <t>6' x 11'</t>
        </is>
      </c>
      <c r="K286" s="8" t="inlineStr">
        <is>
          <t>Your ad will appear in approved installation facilities.</t>
        </is>
      </c>
      <c r="L286" s="11" t="n">
        <v>1</v>
      </c>
      <c r="M286" s="12" t="n">
        <v>1200</v>
      </c>
      <c r="N286" s="12" t="n">
        <v>3600</v>
      </c>
      <c r="O286" s="12" t="n">
        <v>7200</v>
      </c>
      <c r="P286" s="12" t="n">
        <v>14400</v>
      </c>
      <c r="Q286" s="12" t="n"/>
      <c r="R286" s="13">
        <f>IF(ISNUMBER(M286),ROUND(M286/(1-Settings!$B$2)/Settings!$B$3,0)*Settings!$B$3,"")</f>
        <v/>
      </c>
      <c r="S286" s="13">
        <f>IF(ISNUMBER(N286),ROUND(N286/(1-Settings!$B$2)/Settings!$B$3,0)*Settings!$B$3,"")</f>
        <v/>
      </c>
      <c r="T286" s="13">
        <f>IF(ISNUMBER(O286),ROUND(O286/(1-Settings!$B$2)/Settings!$B$3,0)*Settings!$B$3,"")</f>
        <v/>
      </c>
      <c r="U286" s="13">
        <f>IF(ISNUMBER(P286),ROUND(P286/(1-Settings!$B$2)/Settings!$B$3,0)*Settings!$B$3,"")</f>
        <v/>
      </c>
      <c r="V286" s="13">
        <f>IF(ISNUMBER(Q286),ROUND(Q286/(1-Settings!$B$2)/Settings!$B$3,0)*Settings!$B$3,"")</f>
        <v/>
      </c>
      <c r="W286" s="14" t="n"/>
      <c r="X286" s="14" t="n"/>
      <c r="Y286" s="11" t="inlineStr"/>
      <c r="Z286" s="11" t="inlineStr"/>
      <c r="AA286" s="8" t="inlineStr"/>
      <c r="AB286" s="8" t="inlineStr"/>
      <c r="AC286" s="11" t="inlineStr">
        <is>
          <t>MasterMilitaryOnBaseList 12.2.25 NS.xlsx</t>
        </is>
      </c>
      <c r="AD286" s="11" t="inlineStr">
        <is>
          <t>NBVC Advertising Brochure.pdf</t>
        </is>
      </c>
      <c r="AE286" s="15" t="inlineStr">
        <is>
          <t>Open in Box</t>
        </is>
      </c>
      <c r="AF286" s="15" t="inlineStr">
        <is>
          <t>Open in Box</t>
        </is>
      </c>
    </row>
    <row r="287">
      <c r="A287" s="11" t="inlineStr">
        <is>
          <t>CA-NBVCPORT-050</t>
        </is>
      </c>
      <c r="B287" s="8" t="inlineStr">
        <is>
          <t>NBVC Port Hueneme NCBC</t>
        </is>
      </c>
      <c r="C287" s="11" t="inlineStr">
        <is>
          <t>Naval Base Ventura County</t>
        </is>
      </c>
      <c r="D287" s="11" t="inlineStr">
        <is>
          <t>CA</t>
        </is>
      </c>
      <c r="E287" s="11" t="inlineStr">
        <is>
          <t>Los Angeles</t>
        </is>
      </c>
      <c r="F287" s="11" t="inlineStr">
        <is>
          <t>93043</t>
        </is>
      </c>
      <c r="G287" s="11" t="inlineStr">
        <is>
          <t>Navy</t>
        </is>
      </c>
      <c r="H287" s="11" t="inlineStr">
        <is>
          <t>Large Format</t>
        </is>
      </c>
      <c r="I287" s="8" t="inlineStr">
        <is>
          <t>Wall Wrap - Point Mugu Gym Entrance</t>
        </is>
      </c>
      <c r="J287" s="11" t="inlineStr">
        <is>
          <t>8' x 9'</t>
        </is>
      </c>
      <c r="K287" s="8" t="inlineStr">
        <is>
          <t>Your ad will appear in approved installation facilities.</t>
        </is>
      </c>
      <c r="L287" s="11" t="n">
        <v>1</v>
      </c>
      <c r="M287" s="12" t="n">
        <v>800</v>
      </c>
      <c r="N287" s="12" t="n">
        <v>2400</v>
      </c>
      <c r="O287" s="12" t="n">
        <v>4800</v>
      </c>
      <c r="P287" s="12" t="n">
        <v>9600</v>
      </c>
      <c r="Q287" s="12" t="n"/>
      <c r="R287" s="13">
        <f>IF(ISNUMBER(M287),ROUND(M287/(1-Settings!$B$2)/Settings!$B$3,0)*Settings!$B$3,"")</f>
        <v/>
      </c>
      <c r="S287" s="13">
        <f>IF(ISNUMBER(N287),ROUND(N287/(1-Settings!$B$2)/Settings!$B$3,0)*Settings!$B$3,"")</f>
        <v/>
      </c>
      <c r="T287" s="13">
        <f>IF(ISNUMBER(O287),ROUND(O287/(1-Settings!$B$2)/Settings!$B$3,0)*Settings!$B$3,"")</f>
        <v/>
      </c>
      <c r="U287" s="13">
        <f>IF(ISNUMBER(P287),ROUND(P287/(1-Settings!$B$2)/Settings!$B$3,0)*Settings!$B$3,"")</f>
        <v/>
      </c>
      <c r="V287" s="13">
        <f>IF(ISNUMBER(Q287),ROUND(Q287/(1-Settings!$B$2)/Settings!$B$3,0)*Settings!$B$3,"")</f>
        <v/>
      </c>
      <c r="W287" s="14" t="n"/>
      <c r="X287" s="14" t="n"/>
      <c r="Y287" s="11" t="inlineStr"/>
      <c r="Z287" s="11" t="inlineStr"/>
      <c r="AA287" s="8" t="inlineStr"/>
      <c r="AB287" s="8" t="inlineStr"/>
      <c r="AC287" s="11" t="inlineStr">
        <is>
          <t>MasterMilitaryOnBaseList 12.2.25 NS.xlsx</t>
        </is>
      </c>
      <c r="AD287" s="11" t="inlineStr">
        <is>
          <t>NBVC Advertising Brochure.pdf</t>
        </is>
      </c>
      <c r="AE287" s="15" t="inlineStr">
        <is>
          <t>Open in Box</t>
        </is>
      </c>
      <c r="AF287" s="15" t="inlineStr">
        <is>
          <t>Open in Box</t>
        </is>
      </c>
    </row>
    <row r="288">
      <c r="A288" s="11" t="inlineStr">
        <is>
          <t>CA-NBVCPORT-051</t>
        </is>
      </c>
      <c r="B288" s="8" t="inlineStr">
        <is>
          <t>NBVC Port Hueneme NCBC</t>
        </is>
      </c>
      <c r="C288" s="11" t="inlineStr">
        <is>
          <t>Naval Base Ventura County</t>
        </is>
      </c>
      <c r="D288" s="11" t="inlineStr">
        <is>
          <t>CA</t>
        </is>
      </c>
      <c r="E288" s="11" t="inlineStr">
        <is>
          <t>Los Angeles</t>
        </is>
      </c>
      <c r="F288" s="11" t="inlineStr">
        <is>
          <t>93043</t>
        </is>
      </c>
      <c r="G288" s="11" t="inlineStr">
        <is>
          <t>Navy</t>
        </is>
      </c>
      <c r="H288" s="11" t="inlineStr">
        <is>
          <t>Large Format</t>
        </is>
      </c>
      <c r="I288" s="8" t="inlineStr">
        <is>
          <t>Wall Wrap - Point Mugu Gym Parking Lot</t>
        </is>
      </c>
      <c r="J288" s="11" t="inlineStr">
        <is>
          <t>8' x 7.5'</t>
        </is>
      </c>
      <c r="K288" s="8" t="inlineStr">
        <is>
          <t>Your ad will appear in approved installation facilities.</t>
        </is>
      </c>
      <c r="L288" s="11" t="n">
        <v>1</v>
      </c>
      <c r="M288" s="12" t="n">
        <v>675</v>
      </c>
      <c r="N288" s="12" t="n">
        <v>2025</v>
      </c>
      <c r="O288" s="12" t="n">
        <v>4050</v>
      </c>
      <c r="P288" s="12" t="n">
        <v>8100</v>
      </c>
      <c r="Q288" s="12" t="n"/>
      <c r="R288" s="13">
        <f>IF(ISNUMBER(M288),ROUND(M288/(1-Settings!$B$2)/Settings!$B$3,0)*Settings!$B$3,"")</f>
        <v/>
      </c>
      <c r="S288" s="13">
        <f>IF(ISNUMBER(N288),ROUND(N288/(1-Settings!$B$2)/Settings!$B$3,0)*Settings!$B$3,"")</f>
        <v/>
      </c>
      <c r="T288" s="13">
        <f>IF(ISNUMBER(O288),ROUND(O288/(1-Settings!$B$2)/Settings!$B$3,0)*Settings!$B$3,"")</f>
        <v/>
      </c>
      <c r="U288" s="13">
        <f>IF(ISNUMBER(P288),ROUND(P288/(1-Settings!$B$2)/Settings!$B$3,0)*Settings!$B$3,"")</f>
        <v/>
      </c>
      <c r="V288" s="13">
        <f>IF(ISNUMBER(Q288),ROUND(Q288/(1-Settings!$B$2)/Settings!$B$3,0)*Settings!$B$3,"")</f>
        <v/>
      </c>
      <c r="W288" s="14" t="n"/>
      <c r="X288" s="14" t="n"/>
      <c r="Y288" s="11" t="inlineStr"/>
      <c r="Z288" s="11" t="inlineStr"/>
      <c r="AA288" s="8" t="inlineStr"/>
      <c r="AB288" s="8" t="inlineStr"/>
      <c r="AC288" s="11" t="inlineStr">
        <is>
          <t>MasterMilitaryOnBaseList 12.2.25 NS.xlsx</t>
        </is>
      </c>
      <c r="AD288" s="11" t="inlineStr">
        <is>
          <t>NBVC Advertising Brochure.pdf</t>
        </is>
      </c>
      <c r="AE288" s="15" t="inlineStr">
        <is>
          <t>Open in Box</t>
        </is>
      </c>
      <c r="AF288" s="15" t="inlineStr">
        <is>
          <t>Open in Box</t>
        </is>
      </c>
    </row>
    <row r="289">
      <c r="A289" s="11" t="inlineStr">
        <is>
          <t>CA-NBVCPORT-052</t>
        </is>
      </c>
      <c r="B289" s="8" t="inlineStr">
        <is>
          <t>NBVC Port Hueneme NCBC</t>
        </is>
      </c>
      <c r="C289" s="11" t="inlineStr">
        <is>
          <t>Naval Base Ventura County</t>
        </is>
      </c>
      <c r="D289" s="11" t="inlineStr">
        <is>
          <t>CA</t>
        </is>
      </c>
      <c r="E289" s="11" t="inlineStr">
        <is>
          <t>Los Angeles</t>
        </is>
      </c>
      <c r="F289" s="11" t="inlineStr">
        <is>
          <t>93043</t>
        </is>
      </c>
      <c r="G289" s="11" t="inlineStr">
        <is>
          <t>Navy</t>
        </is>
      </c>
      <c r="H289" s="11" t="inlineStr">
        <is>
          <t>Large Format</t>
        </is>
      </c>
      <c r="I289" s="8" t="inlineStr">
        <is>
          <t>Wall Wrap - Stinger Fields Snack Bar Wall 1</t>
        </is>
      </c>
      <c r="J289" s="11" t="inlineStr">
        <is>
          <t>8' x 27'</t>
        </is>
      </c>
      <c r="K289" s="8" t="inlineStr">
        <is>
          <t>Your ad will appear in approved installation facilities.</t>
        </is>
      </c>
      <c r="L289" s="11" t="n">
        <v>1</v>
      </c>
      <c r="M289" s="12" t="n">
        <v>2375</v>
      </c>
      <c r="N289" s="12" t="n">
        <v>7125</v>
      </c>
      <c r="O289" s="12" t="n">
        <v>14250</v>
      </c>
      <c r="P289" s="12" t="n">
        <v>28500</v>
      </c>
      <c r="Q289" s="12" t="n"/>
      <c r="R289" s="13">
        <f>IF(ISNUMBER(M289),ROUND(M289/(1-Settings!$B$2)/Settings!$B$3,0)*Settings!$B$3,"")</f>
        <v/>
      </c>
      <c r="S289" s="13">
        <f>IF(ISNUMBER(N289),ROUND(N289/(1-Settings!$B$2)/Settings!$B$3,0)*Settings!$B$3,"")</f>
        <v/>
      </c>
      <c r="T289" s="13">
        <f>IF(ISNUMBER(O289),ROUND(O289/(1-Settings!$B$2)/Settings!$B$3,0)*Settings!$B$3,"")</f>
        <v/>
      </c>
      <c r="U289" s="13">
        <f>IF(ISNUMBER(P289),ROUND(P289/(1-Settings!$B$2)/Settings!$B$3,0)*Settings!$B$3,"")</f>
        <v/>
      </c>
      <c r="V289" s="13">
        <f>IF(ISNUMBER(Q289),ROUND(Q289/(1-Settings!$B$2)/Settings!$B$3,0)*Settings!$B$3,"")</f>
        <v/>
      </c>
      <c r="W289" s="14" t="n"/>
      <c r="X289" s="14" t="n"/>
      <c r="Y289" s="11" t="inlineStr"/>
      <c r="Z289" s="11" t="inlineStr"/>
      <c r="AA289" s="8" t="inlineStr"/>
      <c r="AB289" s="8" t="inlineStr"/>
      <c r="AC289" s="11" t="inlineStr">
        <is>
          <t>MasterMilitaryOnBaseList 12.2.25 NS.xlsx</t>
        </is>
      </c>
      <c r="AD289" s="11" t="inlineStr">
        <is>
          <t>NBVC Advertising Brochure.pdf</t>
        </is>
      </c>
      <c r="AE289" s="15" t="inlineStr">
        <is>
          <t>Open in Box</t>
        </is>
      </c>
      <c r="AF289" s="15" t="inlineStr">
        <is>
          <t>Open in Box</t>
        </is>
      </c>
    </row>
    <row r="290">
      <c r="A290" s="11" t="inlineStr">
        <is>
          <t>CA-NBVCPORT-053</t>
        </is>
      </c>
      <c r="B290" s="8" t="inlineStr">
        <is>
          <t>NBVC Port Hueneme NCBC</t>
        </is>
      </c>
      <c r="C290" s="11" t="inlineStr">
        <is>
          <t>Naval Base Ventura County</t>
        </is>
      </c>
      <c r="D290" s="11" t="inlineStr">
        <is>
          <t>CA</t>
        </is>
      </c>
      <c r="E290" s="11" t="inlineStr">
        <is>
          <t>Los Angeles</t>
        </is>
      </c>
      <c r="F290" s="11" t="inlineStr">
        <is>
          <t>93043</t>
        </is>
      </c>
      <c r="G290" s="11" t="inlineStr">
        <is>
          <t>Navy</t>
        </is>
      </c>
      <c r="H290" s="11" t="inlineStr">
        <is>
          <t>Large Format</t>
        </is>
      </c>
      <c r="I290" s="8" t="inlineStr">
        <is>
          <t>Wall Wrap - Stinger Fields Snack Bar Wall 2</t>
        </is>
      </c>
      <c r="J290" s="11" t="inlineStr">
        <is>
          <t>8.5' x 20'</t>
        </is>
      </c>
      <c r="K290" s="8" t="inlineStr">
        <is>
          <t>Your ad will appear in approved installation facilities.</t>
        </is>
      </c>
      <c r="L290" s="11" t="n">
        <v>1</v>
      </c>
      <c r="M290" s="12" t="n">
        <v>975</v>
      </c>
      <c r="N290" s="12" t="n">
        <v>2925</v>
      </c>
      <c r="O290" s="12" t="n">
        <v>5850</v>
      </c>
      <c r="P290" s="12" t="n">
        <v>11700</v>
      </c>
      <c r="Q290" s="12" t="n"/>
      <c r="R290" s="13">
        <f>IF(ISNUMBER(M290),ROUND(M290/(1-Settings!$B$2)/Settings!$B$3,0)*Settings!$B$3,"")</f>
        <v/>
      </c>
      <c r="S290" s="13">
        <f>IF(ISNUMBER(N290),ROUND(N290/(1-Settings!$B$2)/Settings!$B$3,0)*Settings!$B$3,"")</f>
        <v/>
      </c>
      <c r="T290" s="13">
        <f>IF(ISNUMBER(O290),ROUND(O290/(1-Settings!$B$2)/Settings!$B$3,0)*Settings!$B$3,"")</f>
        <v/>
      </c>
      <c r="U290" s="13">
        <f>IF(ISNUMBER(P290),ROUND(P290/(1-Settings!$B$2)/Settings!$B$3,0)*Settings!$B$3,"")</f>
        <v/>
      </c>
      <c r="V290" s="13">
        <f>IF(ISNUMBER(Q290),ROUND(Q290/(1-Settings!$B$2)/Settings!$B$3,0)*Settings!$B$3,"")</f>
        <v/>
      </c>
      <c r="W290" s="14" t="n"/>
      <c r="X290" s="14" t="n"/>
      <c r="Y290" s="11" t="inlineStr"/>
      <c r="Z290" s="11" t="inlineStr"/>
      <c r="AA290" s="8" t="inlineStr"/>
      <c r="AB290" s="8" t="inlineStr"/>
      <c r="AC290" s="11" t="inlineStr">
        <is>
          <t>MasterMilitaryOnBaseList 12.2.25 NS.xlsx</t>
        </is>
      </c>
      <c r="AD290" s="11" t="inlineStr">
        <is>
          <t>NBVC Advertising Brochure.pdf</t>
        </is>
      </c>
      <c r="AE290" s="15" t="inlineStr">
        <is>
          <t>Open in Box</t>
        </is>
      </c>
      <c r="AF290" s="15" t="inlineStr">
        <is>
          <t>Open in Box</t>
        </is>
      </c>
    </row>
    <row r="291">
      <c r="A291" s="11" t="inlineStr">
        <is>
          <t>CA-NBVCPORT-054</t>
        </is>
      </c>
      <c r="B291" s="8" t="inlineStr">
        <is>
          <t>NBVC Port Hueneme NCBC</t>
        </is>
      </c>
      <c r="C291" s="11" t="inlineStr">
        <is>
          <t>Naval Base Ventura County</t>
        </is>
      </c>
      <c r="D291" s="11" t="inlineStr">
        <is>
          <t>CA</t>
        </is>
      </c>
      <c r="E291" s="11" t="inlineStr">
        <is>
          <t>Los Angeles</t>
        </is>
      </c>
      <c r="F291" s="11" t="inlineStr">
        <is>
          <t>93043</t>
        </is>
      </c>
      <c r="G291" s="11" t="inlineStr">
        <is>
          <t>Navy</t>
        </is>
      </c>
      <c r="H291" s="11" t="inlineStr">
        <is>
          <t>Large Format</t>
        </is>
      </c>
      <c r="I291" s="8" t="inlineStr">
        <is>
          <t>Wall Wrap - Warfield Gym Cardio Room</t>
        </is>
      </c>
      <c r="J291" s="11" t="inlineStr">
        <is>
          <t>23" x 6'</t>
        </is>
      </c>
      <c r="K291" s="8" t="inlineStr">
        <is>
          <t>Your ad will appear in approved installation facilities.</t>
        </is>
      </c>
      <c r="L291" s="11" t="n">
        <v>1</v>
      </c>
      <c r="M291" s="12" t="n">
        <v>500</v>
      </c>
      <c r="N291" s="12" t="n">
        <v>1500</v>
      </c>
      <c r="O291" s="12" t="n">
        <v>3000</v>
      </c>
      <c r="P291" s="12" t="n">
        <v>6000</v>
      </c>
      <c r="Q291" s="12" t="n"/>
      <c r="R291" s="13">
        <f>IF(ISNUMBER(M291),ROUND(M291/(1-Settings!$B$2)/Settings!$B$3,0)*Settings!$B$3,"")</f>
        <v/>
      </c>
      <c r="S291" s="13">
        <f>IF(ISNUMBER(N291),ROUND(N291/(1-Settings!$B$2)/Settings!$B$3,0)*Settings!$B$3,"")</f>
        <v/>
      </c>
      <c r="T291" s="13">
        <f>IF(ISNUMBER(O291),ROUND(O291/(1-Settings!$B$2)/Settings!$B$3,0)*Settings!$B$3,"")</f>
        <v/>
      </c>
      <c r="U291" s="13">
        <f>IF(ISNUMBER(P291),ROUND(P291/(1-Settings!$B$2)/Settings!$B$3,0)*Settings!$B$3,"")</f>
        <v/>
      </c>
      <c r="V291" s="13">
        <f>IF(ISNUMBER(Q291),ROUND(Q291/(1-Settings!$B$2)/Settings!$B$3,0)*Settings!$B$3,"")</f>
        <v/>
      </c>
      <c r="W291" s="14" t="n"/>
      <c r="X291" s="14" t="n"/>
      <c r="Y291" s="11" t="inlineStr"/>
      <c r="Z291" s="11" t="inlineStr"/>
      <c r="AA291" s="8" t="inlineStr"/>
      <c r="AB291" s="8" t="inlineStr"/>
      <c r="AC291" s="11" t="inlineStr">
        <is>
          <t>MasterMilitaryOnBaseList 12.2.25 NS.xlsx</t>
        </is>
      </c>
      <c r="AD291" s="11" t="inlineStr">
        <is>
          <t>NBVC Advertising Brochure.pdf</t>
        </is>
      </c>
      <c r="AE291" s="15" t="inlineStr">
        <is>
          <t>Open in Box</t>
        </is>
      </c>
      <c r="AF291" s="15" t="inlineStr">
        <is>
          <t>Open in Box</t>
        </is>
      </c>
    </row>
    <row r="292">
      <c r="A292" s="11" t="inlineStr">
        <is>
          <t>CA-NBVCPORT-055</t>
        </is>
      </c>
      <c r="B292" s="8" t="inlineStr">
        <is>
          <t>NBVC Port Hueneme NCBC</t>
        </is>
      </c>
      <c r="C292" s="11" t="inlineStr">
        <is>
          <t>Naval Base Ventura County</t>
        </is>
      </c>
      <c r="D292" s="11" t="inlineStr">
        <is>
          <t>CA</t>
        </is>
      </c>
      <c r="E292" s="11" t="inlineStr">
        <is>
          <t>Los Angeles</t>
        </is>
      </c>
      <c r="F292" s="11" t="inlineStr">
        <is>
          <t>93043</t>
        </is>
      </c>
      <c r="G292" s="11" t="inlineStr">
        <is>
          <t>Navy</t>
        </is>
      </c>
      <c r="H292" s="11" t="inlineStr">
        <is>
          <t>Large Format</t>
        </is>
      </c>
      <c r="I292" s="8" t="inlineStr">
        <is>
          <t>Wall Wrap - Warfield Gym Check-in Wall</t>
        </is>
      </c>
      <c r="J292" s="11" t="inlineStr">
        <is>
          <t>7' x 12'</t>
        </is>
      </c>
      <c r="K292" s="8" t="inlineStr">
        <is>
          <t>Your ad will appear in approved installation facilities.</t>
        </is>
      </c>
      <c r="L292" s="11" t="n">
        <v>1</v>
      </c>
      <c r="M292" s="12" t="n">
        <v>925</v>
      </c>
      <c r="N292" s="12" t="n">
        <v>2775</v>
      </c>
      <c r="O292" s="12" t="n">
        <v>5550</v>
      </c>
      <c r="P292" s="12" t="n">
        <v>11100</v>
      </c>
      <c r="Q292" s="12" t="n"/>
      <c r="R292" s="13">
        <f>IF(ISNUMBER(M292),ROUND(M292/(1-Settings!$B$2)/Settings!$B$3,0)*Settings!$B$3,"")</f>
        <v/>
      </c>
      <c r="S292" s="13">
        <f>IF(ISNUMBER(N292),ROUND(N292/(1-Settings!$B$2)/Settings!$B$3,0)*Settings!$B$3,"")</f>
        <v/>
      </c>
      <c r="T292" s="13">
        <f>IF(ISNUMBER(O292),ROUND(O292/(1-Settings!$B$2)/Settings!$B$3,0)*Settings!$B$3,"")</f>
        <v/>
      </c>
      <c r="U292" s="13">
        <f>IF(ISNUMBER(P292),ROUND(P292/(1-Settings!$B$2)/Settings!$B$3,0)*Settings!$B$3,"")</f>
        <v/>
      </c>
      <c r="V292" s="13">
        <f>IF(ISNUMBER(Q292),ROUND(Q292/(1-Settings!$B$2)/Settings!$B$3,0)*Settings!$B$3,"")</f>
        <v/>
      </c>
      <c r="W292" s="14" t="n"/>
      <c r="X292" s="14" t="n"/>
      <c r="Y292" s="11" t="inlineStr"/>
      <c r="Z292" s="11" t="inlineStr"/>
      <c r="AA292" s="8" t="inlineStr"/>
      <c r="AB292" s="8" t="inlineStr"/>
      <c r="AC292" s="11" t="inlineStr">
        <is>
          <t>MasterMilitaryOnBaseList 12.2.25 NS.xlsx</t>
        </is>
      </c>
      <c r="AD292" s="11" t="inlineStr">
        <is>
          <t>NBVC Advertising Brochure.pdf</t>
        </is>
      </c>
      <c r="AE292" s="15" t="inlineStr">
        <is>
          <t>Open in Box</t>
        </is>
      </c>
      <c r="AF292" s="15" t="inlineStr">
        <is>
          <t>Open in Box</t>
        </is>
      </c>
    </row>
    <row r="293">
      <c r="A293" s="11" t="inlineStr">
        <is>
          <t>CA-NBVCPORT-056</t>
        </is>
      </c>
      <c r="B293" s="8" t="inlineStr">
        <is>
          <t>NBVC Port Hueneme NCBC</t>
        </is>
      </c>
      <c r="C293" s="11" t="inlineStr">
        <is>
          <t>Naval Base Ventura County</t>
        </is>
      </c>
      <c r="D293" s="11" t="inlineStr">
        <is>
          <t>CA</t>
        </is>
      </c>
      <c r="E293" s="11" t="inlineStr">
        <is>
          <t>Los Angeles</t>
        </is>
      </c>
      <c r="F293" s="11" t="inlineStr">
        <is>
          <t>93043</t>
        </is>
      </c>
      <c r="G293" s="11" t="inlineStr">
        <is>
          <t>Navy</t>
        </is>
      </c>
      <c r="H293" s="11" t="inlineStr">
        <is>
          <t>Large Format</t>
        </is>
      </c>
      <c r="I293" s="8" t="inlineStr">
        <is>
          <t>Wall Wrap - Warfield Gym Weight Room</t>
        </is>
      </c>
      <c r="J293" s="11" t="inlineStr">
        <is>
          <t>5' x 12'</t>
        </is>
      </c>
      <c r="K293" s="8" t="inlineStr">
        <is>
          <t>Your ad will appear in approved installation facilities.</t>
        </is>
      </c>
      <c r="L293" s="11" t="n">
        <v>1</v>
      </c>
      <c r="M293" s="12" t="n">
        <v>1325</v>
      </c>
      <c r="N293" s="12" t="n">
        <v>3975</v>
      </c>
      <c r="O293" s="12" t="n">
        <v>7950</v>
      </c>
      <c r="P293" s="12" t="n">
        <v>15900</v>
      </c>
      <c r="Q293" s="12" t="n"/>
      <c r="R293" s="13">
        <f>IF(ISNUMBER(M293),ROUND(M293/(1-Settings!$B$2)/Settings!$B$3,0)*Settings!$B$3,"")</f>
        <v/>
      </c>
      <c r="S293" s="13">
        <f>IF(ISNUMBER(N293),ROUND(N293/(1-Settings!$B$2)/Settings!$B$3,0)*Settings!$B$3,"")</f>
        <v/>
      </c>
      <c r="T293" s="13">
        <f>IF(ISNUMBER(O293),ROUND(O293/(1-Settings!$B$2)/Settings!$B$3,0)*Settings!$B$3,"")</f>
        <v/>
      </c>
      <c r="U293" s="13">
        <f>IF(ISNUMBER(P293),ROUND(P293/(1-Settings!$B$2)/Settings!$B$3,0)*Settings!$B$3,"")</f>
        <v/>
      </c>
      <c r="V293" s="13">
        <f>IF(ISNUMBER(Q293),ROUND(Q293/(1-Settings!$B$2)/Settings!$B$3,0)*Settings!$B$3,"")</f>
        <v/>
      </c>
      <c r="W293" s="14" t="n"/>
      <c r="X293" s="14" t="n"/>
      <c r="Y293" s="11" t="inlineStr"/>
      <c r="Z293" s="11" t="inlineStr"/>
      <c r="AA293" s="8" t="inlineStr"/>
      <c r="AB293" s="8" t="inlineStr"/>
      <c r="AC293" s="11" t="inlineStr">
        <is>
          <t>MasterMilitaryOnBaseList 12.2.25 NS.xlsx</t>
        </is>
      </c>
      <c r="AD293" s="11" t="inlineStr">
        <is>
          <t>NBVC Advertising Brochure.pdf</t>
        </is>
      </c>
      <c r="AE293" s="15" t="inlineStr">
        <is>
          <t>Open in Box</t>
        </is>
      </c>
      <c r="AF293" s="15" t="inlineStr">
        <is>
          <t>Open in Box</t>
        </is>
      </c>
    </row>
    <row r="294">
      <c r="A294" s="11" t="inlineStr">
        <is>
          <t>CA-NBVCPORT-057</t>
        </is>
      </c>
      <c r="B294" s="8" t="inlineStr">
        <is>
          <t>NBVC Port Hueneme NCBC</t>
        </is>
      </c>
      <c r="C294" s="11" t="inlineStr">
        <is>
          <t>Naval Base Ventura County</t>
        </is>
      </c>
      <c r="D294" s="11" t="inlineStr">
        <is>
          <t>CA</t>
        </is>
      </c>
      <c r="E294" s="11" t="inlineStr">
        <is>
          <t>Los Angeles</t>
        </is>
      </c>
      <c r="F294" s="11" t="inlineStr">
        <is>
          <t>93043</t>
        </is>
      </c>
      <c r="G294" s="11" t="inlineStr">
        <is>
          <t>Navy</t>
        </is>
      </c>
      <c r="H294" s="11" t="inlineStr">
        <is>
          <t>Large Format</t>
        </is>
      </c>
      <c r="I294" s="8" t="inlineStr">
        <is>
          <t>Wall Wrap -Bee Fit Gym Spin Room</t>
        </is>
      </c>
      <c r="J294" s="11" t="inlineStr">
        <is>
          <t>11' x 13'</t>
        </is>
      </c>
      <c r="K294" s="8" t="inlineStr">
        <is>
          <t>Your ad will appear in approved installation facilities.</t>
        </is>
      </c>
      <c r="L294" s="11" t="n">
        <v>1</v>
      </c>
      <c r="M294" s="12" t="n">
        <v>1575</v>
      </c>
      <c r="N294" s="12" t="n">
        <v>4725</v>
      </c>
      <c r="O294" s="12" t="n">
        <v>9450</v>
      </c>
      <c r="P294" s="12" t="n">
        <v>18900</v>
      </c>
      <c r="Q294" s="12" t="n">
        <v>0</v>
      </c>
      <c r="R294" s="13">
        <f>IF(ISNUMBER(M294),ROUND(M294/(1-Settings!$B$2)/Settings!$B$3,0)*Settings!$B$3,"")</f>
        <v/>
      </c>
      <c r="S294" s="13">
        <f>IF(ISNUMBER(N294),ROUND(N294/(1-Settings!$B$2)/Settings!$B$3,0)*Settings!$B$3,"")</f>
        <v/>
      </c>
      <c r="T294" s="13">
        <f>IF(ISNUMBER(O294),ROUND(O294/(1-Settings!$B$2)/Settings!$B$3,0)*Settings!$B$3,"")</f>
        <v/>
      </c>
      <c r="U294" s="13">
        <f>IF(ISNUMBER(P294),ROUND(P294/(1-Settings!$B$2)/Settings!$B$3,0)*Settings!$B$3,"")</f>
        <v/>
      </c>
      <c r="V294" s="13">
        <f>IF(ISNUMBER(Q294),ROUND(Q294/(1-Settings!$B$2)/Settings!$B$3,0)*Settings!$B$3,"")</f>
        <v/>
      </c>
      <c r="W294" s="14" t="n"/>
      <c r="X294" s="14" t="n"/>
      <c r="Y294" s="11" t="inlineStr"/>
      <c r="Z294" s="11" t="inlineStr"/>
      <c r="AA294" s="8" t="inlineStr"/>
      <c r="AB294" s="8" t="inlineStr"/>
      <c r="AC294" s="11" t="inlineStr">
        <is>
          <t>MasterMilitaryOnBaseList 12.2.25 NS.xlsx</t>
        </is>
      </c>
      <c r="AD294" s="11" t="inlineStr">
        <is>
          <t>NBVC Advertising Brochure.pdf</t>
        </is>
      </c>
      <c r="AE294" s="15" t="inlineStr">
        <is>
          <t>Open in Box</t>
        </is>
      </c>
      <c r="AF294" s="15" t="inlineStr">
        <is>
          <t>Open in Box</t>
        </is>
      </c>
    </row>
    <row r="295">
      <c r="A295" s="11" t="inlineStr">
        <is>
          <t>CA-NBVCPORT-058</t>
        </is>
      </c>
      <c r="B295" s="8" t="inlineStr">
        <is>
          <t>NBVC Port Hueneme NCBC</t>
        </is>
      </c>
      <c r="C295" s="11" t="inlineStr">
        <is>
          <t>Naval Base Ventura County</t>
        </is>
      </c>
      <c r="D295" s="11" t="inlineStr">
        <is>
          <t>CA</t>
        </is>
      </c>
      <c r="E295" s="11" t="inlineStr">
        <is>
          <t>Los Angeles</t>
        </is>
      </c>
      <c r="F295" s="11" t="inlineStr">
        <is>
          <t>93043</t>
        </is>
      </c>
      <c r="G295" s="11" t="inlineStr">
        <is>
          <t>Navy</t>
        </is>
      </c>
      <c r="H295" s="11" t="inlineStr">
        <is>
          <t>Large Format</t>
        </is>
      </c>
      <c r="I295" s="8" t="inlineStr">
        <is>
          <t>Window Wrap - Mugu Rock Recreation Center Entrance</t>
        </is>
      </c>
      <c r="J295" s="11" t="inlineStr">
        <is>
          <t>4.5' x 3.5'</t>
        </is>
      </c>
      <c r="K295" s="8" t="inlineStr">
        <is>
          <t>Your ad will appear in approved installation facilities.</t>
        </is>
      </c>
      <c r="L295" s="11" t="n">
        <v>1</v>
      </c>
      <c r="M295" s="12" t="n">
        <v>800</v>
      </c>
      <c r="N295" s="12" t="n">
        <v>2400</v>
      </c>
      <c r="O295" s="12" t="n">
        <v>4800</v>
      </c>
      <c r="P295" s="12" t="n">
        <v>9600</v>
      </c>
      <c r="Q295" s="12" t="n"/>
      <c r="R295" s="13">
        <f>IF(ISNUMBER(M295),ROUND(M295/(1-Settings!$B$2)/Settings!$B$3,0)*Settings!$B$3,"")</f>
        <v/>
      </c>
      <c r="S295" s="13">
        <f>IF(ISNUMBER(N295),ROUND(N295/(1-Settings!$B$2)/Settings!$B$3,0)*Settings!$B$3,"")</f>
        <v/>
      </c>
      <c r="T295" s="13">
        <f>IF(ISNUMBER(O295),ROUND(O295/(1-Settings!$B$2)/Settings!$B$3,0)*Settings!$B$3,"")</f>
        <v/>
      </c>
      <c r="U295" s="13">
        <f>IF(ISNUMBER(P295),ROUND(P295/(1-Settings!$B$2)/Settings!$B$3,0)*Settings!$B$3,"")</f>
        <v/>
      </c>
      <c r="V295" s="13">
        <f>IF(ISNUMBER(Q295),ROUND(Q295/(1-Settings!$B$2)/Settings!$B$3,0)*Settings!$B$3,"")</f>
        <v/>
      </c>
      <c r="W295" s="14" t="n"/>
      <c r="X295" s="14" t="n"/>
      <c r="Y295" s="11" t="inlineStr"/>
      <c r="Z295" s="11" t="inlineStr"/>
      <c r="AA295" s="8" t="inlineStr"/>
      <c r="AB295" s="8" t="inlineStr"/>
      <c r="AC295" s="11" t="inlineStr">
        <is>
          <t>MasterMilitaryOnBaseList 12.2.25 NS.xlsx</t>
        </is>
      </c>
      <c r="AD295" s="11" t="inlineStr">
        <is>
          <t>NBVC Advertising Brochure.pdf</t>
        </is>
      </c>
      <c r="AE295" s="15" t="inlineStr">
        <is>
          <t>Open in Box</t>
        </is>
      </c>
      <c r="AF295" s="15" t="inlineStr">
        <is>
          <t>Open in Box</t>
        </is>
      </c>
    </row>
    <row r="296">
      <c r="A296" s="11" t="inlineStr">
        <is>
          <t>CA-NBVCPORT-059</t>
        </is>
      </c>
      <c r="B296" s="8" t="inlineStr">
        <is>
          <t>NBVC Port Hueneme NCBC</t>
        </is>
      </c>
      <c r="C296" s="11" t="inlineStr">
        <is>
          <t>Naval Base Ventura County</t>
        </is>
      </c>
      <c r="D296" s="11" t="inlineStr">
        <is>
          <t>CA</t>
        </is>
      </c>
      <c r="E296" s="11" t="inlineStr">
        <is>
          <t>Los Angeles</t>
        </is>
      </c>
      <c r="F296" s="11" t="inlineStr">
        <is>
          <t>93043</t>
        </is>
      </c>
      <c r="G296" s="11" t="inlineStr">
        <is>
          <t>Navy</t>
        </is>
      </c>
      <c r="H296" s="11" t="inlineStr">
        <is>
          <t>Large Format</t>
        </is>
      </c>
      <c r="I296" s="8" t="inlineStr">
        <is>
          <t>Window Wrap - Ticket Office Counter</t>
        </is>
      </c>
      <c r="J296" s="11" t="inlineStr">
        <is>
          <t>64"W x 64"H</t>
        </is>
      </c>
      <c r="K296" s="8" t="inlineStr">
        <is>
          <t>Your ad will appear in approved installation facilities.</t>
        </is>
      </c>
      <c r="L296" s="11" t="n">
        <v>1</v>
      </c>
      <c r="M296" s="12" t="n">
        <v>325</v>
      </c>
      <c r="N296" s="12" t="n">
        <v>975</v>
      </c>
      <c r="O296" s="12" t="n">
        <v>1950</v>
      </c>
      <c r="P296" s="12" t="n">
        <v>3900</v>
      </c>
      <c r="Q296" s="12" t="n">
        <v>0</v>
      </c>
      <c r="R296" s="13">
        <f>IF(ISNUMBER(M296),ROUND(M296/(1-Settings!$B$2)/Settings!$B$3,0)*Settings!$B$3,"")</f>
        <v/>
      </c>
      <c r="S296" s="13">
        <f>IF(ISNUMBER(N296),ROUND(N296/(1-Settings!$B$2)/Settings!$B$3,0)*Settings!$B$3,"")</f>
        <v/>
      </c>
      <c r="T296" s="13">
        <f>IF(ISNUMBER(O296),ROUND(O296/(1-Settings!$B$2)/Settings!$B$3,0)*Settings!$B$3,"")</f>
        <v/>
      </c>
      <c r="U296" s="13">
        <f>IF(ISNUMBER(P296),ROUND(P296/(1-Settings!$B$2)/Settings!$B$3,0)*Settings!$B$3,"")</f>
        <v/>
      </c>
      <c r="V296" s="13">
        <f>IF(ISNUMBER(Q296),ROUND(Q296/(1-Settings!$B$2)/Settings!$B$3,0)*Settings!$B$3,"")</f>
        <v/>
      </c>
      <c r="W296" s="14" t="n"/>
      <c r="X296" s="14" t="n"/>
      <c r="Y296" s="11" t="inlineStr"/>
      <c r="Z296" s="11" t="inlineStr"/>
      <c r="AA296" s="8" t="inlineStr"/>
      <c r="AB296" s="8" t="inlineStr"/>
      <c r="AC296" s="11" t="inlineStr">
        <is>
          <t>MasterMilitaryOnBaseList 12.2.25 NS.xlsx</t>
        </is>
      </c>
      <c r="AD296" s="11" t="inlineStr">
        <is>
          <t>NBVC Advertising Brochure.pdf</t>
        </is>
      </c>
      <c r="AE296" s="15" t="inlineStr">
        <is>
          <t>Open in Box</t>
        </is>
      </c>
      <c r="AF296" s="15" t="inlineStr">
        <is>
          <t>Open in Box</t>
        </is>
      </c>
    </row>
    <row r="297">
      <c r="A297" s="11" t="inlineStr">
        <is>
          <t>CA-NBVCPORT-060</t>
        </is>
      </c>
      <c r="B297" s="8" t="inlineStr">
        <is>
          <t>NBVC Port Hueneme NCBC</t>
        </is>
      </c>
      <c r="C297" s="11" t="inlineStr">
        <is>
          <t>Naval Base Ventura County</t>
        </is>
      </c>
      <c r="D297" s="11" t="inlineStr">
        <is>
          <t>CA</t>
        </is>
      </c>
      <c r="E297" s="11" t="inlineStr">
        <is>
          <t>Los Angeles</t>
        </is>
      </c>
      <c r="F297" s="11" t="inlineStr">
        <is>
          <t>93043</t>
        </is>
      </c>
      <c r="G297" s="11" t="inlineStr">
        <is>
          <t>Navy</t>
        </is>
      </c>
      <c r="H297" s="11" t="inlineStr">
        <is>
          <t>Large Format</t>
        </is>
      </c>
      <c r="I297" s="8" t="inlineStr">
        <is>
          <t>Window Wrap - Warfield Gym Entrance</t>
        </is>
      </c>
      <c r="J297" s="11" t="inlineStr">
        <is>
          <t>3' x 13'</t>
        </is>
      </c>
      <c r="K297" s="8" t="inlineStr">
        <is>
          <t>Your ad will appear in approved installation facilities.</t>
        </is>
      </c>
      <c r="L297" s="11" t="n">
        <v>1</v>
      </c>
      <c r="M297" s="12" t="n">
        <v>500</v>
      </c>
      <c r="N297" s="12" t="n">
        <v>1500</v>
      </c>
      <c r="O297" s="12" t="n">
        <v>3000</v>
      </c>
      <c r="P297" s="12" t="n">
        <v>6000</v>
      </c>
      <c r="Q297" s="12" t="n"/>
      <c r="R297" s="13">
        <f>IF(ISNUMBER(M297),ROUND(M297/(1-Settings!$B$2)/Settings!$B$3,0)*Settings!$B$3,"")</f>
        <v/>
      </c>
      <c r="S297" s="13">
        <f>IF(ISNUMBER(N297),ROUND(N297/(1-Settings!$B$2)/Settings!$B$3,0)*Settings!$B$3,"")</f>
        <v/>
      </c>
      <c r="T297" s="13">
        <f>IF(ISNUMBER(O297),ROUND(O297/(1-Settings!$B$2)/Settings!$B$3,0)*Settings!$B$3,"")</f>
        <v/>
      </c>
      <c r="U297" s="13">
        <f>IF(ISNUMBER(P297),ROUND(P297/(1-Settings!$B$2)/Settings!$B$3,0)*Settings!$B$3,"")</f>
        <v/>
      </c>
      <c r="V297" s="13">
        <f>IF(ISNUMBER(Q297),ROUND(Q297/(1-Settings!$B$2)/Settings!$B$3,0)*Settings!$B$3,"")</f>
        <v/>
      </c>
      <c r="W297" s="14" t="n"/>
      <c r="X297" s="14" t="n"/>
      <c r="Y297" s="11" t="inlineStr"/>
      <c r="Z297" s="11" t="inlineStr"/>
      <c r="AA297" s="8" t="inlineStr"/>
      <c r="AB297" s="8" t="inlineStr"/>
      <c r="AC297" s="11" t="inlineStr">
        <is>
          <t>MasterMilitaryOnBaseList 12.2.25 NS.xlsx</t>
        </is>
      </c>
      <c r="AD297" s="11" t="inlineStr">
        <is>
          <t>NBVC Advertising Brochure.pdf</t>
        </is>
      </c>
      <c r="AE297" s="15" t="inlineStr">
        <is>
          <t>Open in Box</t>
        </is>
      </c>
      <c r="AF297" s="15" t="inlineStr">
        <is>
          <t>Open in Box</t>
        </is>
      </c>
    </row>
    <row r="298">
      <c r="A298" s="11" t="inlineStr">
        <is>
          <t>CA-NBVCPORT-061</t>
        </is>
      </c>
      <c r="B298" s="8" t="inlineStr">
        <is>
          <t>NBVC Port Hueneme NCBC</t>
        </is>
      </c>
      <c r="C298" s="11" t="inlineStr">
        <is>
          <t>Naval Base Ventura County</t>
        </is>
      </c>
      <c r="D298" s="11" t="inlineStr">
        <is>
          <t>CA</t>
        </is>
      </c>
      <c r="E298" s="11" t="inlineStr">
        <is>
          <t>Los Angeles</t>
        </is>
      </c>
      <c r="F298" s="11" t="inlineStr">
        <is>
          <t>93043</t>
        </is>
      </c>
      <c r="G298" s="11" t="inlineStr">
        <is>
          <t>Navy</t>
        </is>
      </c>
      <c r="H298" s="11" t="inlineStr">
        <is>
          <t>Sponsorship &amp; Other</t>
        </is>
      </c>
      <c r="I298" s="8" t="inlineStr">
        <is>
          <t>Driving Range Dividers</t>
        </is>
      </c>
      <c r="J298" s="11" t="inlineStr">
        <is>
          <t>50"W x 12-30"H</t>
        </is>
      </c>
      <c r="K298" s="8" t="inlineStr">
        <is>
          <t>Your ad will appear on the NBVC Golf Course.</t>
        </is>
      </c>
      <c r="L298" s="11" t="n">
        <v>1</v>
      </c>
      <c r="M298" s="12" t="n">
        <v>900</v>
      </c>
      <c r="N298" s="12" t="n">
        <v>1800</v>
      </c>
      <c r="O298" s="12" t="n">
        <v>5400</v>
      </c>
      <c r="P298" s="12" t="n">
        <v>9600</v>
      </c>
      <c r="Q298" s="12" t="n">
        <v>0</v>
      </c>
      <c r="R298" s="13">
        <f>IF(ISNUMBER(M298),ROUND(M298/(1-Settings!$B$2)/Settings!$B$3,0)*Settings!$B$3,"")</f>
        <v/>
      </c>
      <c r="S298" s="13">
        <f>IF(ISNUMBER(N298),ROUND(N298/(1-Settings!$B$2)/Settings!$B$3,0)*Settings!$B$3,"")</f>
        <v/>
      </c>
      <c r="T298" s="13">
        <f>IF(ISNUMBER(O298),ROUND(O298/(1-Settings!$B$2)/Settings!$B$3,0)*Settings!$B$3,"")</f>
        <v/>
      </c>
      <c r="U298" s="13">
        <f>IF(ISNUMBER(P298),ROUND(P298/(1-Settings!$B$2)/Settings!$B$3,0)*Settings!$B$3,"")</f>
        <v/>
      </c>
      <c r="V298" s="13">
        <f>IF(ISNUMBER(Q298),ROUND(Q298/(1-Settings!$B$2)/Settings!$B$3,0)*Settings!$B$3,"")</f>
        <v/>
      </c>
      <c r="W298" s="14" t="n"/>
      <c r="X298" s="14" t="n"/>
      <c r="Y298" s="11" t="inlineStr"/>
      <c r="Z298" s="11" t="inlineStr"/>
      <c r="AA298" s="8" t="inlineStr"/>
      <c r="AB298" s="8" t="inlineStr"/>
      <c r="AC298" s="11" t="inlineStr">
        <is>
          <t>MasterMilitaryOnBaseList 12.2.25 NS.xlsx</t>
        </is>
      </c>
      <c r="AD298" s="11" t="inlineStr">
        <is>
          <t>NBVC Advertising Brochure.pdf</t>
        </is>
      </c>
      <c r="AE298" s="15" t="inlineStr">
        <is>
          <t>Open in Box</t>
        </is>
      </c>
      <c r="AF298" s="15" t="inlineStr">
        <is>
          <t>Open in Box</t>
        </is>
      </c>
    </row>
    <row r="299">
      <c r="A299" s="11" t="inlineStr">
        <is>
          <t>CA-NBVCPORT-062</t>
        </is>
      </c>
      <c r="B299" s="8" t="inlineStr">
        <is>
          <t>NBVC Port Hueneme NCBC</t>
        </is>
      </c>
      <c r="C299" s="11" t="inlineStr">
        <is>
          <t>Naval Base Ventura County</t>
        </is>
      </c>
      <c r="D299" s="11" t="inlineStr">
        <is>
          <t>CA</t>
        </is>
      </c>
      <c r="E299" s="11" t="inlineStr">
        <is>
          <t>Los Angeles</t>
        </is>
      </c>
      <c r="F299" s="11" t="inlineStr">
        <is>
          <t>93043</t>
        </is>
      </c>
      <c r="G299" s="11" t="inlineStr">
        <is>
          <t>Navy</t>
        </is>
      </c>
      <c r="H299" s="11" t="inlineStr">
        <is>
          <t>Sponsorship &amp; Other</t>
        </is>
      </c>
      <c r="I299" s="8" t="inlineStr">
        <is>
          <t>Event Booths</t>
        </is>
      </c>
      <c r="J299" s="11" t="inlineStr">
        <is>
          <t>20x20 canopy, 4 tables, 8 chairs</t>
        </is>
      </c>
      <c r="K299" s="8" t="inlineStr">
        <is>
          <t>Your team and advertising materials will be in an event booth on the installation. Pricing: $1,000/day.</t>
        </is>
      </c>
      <c r="L299" s="11" t="n"/>
      <c r="M299" s="12" t="n"/>
      <c r="N299" s="12" t="n"/>
      <c r="O299" s="12" t="n"/>
      <c r="P299" s="12" t="n"/>
      <c r="Q299" s="12" t="n"/>
      <c r="R299" s="13">
        <f>IF(ISNUMBER(M299),ROUND(M299/(1-Settings!$B$2)/Settings!$B$3,0)*Settings!$B$3,"")</f>
        <v/>
      </c>
      <c r="S299" s="13">
        <f>IF(ISNUMBER(N299),ROUND(N299/(1-Settings!$B$2)/Settings!$B$3,0)*Settings!$B$3,"")</f>
        <v/>
      </c>
      <c r="T299" s="13">
        <f>IF(ISNUMBER(O299),ROUND(O299/(1-Settings!$B$2)/Settings!$B$3,0)*Settings!$B$3,"")</f>
        <v/>
      </c>
      <c r="U299" s="13">
        <f>IF(ISNUMBER(P299),ROUND(P299/(1-Settings!$B$2)/Settings!$B$3,0)*Settings!$B$3,"")</f>
        <v/>
      </c>
      <c r="V299" s="13">
        <f>IF(ISNUMBER(Q299),ROUND(Q299/(1-Settings!$B$2)/Settings!$B$3,0)*Settings!$B$3,"")</f>
        <v/>
      </c>
      <c r="W299" s="14" t="n"/>
      <c r="X299" s="14" t="n"/>
      <c r="Y299" s="11" t="inlineStr"/>
      <c r="Z299" s="11" t="inlineStr"/>
      <c r="AA299" s="8" t="inlineStr"/>
      <c r="AB299" s="16" t="inlineStr">
        <is>
          <t>No price on file - inquire</t>
        </is>
      </c>
      <c r="AC299" s="11" t="inlineStr">
        <is>
          <t>MasterMilitaryOnBaseList 12.2.25 NS.xlsx</t>
        </is>
      </c>
      <c r="AD299" s="11" t="inlineStr">
        <is>
          <t>NBVC Advertising Brochure.pdf</t>
        </is>
      </c>
      <c r="AE299" s="15" t="inlineStr">
        <is>
          <t>Open in Box</t>
        </is>
      </c>
      <c r="AF299" s="15" t="inlineStr">
        <is>
          <t>Open in Box</t>
        </is>
      </c>
    </row>
    <row r="300">
      <c r="A300" s="11" t="inlineStr">
        <is>
          <t>CA-NBVCPORT-015</t>
        </is>
      </c>
      <c r="B300" s="8" t="inlineStr">
        <is>
          <t>NBVC Port Hueneme NCBC</t>
        </is>
      </c>
      <c r="C300" s="11" t="inlineStr">
        <is>
          <t>Naval Base Ventura County</t>
        </is>
      </c>
      <c r="D300" s="11" t="inlineStr">
        <is>
          <t>CA</t>
        </is>
      </c>
      <c r="E300" s="11" t="inlineStr">
        <is>
          <t>Los Angeles</t>
        </is>
      </c>
      <c r="F300" s="11" t="inlineStr">
        <is>
          <t>93043</t>
        </is>
      </c>
      <c r="G300" s="11" t="inlineStr">
        <is>
          <t>Navy</t>
        </is>
      </c>
      <c r="H300" s="11" t="inlineStr">
        <is>
          <t>Standard Media</t>
        </is>
      </c>
      <c r="I300" s="8" t="inlineStr">
        <is>
          <t>Banner</t>
        </is>
      </c>
      <c r="J300" s="11" t="inlineStr">
        <is>
          <t>6'W x 3'H</t>
        </is>
      </c>
      <c r="K300" s="8" t="inlineStr">
        <is>
          <t>Your ad will appear at an approved installation facility (Fitness Facilities, Liberty Center, Bowling Recreation Centers, Aquatic Centers, Recreation Center, RV Parks, Golf Course Pro Shop)</t>
        </is>
      </c>
      <c r="L300" s="11" t="n">
        <v>1</v>
      </c>
      <c r="M300" s="12" t="n">
        <v>400</v>
      </c>
      <c r="N300" s="12" t="n">
        <v>1200</v>
      </c>
      <c r="O300" s="12" t="n">
        <v>2400</v>
      </c>
      <c r="P300" s="12" t="n">
        <v>4800</v>
      </c>
      <c r="Q300" s="12" t="n">
        <v>200</v>
      </c>
      <c r="R300" s="13">
        <f>IF(ISNUMBER(M300),ROUND(M300/(1-Settings!$B$2)/Settings!$B$3,0)*Settings!$B$3,"")</f>
        <v/>
      </c>
      <c r="S300" s="13">
        <f>IF(ISNUMBER(N300),ROUND(N300/(1-Settings!$B$2)/Settings!$B$3,0)*Settings!$B$3,"")</f>
        <v/>
      </c>
      <c r="T300" s="13">
        <f>IF(ISNUMBER(O300),ROUND(O300/(1-Settings!$B$2)/Settings!$B$3,0)*Settings!$B$3,"")</f>
        <v/>
      </c>
      <c r="U300" s="13">
        <f>IF(ISNUMBER(P300),ROUND(P300/(1-Settings!$B$2)/Settings!$B$3,0)*Settings!$B$3,"")</f>
        <v/>
      </c>
      <c r="V300" s="13">
        <f>IF(ISNUMBER(Q300),ROUND(Q300/(1-Settings!$B$2)/Settings!$B$3,0)*Settings!$B$3,"")</f>
        <v/>
      </c>
      <c r="W300" s="14" t="n"/>
      <c r="X300" s="14" t="n"/>
      <c r="Y300" s="11" t="inlineStr"/>
      <c r="Z300" s="11" t="inlineStr"/>
      <c r="AA300" s="8" t="inlineStr"/>
      <c r="AB300" s="8" t="inlineStr"/>
      <c r="AC300" s="11" t="inlineStr">
        <is>
          <t>MasterMilitaryOnBaseList 12.2.25 NS.xlsx</t>
        </is>
      </c>
      <c r="AD300" s="11" t="inlineStr">
        <is>
          <t>NBVC Advertising Brochure.pdf</t>
        </is>
      </c>
      <c r="AE300" s="15" t="inlineStr">
        <is>
          <t>Open in Box</t>
        </is>
      </c>
      <c r="AF300" s="15" t="inlineStr">
        <is>
          <t>Open in Box</t>
        </is>
      </c>
    </row>
    <row r="301">
      <c r="A301" s="11" t="inlineStr">
        <is>
          <t>CA-NBVCPORT-016</t>
        </is>
      </c>
      <c r="B301" s="8" t="inlineStr">
        <is>
          <t>NBVC Port Hueneme NCBC</t>
        </is>
      </c>
      <c r="C301" s="11" t="inlineStr">
        <is>
          <t>Naval Base Ventura County</t>
        </is>
      </c>
      <c r="D301" s="11" t="inlineStr">
        <is>
          <t>CA</t>
        </is>
      </c>
      <c r="E301" s="11" t="inlineStr">
        <is>
          <t>Los Angeles</t>
        </is>
      </c>
      <c r="F301" s="11" t="inlineStr">
        <is>
          <t>93043</t>
        </is>
      </c>
      <c r="G301" s="11" t="inlineStr">
        <is>
          <t>Navy</t>
        </is>
      </c>
      <c r="H301" s="11" t="inlineStr">
        <is>
          <t>Standard Media</t>
        </is>
      </c>
      <c r="I301" s="8" t="inlineStr">
        <is>
          <t>Golf Course Benches</t>
        </is>
      </c>
      <c r="J301" s="11" t="inlineStr">
        <is>
          <t>36"W x 12"H, PVC 1/8" thick</t>
        </is>
      </c>
      <c r="K301" s="8" t="inlineStr">
        <is>
          <t>Your ad will appear on the NBVC Golf Course.</t>
        </is>
      </c>
      <c r="L301" s="11" t="n">
        <v>1</v>
      </c>
      <c r="M301" s="12" t="n">
        <v>600</v>
      </c>
      <c r="N301" s="12" t="n">
        <v>1800</v>
      </c>
      <c r="O301" s="12" t="n">
        <v>1200</v>
      </c>
      <c r="P301" s="12" t="n">
        <v>7200</v>
      </c>
      <c r="Q301" s="12" t="n">
        <v>0</v>
      </c>
      <c r="R301" s="13">
        <f>IF(ISNUMBER(M301),ROUND(M301/(1-Settings!$B$2)/Settings!$B$3,0)*Settings!$B$3,"")</f>
        <v/>
      </c>
      <c r="S301" s="13">
        <f>IF(ISNUMBER(N301),ROUND(N301/(1-Settings!$B$2)/Settings!$B$3,0)*Settings!$B$3,"")</f>
        <v/>
      </c>
      <c r="T301" s="13">
        <f>IF(ISNUMBER(O301),ROUND(O301/(1-Settings!$B$2)/Settings!$B$3,0)*Settings!$B$3,"")</f>
        <v/>
      </c>
      <c r="U301" s="13">
        <f>IF(ISNUMBER(P301),ROUND(P301/(1-Settings!$B$2)/Settings!$B$3,0)*Settings!$B$3,"")</f>
        <v/>
      </c>
      <c r="V301" s="13">
        <f>IF(ISNUMBER(Q301),ROUND(Q301/(1-Settings!$B$2)/Settings!$B$3,0)*Settings!$B$3,"")</f>
        <v/>
      </c>
      <c r="W301" s="14" t="n"/>
      <c r="X301" s="14" t="n"/>
      <c r="Y301" s="11" t="inlineStr"/>
      <c r="Z301" s="11" t="inlineStr"/>
      <c r="AA301" s="8" t="inlineStr"/>
      <c r="AB301" s="8" t="inlineStr"/>
      <c r="AC301" s="11" t="inlineStr">
        <is>
          <t>MasterMilitaryOnBaseList 12.2.25 NS.xlsx</t>
        </is>
      </c>
      <c r="AD301" s="11" t="inlineStr">
        <is>
          <t>NBVC Advertising Brochure.pdf</t>
        </is>
      </c>
      <c r="AE301" s="15" t="inlineStr">
        <is>
          <t>Open in Box</t>
        </is>
      </c>
      <c r="AF301" s="15" t="inlineStr">
        <is>
          <t>Open in Box</t>
        </is>
      </c>
    </row>
    <row r="302">
      <c r="A302" s="11" t="inlineStr">
        <is>
          <t>CA-NBVCPORT-017</t>
        </is>
      </c>
      <c r="B302" s="8" t="inlineStr">
        <is>
          <t>NBVC Port Hueneme NCBC</t>
        </is>
      </c>
      <c r="C302" s="11" t="inlineStr">
        <is>
          <t>Naval Base Ventura County</t>
        </is>
      </c>
      <c r="D302" s="11" t="inlineStr">
        <is>
          <t>CA</t>
        </is>
      </c>
      <c r="E302" s="11" t="inlineStr">
        <is>
          <t>Los Angeles</t>
        </is>
      </c>
      <c r="F302" s="11" t="inlineStr">
        <is>
          <t>93043</t>
        </is>
      </c>
      <c r="G302" s="11" t="inlineStr">
        <is>
          <t>Navy</t>
        </is>
      </c>
      <c r="H302" s="11" t="inlineStr">
        <is>
          <t>Standard Media</t>
        </is>
      </c>
      <c r="I302" s="8" t="inlineStr">
        <is>
          <t>Poster</t>
        </is>
      </c>
      <c r="J302" s="11" t="inlineStr">
        <is>
          <t>22'W x 28'H</t>
        </is>
      </c>
      <c r="K302" s="8" t="inlineStr">
        <is>
          <t>Your ad will appear in approved installation facilities.</t>
        </is>
      </c>
      <c r="L302" s="11" t="n">
        <v>1</v>
      </c>
      <c r="M302" s="12" t="n">
        <v>350</v>
      </c>
      <c r="N302" s="12" t="n">
        <v>1050</v>
      </c>
      <c r="O302" s="12" t="n">
        <v>2100</v>
      </c>
      <c r="P302" s="12" t="n">
        <v>4200</v>
      </c>
      <c r="Q302" s="12" t="n">
        <v>100</v>
      </c>
      <c r="R302" s="13">
        <f>IF(ISNUMBER(M302),ROUND(M302/(1-Settings!$B$2)/Settings!$B$3,0)*Settings!$B$3,"")</f>
        <v/>
      </c>
      <c r="S302" s="13">
        <f>IF(ISNUMBER(N302),ROUND(N302/(1-Settings!$B$2)/Settings!$B$3,0)*Settings!$B$3,"")</f>
        <v/>
      </c>
      <c r="T302" s="13">
        <f>IF(ISNUMBER(O302),ROUND(O302/(1-Settings!$B$2)/Settings!$B$3,0)*Settings!$B$3,"")</f>
        <v/>
      </c>
      <c r="U302" s="13">
        <f>IF(ISNUMBER(P302),ROUND(P302/(1-Settings!$B$2)/Settings!$B$3,0)*Settings!$B$3,"")</f>
        <v/>
      </c>
      <c r="V302" s="13">
        <f>IF(ISNUMBER(Q302),ROUND(Q302/(1-Settings!$B$2)/Settings!$B$3,0)*Settings!$B$3,"")</f>
        <v/>
      </c>
      <c r="W302" s="14" t="n"/>
      <c r="X302" s="14" t="n"/>
      <c r="Y302" s="11" t="inlineStr"/>
      <c r="Z302" s="11" t="inlineStr"/>
      <c r="AA302" s="8" t="inlineStr"/>
      <c r="AB302" s="8" t="inlineStr"/>
      <c r="AC302" s="11" t="inlineStr">
        <is>
          <t>MasterMilitaryOnBaseList 12.2.25 NS.xlsx</t>
        </is>
      </c>
      <c r="AD302" s="11" t="inlineStr">
        <is>
          <t>NBVC Advertising Brochure.pdf</t>
        </is>
      </c>
      <c r="AE302" s="15" t="inlineStr">
        <is>
          <t>Open in Box</t>
        </is>
      </c>
      <c r="AF302" s="15" t="inlineStr">
        <is>
          <t>Open in Box</t>
        </is>
      </c>
    </row>
    <row r="303">
      <c r="A303" s="11" t="inlineStr">
        <is>
          <t>CA-POINTLOM-001</t>
        </is>
      </c>
      <c r="B303" s="8" t="inlineStr">
        <is>
          <t>Point Loma</t>
        </is>
      </c>
      <c r="C303" s="11" t="inlineStr">
        <is>
          <t>Naval Base Point Loma (San Diego)</t>
        </is>
      </c>
      <c r="D303" s="11" t="inlineStr">
        <is>
          <t>CA</t>
        </is>
      </c>
      <c r="E303" s="11" t="inlineStr">
        <is>
          <t>San Diego</t>
        </is>
      </c>
      <c r="F303" s="11" t="inlineStr">
        <is>
          <t>92106</t>
        </is>
      </c>
      <c r="G303" s="11" t="inlineStr">
        <is>
          <t>Navy</t>
        </is>
      </c>
      <c r="H303" s="11" t="inlineStr">
        <is>
          <t>Digital</t>
        </is>
      </c>
      <c r="I303" s="8" t="inlineStr">
        <is>
          <t>Digital Monitor - Silent Video</t>
        </is>
      </c>
      <c r="J303" s="11" t="inlineStr">
        <is>
          <t>1920px x 1080px (MPEG)</t>
        </is>
      </c>
      <c r="K303" s="8" t="inlineStr">
        <is>
          <t>Your ad will appear on approved monitors on the installation.</t>
        </is>
      </c>
      <c r="L303" s="11" t="n">
        <v>1</v>
      </c>
      <c r="M303" s="12" t="n">
        <v>2950</v>
      </c>
      <c r="N303" s="12" t="n">
        <v>8850</v>
      </c>
      <c r="O303" s="12" t="n">
        <v>17700</v>
      </c>
      <c r="P303" s="12" t="n">
        <v>35400</v>
      </c>
      <c r="Q303" s="12" t="n"/>
      <c r="R303" s="13">
        <f>IF(ISNUMBER(M303),ROUND(M303/(1-Settings!$B$2)/Settings!$B$3,0)*Settings!$B$3,"")</f>
        <v/>
      </c>
      <c r="S303" s="13">
        <f>IF(ISNUMBER(N303),ROUND(N303/(1-Settings!$B$2)/Settings!$B$3,0)*Settings!$B$3,"")</f>
        <v/>
      </c>
      <c r="T303" s="13">
        <f>IF(ISNUMBER(O303),ROUND(O303/(1-Settings!$B$2)/Settings!$B$3,0)*Settings!$B$3,"")</f>
        <v/>
      </c>
      <c r="U303" s="13">
        <f>IF(ISNUMBER(P303),ROUND(P303/(1-Settings!$B$2)/Settings!$B$3,0)*Settings!$B$3,"")</f>
        <v/>
      </c>
      <c r="V303" s="13">
        <f>IF(ISNUMBER(Q303),ROUND(Q303/(1-Settings!$B$2)/Settings!$B$3,0)*Settings!$B$3,"")</f>
        <v/>
      </c>
      <c r="W303" s="14" t="n">
        <v>32983</v>
      </c>
      <c r="X303" s="14" t="n">
        <v>33574</v>
      </c>
      <c r="Y303" s="11" t="inlineStr"/>
      <c r="Z303" s="11" t="inlineStr"/>
      <c r="AA303" s="8" t="inlineStr"/>
      <c r="AB303" s="8" t="inlineStr"/>
      <c r="AC303" s="11" t="inlineStr">
        <is>
          <t>MasterMilitaryOnBaseList 12.2.25 NS.xlsx</t>
        </is>
      </c>
      <c r="AD303" s="11" t="inlineStr">
        <is>
          <t>2026 Advertising Rates - China Lake.docx</t>
        </is>
      </c>
      <c r="AE303" s="15" t="inlineStr">
        <is>
          <t>Open in Box</t>
        </is>
      </c>
      <c r="AF303" s="15" t="inlineStr">
        <is>
          <t>Open in Box</t>
        </is>
      </c>
    </row>
    <row r="304">
      <c r="A304" s="11" t="inlineStr">
        <is>
          <t>CA-POINTLOM-002</t>
        </is>
      </c>
      <c r="B304" s="8" t="inlineStr">
        <is>
          <t>Point Loma</t>
        </is>
      </c>
      <c r="C304" s="11" t="inlineStr">
        <is>
          <t>Naval Base Point Loma (San Diego)</t>
        </is>
      </c>
      <c r="D304" s="11" t="inlineStr">
        <is>
          <t>CA</t>
        </is>
      </c>
      <c r="E304" s="11" t="inlineStr">
        <is>
          <t>San Diego</t>
        </is>
      </c>
      <c r="F304" s="11" t="inlineStr">
        <is>
          <t>92106</t>
        </is>
      </c>
      <c r="G304" s="11" t="inlineStr">
        <is>
          <t>Navy</t>
        </is>
      </c>
      <c r="H304" s="11" t="inlineStr">
        <is>
          <t>Digital</t>
        </is>
      </c>
      <c r="I304" s="8" t="inlineStr">
        <is>
          <t>Digital Monitor - Slides</t>
        </is>
      </c>
      <c r="J304" s="11" t="inlineStr">
        <is>
          <t>1920px x 1080px at 72 PPI (JPG)</t>
        </is>
      </c>
      <c r="K304" s="8" t="inlineStr">
        <is>
          <t>Your ad will appear on approved monitors on the installation.</t>
        </is>
      </c>
      <c r="L304" s="11" t="n">
        <v>1</v>
      </c>
      <c r="M304" s="12" t="n">
        <v>2500</v>
      </c>
      <c r="N304" s="12" t="n">
        <v>7500</v>
      </c>
      <c r="O304" s="12" t="n">
        <v>15000</v>
      </c>
      <c r="P304" s="12" t="n">
        <v>30000</v>
      </c>
      <c r="Q304" s="12" t="n"/>
      <c r="R304" s="13">
        <f>IF(ISNUMBER(M304),ROUND(M304/(1-Settings!$B$2)/Settings!$B$3,0)*Settings!$B$3,"")</f>
        <v/>
      </c>
      <c r="S304" s="13">
        <f>IF(ISNUMBER(N304),ROUND(N304/(1-Settings!$B$2)/Settings!$B$3,0)*Settings!$B$3,"")</f>
        <v/>
      </c>
      <c r="T304" s="13">
        <f>IF(ISNUMBER(O304),ROUND(O304/(1-Settings!$B$2)/Settings!$B$3,0)*Settings!$B$3,"")</f>
        <v/>
      </c>
      <c r="U304" s="13">
        <f>IF(ISNUMBER(P304),ROUND(P304/(1-Settings!$B$2)/Settings!$B$3,0)*Settings!$B$3,"")</f>
        <v/>
      </c>
      <c r="V304" s="13">
        <f>IF(ISNUMBER(Q304),ROUND(Q304/(1-Settings!$B$2)/Settings!$B$3,0)*Settings!$B$3,"")</f>
        <v/>
      </c>
      <c r="W304" s="14" t="n">
        <v>32983</v>
      </c>
      <c r="X304" s="14" t="n">
        <v>33574</v>
      </c>
      <c r="Y304" s="11" t="inlineStr"/>
      <c r="Z304" s="11" t="inlineStr"/>
      <c r="AA304" s="8" t="inlineStr"/>
      <c r="AB304" s="8" t="inlineStr"/>
      <c r="AC304" s="11" t="inlineStr">
        <is>
          <t>MasterMilitaryOnBaseList 12.2.25 NS.xlsx</t>
        </is>
      </c>
      <c r="AD304" s="11" t="inlineStr">
        <is>
          <t>2026 Advertising Rates - China Lake.docx</t>
        </is>
      </c>
      <c r="AE304" s="15" t="inlineStr">
        <is>
          <t>Open in Box</t>
        </is>
      </c>
      <c r="AF304" s="15" t="inlineStr">
        <is>
          <t>Open in Box</t>
        </is>
      </c>
    </row>
    <row r="305">
      <c r="A305" s="11" t="inlineStr">
        <is>
          <t>CA-POINTLOM-004</t>
        </is>
      </c>
      <c r="B305" s="8" t="inlineStr">
        <is>
          <t>Point Loma</t>
        </is>
      </c>
      <c r="C305" s="11" t="inlineStr"/>
      <c r="D305" s="11" t="inlineStr">
        <is>
          <t>CA</t>
        </is>
      </c>
      <c r="E305" s="11" t="inlineStr">
        <is>
          <t>San Diego</t>
        </is>
      </c>
      <c r="F305" s="11" t="inlineStr"/>
      <c r="G305" s="11" t="inlineStr">
        <is>
          <t>Navy</t>
        </is>
      </c>
      <c r="H305" s="11" t="inlineStr">
        <is>
          <t>Digital</t>
        </is>
      </c>
      <c r="I305" s="8" t="inlineStr">
        <is>
          <t>Movie Theater Ad</t>
        </is>
      </c>
      <c r="J305" s="11" t="inlineStr">
        <is>
          <t>3 screens</t>
        </is>
      </c>
      <c r="K305" s="8" t="inlineStr">
        <is>
          <t>Your ad will appear on screen before movies at the installation theater (3-screen screens).</t>
        </is>
      </c>
      <c r="L305" s="11" t="n">
        <v>1</v>
      </c>
      <c r="M305" s="12" t="n">
        <v>1500</v>
      </c>
      <c r="N305" s="12" t="n"/>
      <c r="O305" s="12" t="n"/>
      <c r="P305" s="12" t="n"/>
      <c r="Q305" s="12" t="n"/>
      <c r="R305" s="13">
        <f>IF(ISNUMBER(M305),ROUND(M305/(1-Settings!$B$2)/Settings!$B$3,0)*Settings!$B$3,"")</f>
        <v/>
      </c>
      <c r="S305" s="13">
        <f>IF(ISNUMBER(N305),ROUND(N305/(1-Settings!$B$2)/Settings!$B$3,0)*Settings!$B$3,"")</f>
        <v/>
      </c>
      <c r="T305" s="13">
        <f>IF(ISNUMBER(O305),ROUND(O305/(1-Settings!$B$2)/Settings!$B$3,0)*Settings!$B$3,"")</f>
        <v/>
      </c>
      <c r="U305" s="13">
        <f>IF(ISNUMBER(P305),ROUND(P305/(1-Settings!$B$2)/Settings!$B$3,0)*Settings!$B$3,"")</f>
        <v/>
      </c>
      <c r="V305" s="13">
        <f>IF(ISNUMBER(Q305),ROUND(Q305/(1-Settings!$B$2)/Settings!$B$3,0)*Settings!$B$3,"")</f>
        <v/>
      </c>
      <c r="W305" s="14" t="n"/>
      <c r="X305" s="14" t="n"/>
      <c r="Y305" s="11" t="inlineStr">
        <is>
          <t>2026</t>
        </is>
      </c>
      <c r="Z305" s="11" t="inlineStr">
        <is>
          <t>2026-06</t>
        </is>
      </c>
      <c r="AA305" s="8" t="inlineStr"/>
      <c r="AB305" s="8" t="inlineStr"/>
      <c r="AC305" s="11" t="inlineStr">
        <is>
          <t>Military - National Digital Inventory Master 6.3.26.xlsx</t>
        </is>
      </c>
      <c r="AD305" s="11" t="inlineStr">
        <is>
          <t>2026 Advertising Rates - China Lake.docx</t>
        </is>
      </c>
      <c r="AE305" s="15" t="inlineStr">
        <is>
          <t>Open in Box</t>
        </is>
      </c>
      <c r="AF305" s="15" t="inlineStr">
        <is>
          <t>Open in Box</t>
        </is>
      </c>
    </row>
    <row r="306">
      <c r="A306" s="11" t="inlineStr">
        <is>
          <t>CA-POINTLOM-005</t>
        </is>
      </c>
      <c r="B306" s="8" t="inlineStr">
        <is>
          <t>Point Loma</t>
        </is>
      </c>
      <c r="C306" s="11" t="inlineStr"/>
      <c r="D306" s="11" t="inlineStr">
        <is>
          <t>CA</t>
        </is>
      </c>
      <c r="E306" s="11" t="inlineStr">
        <is>
          <t>San Diego</t>
        </is>
      </c>
      <c r="F306" s="11" t="inlineStr"/>
      <c r="G306" s="11" t="inlineStr">
        <is>
          <t>Navy</t>
        </is>
      </c>
      <c r="H306" s="11" t="inlineStr">
        <is>
          <t>Web &amp; Email</t>
        </is>
      </c>
      <c r="I306" s="8" t="inlineStr">
        <is>
          <t>Monthly E-Newsletter Ad</t>
        </is>
      </c>
      <c r="J306" s="11" t="inlineStr"/>
      <c r="K306" s="8" t="inlineStr">
        <is>
          <t>Your ad will appear in the monthly e-newsletter emailed to the installation community.</t>
        </is>
      </c>
      <c r="L306" s="11" t="n">
        <v>1</v>
      </c>
      <c r="M306" s="12" t="n">
        <v>1500</v>
      </c>
      <c r="N306" s="12" t="n"/>
      <c r="O306" s="12" t="n"/>
      <c r="P306" s="12" t="n"/>
      <c r="Q306" s="12" t="n"/>
      <c r="R306" s="13">
        <f>IF(ISNUMBER(M306),ROUND(M306/(1-Settings!$B$2)/Settings!$B$3,0)*Settings!$B$3,"")</f>
        <v/>
      </c>
      <c r="S306" s="13">
        <f>IF(ISNUMBER(N306),ROUND(N306/(1-Settings!$B$2)/Settings!$B$3,0)*Settings!$B$3,"")</f>
        <v/>
      </c>
      <c r="T306" s="13">
        <f>IF(ISNUMBER(O306),ROUND(O306/(1-Settings!$B$2)/Settings!$B$3,0)*Settings!$B$3,"")</f>
        <v/>
      </c>
      <c r="U306" s="13">
        <f>IF(ISNUMBER(P306),ROUND(P306/(1-Settings!$B$2)/Settings!$B$3,0)*Settings!$B$3,"")</f>
        <v/>
      </c>
      <c r="V306" s="13">
        <f>IF(ISNUMBER(Q306),ROUND(Q306/(1-Settings!$B$2)/Settings!$B$3,0)*Settings!$B$3,"")</f>
        <v/>
      </c>
      <c r="W306" s="14" t="n">
        <v>32983</v>
      </c>
      <c r="X306" s="14" t="n">
        <v>33574</v>
      </c>
      <c r="Y306" s="11" t="inlineStr">
        <is>
          <t>2026</t>
        </is>
      </c>
      <c r="Z306" s="11" t="inlineStr">
        <is>
          <t>2026-06</t>
        </is>
      </c>
      <c r="AA306" s="8" t="inlineStr">
        <is>
          <t>Package of three</t>
        </is>
      </c>
      <c r="AB306" s="8" t="inlineStr"/>
      <c r="AC306" s="11" t="inlineStr">
        <is>
          <t>Military - National Publication Inventory Master_June 2026.xlsx</t>
        </is>
      </c>
      <c r="AD306" s="11" t="inlineStr">
        <is>
          <t>2026 Advertising Rates - China Lake.docx</t>
        </is>
      </c>
      <c r="AE306" s="15" t="inlineStr">
        <is>
          <t>Open in Box</t>
        </is>
      </c>
      <c r="AF306" s="15" t="inlineStr">
        <is>
          <t>Open in Box</t>
        </is>
      </c>
    </row>
    <row r="307">
      <c r="A307" s="11" t="inlineStr">
        <is>
          <t>CA-POINTLOM-003</t>
        </is>
      </c>
      <c r="B307" s="8" t="inlineStr">
        <is>
          <t>Point Loma</t>
        </is>
      </c>
      <c r="C307" s="11" t="inlineStr">
        <is>
          <t>Naval Base Point Loma (San Diego)</t>
        </is>
      </c>
      <c r="D307" s="11" t="inlineStr">
        <is>
          <t>CA</t>
        </is>
      </c>
      <c r="E307" s="11" t="inlineStr">
        <is>
          <t>San Diego</t>
        </is>
      </c>
      <c r="F307" s="11" t="inlineStr">
        <is>
          <t>92106</t>
        </is>
      </c>
      <c r="G307" s="11" t="inlineStr">
        <is>
          <t>Navy</t>
        </is>
      </c>
      <c r="H307" s="11" t="inlineStr">
        <is>
          <t>Web &amp; Email</t>
        </is>
      </c>
      <c r="I307" s="8" t="inlineStr">
        <is>
          <t>Social Media Post</t>
        </is>
      </c>
      <c r="J307" s="11" t="inlineStr">
        <is>
          <t>600px x 600px (JPG)</t>
        </is>
      </c>
      <c r="K307" s="8" t="inlineStr">
        <is>
          <t>Your ad will appear on the Naval Base San Diego social media pages (9 platforms) ($2,000 for one post on all pages)</t>
        </is>
      </c>
      <c r="L307" s="11" t="n"/>
      <c r="M307" s="12" t="n"/>
      <c r="N307" s="12" t="n"/>
      <c r="O307" s="12" t="n"/>
      <c r="P307" s="12" t="n"/>
      <c r="Q307" s="12" t="n"/>
      <c r="R307" s="13">
        <f>IF(ISNUMBER(M307),ROUND(M307/(1-Settings!$B$2)/Settings!$B$3,0)*Settings!$B$3,"")</f>
        <v/>
      </c>
      <c r="S307" s="13">
        <f>IF(ISNUMBER(N307),ROUND(N307/(1-Settings!$B$2)/Settings!$B$3,0)*Settings!$B$3,"")</f>
        <v/>
      </c>
      <c r="T307" s="13">
        <f>IF(ISNUMBER(O307),ROUND(O307/(1-Settings!$B$2)/Settings!$B$3,0)*Settings!$B$3,"")</f>
        <v/>
      </c>
      <c r="U307" s="13">
        <f>IF(ISNUMBER(P307),ROUND(P307/(1-Settings!$B$2)/Settings!$B$3,0)*Settings!$B$3,"")</f>
        <v/>
      </c>
      <c r="V307" s="13">
        <f>IF(ISNUMBER(Q307),ROUND(Q307/(1-Settings!$B$2)/Settings!$B$3,0)*Settings!$B$3,"")</f>
        <v/>
      </c>
      <c r="W307" s="14" t="n">
        <v>32983</v>
      </c>
      <c r="X307" s="14" t="n">
        <v>33574</v>
      </c>
      <c r="Y307" s="11" t="inlineStr"/>
      <c r="Z307" s="11" t="inlineStr"/>
      <c r="AA307" s="8" t="inlineStr"/>
      <c r="AB307" s="16" t="inlineStr">
        <is>
          <t>No price on file - inquire</t>
        </is>
      </c>
      <c r="AC307" s="11" t="inlineStr">
        <is>
          <t>MasterMilitaryOnBaseList 12.2.25 NS.xlsx</t>
        </is>
      </c>
      <c r="AD307" s="11" t="inlineStr">
        <is>
          <t>2026 Advertising Rates - China Lake.docx</t>
        </is>
      </c>
      <c r="AE307" s="15" t="inlineStr">
        <is>
          <t>Open in Box</t>
        </is>
      </c>
      <c r="AF307" s="15" t="inlineStr">
        <is>
          <t>Open in Box</t>
        </is>
      </c>
    </row>
    <row r="308">
      <c r="A308" s="11" t="inlineStr">
        <is>
          <t>CA-POINTLOM-006</t>
        </is>
      </c>
      <c r="B308" s="8" t="inlineStr">
        <is>
          <t>Point Loma</t>
        </is>
      </c>
      <c r="C308" s="11" t="inlineStr"/>
      <c r="D308" s="11" t="inlineStr">
        <is>
          <t>CA</t>
        </is>
      </c>
      <c r="E308" s="11" t="inlineStr">
        <is>
          <t>San Diego</t>
        </is>
      </c>
      <c r="F308" s="11" t="inlineStr"/>
      <c r="G308" s="11" t="inlineStr">
        <is>
          <t>Navy</t>
        </is>
      </c>
      <c r="H308" s="11" t="inlineStr">
        <is>
          <t>Web &amp; Email</t>
        </is>
      </c>
      <c r="I308" s="8" t="inlineStr">
        <is>
          <t>Web Ad</t>
        </is>
      </c>
      <c r="J308" s="11" t="inlineStr"/>
      <c r="K308" s="8" t="inlineStr">
        <is>
          <t>Your ad will appear on the installation MWR / FSS website.</t>
        </is>
      </c>
      <c r="L308" s="11" t="n">
        <v>1</v>
      </c>
      <c r="M308" s="12" t="n">
        <v>6000</v>
      </c>
      <c r="N308" s="12" t="n"/>
      <c r="O308" s="12" t="n"/>
      <c r="P308" s="12" t="n"/>
      <c r="Q308" s="12" t="n"/>
      <c r="R308" s="13">
        <f>IF(ISNUMBER(M308),ROUND(M308/(1-Settings!$B$2)/Settings!$B$3,0)*Settings!$B$3,"")</f>
        <v/>
      </c>
      <c r="S308" s="13">
        <f>IF(ISNUMBER(N308),ROUND(N308/(1-Settings!$B$2)/Settings!$B$3,0)*Settings!$B$3,"")</f>
        <v/>
      </c>
      <c r="T308" s="13">
        <f>IF(ISNUMBER(O308),ROUND(O308/(1-Settings!$B$2)/Settings!$B$3,0)*Settings!$B$3,"")</f>
        <v/>
      </c>
      <c r="U308" s="13">
        <f>IF(ISNUMBER(P308),ROUND(P308/(1-Settings!$B$2)/Settings!$B$3,0)*Settings!$B$3,"")</f>
        <v/>
      </c>
      <c r="V308" s="13">
        <f>IF(ISNUMBER(Q308),ROUND(Q308/(1-Settings!$B$2)/Settings!$B$3,0)*Settings!$B$3,"")</f>
        <v/>
      </c>
      <c r="W308" s="14" t="n">
        <v>32983</v>
      </c>
      <c r="X308" s="14" t="n">
        <v>33574</v>
      </c>
      <c r="Y308" s="11" t="inlineStr">
        <is>
          <t>2026</t>
        </is>
      </c>
      <c r="Z308" s="11" t="inlineStr">
        <is>
          <t>2026-06</t>
        </is>
      </c>
      <c r="AA308" s="8" t="inlineStr">
        <is>
          <t>Package of three</t>
        </is>
      </c>
      <c r="AB308" s="8" t="inlineStr"/>
      <c r="AC308" s="11" t="inlineStr">
        <is>
          <t>Military - National Publication Inventory Master_June 2026.xlsx</t>
        </is>
      </c>
      <c r="AD308" s="11" t="inlineStr">
        <is>
          <t>2026 Advertising Rates - China Lake.docx</t>
        </is>
      </c>
      <c r="AE308" s="15" t="inlineStr">
        <is>
          <t>Open in Box</t>
        </is>
      </c>
      <c r="AF308" s="15" t="inlineStr">
        <is>
          <t>Open in Box</t>
        </is>
      </c>
    </row>
    <row r="309">
      <c r="A309" s="11" t="inlineStr">
        <is>
          <t>CA-TRAVISAF-001</t>
        </is>
      </c>
      <c r="B309" s="8" t="inlineStr">
        <is>
          <t>Travis AFB</t>
        </is>
      </c>
      <c r="C309" s="11" t="inlineStr"/>
      <c r="D309" s="11" t="inlineStr">
        <is>
          <t>CA</t>
        </is>
      </c>
      <c r="E309" s="11" t="inlineStr">
        <is>
          <t>Sacramnto-Stkton-Modesto</t>
        </is>
      </c>
      <c r="F309" s="11" t="inlineStr">
        <is>
          <t>94535</t>
        </is>
      </c>
      <c r="G309" s="11" t="inlineStr">
        <is>
          <t>Air Force</t>
        </is>
      </c>
      <c r="H309" s="11" t="inlineStr">
        <is>
          <t>Digital</t>
        </is>
      </c>
      <c r="I309" s="8" t="inlineStr">
        <is>
          <t>Digital Display</t>
        </is>
      </c>
      <c r="J309" s="11" t="inlineStr">
        <is>
          <t>1920px x 1080px</t>
        </is>
      </c>
      <c r="K309" s="8" t="inlineStr">
        <is>
          <t>Your ad will appear in approved installation facilities.</t>
        </is>
      </c>
      <c r="L309" s="11" t="n">
        <v>1</v>
      </c>
      <c r="M309" s="12" t="n">
        <v>600</v>
      </c>
      <c r="N309" s="12" t="n">
        <v>1800</v>
      </c>
      <c r="O309" s="12" t="n">
        <v>3600</v>
      </c>
      <c r="P309" s="12" t="n">
        <v>7200</v>
      </c>
      <c r="Q309" s="12" t="n"/>
      <c r="R309" s="13">
        <f>IF(ISNUMBER(M309),ROUND(M309/(1-Settings!$B$2)/Settings!$B$3,0)*Settings!$B$3,"")</f>
        <v/>
      </c>
      <c r="S309" s="13">
        <f>IF(ISNUMBER(N309),ROUND(N309/(1-Settings!$B$2)/Settings!$B$3,0)*Settings!$B$3,"")</f>
        <v/>
      </c>
      <c r="T309" s="13">
        <f>IF(ISNUMBER(O309),ROUND(O309/(1-Settings!$B$2)/Settings!$B$3,0)*Settings!$B$3,"")</f>
        <v/>
      </c>
      <c r="U309" s="13">
        <f>IF(ISNUMBER(P309),ROUND(P309/(1-Settings!$B$2)/Settings!$B$3,0)*Settings!$B$3,"")</f>
        <v/>
      </c>
      <c r="V309" s="13">
        <f>IF(ISNUMBER(Q309),ROUND(Q309/(1-Settings!$B$2)/Settings!$B$3,0)*Settings!$B$3,"")</f>
        <v/>
      </c>
      <c r="W309" s="14" t="n">
        <v>6675</v>
      </c>
      <c r="X309" s="14" t="n">
        <v>7960</v>
      </c>
      <c r="Y309" s="11" t="inlineStr"/>
      <c r="Z309" s="11" t="inlineStr"/>
      <c r="AA309" s="8" t="inlineStr"/>
      <c r="AB309" s="8" t="inlineStr"/>
      <c r="AC309" s="11" t="inlineStr">
        <is>
          <t>MasterMilitaryOnBaseList 12.2.25 NS.xlsx</t>
        </is>
      </c>
      <c r="AD309" s="11" t="inlineStr">
        <is>
          <t>2026_CommercialSponsorshipAdvertising_v3.png</t>
        </is>
      </c>
      <c r="AE309" s="15" t="inlineStr">
        <is>
          <t>Open in Box</t>
        </is>
      </c>
      <c r="AF309" s="15" t="inlineStr">
        <is>
          <t>Open in Box</t>
        </is>
      </c>
    </row>
    <row r="310">
      <c r="A310" s="11" t="inlineStr">
        <is>
          <t>CA-TRAVISAF-002</t>
        </is>
      </c>
      <c r="B310" s="8" t="inlineStr">
        <is>
          <t>Travis AFB</t>
        </is>
      </c>
      <c r="C310" s="11" t="inlineStr"/>
      <c r="D310" s="11" t="inlineStr">
        <is>
          <t>CA</t>
        </is>
      </c>
      <c r="E310" s="11" t="inlineStr">
        <is>
          <t>Sacramnto-Stkton-Modesto</t>
        </is>
      </c>
      <c r="F310" s="11" t="inlineStr">
        <is>
          <t>94535</t>
        </is>
      </c>
      <c r="G310" s="11" t="inlineStr">
        <is>
          <t>Air Force</t>
        </is>
      </c>
      <c r="H310" s="11" t="inlineStr">
        <is>
          <t>Digital</t>
        </is>
      </c>
      <c r="I310" s="8" t="inlineStr">
        <is>
          <t>Digital Marquee</t>
        </is>
      </c>
      <c r="J310" s="11" t="inlineStr">
        <is>
          <t>1920pxW x 1080pxH</t>
        </is>
      </c>
      <c r="K310" s="8" t="inlineStr">
        <is>
          <t>Your ad will appear on digital marquees across installation.</t>
        </is>
      </c>
      <c r="L310" s="11" t="n">
        <v>1</v>
      </c>
      <c r="M310" s="12" t="n">
        <v>1200</v>
      </c>
      <c r="N310" s="12" t="n">
        <v>3600</v>
      </c>
      <c r="O310" s="12" t="n">
        <v>7200</v>
      </c>
      <c r="P310" s="12" t="n">
        <v>14400</v>
      </c>
      <c r="Q310" s="12" t="n">
        <v>0</v>
      </c>
      <c r="R310" s="13">
        <f>IF(ISNUMBER(M310),ROUND(M310/(1-Settings!$B$2)/Settings!$B$3,0)*Settings!$B$3,"")</f>
        <v/>
      </c>
      <c r="S310" s="13">
        <f>IF(ISNUMBER(N310),ROUND(N310/(1-Settings!$B$2)/Settings!$B$3,0)*Settings!$B$3,"")</f>
        <v/>
      </c>
      <c r="T310" s="13">
        <f>IF(ISNUMBER(O310),ROUND(O310/(1-Settings!$B$2)/Settings!$B$3,0)*Settings!$B$3,"")</f>
        <v/>
      </c>
      <c r="U310" s="13">
        <f>IF(ISNUMBER(P310),ROUND(P310/(1-Settings!$B$2)/Settings!$B$3,0)*Settings!$B$3,"")</f>
        <v/>
      </c>
      <c r="V310" s="13">
        <f>IF(ISNUMBER(Q310),ROUND(Q310/(1-Settings!$B$2)/Settings!$B$3,0)*Settings!$B$3,"")</f>
        <v/>
      </c>
      <c r="W310" s="14" t="n">
        <v>6675</v>
      </c>
      <c r="X310" s="14" t="n">
        <v>7960</v>
      </c>
      <c r="Y310" s="11" t="inlineStr"/>
      <c r="Z310" s="11" t="inlineStr"/>
      <c r="AA310" s="8" t="inlineStr"/>
      <c r="AB310" s="8" t="inlineStr"/>
      <c r="AC310" s="11" t="inlineStr">
        <is>
          <t>MasterMilitaryOnBaseList 12.2.25 NS.xlsx</t>
        </is>
      </c>
      <c r="AD310" s="11" t="inlineStr">
        <is>
          <t>2026_CommercialSponsorshipAdvertising_v3.png</t>
        </is>
      </c>
      <c r="AE310" s="15" t="inlineStr">
        <is>
          <t>Open in Box</t>
        </is>
      </c>
      <c r="AF310" s="15" t="inlineStr">
        <is>
          <t>Open in Box</t>
        </is>
      </c>
    </row>
    <row r="311">
      <c r="A311" s="11" t="inlineStr">
        <is>
          <t>CA-TRAVISAF-003</t>
        </is>
      </c>
      <c r="B311" s="8" t="inlineStr">
        <is>
          <t>Travis AFB</t>
        </is>
      </c>
      <c r="C311" s="11" t="inlineStr"/>
      <c r="D311" s="11" t="inlineStr">
        <is>
          <t>CA</t>
        </is>
      </c>
      <c r="E311" s="11" t="inlineStr">
        <is>
          <t>Sacramnto-Stkton-Modesto</t>
        </is>
      </c>
      <c r="F311" s="11" t="inlineStr">
        <is>
          <t>94535</t>
        </is>
      </c>
      <c r="G311" s="11" t="inlineStr">
        <is>
          <t>Air Force</t>
        </is>
      </c>
      <c r="H311" s="11" t="inlineStr">
        <is>
          <t>Digital</t>
        </is>
      </c>
      <c r="I311" s="8" t="inlineStr">
        <is>
          <t>Digital Monitor Network</t>
        </is>
      </c>
      <c r="J311" s="11" t="inlineStr">
        <is>
          <t>1920pxW x 1080pxH</t>
        </is>
      </c>
      <c r="K311" s="8" t="inlineStr">
        <is>
          <t>Your ad will appear on digital monitors in approved installation facilities.</t>
        </is>
      </c>
      <c r="L311" s="11" t="n">
        <v>1</v>
      </c>
      <c r="M311" s="12" t="n">
        <v>600</v>
      </c>
      <c r="N311" s="12" t="n">
        <v>1800</v>
      </c>
      <c r="O311" s="12" t="n">
        <v>3600</v>
      </c>
      <c r="P311" s="12" t="n">
        <v>7200</v>
      </c>
      <c r="Q311" s="12" t="n">
        <v>0</v>
      </c>
      <c r="R311" s="13">
        <f>IF(ISNUMBER(M311),ROUND(M311/(1-Settings!$B$2)/Settings!$B$3,0)*Settings!$B$3,"")</f>
        <v/>
      </c>
      <c r="S311" s="13">
        <f>IF(ISNUMBER(N311),ROUND(N311/(1-Settings!$B$2)/Settings!$B$3,0)*Settings!$B$3,"")</f>
        <v/>
      </c>
      <c r="T311" s="13">
        <f>IF(ISNUMBER(O311),ROUND(O311/(1-Settings!$B$2)/Settings!$B$3,0)*Settings!$B$3,"")</f>
        <v/>
      </c>
      <c r="U311" s="13">
        <f>IF(ISNUMBER(P311),ROUND(P311/(1-Settings!$B$2)/Settings!$B$3,0)*Settings!$B$3,"")</f>
        <v/>
      </c>
      <c r="V311" s="13">
        <f>IF(ISNUMBER(Q311),ROUND(Q311/(1-Settings!$B$2)/Settings!$B$3,0)*Settings!$B$3,"")</f>
        <v/>
      </c>
      <c r="W311" s="14" t="n">
        <v>6675</v>
      </c>
      <c r="X311" s="14" t="n">
        <v>7960</v>
      </c>
      <c r="Y311" s="11" t="inlineStr"/>
      <c r="Z311" s="11" t="inlineStr"/>
      <c r="AA311" s="8" t="inlineStr"/>
      <c r="AB311" s="8" t="inlineStr"/>
      <c r="AC311" s="11" t="inlineStr">
        <is>
          <t>MasterMilitaryOnBaseList 12.2.25 NS.xlsx</t>
        </is>
      </c>
      <c r="AD311" s="11" t="inlineStr">
        <is>
          <t>2026_CommercialSponsorshipAdvertising_v3.png</t>
        </is>
      </c>
      <c r="AE311" s="15" t="inlineStr">
        <is>
          <t>Open in Box</t>
        </is>
      </c>
      <c r="AF311" s="15" t="inlineStr">
        <is>
          <t>Open in Box</t>
        </is>
      </c>
    </row>
    <row r="312">
      <c r="A312" s="11" t="inlineStr">
        <is>
          <t>CA-TRAVISAF-004</t>
        </is>
      </c>
      <c r="B312" s="8" t="inlineStr">
        <is>
          <t>Travis AFB</t>
        </is>
      </c>
      <c r="C312" s="11" t="inlineStr"/>
      <c r="D312" s="11" t="inlineStr">
        <is>
          <t>CA</t>
        </is>
      </c>
      <c r="E312" s="11" t="inlineStr">
        <is>
          <t>Sacramnto-Stkton-Modesto</t>
        </is>
      </c>
      <c r="F312" s="11" t="inlineStr">
        <is>
          <t>94535</t>
        </is>
      </c>
      <c r="G312" s="11" t="inlineStr">
        <is>
          <t>Air Force</t>
        </is>
      </c>
      <c r="H312" s="11" t="inlineStr">
        <is>
          <t>Digital</t>
        </is>
      </c>
      <c r="I312" s="8" t="inlineStr">
        <is>
          <t>LED Sign</t>
        </is>
      </c>
      <c r="J312" s="11" t="inlineStr">
        <is>
          <t>6' x 9' (1920px x 1080px - Static)</t>
        </is>
      </c>
      <c r="K312" s="8" t="inlineStr">
        <is>
          <t>Your ad will appear in approved installation facilities.</t>
        </is>
      </c>
      <c r="L312" s="11" t="n">
        <v>1</v>
      </c>
      <c r="M312" s="12" t="n">
        <v>1200</v>
      </c>
      <c r="N312" s="12" t="n">
        <v>3600</v>
      </c>
      <c r="O312" s="12" t="n">
        <v>7200</v>
      </c>
      <c r="P312" s="12" t="n">
        <v>14400</v>
      </c>
      <c r="Q312" s="12" t="n"/>
      <c r="R312" s="13">
        <f>IF(ISNUMBER(M312),ROUND(M312/(1-Settings!$B$2)/Settings!$B$3,0)*Settings!$B$3,"")</f>
        <v/>
      </c>
      <c r="S312" s="13">
        <f>IF(ISNUMBER(N312),ROUND(N312/(1-Settings!$B$2)/Settings!$B$3,0)*Settings!$B$3,"")</f>
        <v/>
      </c>
      <c r="T312" s="13">
        <f>IF(ISNUMBER(O312),ROUND(O312/(1-Settings!$B$2)/Settings!$B$3,0)*Settings!$B$3,"")</f>
        <v/>
      </c>
      <c r="U312" s="13">
        <f>IF(ISNUMBER(P312),ROUND(P312/(1-Settings!$B$2)/Settings!$B$3,0)*Settings!$B$3,"")</f>
        <v/>
      </c>
      <c r="V312" s="13">
        <f>IF(ISNUMBER(Q312),ROUND(Q312/(1-Settings!$B$2)/Settings!$B$3,0)*Settings!$B$3,"")</f>
        <v/>
      </c>
      <c r="W312" s="14" t="n">
        <v>6675</v>
      </c>
      <c r="X312" s="14" t="n">
        <v>7960</v>
      </c>
      <c r="Y312" s="11" t="inlineStr"/>
      <c r="Z312" s="11" t="inlineStr"/>
      <c r="AA312" s="8" t="inlineStr"/>
      <c r="AB312" s="8" t="inlineStr"/>
      <c r="AC312" s="11" t="inlineStr">
        <is>
          <t>MasterMilitaryOnBaseList 12.2.25 NS.xlsx</t>
        </is>
      </c>
      <c r="AD312" s="11" t="inlineStr">
        <is>
          <t>2026_CommercialSponsorshipAdvertising_v3.png</t>
        </is>
      </c>
      <c r="AE312" s="15" t="inlineStr">
        <is>
          <t>Open in Box</t>
        </is>
      </c>
      <c r="AF312" s="15" t="inlineStr">
        <is>
          <t>Open in Box</t>
        </is>
      </c>
    </row>
    <row r="313">
      <c r="A313" s="11" t="inlineStr">
        <is>
          <t>CA-TRAVISAF-008</t>
        </is>
      </c>
      <c r="B313" s="8" t="inlineStr">
        <is>
          <t>Travis AFB</t>
        </is>
      </c>
      <c r="C313" s="11" t="inlineStr"/>
      <c r="D313" s="11" t="inlineStr">
        <is>
          <t>CA</t>
        </is>
      </c>
      <c r="E313" s="11" t="inlineStr">
        <is>
          <t>Sacramnto-Stkton-Modesto</t>
        </is>
      </c>
      <c r="F313" s="11" t="inlineStr">
        <is>
          <t>94535</t>
        </is>
      </c>
      <c r="G313" s="11" t="inlineStr">
        <is>
          <t>Air Force</t>
        </is>
      </c>
      <c r="H313" s="11" t="inlineStr">
        <is>
          <t>Print &amp; Publications</t>
        </is>
      </c>
      <c r="I313" s="8" t="inlineStr">
        <is>
          <t>Magazine</t>
        </is>
      </c>
      <c r="J313" s="11" t="inlineStr">
        <is>
          <t>TBD</t>
        </is>
      </c>
      <c r="K313" s="8" t="inlineStr">
        <is>
          <t>Your full page ad will appear in the quarterly magazine.</t>
        </is>
      </c>
      <c r="L313" s="11" t="n">
        <v>3</v>
      </c>
      <c r="M313" s="12" t="n"/>
      <c r="N313" s="12" t="n">
        <v>600</v>
      </c>
      <c r="O313" s="12" t="n">
        <v>1200</v>
      </c>
      <c r="P313" s="12" t="n">
        <v>2400</v>
      </c>
      <c r="Q313" s="12" t="n">
        <v>0</v>
      </c>
      <c r="R313" s="13">
        <f>IF(ISNUMBER(M313),ROUND(M313/(1-Settings!$B$2)/Settings!$B$3,0)*Settings!$B$3,"")</f>
        <v/>
      </c>
      <c r="S313" s="13">
        <f>IF(ISNUMBER(N313),ROUND(N313/(1-Settings!$B$2)/Settings!$B$3,0)*Settings!$B$3,"")</f>
        <v/>
      </c>
      <c r="T313" s="13">
        <f>IF(ISNUMBER(O313),ROUND(O313/(1-Settings!$B$2)/Settings!$B$3,0)*Settings!$B$3,"")</f>
        <v/>
      </c>
      <c r="U313" s="13">
        <f>IF(ISNUMBER(P313),ROUND(P313/(1-Settings!$B$2)/Settings!$B$3,0)*Settings!$B$3,"")</f>
        <v/>
      </c>
      <c r="V313" s="13">
        <f>IF(ISNUMBER(Q313),ROUND(Q313/(1-Settings!$B$2)/Settings!$B$3,0)*Settings!$B$3,"")</f>
        <v/>
      </c>
      <c r="W313" s="14" t="n">
        <v>6675</v>
      </c>
      <c r="X313" s="14" t="n">
        <v>7960</v>
      </c>
      <c r="Y313" s="11" t="inlineStr"/>
      <c r="Z313" s="11" t="inlineStr"/>
      <c r="AA313" s="8" t="inlineStr">
        <is>
          <t>Inventory master 6/2026 lists Magazine Ad at $1,450 (1 mo)</t>
        </is>
      </c>
      <c r="AB313" s="16" t="inlineStr">
        <is>
          <t>Source formula errors</t>
        </is>
      </c>
      <c r="AC313" s="11" t="inlineStr">
        <is>
          <t>MasterMilitaryOnBaseList 12.2.25 NS.xlsx</t>
        </is>
      </c>
      <c r="AD313" s="11" t="inlineStr">
        <is>
          <t>2026_CommercialSponsorshipAdvertising_v3.png</t>
        </is>
      </c>
      <c r="AE313" s="15" t="inlineStr">
        <is>
          <t>Open in Box</t>
        </is>
      </c>
      <c r="AF313" s="15" t="inlineStr">
        <is>
          <t>Open in Box</t>
        </is>
      </c>
    </row>
    <row r="314">
      <c r="A314" s="11" t="inlineStr">
        <is>
          <t>CA-TRAVISAF-009</t>
        </is>
      </c>
      <c r="B314" s="8" t="inlineStr">
        <is>
          <t>Travis AFB</t>
        </is>
      </c>
      <c r="C314" s="11" t="inlineStr"/>
      <c r="D314" s="11" t="inlineStr">
        <is>
          <t>CA</t>
        </is>
      </c>
      <c r="E314" s="11" t="inlineStr">
        <is>
          <t>Sacramnto-Stkton-Modesto</t>
        </is>
      </c>
      <c r="F314" s="11" t="inlineStr">
        <is>
          <t>94535</t>
        </is>
      </c>
      <c r="G314" s="11" t="inlineStr">
        <is>
          <t>Air Force</t>
        </is>
      </c>
      <c r="H314" s="11" t="inlineStr">
        <is>
          <t>Print &amp; Publications</t>
        </is>
      </c>
      <c r="I314" s="8" t="inlineStr">
        <is>
          <t>Newsletter</t>
        </is>
      </c>
      <c r="J314" s="11" t="inlineStr">
        <is>
          <t>TBD</t>
        </is>
      </c>
      <c r="K314" s="8" t="inlineStr">
        <is>
          <t>Your ad will appear in the monthly newsletter.</t>
        </is>
      </c>
      <c r="L314" s="11" t="n">
        <v>1</v>
      </c>
      <c r="M314" s="12" t="n">
        <v>200</v>
      </c>
      <c r="N314" s="12" t="n">
        <v>600</v>
      </c>
      <c r="O314" s="12" t="n">
        <v>1200</v>
      </c>
      <c r="P314" s="12" t="n">
        <v>2400</v>
      </c>
      <c r="Q314" s="12" t="n">
        <v>0</v>
      </c>
      <c r="R314" s="13">
        <f>IF(ISNUMBER(M314),ROUND(M314/(1-Settings!$B$2)/Settings!$B$3,0)*Settings!$B$3,"")</f>
        <v/>
      </c>
      <c r="S314" s="13">
        <f>IF(ISNUMBER(N314),ROUND(N314/(1-Settings!$B$2)/Settings!$B$3,0)*Settings!$B$3,"")</f>
        <v/>
      </c>
      <c r="T314" s="13">
        <f>IF(ISNUMBER(O314),ROUND(O314/(1-Settings!$B$2)/Settings!$B$3,0)*Settings!$B$3,"")</f>
        <v/>
      </c>
      <c r="U314" s="13">
        <f>IF(ISNUMBER(P314),ROUND(P314/(1-Settings!$B$2)/Settings!$B$3,0)*Settings!$B$3,"")</f>
        <v/>
      </c>
      <c r="V314" s="13">
        <f>IF(ISNUMBER(Q314),ROUND(Q314/(1-Settings!$B$2)/Settings!$B$3,0)*Settings!$B$3,"")</f>
        <v/>
      </c>
      <c r="W314" s="14" t="n">
        <v>6675</v>
      </c>
      <c r="X314" s="14" t="n">
        <v>7960</v>
      </c>
      <c r="Y314" s="11" t="inlineStr"/>
      <c r="Z314" s="11" t="inlineStr"/>
      <c r="AA314" s="8" t="inlineStr">
        <is>
          <t>Inventory master 6/2026 lists Monthly E-Newsletter Ad at $300 (1 mo)</t>
        </is>
      </c>
      <c r="AB314" s="8" t="inlineStr"/>
      <c r="AC314" s="11" t="inlineStr">
        <is>
          <t>MasterMilitaryOnBaseList 12.2.25 NS.xlsx</t>
        </is>
      </c>
      <c r="AD314" s="11" t="inlineStr">
        <is>
          <t>2026_CommercialSponsorshipAdvertising_v3.png</t>
        </is>
      </c>
      <c r="AE314" s="15" t="inlineStr">
        <is>
          <t>Open in Box</t>
        </is>
      </c>
      <c r="AF314" s="15" t="inlineStr">
        <is>
          <t>Open in Box</t>
        </is>
      </c>
    </row>
    <row r="315">
      <c r="A315" s="11" t="inlineStr">
        <is>
          <t>CA-TRAVISAF-010</t>
        </is>
      </c>
      <c r="B315" s="8" t="inlineStr">
        <is>
          <t>Travis AFB</t>
        </is>
      </c>
      <c r="C315" s="11" t="inlineStr"/>
      <c r="D315" s="11" t="inlineStr">
        <is>
          <t>CA</t>
        </is>
      </c>
      <c r="E315" s="11" t="inlineStr">
        <is>
          <t>Sacramnto-Stkton-Modesto</t>
        </is>
      </c>
      <c r="F315" s="11" t="inlineStr">
        <is>
          <t>94535</t>
        </is>
      </c>
      <c r="G315" s="11" t="inlineStr">
        <is>
          <t>Air Force</t>
        </is>
      </c>
      <c r="H315" s="11" t="inlineStr">
        <is>
          <t>Print &amp; Publications</t>
        </is>
      </c>
      <c r="I315" s="8" t="inlineStr">
        <is>
          <t>Publication Adventure Guide Ad - Back Cover</t>
        </is>
      </c>
      <c r="J315" s="11" t="inlineStr">
        <is>
          <t>TBD</t>
        </is>
      </c>
      <c r="K315" s="8" t="inlineStr">
        <is>
          <t>Your ad will appear in "The Adventure Guide" publication that is distributed quarterly.</t>
        </is>
      </c>
      <c r="L315" s="11" t="n">
        <v>3</v>
      </c>
      <c r="M315" s="12" t="n"/>
      <c r="N315" s="12" t="n">
        <v>925</v>
      </c>
      <c r="O315" s="12" t="n">
        <v>1850</v>
      </c>
      <c r="P315" s="12" t="n">
        <v>3700</v>
      </c>
      <c r="Q315" s="12" t="n"/>
      <c r="R315" s="13">
        <f>IF(ISNUMBER(M315),ROUND(M315/(1-Settings!$B$2)/Settings!$B$3,0)*Settings!$B$3,"")</f>
        <v/>
      </c>
      <c r="S315" s="13">
        <f>IF(ISNUMBER(N315),ROUND(N315/(1-Settings!$B$2)/Settings!$B$3,0)*Settings!$B$3,"")</f>
        <v/>
      </c>
      <c r="T315" s="13">
        <f>IF(ISNUMBER(O315),ROUND(O315/(1-Settings!$B$2)/Settings!$B$3,0)*Settings!$B$3,"")</f>
        <v/>
      </c>
      <c r="U315" s="13">
        <f>IF(ISNUMBER(P315),ROUND(P315/(1-Settings!$B$2)/Settings!$B$3,0)*Settings!$B$3,"")</f>
        <v/>
      </c>
      <c r="V315" s="13">
        <f>IF(ISNUMBER(Q315),ROUND(Q315/(1-Settings!$B$2)/Settings!$B$3,0)*Settings!$B$3,"")</f>
        <v/>
      </c>
      <c r="W315" s="14" t="n">
        <v>6675</v>
      </c>
      <c r="X315" s="14" t="n">
        <v>7960</v>
      </c>
      <c r="Y315" s="11" t="inlineStr"/>
      <c r="Z315" s="11" t="inlineStr"/>
      <c r="AA315" s="8" t="inlineStr">
        <is>
          <t>Inventory master 6/2026 lists Guide / Map Ad at $1,600 (1 mo)</t>
        </is>
      </c>
      <c r="AB315" s="8" t="inlineStr"/>
      <c r="AC315" s="11" t="inlineStr">
        <is>
          <t>MasterMilitaryOnBaseList 12.2.25 NS.xlsx</t>
        </is>
      </c>
      <c r="AD315" s="11" t="inlineStr">
        <is>
          <t>2026_CommercialSponsorshipAdvertising_v3.png</t>
        </is>
      </c>
      <c r="AE315" s="15" t="inlineStr">
        <is>
          <t>Open in Box</t>
        </is>
      </c>
      <c r="AF315" s="15" t="inlineStr">
        <is>
          <t>Open in Box</t>
        </is>
      </c>
    </row>
    <row r="316">
      <c r="A316" s="11" t="inlineStr">
        <is>
          <t>CA-TRAVISAF-005</t>
        </is>
      </c>
      <c r="B316" s="8" t="inlineStr">
        <is>
          <t>Travis AFB</t>
        </is>
      </c>
      <c r="C316" s="11" t="inlineStr"/>
      <c r="D316" s="11" t="inlineStr">
        <is>
          <t>CA</t>
        </is>
      </c>
      <c r="E316" s="11" t="inlineStr">
        <is>
          <t>Sacramnto-Stkton-Modesto</t>
        </is>
      </c>
      <c r="F316" s="11" t="inlineStr">
        <is>
          <t>94535</t>
        </is>
      </c>
      <c r="G316" s="11" t="inlineStr">
        <is>
          <t>Air Force</t>
        </is>
      </c>
      <c r="H316" s="11" t="inlineStr">
        <is>
          <t>Standard Media</t>
        </is>
      </c>
      <c r="I316" s="8" t="inlineStr">
        <is>
          <t>Banner</t>
        </is>
      </c>
      <c r="J316" s="11" t="inlineStr">
        <is>
          <t>6'W x 3'H</t>
        </is>
      </c>
      <c r="K316" s="8" t="inlineStr">
        <is>
          <t>Your ad will appear in an approved installation facility.</t>
        </is>
      </c>
      <c r="L316" s="11" t="n">
        <v>1</v>
      </c>
      <c r="M316" s="12" t="n">
        <v>200</v>
      </c>
      <c r="N316" s="12" t="n">
        <v>600</v>
      </c>
      <c r="O316" s="12" t="n">
        <v>1200</v>
      </c>
      <c r="P316" s="12" t="n">
        <v>2400</v>
      </c>
      <c r="Q316" s="12" t="n">
        <v>200</v>
      </c>
      <c r="R316" s="13">
        <f>IF(ISNUMBER(M316),ROUND(M316/(1-Settings!$B$2)/Settings!$B$3,0)*Settings!$B$3,"")</f>
        <v/>
      </c>
      <c r="S316" s="13">
        <f>IF(ISNUMBER(N316),ROUND(N316/(1-Settings!$B$2)/Settings!$B$3,0)*Settings!$B$3,"")</f>
        <v/>
      </c>
      <c r="T316" s="13">
        <f>IF(ISNUMBER(O316),ROUND(O316/(1-Settings!$B$2)/Settings!$B$3,0)*Settings!$B$3,"")</f>
        <v/>
      </c>
      <c r="U316" s="13">
        <f>IF(ISNUMBER(P316),ROUND(P316/(1-Settings!$B$2)/Settings!$B$3,0)*Settings!$B$3,"")</f>
        <v/>
      </c>
      <c r="V316" s="13">
        <f>IF(ISNUMBER(Q316),ROUND(Q316/(1-Settings!$B$2)/Settings!$B$3,0)*Settings!$B$3,"")</f>
        <v/>
      </c>
      <c r="W316" s="14" t="n">
        <v>6675</v>
      </c>
      <c r="X316" s="14" t="n">
        <v>7960</v>
      </c>
      <c r="Y316" s="11" t="inlineStr"/>
      <c r="Z316" s="11" t="inlineStr"/>
      <c r="AA316" s="8" t="inlineStr"/>
      <c r="AB316" s="8" t="inlineStr"/>
      <c r="AC316" s="11" t="inlineStr">
        <is>
          <t>MasterMilitaryOnBaseList 12.2.25 NS.xlsx</t>
        </is>
      </c>
      <c r="AD316" s="11" t="inlineStr">
        <is>
          <t>2026_CommercialSponsorshipAdvertising_v3.png</t>
        </is>
      </c>
      <c r="AE316" s="15" t="inlineStr">
        <is>
          <t>Open in Box</t>
        </is>
      </c>
      <c r="AF316" s="15" t="inlineStr">
        <is>
          <t>Open in Box</t>
        </is>
      </c>
    </row>
    <row r="317">
      <c r="A317" s="11" t="inlineStr">
        <is>
          <t>CA-TRAVISAF-006</t>
        </is>
      </c>
      <c r="B317" s="8" t="inlineStr">
        <is>
          <t>Travis AFB</t>
        </is>
      </c>
      <c r="C317" s="11" t="inlineStr"/>
      <c r="D317" s="11" t="inlineStr">
        <is>
          <t>CA</t>
        </is>
      </c>
      <c r="E317" s="11" t="inlineStr">
        <is>
          <t>Sacramnto-Stkton-Modesto</t>
        </is>
      </c>
      <c r="F317" s="11" t="inlineStr">
        <is>
          <t>94535</t>
        </is>
      </c>
      <c r="G317" s="11" t="inlineStr">
        <is>
          <t>Air Force</t>
        </is>
      </c>
      <c r="H317" s="11" t="inlineStr">
        <is>
          <t>Standard Media</t>
        </is>
      </c>
      <c r="I317" s="8" t="inlineStr">
        <is>
          <t>Outdoor Banner</t>
        </is>
      </c>
      <c r="J317" s="11" t="inlineStr">
        <is>
          <t>3' x 6'</t>
        </is>
      </c>
      <c r="K317" s="8" t="inlineStr">
        <is>
          <t>Your ad will appear in approved installation facilities.</t>
        </is>
      </c>
      <c r="L317" s="11" t="n">
        <v>1</v>
      </c>
      <c r="M317" s="12" t="n">
        <v>200</v>
      </c>
      <c r="N317" s="12" t="n">
        <v>600</v>
      </c>
      <c r="O317" s="12" t="n">
        <v>1200</v>
      </c>
      <c r="P317" s="12" t="n">
        <v>2400</v>
      </c>
      <c r="Q317" s="12" t="n">
        <v>200</v>
      </c>
      <c r="R317" s="13">
        <f>IF(ISNUMBER(M317),ROUND(M317/(1-Settings!$B$2)/Settings!$B$3,0)*Settings!$B$3,"")</f>
        <v/>
      </c>
      <c r="S317" s="13">
        <f>IF(ISNUMBER(N317),ROUND(N317/(1-Settings!$B$2)/Settings!$B$3,0)*Settings!$B$3,"")</f>
        <v/>
      </c>
      <c r="T317" s="13">
        <f>IF(ISNUMBER(O317),ROUND(O317/(1-Settings!$B$2)/Settings!$B$3,0)*Settings!$B$3,"")</f>
        <v/>
      </c>
      <c r="U317" s="13">
        <f>IF(ISNUMBER(P317),ROUND(P317/(1-Settings!$B$2)/Settings!$B$3,0)*Settings!$B$3,"")</f>
        <v/>
      </c>
      <c r="V317" s="13">
        <f>IF(ISNUMBER(Q317),ROUND(Q317/(1-Settings!$B$2)/Settings!$B$3,0)*Settings!$B$3,"")</f>
        <v/>
      </c>
      <c r="W317" s="14" t="n">
        <v>6675</v>
      </c>
      <c r="X317" s="14" t="n">
        <v>7960</v>
      </c>
      <c r="Y317" s="11" t="inlineStr"/>
      <c r="Z317" s="11" t="inlineStr"/>
      <c r="AA317" s="8" t="inlineStr"/>
      <c r="AB317" s="8" t="inlineStr"/>
      <c r="AC317" s="11" t="inlineStr">
        <is>
          <t>MasterMilitaryOnBaseList 12.2.25 NS.xlsx</t>
        </is>
      </c>
      <c r="AD317" s="11" t="inlineStr">
        <is>
          <t>2026_CommercialSponsorshipAdvertising_v3.png</t>
        </is>
      </c>
      <c r="AE317" s="15" t="inlineStr">
        <is>
          <t>Open in Box</t>
        </is>
      </c>
      <c r="AF317" s="15" t="inlineStr">
        <is>
          <t>Open in Box</t>
        </is>
      </c>
    </row>
    <row r="318">
      <c r="A318" s="11" t="inlineStr">
        <is>
          <t>CA-TRAVISAF-007</t>
        </is>
      </c>
      <c r="B318" s="8" t="inlineStr">
        <is>
          <t>Travis AFB</t>
        </is>
      </c>
      <c r="C318" s="11" t="inlineStr"/>
      <c r="D318" s="11" t="inlineStr">
        <is>
          <t>CA</t>
        </is>
      </c>
      <c r="E318" s="11" t="inlineStr">
        <is>
          <t>Sacramnto-Stkton-Modesto</t>
        </is>
      </c>
      <c r="F318" s="11" t="inlineStr">
        <is>
          <t>94535</t>
        </is>
      </c>
      <c r="G318" s="11" t="inlineStr">
        <is>
          <t>Air Force</t>
        </is>
      </c>
      <c r="H318" s="11" t="inlineStr">
        <is>
          <t>Standard Media</t>
        </is>
      </c>
      <c r="I318" s="8" t="inlineStr">
        <is>
          <t>Posters</t>
        </is>
      </c>
      <c r="J318" s="11" t="inlineStr">
        <is>
          <t>11"W x 17"H</t>
        </is>
      </c>
      <c r="K318" s="8" t="inlineStr">
        <is>
          <t>Your ad will appear in approved installation facilities.</t>
        </is>
      </c>
      <c r="L318" s="11" t="n">
        <v>1</v>
      </c>
      <c r="M318" s="12" t="n">
        <v>2000</v>
      </c>
      <c r="N318" s="12" t="n">
        <v>6000</v>
      </c>
      <c r="O318" s="12" t="n">
        <v>12000</v>
      </c>
      <c r="P318" s="12" t="n">
        <v>24000</v>
      </c>
      <c r="Q318" s="12" t="n"/>
      <c r="R318" s="13">
        <f>IF(ISNUMBER(M318),ROUND(M318/(1-Settings!$B$2)/Settings!$B$3,0)*Settings!$B$3,"")</f>
        <v/>
      </c>
      <c r="S318" s="13">
        <f>IF(ISNUMBER(N318),ROUND(N318/(1-Settings!$B$2)/Settings!$B$3,0)*Settings!$B$3,"")</f>
        <v/>
      </c>
      <c r="T318" s="13">
        <f>IF(ISNUMBER(O318),ROUND(O318/(1-Settings!$B$2)/Settings!$B$3,0)*Settings!$B$3,"")</f>
        <v/>
      </c>
      <c r="U318" s="13">
        <f>IF(ISNUMBER(P318),ROUND(P318/(1-Settings!$B$2)/Settings!$B$3,0)*Settings!$B$3,"")</f>
        <v/>
      </c>
      <c r="V318" s="13">
        <f>IF(ISNUMBER(Q318),ROUND(Q318/(1-Settings!$B$2)/Settings!$B$3,0)*Settings!$B$3,"")</f>
        <v/>
      </c>
      <c r="W318" s="14" t="n">
        <v>6675</v>
      </c>
      <c r="X318" s="14" t="n">
        <v>7960</v>
      </c>
      <c r="Y318" s="11" t="inlineStr"/>
      <c r="Z318" s="11" t="inlineStr"/>
      <c r="AA318" s="8" t="inlineStr"/>
      <c r="AB318" s="8" t="inlineStr"/>
      <c r="AC318" s="11" t="inlineStr">
        <is>
          <t>MasterMilitaryOnBaseList 12.2.25 NS.xlsx</t>
        </is>
      </c>
      <c r="AD318" s="11" t="inlineStr">
        <is>
          <t>2026_CommercialSponsorshipAdvertising_v3.png</t>
        </is>
      </c>
      <c r="AE318" s="15" t="inlineStr">
        <is>
          <t>Open in Box</t>
        </is>
      </c>
      <c r="AF318" s="15" t="inlineStr">
        <is>
          <t>Open in Box</t>
        </is>
      </c>
    </row>
    <row r="319">
      <c r="A319" s="11" t="inlineStr">
        <is>
          <t>CA-TRAVISAF-011</t>
        </is>
      </c>
      <c r="B319" s="8" t="inlineStr">
        <is>
          <t>Travis AFB</t>
        </is>
      </c>
      <c r="C319" s="11" t="inlineStr"/>
      <c r="D319" s="11" t="inlineStr">
        <is>
          <t>CA</t>
        </is>
      </c>
      <c r="E319" s="11" t="inlineStr">
        <is>
          <t>Sacramnto-Stkton-Modesto</t>
        </is>
      </c>
      <c r="F319" s="11" t="inlineStr">
        <is>
          <t>94535</t>
        </is>
      </c>
      <c r="G319" s="11" t="inlineStr">
        <is>
          <t>Air Force</t>
        </is>
      </c>
      <c r="H319" s="11" t="inlineStr">
        <is>
          <t>Web &amp; Email</t>
        </is>
      </c>
      <c r="I319" s="8" t="inlineStr">
        <is>
          <t>"Experience Travis" E-Newsletter Ad</t>
        </is>
      </c>
      <c r="J319" s="11" t="inlineStr">
        <is>
          <t>500px x 500px</t>
        </is>
      </c>
      <c r="K319" s="8" t="inlineStr">
        <is>
          <t>Your ad will appeat in the monthly "Experience Travis" E-newsletter</t>
        </is>
      </c>
      <c r="L319" s="11" t="n">
        <v>1</v>
      </c>
      <c r="M319" s="12" t="n">
        <v>200</v>
      </c>
      <c r="N319" s="12" t="n">
        <v>600</v>
      </c>
      <c r="O319" s="12" t="n">
        <v>1200</v>
      </c>
      <c r="P319" s="12" t="n">
        <v>2400</v>
      </c>
      <c r="Q319" s="12" t="n"/>
      <c r="R319" s="13">
        <f>IF(ISNUMBER(M319),ROUND(M319/(1-Settings!$B$2)/Settings!$B$3,0)*Settings!$B$3,"")</f>
        <v/>
      </c>
      <c r="S319" s="13">
        <f>IF(ISNUMBER(N319),ROUND(N319/(1-Settings!$B$2)/Settings!$B$3,0)*Settings!$B$3,"")</f>
        <v/>
      </c>
      <c r="T319" s="13">
        <f>IF(ISNUMBER(O319),ROUND(O319/(1-Settings!$B$2)/Settings!$B$3,0)*Settings!$B$3,"")</f>
        <v/>
      </c>
      <c r="U319" s="13">
        <f>IF(ISNUMBER(P319),ROUND(P319/(1-Settings!$B$2)/Settings!$B$3,0)*Settings!$B$3,"")</f>
        <v/>
      </c>
      <c r="V319" s="13">
        <f>IF(ISNUMBER(Q319),ROUND(Q319/(1-Settings!$B$2)/Settings!$B$3,0)*Settings!$B$3,"")</f>
        <v/>
      </c>
      <c r="W319" s="14" t="n">
        <v>6675</v>
      </c>
      <c r="X319" s="14" t="n">
        <v>7960</v>
      </c>
      <c r="Y319" s="11" t="inlineStr"/>
      <c r="Z319" s="11" t="inlineStr"/>
      <c r="AA319" s="8" t="inlineStr">
        <is>
          <t>Inventory master 6/2026 lists Monthly E-Newsletter Ad at $300 (1 mo)</t>
        </is>
      </c>
      <c r="AB319" s="8" t="inlineStr"/>
      <c r="AC319" s="11" t="inlineStr">
        <is>
          <t>MasterMilitaryOnBaseList 12.2.25 NS.xlsx</t>
        </is>
      </c>
      <c r="AD319" s="11" t="inlineStr">
        <is>
          <t>2026_CommercialSponsorshipAdvertising_v3.png</t>
        </is>
      </c>
      <c r="AE319" s="15" t="inlineStr">
        <is>
          <t>Open in Box</t>
        </is>
      </c>
      <c r="AF319" s="15" t="inlineStr">
        <is>
          <t>Open in Box</t>
        </is>
      </c>
    </row>
    <row r="320">
      <c r="A320" s="11" t="inlineStr">
        <is>
          <t>CA-TRAVISAF-012</t>
        </is>
      </c>
      <c r="B320" s="8" t="inlineStr">
        <is>
          <t>Travis AFB</t>
        </is>
      </c>
      <c r="C320" s="11" t="inlineStr"/>
      <c r="D320" s="11" t="inlineStr">
        <is>
          <t>CA</t>
        </is>
      </c>
      <c r="E320" s="11" t="inlineStr">
        <is>
          <t>Sacramnto-Stkton-Modesto</t>
        </is>
      </c>
      <c r="F320" s="11" t="inlineStr"/>
      <c r="G320" s="11" t="inlineStr">
        <is>
          <t>Air Force</t>
        </is>
      </c>
      <c r="H320" s="11" t="inlineStr">
        <is>
          <t>Web &amp; Email</t>
        </is>
      </c>
      <c r="I320" s="8" t="inlineStr">
        <is>
          <t>Web Ad</t>
        </is>
      </c>
      <c r="J320" s="11" t="inlineStr"/>
      <c r="K320" s="8" t="inlineStr">
        <is>
          <t>Your ad will appear on the installation MWR / FSS website.</t>
        </is>
      </c>
      <c r="L320" s="11" t="n">
        <v>1</v>
      </c>
      <c r="M320" s="12" t="n">
        <v>1500</v>
      </c>
      <c r="N320" s="12" t="n"/>
      <c r="O320" s="12" t="n"/>
      <c r="P320" s="12" t="n"/>
      <c r="Q320" s="12" t="n"/>
      <c r="R320" s="13">
        <f>IF(ISNUMBER(M320),ROUND(M320/(1-Settings!$B$2)/Settings!$B$3,0)*Settings!$B$3,"")</f>
        <v/>
      </c>
      <c r="S320" s="13">
        <f>IF(ISNUMBER(N320),ROUND(N320/(1-Settings!$B$2)/Settings!$B$3,0)*Settings!$B$3,"")</f>
        <v/>
      </c>
      <c r="T320" s="13">
        <f>IF(ISNUMBER(O320),ROUND(O320/(1-Settings!$B$2)/Settings!$B$3,0)*Settings!$B$3,"")</f>
        <v/>
      </c>
      <c r="U320" s="13">
        <f>IF(ISNUMBER(P320),ROUND(P320/(1-Settings!$B$2)/Settings!$B$3,0)*Settings!$B$3,"")</f>
        <v/>
      </c>
      <c r="V320" s="13">
        <f>IF(ISNUMBER(Q320),ROUND(Q320/(1-Settings!$B$2)/Settings!$B$3,0)*Settings!$B$3,"")</f>
        <v/>
      </c>
      <c r="W320" s="14" t="n">
        <v>6675</v>
      </c>
      <c r="X320" s="14" t="n">
        <v>7960</v>
      </c>
      <c r="Y320" s="11" t="inlineStr">
        <is>
          <t>2020</t>
        </is>
      </c>
      <c r="Z320" s="11" t="inlineStr">
        <is>
          <t>2026-06</t>
        </is>
      </c>
      <c r="AA320" s="8" t="inlineStr">
        <is>
          <t>2020 pricing; magazine and guide printed quarterly (price per issue)</t>
        </is>
      </c>
      <c r="AB320" s="8" t="inlineStr"/>
      <c r="AC320" s="11" t="inlineStr">
        <is>
          <t>Military - National Publication Inventory Master_June 2026.xlsx</t>
        </is>
      </c>
      <c r="AD320" s="11" t="inlineStr">
        <is>
          <t>2026_CommercialSponsorshipAdvertising_v3.png</t>
        </is>
      </c>
      <c r="AE320" s="15" t="inlineStr">
        <is>
          <t>Open in Box</t>
        </is>
      </c>
      <c r="AF320" s="15" t="inlineStr">
        <is>
          <t>Open in Box</t>
        </is>
      </c>
    </row>
    <row r="321">
      <c r="A321" s="11" t="inlineStr">
        <is>
          <t>CO-BUCKLEYA-001</t>
        </is>
      </c>
      <c r="B321" s="8" t="inlineStr">
        <is>
          <t>Buckley AFB</t>
        </is>
      </c>
      <c r="C321" s="11" t="inlineStr"/>
      <c r="D321" s="11" t="inlineStr">
        <is>
          <t>CO</t>
        </is>
      </c>
      <c r="E321" s="11" t="inlineStr">
        <is>
          <t>Denver</t>
        </is>
      </c>
      <c r="F321" s="11" t="inlineStr">
        <is>
          <t>80011</t>
        </is>
      </c>
      <c r="G321" s="11" t="inlineStr">
        <is>
          <t>Air Force</t>
        </is>
      </c>
      <c r="H321" s="11" t="inlineStr">
        <is>
          <t>Digital</t>
        </is>
      </c>
      <c r="I321" s="8" t="inlineStr">
        <is>
          <t>Digital Marquee</t>
        </is>
      </c>
      <c r="J321" s="11" t="inlineStr">
        <is>
          <t>156pxW x 72pxH</t>
        </is>
      </c>
      <c r="K321" s="8" t="inlineStr">
        <is>
          <t>Your ad will appear on the installation digital marquee.</t>
        </is>
      </c>
      <c r="L321" s="11" t="n">
        <v>1</v>
      </c>
      <c r="M321" s="12" t="n">
        <v>200</v>
      </c>
      <c r="N321" s="12" t="n">
        <v>600</v>
      </c>
      <c r="O321" s="12" t="n">
        <v>1200</v>
      </c>
      <c r="P321" s="12" t="n">
        <v>1200</v>
      </c>
      <c r="Q321" s="12" t="n">
        <v>0</v>
      </c>
      <c r="R321" s="13">
        <f>IF(ISNUMBER(M321),ROUND(M321/(1-Settings!$B$2)/Settings!$B$3,0)*Settings!$B$3,"")</f>
        <v/>
      </c>
      <c r="S321" s="13">
        <f>IF(ISNUMBER(N321),ROUND(N321/(1-Settings!$B$2)/Settings!$B$3,0)*Settings!$B$3,"")</f>
        <v/>
      </c>
      <c r="T321" s="13">
        <f>IF(ISNUMBER(O321),ROUND(O321/(1-Settings!$B$2)/Settings!$B$3,0)*Settings!$B$3,"")</f>
        <v/>
      </c>
      <c r="U321" s="13">
        <f>IF(ISNUMBER(P321),ROUND(P321/(1-Settings!$B$2)/Settings!$B$3,0)*Settings!$B$3,"")</f>
        <v/>
      </c>
      <c r="V321" s="13">
        <f>IF(ISNUMBER(Q321),ROUND(Q321/(1-Settings!$B$2)/Settings!$B$3,0)*Settings!$B$3,"")</f>
        <v/>
      </c>
      <c r="W321" s="14" t="n">
        <v>2540</v>
      </c>
      <c r="X321" s="14" t="n">
        <v>3106</v>
      </c>
      <c r="Y321" s="11" t="inlineStr"/>
      <c r="Z321" s="11" t="inlineStr"/>
      <c r="AA321" s="8" t="inlineStr"/>
      <c r="AB321" s="8" t="inlineStr"/>
      <c r="AC321" s="11" t="inlineStr">
        <is>
          <t>MasterMilitaryOnBaseList 12.2.25 NS.xlsx</t>
        </is>
      </c>
      <c r="AD321" s="11" t="inlineStr">
        <is>
          <t>460 FSS Advertising Information 2026.pdf</t>
        </is>
      </c>
      <c r="AE321" s="15" t="inlineStr">
        <is>
          <t>Open in Box</t>
        </is>
      </c>
      <c r="AF321" s="15" t="inlineStr">
        <is>
          <t>Open in Box</t>
        </is>
      </c>
    </row>
    <row r="322">
      <c r="A322" s="11" t="inlineStr">
        <is>
          <t>CO-BUCKLEYA-002</t>
        </is>
      </c>
      <c r="B322" s="8" t="inlineStr">
        <is>
          <t>Buckley AFB</t>
        </is>
      </c>
      <c r="C322" s="11" t="inlineStr"/>
      <c r="D322" s="11" t="inlineStr">
        <is>
          <t>CO</t>
        </is>
      </c>
      <c r="E322" s="11" t="inlineStr">
        <is>
          <t>Denver</t>
        </is>
      </c>
      <c r="F322" s="11" t="inlineStr">
        <is>
          <t>80011</t>
        </is>
      </c>
      <c r="G322" s="11" t="inlineStr">
        <is>
          <t>Air Force</t>
        </is>
      </c>
      <c r="H322" s="11" t="inlineStr">
        <is>
          <t>Digital</t>
        </is>
      </c>
      <c r="I322" s="8" t="inlineStr">
        <is>
          <t>Digital Monitor Network</t>
        </is>
      </c>
      <c r="J322" s="11" t="inlineStr">
        <is>
          <t>720pxW x 480pxH</t>
        </is>
      </c>
      <c r="K322" s="8" t="inlineStr">
        <is>
          <t>Your ad will appear at 4 locations on digital monitors.</t>
        </is>
      </c>
      <c r="L322" s="11" t="n">
        <v>1</v>
      </c>
      <c r="M322" s="12" t="n">
        <v>200</v>
      </c>
      <c r="N322" s="12" t="n">
        <v>600</v>
      </c>
      <c r="O322" s="12" t="n">
        <v>1200</v>
      </c>
      <c r="P322" s="12" t="n">
        <v>1200</v>
      </c>
      <c r="Q322" s="12" t="n">
        <v>0</v>
      </c>
      <c r="R322" s="13">
        <f>IF(ISNUMBER(M322),ROUND(M322/(1-Settings!$B$2)/Settings!$B$3,0)*Settings!$B$3,"")</f>
        <v/>
      </c>
      <c r="S322" s="13">
        <f>IF(ISNUMBER(N322),ROUND(N322/(1-Settings!$B$2)/Settings!$B$3,0)*Settings!$B$3,"")</f>
        <v/>
      </c>
      <c r="T322" s="13">
        <f>IF(ISNUMBER(O322),ROUND(O322/(1-Settings!$B$2)/Settings!$B$3,0)*Settings!$B$3,"")</f>
        <v/>
      </c>
      <c r="U322" s="13">
        <f>IF(ISNUMBER(P322),ROUND(P322/(1-Settings!$B$2)/Settings!$B$3,0)*Settings!$B$3,"")</f>
        <v/>
      </c>
      <c r="V322" s="13">
        <f>IF(ISNUMBER(Q322),ROUND(Q322/(1-Settings!$B$2)/Settings!$B$3,0)*Settings!$B$3,"")</f>
        <v/>
      </c>
      <c r="W322" s="14" t="n">
        <v>2540</v>
      </c>
      <c r="X322" s="14" t="n">
        <v>3106</v>
      </c>
      <c r="Y322" s="11" t="inlineStr"/>
      <c r="Z322" s="11" t="inlineStr"/>
      <c r="AA322" s="8" t="inlineStr"/>
      <c r="AB322" s="8" t="inlineStr"/>
      <c r="AC322" s="11" t="inlineStr">
        <is>
          <t>MasterMilitaryOnBaseList 12.2.25 NS.xlsx</t>
        </is>
      </c>
      <c r="AD322" s="11" t="inlineStr">
        <is>
          <t>460 FSS Advertising Information 2026.pdf</t>
        </is>
      </c>
      <c r="AE322" s="15" t="inlineStr">
        <is>
          <t>Open in Box</t>
        </is>
      </c>
      <c r="AF322" s="15" t="inlineStr">
        <is>
          <t>Open in Box</t>
        </is>
      </c>
    </row>
    <row r="323">
      <c r="A323" s="11" t="inlineStr">
        <is>
          <t>CO-BUCKLEYA-003</t>
        </is>
      </c>
      <c r="B323" s="8" t="inlineStr">
        <is>
          <t>Buckley AFB</t>
        </is>
      </c>
      <c r="C323" s="11" t="inlineStr"/>
      <c r="D323" s="11" t="inlineStr">
        <is>
          <t>CO</t>
        </is>
      </c>
      <c r="E323" s="11" t="inlineStr">
        <is>
          <t>Denver</t>
        </is>
      </c>
      <c r="F323" s="11" t="inlineStr">
        <is>
          <t>80011</t>
        </is>
      </c>
      <c r="G323" s="11" t="inlineStr">
        <is>
          <t>Air Force</t>
        </is>
      </c>
      <c r="H323" s="11" t="inlineStr">
        <is>
          <t>Digital</t>
        </is>
      </c>
      <c r="I323" s="8" t="inlineStr">
        <is>
          <t>Indoor Digital Monitors</t>
        </is>
      </c>
      <c r="J323" s="11" t="inlineStr">
        <is>
          <t>720px x 480px (72 ppi)</t>
        </is>
      </c>
      <c r="K323" s="8" t="inlineStr">
        <is>
          <t>Your ad will appear on the installation digital monitors.</t>
        </is>
      </c>
      <c r="L323" s="11" t="n">
        <v>1</v>
      </c>
      <c r="M323" s="12" t="n">
        <v>200</v>
      </c>
      <c r="N323" s="12" t="n">
        <v>600</v>
      </c>
      <c r="O323" s="12" t="n">
        <v>1200</v>
      </c>
      <c r="P323" s="12" t="n">
        <v>1200</v>
      </c>
      <c r="Q323" s="12" t="n">
        <v>0</v>
      </c>
      <c r="R323" s="13">
        <f>IF(ISNUMBER(M323),ROUND(M323/(1-Settings!$B$2)/Settings!$B$3,0)*Settings!$B$3,"")</f>
        <v/>
      </c>
      <c r="S323" s="13">
        <f>IF(ISNUMBER(N323),ROUND(N323/(1-Settings!$B$2)/Settings!$B$3,0)*Settings!$B$3,"")</f>
        <v/>
      </c>
      <c r="T323" s="13">
        <f>IF(ISNUMBER(O323),ROUND(O323/(1-Settings!$B$2)/Settings!$B$3,0)*Settings!$B$3,"")</f>
        <v/>
      </c>
      <c r="U323" s="13">
        <f>IF(ISNUMBER(P323),ROUND(P323/(1-Settings!$B$2)/Settings!$B$3,0)*Settings!$B$3,"")</f>
        <v/>
      </c>
      <c r="V323" s="13">
        <f>IF(ISNUMBER(Q323),ROUND(Q323/(1-Settings!$B$2)/Settings!$B$3,0)*Settings!$B$3,"")</f>
        <v/>
      </c>
      <c r="W323" s="14" t="n">
        <v>2540</v>
      </c>
      <c r="X323" s="14" t="n">
        <v>3106</v>
      </c>
      <c r="Y323" s="11" t="inlineStr"/>
      <c r="Z323" s="11" t="inlineStr"/>
      <c r="AA323" s="8" t="inlineStr"/>
      <c r="AB323" s="8" t="inlineStr"/>
      <c r="AC323" s="11" t="inlineStr">
        <is>
          <t>MasterMilitaryOnBaseList 12.2.25 NS.xlsx</t>
        </is>
      </c>
      <c r="AD323" s="11" t="inlineStr">
        <is>
          <t>460 FSS Advertising Information 2026.pdf</t>
        </is>
      </c>
      <c r="AE323" s="15" t="inlineStr">
        <is>
          <t>Open in Box</t>
        </is>
      </c>
      <c r="AF323" s="15" t="inlineStr">
        <is>
          <t>Open in Box</t>
        </is>
      </c>
    </row>
    <row r="324">
      <c r="A324" s="11" t="inlineStr">
        <is>
          <t>CO-BUCKLEYA-005</t>
        </is>
      </c>
      <c r="B324" s="8" t="inlineStr">
        <is>
          <t>Buckley AFB</t>
        </is>
      </c>
      <c r="C324" s="11" t="inlineStr"/>
      <c r="D324" s="11" t="inlineStr">
        <is>
          <t>CO</t>
        </is>
      </c>
      <c r="E324" s="11" t="inlineStr">
        <is>
          <t>Denver</t>
        </is>
      </c>
      <c r="F324" s="11" t="inlineStr"/>
      <c r="G324" s="11" t="inlineStr">
        <is>
          <t>Air Force</t>
        </is>
      </c>
      <c r="H324" s="11" t="inlineStr">
        <is>
          <t>Print &amp; Publications</t>
        </is>
      </c>
      <c r="I324" s="8" t="inlineStr">
        <is>
          <t>Magazine Ad</t>
        </is>
      </c>
      <c r="J324" s="11" t="inlineStr"/>
      <c r="K324" s="8" t="inlineStr">
        <is>
          <t>Your ad will appear in the installation magazine.</t>
        </is>
      </c>
      <c r="L324" s="11" t="n">
        <v>1</v>
      </c>
      <c r="M324" s="12" t="n">
        <v>350</v>
      </c>
      <c r="N324" s="12" t="n"/>
      <c r="O324" s="12" t="n"/>
      <c r="P324" s="12" t="n"/>
      <c r="Q324" s="12" t="n"/>
      <c r="R324" s="13">
        <f>IF(ISNUMBER(M324),ROUND(M324/(1-Settings!$B$2)/Settings!$B$3,0)*Settings!$B$3,"")</f>
        <v/>
      </c>
      <c r="S324" s="13">
        <f>IF(ISNUMBER(N324),ROUND(N324/(1-Settings!$B$2)/Settings!$B$3,0)*Settings!$B$3,"")</f>
        <v/>
      </c>
      <c r="T324" s="13">
        <f>IF(ISNUMBER(O324),ROUND(O324/(1-Settings!$B$2)/Settings!$B$3,0)*Settings!$B$3,"")</f>
        <v/>
      </c>
      <c r="U324" s="13">
        <f>IF(ISNUMBER(P324),ROUND(P324/(1-Settings!$B$2)/Settings!$B$3,0)*Settings!$B$3,"")</f>
        <v/>
      </c>
      <c r="V324" s="13">
        <f>IF(ISNUMBER(Q324),ROUND(Q324/(1-Settings!$B$2)/Settings!$B$3,0)*Settings!$B$3,"")</f>
        <v/>
      </c>
      <c r="W324" s="14" t="n">
        <v>2540</v>
      </c>
      <c r="X324" s="14" t="n">
        <v>3106</v>
      </c>
      <c r="Y324" s="11" t="inlineStr">
        <is>
          <t>2026</t>
        </is>
      </c>
      <c r="Z324" s="11" t="inlineStr">
        <is>
          <t>2026-06</t>
        </is>
      </c>
      <c r="AA324" s="8" t="inlineStr"/>
      <c r="AB324" s="8" t="inlineStr"/>
      <c r="AC324" s="11" t="inlineStr">
        <is>
          <t>Military - National Publication Inventory Master_June 2026.xlsx</t>
        </is>
      </c>
      <c r="AD324" s="11" t="inlineStr">
        <is>
          <t>460 FSS Advertising Information 2026.pdf</t>
        </is>
      </c>
      <c r="AE324" s="15" t="inlineStr">
        <is>
          <t>Open in Box</t>
        </is>
      </c>
      <c r="AF324" s="15" t="inlineStr">
        <is>
          <t>Open in Box</t>
        </is>
      </c>
    </row>
    <row r="325">
      <c r="A325" s="11" t="inlineStr">
        <is>
          <t>CO-BUCKLEYA-004</t>
        </is>
      </c>
      <c r="B325" s="8" t="inlineStr">
        <is>
          <t>Buckley AFB</t>
        </is>
      </c>
      <c r="C325" s="11" t="inlineStr"/>
      <c r="D325" s="11" t="inlineStr">
        <is>
          <t>CO</t>
        </is>
      </c>
      <c r="E325" s="11" t="inlineStr">
        <is>
          <t>Denver</t>
        </is>
      </c>
      <c r="F325" s="11" t="inlineStr"/>
      <c r="G325" s="11" t="inlineStr">
        <is>
          <t>Air Force</t>
        </is>
      </c>
      <c r="H325" s="11" t="inlineStr">
        <is>
          <t>Web &amp; Email</t>
        </is>
      </c>
      <c r="I325" s="8" t="inlineStr">
        <is>
          <t>Web Ad</t>
        </is>
      </c>
      <c r="J325" s="11" t="inlineStr"/>
      <c r="K325" s="8" t="inlineStr">
        <is>
          <t>Your ad will appear on the installation MWR / FSS website.</t>
        </is>
      </c>
      <c r="L325" s="11" t="n">
        <v>1</v>
      </c>
      <c r="M325" s="12" t="n">
        <v>200</v>
      </c>
      <c r="N325" s="12" t="n"/>
      <c r="O325" s="12" t="n"/>
      <c r="P325" s="12" t="n"/>
      <c r="Q325" s="12" t="n"/>
      <c r="R325" s="13">
        <f>IF(ISNUMBER(M325),ROUND(M325/(1-Settings!$B$2)/Settings!$B$3,0)*Settings!$B$3,"")</f>
        <v/>
      </c>
      <c r="S325" s="13">
        <f>IF(ISNUMBER(N325),ROUND(N325/(1-Settings!$B$2)/Settings!$B$3,0)*Settings!$B$3,"")</f>
        <v/>
      </c>
      <c r="T325" s="13">
        <f>IF(ISNUMBER(O325),ROUND(O325/(1-Settings!$B$2)/Settings!$B$3,0)*Settings!$B$3,"")</f>
        <v/>
      </c>
      <c r="U325" s="13">
        <f>IF(ISNUMBER(P325),ROUND(P325/(1-Settings!$B$2)/Settings!$B$3,0)*Settings!$B$3,"")</f>
        <v/>
      </c>
      <c r="V325" s="13">
        <f>IF(ISNUMBER(Q325),ROUND(Q325/(1-Settings!$B$2)/Settings!$B$3,0)*Settings!$B$3,"")</f>
        <v/>
      </c>
      <c r="W325" s="14" t="n">
        <v>2540</v>
      </c>
      <c r="X325" s="14" t="n">
        <v>3106</v>
      </c>
      <c r="Y325" s="11" t="inlineStr">
        <is>
          <t>2026</t>
        </is>
      </c>
      <c r="Z325" s="11" t="inlineStr">
        <is>
          <t>2026-06</t>
        </is>
      </c>
      <c r="AA325" s="8" t="inlineStr"/>
      <c r="AB325" s="8" t="inlineStr"/>
      <c r="AC325" s="11" t="inlineStr">
        <is>
          <t>Military - National Publication Inventory Master_June 2026.xlsx</t>
        </is>
      </c>
      <c r="AD325" s="11" t="inlineStr">
        <is>
          <t>460 FSS Advertising Information 2026.pdf</t>
        </is>
      </c>
      <c r="AE325" s="15" t="inlineStr">
        <is>
          <t>Open in Box</t>
        </is>
      </c>
      <c r="AF325" s="15" t="inlineStr">
        <is>
          <t>Open in Box</t>
        </is>
      </c>
    </row>
    <row r="326">
      <c r="A326" s="11" t="inlineStr">
        <is>
          <t>CO-FORTCARS-001</t>
        </is>
      </c>
      <c r="B326" s="8" t="inlineStr">
        <is>
          <t>Fort Carson</t>
        </is>
      </c>
      <c r="C326" s="11" t="inlineStr"/>
      <c r="D326" s="11" t="inlineStr">
        <is>
          <t>CO</t>
        </is>
      </c>
      <c r="E326" s="11" t="inlineStr">
        <is>
          <t>Colorado Springs-Pueblo</t>
        </is>
      </c>
      <c r="F326" s="11" t="inlineStr">
        <is>
          <t>80913</t>
        </is>
      </c>
      <c r="G326" s="11" t="inlineStr">
        <is>
          <t>Army</t>
        </is>
      </c>
      <c r="H326" s="11" t="inlineStr">
        <is>
          <t>Digital</t>
        </is>
      </c>
      <c r="I326" s="8" t="inlineStr">
        <is>
          <t>Bowling Digital Monitors</t>
        </is>
      </c>
      <c r="J326" s="11" t="inlineStr">
        <is>
          <t>438px x 246px</t>
        </is>
      </c>
      <c r="K326" s="8" t="inlineStr">
        <is>
          <t>Your ad will appear on the Bowling Alley digital monitors.</t>
        </is>
      </c>
      <c r="L326" s="11" t="n">
        <v>1</v>
      </c>
      <c r="M326" s="12" t="n">
        <v>400</v>
      </c>
      <c r="N326" s="12" t="n">
        <v>1000</v>
      </c>
      <c r="O326" s="12" t="n">
        <v>2100</v>
      </c>
      <c r="P326" s="12" t="n">
        <v>4400</v>
      </c>
      <c r="Q326" s="12" t="n">
        <v>0</v>
      </c>
      <c r="R326" s="13">
        <f>IF(ISNUMBER(M326),ROUND(M326/(1-Settings!$B$2)/Settings!$B$3,0)*Settings!$B$3,"")</f>
        <v/>
      </c>
      <c r="S326" s="13">
        <f>IF(ISNUMBER(N326),ROUND(N326/(1-Settings!$B$2)/Settings!$B$3,0)*Settings!$B$3,"")</f>
        <v/>
      </c>
      <c r="T326" s="13">
        <f>IF(ISNUMBER(O326),ROUND(O326/(1-Settings!$B$2)/Settings!$B$3,0)*Settings!$B$3,"")</f>
        <v/>
      </c>
      <c r="U326" s="13">
        <f>IF(ISNUMBER(P326),ROUND(P326/(1-Settings!$B$2)/Settings!$B$3,0)*Settings!$B$3,"")</f>
        <v/>
      </c>
      <c r="V326" s="13">
        <f>IF(ISNUMBER(Q326),ROUND(Q326/(1-Settings!$B$2)/Settings!$B$3,0)*Settings!$B$3,"")</f>
        <v/>
      </c>
      <c r="W326" s="14" t="n">
        <v>24520</v>
      </c>
      <c r="X326" s="14" t="n">
        <v>32953</v>
      </c>
      <c r="Y326" s="11" t="inlineStr"/>
      <c r="Z326" s="11" t="inlineStr"/>
      <c r="AA326" s="8" t="inlineStr"/>
      <c r="AB326" s="8" t="inlineStr"/>
      <c r="AC326" s="11" t="inlineStr">
        <is>
          <t>MasterMilitaryOnBaseList 12.2.25 NS.xlsx</t>
        </is>
      </c>
      <c r="AD326" s="11" t="inlineStr">
        <is>
          <t>DFMWR_FortCarson_SponsorshipDeck_2026.pdf</t>
        </is>
      </c>
      <c r="AE326" s="15" t="inlineStr">
        <is>
          <t>Open in Box</t>
        </is>
      </c>
      <c r="AF326" s="15" t="inlineStr">
        <is>
          <t>Open in Box</t>
        </is>
      </c>
    </row>
    <row r="327">
      <c r="A327" s="11" t="inlineStr">
        <is>
          <t>CO-FORTCARS-002</t>
        </is>
      </c>
      <c r="B327" s="8" t="inlineStr">
        <is>
          <t>Fort Carson</t>
        </is>
      </c>
      <c r="C327" s="11" t="inlineStr"/>
      <c r="D327" s="11" t="inlineStr">
        <is>
          <t>CO</t>
        </is>
      </c>
      <c r="E327" s="11" t="inlineStr">
        <is>
          <t>Colorado Springs-Pueblo</t>
        </is>
      </c>
      <c r="F327" s="11" t="inlineStr">
        <is>
          <t>80913</t>
        </is>
      </c>
      <c r="G327" s="11" t="inlineStr">
        <is>
          <t>Army</t>
        </is>
      </c>
      <c r="H327" s="11" t="inlineStr">
        <is>
          <t>Digital</t>
        </is>
      </c>
      <c r="I327" s="8" t="inlineStr">
        <is>
          <t>Bowling Lane Masks</t>
        </is>
      </c>
      <c r="J327" s="11" t="inlineStr">
        <is>
          <t>36" x 72"</t>
        </is>
      </c>
      <c r="K327" s="8" t="inlineStr">
        <is>
          <t>Your ad will appear on the installation bowling lanes.</t>
        </is>
      </c>
      <c r="L327" s="11" t="n">
        <v>6</v>
      </c>
      <c r="M327" s="12" t="n"/>
      <c r="N327" s="12" t="n"/>
      <c r="O327" s="12" t="n">
        <v>1800</v>
      </c>
      <c r="P327" s="12" t="n">
        <v>3000</v>
      </c>
      <c r="Q327" s="12" t="n">
        <v>0</v>
      </c>
      <c r="R327" s="13">
        <f>IF(ISNUMBER(M327),ROUND(M327/(1-Settings!$B$2)/Settings!$B$3,0)*Settings!$B$3,"")</f>
        <v/>
      </c>
      <c r="S327" s="13">
        <f>IF(ISNUMBER(N327),ROUND(N327/(1-Settings!$B$2)/Settings!$B$3,0)*Settings!$B$3,"")</f>
        <v/>
      </c>
      <c r="T327" s="13">
        <f>IF(ISNUMBER(O327),ROUND(O327/(1-Settings!$B$2)/Settings!$B$3,0)*Settings!$B$3,"")</f>
        <v/>
      </c>
      <c r="U327" s="13">
        <f>IF(ISNUMBER(P327),ROUND(P327/(1-Settings!$B$2)/Settings!$B$3,0)*Settings!$B$3,"")</f>
        <v/>
      </c>
      <c r="V327" s="13">
        <f>IF(ISNUMBER(Q327),ROUND(Q327/(1-Settings!$B$2)/Settings!$B$3,0)*Settings!$B$3,"")</f>
        <v/>
      </c>
      <c r="W327" s="14" t="n">
        <v>24520</v>
      </c>
      <c r="X327" s="14" t="n">
        <v>32953</v>
      </c>
      <c r="Y327" s="11" t="inlineStr"/>
      <c r="Z327" s="11" t="inlineStr"/>
      <c r="AA327" s="8" t="inlineStr"/>
      <c r="AB327" s="16" t="inlineStr">
        <is>
          <t>Source formula errors</t>
        </is>
      </c>
      <c r="AC327" s="11" t="inlineStr">
        <is>
          <t>MasterMilitaryOnBaseList 12.2.25 NS.xlsx</t>
        </is>
      </c>
      <c r="AD327" s="11" t="inlineStr">
        <is>
          <t>DFMWR_FortCarson_SponsorshipDeck_2026.pdf</t>
        </is>
      </c>
      <c r="AE327" s="15" t="inlineStr">
        <is>
          <t>Open in Box</t>
        </is>
      </c>
      <c r="AF327" s="15" t="inlineStr">
        <is>
          <t>Open in Box</t>
        </is>
      </c>
    </row>
    <row r="328">
      <c r="A328" s="11" t="inlineStr">
        <is>
          <t>CO-FORTCARS-003</t>
        </is>
      </c>
      <c r="B328" s="8" t="inlineStr">
        <is>
          <t>Fort Carson</t>
        </is>
      </c>
      <c r="C328" s="11" t="inlineStr"/>
      <c r="D328" s="11" t="inlineStr">
        <is>
          <t>CO</t>
        </is>
      </c>
      <c r="E328" s="11" t="inlineStr">
        <is>
          <t>Colorado Springs-Pueblo</t>
        </is>
      </c>
      <c r="F328" s="11" t="inlineStr">
        <is>
          <t>80913</t>
        </is>
      </c>
      <c r="G328" s="11" t="inlineStr">
        <is>
          <t>Army</t>
        </is>
      </c>
      <c r="H328" s="11" t="inlineStr">
        <is>
          <t>Digital</t>
        </is>
      </c>
      <c r="I328" s="8" t="inlineStr">
        <is>
          <t>Bowling Lane Signage</t>
        </is>
      </c>
      <c r="J328" s="11" t="inlineStr">
        <is>
          <t>36"W x 72"H</t>
        </is>
      </c>
      <c r="K328" s="8" t="inlineStr">
        <is>
          <t>Your ad will appear at the bowling center.</t>
        </is>
      </c>
      <c r="L328" s="11" t="n">
        <v>6</v>
      </c>
      <c r="M328" s="12" t="n"/>
      <c r="N328" s="12" t="n"/>
      <c r="O328" s="12" t="n">
        <v>1800</v>
      </c>
      <c r="P328" s="12" t="n">
        <v>3000</v>
      </c>
      <c r="Q328" s="12" t="n"/>
      <c r="R328" s="13">
        <f>IF(ISNUMBER(M328),ROUND(M328/(1-Settings!$B$2)/Settings!$B$3,0)*Settings!$B$3,"")</f>
        <v/>
      </c>
      <c r="S328" s="13">
        <f>IF(ISNUMBER(N328),ROUND(N328/(1-Settings!$B$2)/Settings!$B$3,0)*Settings!$B$3,"")</f>
        <v/>
      </c>
      <c r="T328" s="13">
        <f>IF(ISNUMBER(O328),ROUND(O328/(1-Settings!$B$2)/Settings!$B$3,0)*Settings!$B$3,"")</f>
        <v/>
      </c>
      <c r="U328" s="13">
        <f>IF(ISNUMBER(P328),ROUND(P328/(1-Settings!$B$2)/Settings!$B$3,0)*Settings!$B$3,"")</f>
        <v/>
      </c>
      <c r="V328" s="13">
        <f>IF(ISNUMBER(Q328),ROUND(Q328/(1-Settings!$B$2)/Settings!$B$3,0)*Settings!$B$3,"")</f>
        <v/>
      </c>
      <c r="W328" s="14" t="n">
        <v>24520</v>
      </c>
      <c r="X328" s="14" t="n">
        <v>32953</v>
      </c>
      <c r="Y328" s="11" t="inlineStr"/>
      <c r="Z328" s="11" t="inlineStr"/>
      <c r="AA328" s="8" t="inlineStr"/>
      <c r="AB328" s="16" t="inlineStr">
        <is>
          <t>Source formula errors</t>
        </is>
      </c>
      <c r="AC328" s="11" t="inlineStr">
        <is>
          <t>MasterMilitaryOnBaseList 12.2.25 NS.xlsx</t>
        </is>
      </c>
      <c r="AD328" s="11" t="inlineStr">
        <is>
          <t>DFMWR_FortCarson_SponsorshipDeck_2026.pdf</t>
        </is>
      </c>
      <c r="AE328" s="15" t="inlineStr">
        <is>
          <t>Open in Box</t>
        </is>
      </c>
      <c r="AF328" s="15" t="inlineStr">
        <is>
          <t>Open in Box</t>
        </is>
      </c>
    </row>
    <row r="329">
      <c r="A329" s="11" t="inlineStr">
        <is>
          <t>CO-FORTCARS-004</t>
        </is>
      </c>
      <c r="B329" s="8" t="inlineStr">
        <is>
          <t>Fort Carson</t>
        </is>
      </c>
      <c r="C329" s="11" t="inlineStr"/>
      <c r="D329" s="11" t="inlineStr">
        <is>
          <t>CO</t>
        </is>
      </c>
      <c r="E329" s="11" t="inlineStr">
        <is>
          <t>Colorado Springs-Pueblo</t>
        </is>
      </c>
      <c r="F329" s="11" t="inlineStr">
        <is>
          <t>80913</t>
        </is>
      </c>
      <c r="G329" s="11" t="inlineStr">
        <is>
          <t>Army</t>
        </is>
      </c>
      <c r="H329" s="11" t="inlineStr">
        <is>
          <t>Digital</t>
        </is>
      </c>
      <c r="I329" s="8" t="inlineStr">
        <is>
          <t>Bowling Scoring Monitors</t>
        </is>
      </c>
      <c r="J329" s="11" t="inlineStr">
        <is>
          <t>438pxW x 246pxH</t>
        </is>
      </c>
      <c r="K329" s="8" t="inlineStr">
        <is>
          <t>Your ad will appear on the digital bowling scoring monitors.</t>
        </is>
      </c>
      <c r="L329" s="11" t="n">
        <v>1</v>
      </c>
      <c r="M329" s="12" t="n">
        <v>400</v>
      </c>
      <c r="N329" s="12" t="n">
        <v>1000</v>
      </c>
      <c r="O329" s="12" t="n">
        <v>2100</v>
      </c>
      <c r="P329" s="12" t="n">
        <v>4400</v>
      </c>
      <c r="Q329" s="12" t="n">
        <v>0</v>
      </c>
      <c r="R329" s="13">
        <f>IF(ISNUMBER(M329),ROUND(M329/(1-Settings!$B$2)/Settings!$B$3,0)*Settings!$B$3,"")</f>
        <v/>
      </c>
      <c r="S329" s="13">
        <f>IF(ISNUMBER(N329),ROUND(N329/(1-Settings!$B$2)/Settings!$B$3,0)*Settings!$B$3,"")</f>
        <v/>
      </c>
      <c r="T329" s="13">
        <f>IF(ISNUMBER(O329),ROUND(O329/(1-Settings!$B$2)/Settings!$B$3,0)*Settings!$B$3,"")</f>
        <v/>
      </c>
      <c r="U329" s="13">
        <f>IF(ISNUMBER(P329),ROUND(P329/(1-Settings!$B$2)/Settings!$B$3,0)*Settings!$B$3,"")</f>
        <v/>
      </c>
      <c r="V329" s="13">
        <f>IF(ISNUMBER(Q329),ROUND(Q329/(1-Settings!$B$2)/Settings!$B$3,0)*Settings!$B$3,"")</f>
        <v/>
      </c>
      <c r="W329" s="14" t="n">
        <v>24520</v>
      </c>
      <c r="X329" s="14" t="n">
        <v>32953</v>
      </c>
      <c r="Y329" s="11" t="inlineStr"/>
      <c r="Z329" s="11" t="inlineStr"/>
      <c r="AA329" s="8" t="inlineStr"/>
      <c r="AB329" s="8" t="inlineStr"/>
      <c r="AC329" s="11" t="inlineStr">
        <is>
          <t>MasterMilitaryOnBaseList 12.2.25 NS.xlsx</t>
        </is>
      </c>
      <c r="AD329" s="11" t="inlineStr">
        <is>
          <t>DFMWR_FortCarson_SponsorshipDeck_2026.pdf</t>
        </is>
      </c>
      <c r="AE329" s="15" t="inlineStr">
        <is>
          <t>Open in Box</t>
        </is>
      </c>
      <c r="AF329" s="15" t="inlineStr">
        <is>
          <t>Open in Box</t>
        </is>
      </c>
    </row>
    <row r="330">
      <c r="A330" s="11" t="inlineStr">
        <is>
          <t>CO-FORTCARS-005</t>
        </is>
      </c>
      <c r="B330" s="8" t="inlineStr">
        <is>
          <t>Fort Carson</t>
        </is>
      </c>
      <c r="C330" s="11" t="inlineStr"/>
      <c r="D330" s="11" t="inlineStr">
        <is>
          <t>CO</t>
        </is>
      </c>
      <c r="E330" s="11" t="inlineStr">
        <is>
          <t>Colorado Springs-Pueblo</t>
        </is>
      </c>
      <c r="F330" s="11" t="inlineStr">
        <is>
          <t>80913</t>
        </is>
      </c>
      <c r="G330" s="11" t="inlineStr">
        <is>
          <t>Army</t>
        </is>
      </c>
      <c r="H330" s="11" t="inlineStr">
        <is>
          <t>Digital</t>
        </is>
      </c>
      <c r="I330" s="8" t="inlineStr">
        <is>
          <t>Digital Magazine Ad - 1/2 Page</t>
        </is>
      </c>
      <c r="J330" s="11" t="inlineStr">
        <is>
          <t>8.5"W x 5.5"H (Bleed: 8.9" x 5.8")</t>
        </is>
      </c>
      <c r="K330" s="8" t="inlineStr">
        <is>
          <t>Your ad will appear in the Fort Carson Digital Magazine</t>
        </is>
      </c>
      <c r="L330" s="11" t="n">
        <v>3</v>
      </c>
      <c r="M330" s="12" t="n"/>
      <c r="N330" s="12" t="n">
        <v>1000</v>
      </c>
      <c r="O330" s="12" t="n">
        <v>1800</v>
      </c>
      <c r="P330" s="12" t="n">
        <v>3600</v>
      </c>
      <c r="Q330" s="12" t="n">
        <v>0</v>
      </c>
      <c r="R330" s="13">
        <f>IF(ISNUMBER(M330),ROUND(M330/(1-Settings!$B$2)/Settings!$B$3,0)*Settings!$B$3,"")</f>
        <v/>
      </c>
      <c r="S330" s="13">
        <f>IF(ISNUMBER(N330),ROUND(N330/(1-Settings!$B$2)/Settings!$B$3,0)*Settings!$B$3,"")</f>
        <v/>
      </c>
      <c r="T330" s="13">
        <f>IF(ISNUMBER(O330),ROUND(O330/(1-Settings!$B$2)/Settings!$B$3,0)*Settings!$B$3,"")</f>
        <v/>
      </c>
      <c r="U330" s="13">
        <f>IF(ISNUMBER(P330),ROUND(P330/(1-Settings!$B$2)/Settings!$B$3,0)*Settings!$B$3,"")</f>
        <v/>
      </c>
      <c r="V330" s="13">
        <f>IF(ISNUMBER(Q330),ROUND(Q330/(1-Settings!$B$2)/Settings!$B$3,0)*Settings!$B$3,"")</f>
        <v/>
      </c>
      <c r="W330" s="14" t="n">
        <v>24520</v>
      </c>
      <c r="X330" s="14" t="n">
        <v>32953</v>
      </c>
      <c r="Y330" s="11" t="inlineStr"/>
      <c r="Z330" s="11" t="inlineStr"/>
      <c r="AA330" s="8" t="inlineStr">
        <is>
          <t>Inventory master 6/2026 lists Digital Monitor Network at $650 (1 mo); Inventory master 6/2026 lists Magazine Ad at $1,500 (1 mo)</t>
        </is>
      </c>
      <c r="AB330" s="8" t="inlineStr"/>
      <c r="AC330" s="11" t="inlineStr">
        <is>
          <t>MasterMilitaryOnBaseList 12.2.25 NS.xlsx</t>
        </is>
      </c>
      <c r="AD330" s="11" t="inlineStr">
        <is>
          <t>DFMWR_FortCarson_SponsorshipDeck_2026.pdf</t>
        </is>
      </c>
      <c r="AE330" s="15" t="inlineStr">
        <is>
          <t>Open in Box</t>
        </is>
      </c>
      <c r="AF330" s="15" t="inlineStr">
        <is>
          <t>Open in Box</t>
        </is>
      </c>
    </row>
    <row r="331">
      <c r="A331" s="11" t="inlineStr">
        <is>
          <t>CO-FORTCARS-006</t>
        </is>
      </c>
      <c r="B331" s="8" t="inlineStr">
        <is>
          <t>Fort Carson</t>
        </is>
      </c>
      <c r="C331" s="11" t="inlineStr"/>
      <c r="D331" s="11" t="inlineStr">
        <is>
          <t>CO</t>
        </is>
      </c>
      <c r="E331" s="11" t="inlineStr">
        <is>
          <t>Colorado Springs-Pueblo</t>
        </is>
      </c>
      <c r="F331" s="11" t="inlineStr">
        <is>
          <t>80913</t>
        </is>
      </c>
      <c r="G331" s="11" t="inlineStr">
        <is>
          <t>Army</t>
        </is>
      </c>
      <c r="H331" s="11" t="inlineStr">
        <is>
          <t>Digital</t>
        </is>
      </c>
      <c r="I331" s="8" t="inlineStr">
        <is>
          <t>Digital Magazine Ad - 1/4 Page</t>
        </is>
      </c>
      <c r="J331" s="11" t="inlineStr">
        <is>
          <t>4.13" x 5.36" (Bleed: 4.32" x 5.61")</t>
        </is>
      </c>
      <c r="K331" s="8" t="inlineStr">
        <is>
          <t>Your ad will appear in the Fort Carson Digital Magazine</t>
        </is>
      </c>
      <c r="L331" s="11" t="n">
        <v>3</v>
      </c>
      <c r="M331" s="12" t="n"/>
      <c r="N331" s="12" t="n">
        <v>500</v>
      </c>
      <c r="O331" s="12" t="n">
        <v>800</v>
      </c>
      <c r="P331" s="12" t="n">
        <v>1600</v>
      </c>
      <c r="Q331" s="12" t="n">
        <v>0</v>
      </c>
      <c r="R331" s="13">
        <f>IF(ISNUMBER(M331),ROUND(M331/(1-Settings!$B$2)/Settings!$B$3,0)*Settings!$B$3,"")</f>
        <v/>
      </c>
      <c r="S331" s="13">
        <f>IF(ISNUMBER(N331),ROUND(N331/(1-Settings!$B$2)/Settings!$B$3,0)*Settings!$B$3,"")</f>
        <v/>
      </c>
      <c r="T331" s="13">
        <f>IF(ISNUMBER(O331),ROUND(O331/(1-Settings!$B$2)/Settings!$B$3,0)*Settings!$B$3,"")</f>
        <v/>
      </c>
      <c r="U331" s="13">
        <f>IF(ISNUMBER(P331),ROUND(P331/(1-Settings!$B$2)/Settings!$B$3,0)*Settings!$B$3,"")</f>
        <v/>
      </c>
      <c r="V331" s="13">
        <f>IF(ISNUMBER(Q331),ROUND(Q331/(1-Settings!$B$2)/Settings!$B$3,0)*Settings!$B$3,"")</f>
        <v/>
      </c>
      <c r="W331" s="14" t="n">
        <v>24520</v>
      </c>
      <c r="X331" s="14" t="n">
        <v>32953</v>
      </c>
      <c r="Y331" s="11" t="inlineStr"/>
      <c r="Z331" s="11" t="inlineStr"/>
      <c r="AA331" s="8" t="inlineStr">
        <is>
          <t>Inventory master 6/2026 lists Digital Monitor Network at $650 (1 mo); Inventory master 6/2026 lists Magazine Ad at $1,500 (1 mo)</t>
        </is>
      </c>
      <c r="AB331" s="8" t="inlineStr"/>
      <c r="AC331" s="11" t="inlineStr">
        <is>
          <t>MasterMilitaryOnBaseList 12.2.25 NS.xlsx</t>
        </is>
      </c>
      <c r="AD331" s="11" t="inlineStr">
        <is>
          <t>DFMWR_FortCarson_SponsorshipDeck_2026.pdf</t>
        </is>
      </c>
      <c r="AE331" s="15" t="inlineStr">
        <is>
          <t>Open in Box</t>
        </is>
      </c>
      <c r="AF331" s="15" t="inlineStr">
        <is>
          <t>Open in Box</t>
        </is>
      </c>
    </row>
    <row r="332">
      <c r="A332" s="11" t="inlineStr">
        <is>
          <t>CO-FORTCARS-007</t>
        </is>
      </c>
      <c r="B332" s="8" t="inlineStr">
        <is>
          <t>Fort Carson</t>
        </is>
      </c>
      <c r="C332" s="11" t="inlineStr"/>
      <c r="D332" s="11" t="inlineStr">
        <is>
          <t>CO</t>
        </is>
      </c>
      <c r="E332" s="11" t="inlineStr">
        <is>
          <t>Colorado Springs-Pueblo</t>
        </is>
      </c>
      <c r="F332" s="11" t="inlineStr">
        <is>
          <t>80913</t>
        </is>
      </c>
      <c r="G332" s="11" t="inlineStr">
        <is>
          <t>Army</t>
        </is>
      </c>
      <c r="H332" s="11" t="inlineStr">
        <is>
          <t>Digital</t>
        </is>
      </c>
      <c r="I332" s="8" t="inlineStr">
        <is>
          <t>Digital Magazine Ad - Full Page</t>
        </is>
      </c>
      <c r="J332" s="11" t="inlineStr">
        <is>
          <t>8.5"W x 11"H (Bleed: 8.7509" x 11.5297")</t>
        </is>
      </c>
      <c r="K332" s="8" t="inlineStr">
        <is>
          <t>Your ad will appear in the Fort Carson Digital Magazine</t>
        </is>
      </c>
      <c r="L332" s="11" t="n">
        <v>3</v>
      </c>
      <c r="M332" s="12" t="n"/>
      <c r="N332" s="12" t="n">
        <v>2000</v>
      </c>
      <c r="O332" s="12" t="n">
        <v>3800</v>
      </c>
      <c r="P332" s="12" t="n"/>
      <c r="Q332" s="12" t="n">
        <v>0</v>
      </c>
      <c r="R332" s="13">
        <f>IF(ISNUMBER(M332),ROUND(M332/(1-Settings!$B$2)/Settings!$B$3,0)*Settings!$B$3,"")</f>
        <v/>
      </c>
      <c r="S332" s="13">
        <f>IF(ISNUMBER(N332),ROUND(N332/(1-Settings!$B$2)/Settings!$B$3,0)*Settings!$B$3,"")</f>
        <v/>
      </c>
      <c r="T332" s="13">
        <f>IF(ISNUMBER(O332),ROUND(O332/(1-Settings!$B$2)/Settings!$B$3,0)*Settings!$B$3,"")</f>
        <v/>
      </c>
      <c r="U332" s="13">
        <f>IF(ISNUMBER(P332),ROUND(P332/(1-Settings!$B$2)/Settings!$B$3,0)*Settings!$B$3,"")</f>
        <v/>
      </c>
      <c r="V332" s="13">
        <f>IF(ISNUMBER(Q332),ROUND(Q332/(1-Settings!$B$2)/Settings!$B$3,0)*Settings!$B$3,"")</f>
        <v/>
      </c>
      <c r="W332" s="14" t="n">
        <v>24520</v>
      </c>
      <c r="X332" s="14" t="n">
        <v>32953</v>
      </c>
      <c r="Y332" s="11" t="inlineStr"/>
      <c r="Z332" s="11" t="inlineStr"/>
      <c r="AA332" s="8" t="inlineStr">
        <is>
          <t>Inventory master 6/2026 lists Digital Monitor Network at $650 (1 mo); Inventory master 6/2026 lists Magazine Ad at $1,500 (1 mo)</t>
        </is>
      </c>
      <c r="AB332" s="8" t="inlineStr"/>
      <c r="AC332" s="11" t="inlineStr">
        <is>
          <t>MasterMilitaryOnBaseList 12.2.25 NS.xlsx</t>
        </is>
      </c>
      <c r="AD332" s="11" t="inlineStr">
        <is>
          <t>DFMWR_FortCarson_SponsorshipDeck_2026.pdf</t>
        </is>
      </c>
      <c r="AE332" s="15" t="inlineStr">
        <is>
          <t>Open in Box</t>
        </is>
      </c>
      <c r="AF332" s="15" t="inlineStr">
        <is>
          <t>Open in Box</t>
        </is>
      </c>
    </row>
    <row r="333">
      <c r="A333" s="11" t="inlineStr">
        <is>
          <t>CO-FORTCARS-008</t>
        </is>
      </c>
      <c r="B333" s="8" t="inlineStr">
        <is>
          <t>Fort Carson</t>
        </is>
      </c>
      <c r="C333" s="11" t="inlineStr"/>
      <c r="D333" s="11" t="inlineStr">
        <is>
          <t>CO</t>
        </is>
      </c>
      <c r="E333" s="11" t="inlineStr">
        <is>
          <t>Colorado Springs-Pueblo</t>
        </is>
      </c>
      <c r="F333" s="11" t="inlineStr">
        <is>
          <t>80913</t>
        </is>
      </c>
      <c r="G333" s="11" t="inlineStr">
        <is>
          <t>Army</t>
        </is>
      </c>
      <c r="H333" s="11" t="inlineStr">
        <is>
          <t>Digital</t>
        </is>
      </c>
      <c r="I333" s="8" t="inlineStr">
        <is>
          <t>Digital Monitor Network</t>
        </is>
      </c>
      <c r="J333" s="11" t="inlineStr">
        <is>
          <t>1366pxW x 768pxH</t>
        </is>
      </c>
      <c r="K333" s="8" t="inlineStr">
        <is>
          <t>Your ad will appear on the digital monitor network in approved installation facilities.</t>
        </is>
      </c>
      <c r="L333" s="11" t="n">
        <v>1</v>
      </c>
      <c r="M333" s="12" t="n">
        <v>500</v>
      </c>
      <c r="N333" s="12" t="n">
        <v>1300</v>
      </c>
      <c r="O333" s="12" t="n">
        <v>2700</v>
      </c>
      <c r="P333" s="12" t="n">
        <v>5600</v>
      </c>
      <c r="Q333" s="12" t="n">
        <v>0</v>
      </c>
      <c r="R333" s="13">
        <f>IF(ISNUMBER(M333),ROUND(M333/(1-Settings!$B$2)/Settings!$B$3,0)*Settings!$B$3,"")</f>
        <v/>
      </c>
      <c r="S333" s="13">
        <f>IF(ISNUMBER(N333),ROUND(N333/(1-Settings!$B$2)/Settings!$B$3,0)*Settings!$B$3,"")</f>
        <v/>
      </c>
      <c r="T333" s="13">
        <f>IF(ISNUMBER(O333),ROUND(O333/(1-Settings!$B$2)/Settings!$B$3,0)*Settings!$B$3,"")</f>
        <v/>
      </c>
      <c r="U333" s="13">
        <f>IF(ISNUMBER(P333),ROUND(P333/(1-Settings!$B$2)/Settings!$B$3,0)*Settings!$B$3,"")</f>
        <v/>
      </c>
      <c r="V333" s="13">
        <f>IF(ISNUMBER(Q333),ROUND(Q333/(1-Settings!$B$2)/Settings!$B$3,0)*Settings!$B$3,"")</f>
        <v/>
      </c>
      <c r="W333" s="14" t="n">
        <v>24520</v>
      </c>
      <c r="X333" s="14" t="n">
        <v>32953</v>
      </c>
      <c r="Y333" s="11" t="inlineStr"/>
      <c r="Z333" s="11" t="inlineStr"/>
      <c r="AA333" s="8" t="inlineStr">
        <is>
          <t>Inventory master 6/2026 lists Digital Monitor Network at $650 (1 mo)</t>
        </is>
      </c>
      <c r="AB333" s="8" t="inlineStr"/>
      <c r="AC333" s="11" t="inlineStr">
        <is>
          <t>MasterMilitaryOnBaseList 12.2.25 NS.xlsx</t>
        </is>
      </c>
      <c r="AD333" s="11" t="inlineStr">
        <is>
          <t>DFMWR_FortCarson_SponsorshipDeck_2026.pdf</t>
        </is>
      </c>
      <c r="AE333" s="15" t="inlineStr">
        <is>
          <t>Open in Box</t>
        </is>
      </c>
      <c r="AF333" s="15" t="inlineStr">
        <is>
          <t>Open in Box</t>
        </is>
      </c>
    </row>
    <row r="334">
      <c r="A334" s="11" t="inlineStr">
        <is>
          <t>CO-FORTCARS-009</t>
        </is>
      </c>
      <c r="B334" s="8" t="inlineStr">
        <is>
          <t>Fort Carson</t>
        </is>
      </c>
      <c r="C334" s="11" t="inlineStr"/>
      <c r="D334" s="11" t="inlineStr">
        <is>
          <t>CO</t>
        </is>
      </c>
      <c r="E334" s="11" t="inlineStr">
        <is>
          <t>Colorado Springs-Pueblo</t>
        </is>
      </c>
      <c r="F334" s="11" t="inlineStr">
        <is>
          <t>80913</t>
        </is>
      </c>
      <c r="G334" s="11" t="inlineStr">
        <is>
          <t>Army</t>
        </is>
      </c>
      <c r="H334" s="11" t="inlineStr">
        <is>
          <t>Digital</t>
        </is>
      </c>
      <c r="I334" s="8" t="inlineStr">
        <is>
          <t>Indoor Digital Monitors</t>
        </is>
      </c>
      <c r="J334" s="11" t="inlineStr">
        <is>
          <t>1366px x 768px</t>
        </is>
      </c>
      <c r="K334" s="8" t="inlineStr">
        <is>
          <t>Your ad will appear on the installation digital monitors.</t>
        </is>
      </c>
      <c r="L334" s="11" t="n">
        <v>1</v>
      </c>
      <c r="M334" s="12" t="n">
        <v>500</v>
      </c>
      <c r="N334" s="12" t="n">
        <v>1300</v>
      </c>
      <c r="O334" s="12" t="n">
        <v>2700</v>
      </c>
      <c r="P334" s="12" t="n">
        <v>5600</v>
      </c>
      <c r="Q334" s="12" t="n">
        <v>0</v>
      </c>
      <c r="R334" s="13">
        <f>IF(ISNUMBER(M334),ROUND(M334/(1-Settings!$B$2)/Settings!$B$3,0)*Settings!$B$3,"")</f>
        <v/>
      </c>
      <c r="S334" s="13">
        <f>IF(ISNUMBER(N334),ROUND(N334/(1-Settings!$B$2)/Settings!$B$3,0)*Settings!$B$3,"")</f>
        <v/>
      </c>
      <c r="T334" s="13">
        <f>IF(ISNUMBER(O334),ROUND(O334/(1-Settings!$B$2)/Settings!$B$3,0)*Settings!$B$3,"")</f>
        <v/>
      </c>
      <c r="U334" s="13">
        <f>IF(ISNUMBER(P334),ROUND(P334/(1-Settings!$B$2)/Settings!$B$3,0)*Settings!$B$3,"")</f>
        <v/>
      </c>
      <c r="V334" s="13">
        <f>IF(ISNUMBER(Q334),ROUND(Q334/(1-Settings!$B$2)/Settings!$B$3,0)*Settings!$B$3,"")</f>
        <v/>
      </c>
      <c r="W334" s="14" t="n">
        <v>24520</v>
      </c>
      <c r="X334" s="14" t="n">
        <v>32953</v>
      </c>
      <c r="Y334" s="11" t="inlineStr"/>
      <c r="Z334" s="11" t="inlineStr"/>
      <c r="AA334" s="8" t="inlineStr">
        <is>
          <t>Inventory master 6/2026 lists Digital Monitor Network at $650 (1 mo)</t>
        </is>
      </c>
      <c r="AB334" s="8" t="inlineStr"/>
      <c r="AC334" s="11" t="inlineStr">
        <is>
          <t>MasterMilitaryOnBaseList 12.2.25 NS.xlsx</t>
        </is>
      </c>
      <c r="AD334" s="11" t="inlineStr">
        <is>
          <t>DFMWR_FortCarson_SponsorshipDeck_2026.pdf</t>
        </is>
      </c>
      <c r="AE334" s="15" t="inlineStr">
        <is>
          <t>Open in Box</t>
        </is>
      </c>
      <c r="AF334" s="15" t="inlineStr">
        <is>
          <t>Open in Box</t>
        </is>
      </c>
    </row>
    <row r="335">
      <c r="A335" s="11" t="inlineStr">
        <is>
          <t>CO-FORTCARS-010</t>
        </is>
      </c>
      <c r="B335" s="8" t="inlineStr">
        <is>
          <t>Fort Carson</t>
        </is>
      </c>
      <c r="C335" s="11" t="inlineStr"/>
      <c r="D335" s="11" t="inlineStr">
        <is>
          <t>CO</t>
        </is>
      </c>
      <c r="E335" s="11" t="inlineStr">
        <is>
          <t>Colorado Springs-Pueblo</t>
        </is>
      </c>
      <c r="F335" s="11" t="inlineStr">
        <is>
          <t>80913</t>
        </is>
      </c>
      <c r="G335" s="11" t="inlineStr">
        <is>
          <t>Army</t>
        </is>
      </c>
      <c r="H335" s="11" t="inlineStr">
        <is>
          <t>Digital</t>
        </is>
      </c>
      <c r="I335" s="8" t="inlineStr">
        <is>
          <t>Magazine - Digital</t>
        </is>
      </c>
      <c r="J335" s="11" t="inlineStr">
        <is>
          <t>8.5"W x 11"H</t>
        </is>
      </c>
      <c r="K335" s="8" t="inlineStr">
        <is>
          <t>Your ad will appear as a full page ad in the installation magazine.</t>
        </is>
      </c>
      <c r="L335" s="11" t="n">
        <v>1</v>
      </c>
      <c r="M335" s="12" t="n">
        <v>3000</v>
      </c>
      <c r="N335" s="12" t="n">
        <v>3800</v>
      </c>
      <c r="O335" s="12" t="n">
        <v>5700</v>
      </c>
      <c r="P335" s="12" t="n">
        <v>7600</v>
      </c>
      <c r="Q335" s="12" t="n">
        <v>0</v>
      </c>
      <c r="R335" s="13">
        <f>IF(ISNUMBER(M335),ROUND(M335/(1-Settings!$B$2)/Settings!$B$3,0)*Settings!$B$3,"")</f>
        <v/>
      </c>
      <c r="S335" s="13">
        <f>IF(ISNUMBER(N335),ROUND(N335/(1-Settings!$B$2)/Settings!$B$3,0)*Settings!$B$3,"")</f>
        <v/>
      </c>
      <c r="T335" s="13">
        <f>IF(ISNUMBER(O335),ROUND(O335/(1-Settings!$B$2)/Settings!$B$3,0)*Settings!$B$3,"")</f>
        <v/>
      </c>
      <c r="U335" s="13">
        <f>IF(ISNUMBER(P335),ROUND(P335/(1-Settings!$B$2)/Settings!$B$3,0)*Settings!$B$3,"")</f>
        <v/>
      </c>
      <c r="V335" s="13">
        <f>IF(ISNUMBER(Q335),ROUND(Q335/(1-Settings!$B$2)/Settings!$B$3,0)*Settings!$B$3,"")</f>
        <v/>
      </c>
      <c r="W335" s="14" t="n">
        <v>24520</v>
      </c>
      <c r="X335" s="14" t="n">
        <v>32953</v>
      </c>
      <c r="Y335" s="11" t="inlineStr"/>
      <c r="Z335" s="11" t="inlineStr"/>
      <c r="AA335" s="8" t="inlineStr">
        <is>
          <t>Inventory master 6/2026 lists Magazine Ad at $1,500 (1 mo)</t>
        </is>
      </c>
      <c r="AB335" s="8" t="inlineStr"/>
      <c r="AC335" s="11" t="inlineStr">
        <is>
          <t>MasterMilitaryOnBaseList 12.2.25 NS.xlsx</t>
        </is>
      </c>
      <c r="AD335" s="11" t="inlineStr">
        <is>
          <t>DFMWR_FortCarson_SponsorshipDeck_2026.pdf</t>
        </is>
      </c>
      <c r="AE335" s="15" t="inlineStr">
        <is>
          <t>Open in Box</t>
        </is>
      </c>
      <c r="AF335" s="15" t="inlineStr">
        <is>
          <t>Open in Box</t>
        </is>
      </c>
    </row>
    <row r="336">
      <c r="A336" s="11" t="inlineStr">
        <is>
          <t>CO-FORTCARS-018</t>
        </is>
      </c>
      <c r="B336" s="8" t="inlineStr">
        <is>
          <t>Fort Carson</t>
        </is>
      </c>
      <c r="C336" s="11" t="inlineStr"/>
      <c r="D336" s="11" t="inlineStr">
        <is>
          <t>CO</t>
        </is>
      </c>
      <c r="E336" s="11" t="inlineStr">
        <is>
          <t>Colorado Springs-Pueblo</t>
        </is>
      </c>
      <c r="F336" s="11" t="inlineStr">
        <is>
          <t>80913</t>
        </is>
      </c>
      <c r="G336" s="11" t="inlineStr">
        <is>
          <t>Army</t>
        </is>
      </c>
      <c r="H336" s="11" t="inlineStr">
        <is>
          <t>Large Format</t>
        </is>
      </c>
      <c r="I336" s="8" t="inlineStr">
        <is>
          <t>Adhesive Cling</t>
        </is>
      </c>
      <c r="J336" s="11" t="inlineStr">
        <is>
          <t>6" x 6"</t>
        </is>
      </c>
      <c r="K336" s="8" t="inlineStr">
        <is>
          <t>Your ad will appear at approved installation facilities.</t>
        </is>
      </c>
      <c r="L336" s="11" t="n">
        <v>3</v>
      </c>
      <c r="M336" s="12" t="n"/>
      <c r="N336" s="12" t="n">
        <v>900</v>
      </c>
      <c r="O336" s="12" t="n">
        <v>1800</v>
      </c>
      <c r="P336" s="12" t="n">
        <v>3200</v>
      </c>
      <c r="Q336" s="12" t="n">
        <v>0</v>
      </c>
      <c r="R336" s="13">
        <f>IF(ISNUMBER(M336),ROUND(M336/(1-Settings!$B$2)/Settings!$B$3,0)*Settings!$B$3,"")</f>
        <v/>
      </c>
      <c r="S336" s="13">
        <f>IF(ISNUMBER(N336),ROUND(N336/(1-Settings!$B$2)/Settings!$B$3,0)*Settings!$B$3,"")</f>
        <v/>
      </c>
      <c r="T336" s="13">
        <f>IF(ISNUMBER(O336),ROUND(O336/(1-Settings!$B$2)/Settings!$B$3,0)*Settings!$B$3,"")</f>
        <v/>
      </c>
      <c r="U336" s="13">
        <f>IF(ISNUMBER(P336),ROUND(P336/(1-Settings!$B$2)/Settings!$B$3,0)*Settings!$B$3,"")</f>
        <v/>
      </c>
      <c r="V336" s="13">
        <f>IF(ISNUMBER(Q336),ROUND(Q336/(1-Settings!$B$2)/Settings!$B$3,0)*Settings!$B$3,"")</f>
        <v/>
      </c>
      <c r="W336" s="14" t="n">
        <v>24520</v>
      </c>
      <c r="X336" s="14" t="n">
        <v>32953</v>
      </c>
      <c r="Y336" s="11" t="inlineStr"/>
      <c r="Z336" s="11" t="inlineStr"/>
      <c r="AA336" s="8" t="inlineStr"/>
      <c r="AB336" s="16" t="inlineStr">
        <is>
          <t>Source formula errors</t>
        </is>
      </c>
      <c r="AC336" s="11" t="inlineStr">
        <is>
          <t>MasterMilitaryOnBaseList 12.2.25 NS.xlsx</t>
        </is>
      </c>
      <c r="AD336" s="11" t="inlineStr">
        <is>
          <t>DFMWR_FortCarson_SponsorshipDeck_2026.pdf</t>
        </is>
      </c>
      <c r="AE336" s="15" t="inlineStr">
        <is>
          <t>Open in Box</t>
        </is>
      </c>
      <c r="AF336" s="15" t="inlineStr">
        <is>
          <t>Open in Box</t>
        </is>
      </c>
    </row>
    <row r="337">
      <c r="A337" s="11" t="inlineStr">
        <is>
          <t>CO-FORTCARS-019</t>
        </is>
      </c>
      <c r="B337" s="8" t="inlineStr">
        <is>
          <t>Fort Carson</t>
        </is>
      </c>
      <c r="C337" s="11" t="inlineStr"/>
      <c r="D337" s="11" t="inlineStr">
        <is>
          <t>CO</t>
        </is>
      </c>
      <c r="E337" s="11" t="inlineStr">
        <is>
          <t>Colorado Springs-Pueblo</t>
        </is>
      </c>
      <c r="F337" s="11" t="inlineStr">
        <is>
          <t>80913</t>
        </is>
      </c>
      <c r="G337" s="11" t="inlineStr">
        <is>
          <t>Army</t>
        </is>
      </c>
      <c r="H337" s="11" t="inlineStr">
        <is>
          <t>Large Format</t>
        </is>
      </c>
      <c r="I337" s="8" t="inlineStr">
        <is>
          <t>Counter Wrap</t>
        </is>
      </c>
      <c r="J337" s="11" t="inlineStr">
        <is>
          <t>36"W x 72"H</t>
        </is>
      </c>
      <c r="K337" s="8" t="inlineStr">
        <is>
          <t>Your ad will appear at an approved installation facility.</t>
        </is>
      </c>
      <c r="L337" s="11" t="n">
        <v>12</v>
      </c>
      <c r="M337" s="12" t="n"/>
      <c r="N337" s="12" t="n"/>
      <c r="O337" s="12" t="n"/>
      <c r="P337" s="12" t="n">
        <v>6000</v>
      </c>
      <c r="Q337" s="12" t="n"/>
      <c r="R337" s="13">
        <f>IF(ISNUMBER(M337),ROUND(M337/(1-Settings!$B$2)/Settings!$B$3,0)*Settings!$B$3,"")</f>
        <v/>
      </c>
      <c r="S337" s="13">
        <f>IF(ISNUMBER(N337),ROUND(N337/(1-Settings!$B$2)/Settings!$B$3,0)*Settings!$B$3,"")</f>
        <v/>
      </c>
      <c r="T337" s="13">
        <f>IF(ISNUMBER(O337),ROUND(O337/(1-Settings!$B$2)/Settings!$B$3,0)*Settings!$B$3,"")</f>
        <v/>
      </c>
      <c r="U337" s="13">
        <f>IF(ISNUMBER(P337),ROUND(P337/(1-Settings!$B$2)/Settings!$B$3,0)*Settings!$B$3,"")</f>
        <v/>
      </c>
      <c r="V337" s="13">
        <f>IF(ISNUMBER(Q337),ROUND(Q337/(1-Settings!$B$2)/Settings!$B$3,0)*Settings!$B$3,"")</f>
        <v/>
      </c>
      <c r="W337" s="14" t="n">
        <v>24520</v>
      </c>
      <c r="X337" s="14" t="n">
        <v>32953</v>
      </c>
      <c r="Y337" s="11" t="inlineStr"/>
      <c r="Z337" s="11" t="inlineStr"/>
      <c r="AA337" s="8" t="inlineStr"/>
      <c r="AB337" s="16" t="inlineStr">
        <is>
          <t>Source formula errors</t>
        </is>
      </c>
      <c r="AC337" s="11" t="inlineStr">
        <is>
          <t>MasterMilitaryOnBaseList 12.2.25 NS.xlsx</t>
        </is>
      </c>
      <c r="AD337" s="11" t="inlineStr">
        <is>
          <t>DFMWR_FortCarson_SponsorshipDeck_2026.pdf</t>
        </is>
      </c>
      <c r="AE337" s="15" t="inlineStr">
        <is>
          <t>Open in Box</t>
        </is>
      </c>
      <c r="AF337" s="15" t="inlineStr">
        <is>
          <t>Open in Box</t>
        </is>
      </c>
    </row>
    <row r="338">
      <c r="A338" s="11" t="inlineStr">
        <is>
          <t>CO-FORTCARS-020</t>
        </is>
      </c>
      <c r="B338" s="8" t="inlineStr">
        <is>
          <t>Fort Carson</t>
        </is>
      </c>
      <c r="C338" s="11" t="inlineStr"/>
      <c r="D338" s="11" t="inlineStr">
        <is>
          <t>CO</t>
        </is>
      </c>
      <c r="E338" s="11" t="inlineStr">
        <is>
          <t>Colorado Springs-Pueblo</t>
        </is>
      </c>
      <c r="F338" s="11" t="inlineStr">
        <is>
          <t>80913</t>
        </is>
      </c>
      <c r="G338" s="11" t="inlineStr">
        <is>
          <t>Army</t>
        </is>
      </c>
      <c r="H338" s="11" t="inlineStr">
        <is>
          <t>Large Format</t>
        </is>
      </c>
      <c r="I338" s="8" t="inlineStr">
        <is>
          <t>Counter Wraps</t>
        </is>
      </c>
      <c r="J338" s="11" t="inlineStr">
        <is>
          <t>36"W x 72"H</t>
        </is>
      </c>
      <c r="K338" s="8" t="inlineStr">
        <is>
          <t>Your ad will appear on approved facility counters in the installation.</t>
        </is>
      </c>
      <c r="L338" s="11" t="n">
        <v>12</v>
      </c>
      <c r="M338" s="12" t="n"/>
      <c r="N338" s="12" t="n"/>
      <c r="O338" s="12" t="n"/>
      <c r="P338" s="12" t="n">
        <v>6000</v>
      </c>
      <c r="Q338" s="12" t="n">
        <v>0</v>
      </c>
      <c r="R338" s="13">
        <f>IF(ISNUMBER(M338),ROUND(M338/(1-Settings!$B$2)/Settings!$B$3,0)*Settings!$B$3,"")</f>
        <v/>
      </c>
      <c r="S338" s="13">
        <f>IF(ISNUMBER(N338),ROUND(N338/(1-Settings!$B$2)/Settings!$B$3,0)*Settings!$B$3,"")</f>
        <v/>
      </c>
      <c r="T338" s="13">
        <f>IF(ISNUMBER(O338),ROUND(O338/(1-Settings!$B$2)/Settings!$B$3,0)*Settings!$B$3,"")</f>
        <v/>
      </c>
      <c r="U338" s="13">
        <f>IF(ISNUMBER(P338),ROUND(P338/(1-Settings!$B$2)/Settings!$B$3,0)*Settings!$B$3,"")</f>
        <v/>
      </c>
      <c r="V338" s="13">
        <f>IF(ISNUMBER(Q338),ROUND(Q338/(1-Settings!$B$2)/Settings!$B$3,0)*Settings!$B$3,"")</f>
        <v/>
      </c>
      <c r="W338" s="14" t="n">
        <v>24520</v>
      </c>
      <c r="X338" s="14" t="n">
        <v>32953</v>
      </c>
      <c r="Y338" s="11" t="inlineStr"/>
      <c r="Z338" s="11" t="inlineStr"/>
      <c r="AA338" s="8" t="inlineStr"/>
      <c r="AB338" s="16" t="inlineStr">
        <is>
          <t>Source formula errors</t>
        </is>
      </c>
      <c r="AC338" s="11" t="inlineStr">
        <is>
          <t>MasterMilitaryOnBaseList 12.2.25 NS.xlsx</t>
        </is>
      </c>
      <c r="AD338" s="11" t="inlineStr">
        <is>
          <t>DFMWR_FortCarson_SponsorshipDeck_2026.pdf</t>
        </is>
      </c>
      <c r="AE338" s="15" t="inlineStr">
        <is>
          <t>Open in Box</t>
        </is>
      </c>
      <c r="AF338" s="15" t="inlineStr">
        <is>
          <t>Open in Box</t>
        </is>
      </c>
    </row>
    <row r="339">
      <c r="A339" s="11" t="inlineStr">
        <is>
          <t>CO-FORTCARS-021</t>
        </is>
      </c>
      <c r="B339" s="8" t="inlineStr">
        <is>
          <t>Fort Carson</t>
        </is>
      </c>
      <c r="C339" s="11" t="inlineStr"/>
      <c r="D339" s="11" t="inlineStr">
        <is>
          <t>CO</t>
        </is>
      </c>
      <c r="E339" s="11" t="inlineStr">
        <is>
          <t>Colorado Springs-Pueblo</t>
        </is>
      </c>
      <c r="F339" s="11" t="inlineStr">
        <is>
          <t>80913</t>
        </is>
      </c>
      <c r="G339" s="11" t="inlineStr">
        <is>
          <t>Army</t>
        </is>
      </c>
      <c r="H339" s="11" t="inlineStr">
        <is>
          <t>Large Format</t>
        </is>
      </c>
      <c r="I339" s="8" t="inlineStr">
        <is>
          <t>Floor Decal</t>
        </is>
      </c>
      <c r="J339" s="11" t="inlineStr">
        <is>
          <t>6"W x 6"W</t>
        </is>
      </c>
      <c r="K339" s="8" t="inlineStr">
        <is>
          <t>Your ad will appear at an approved installation facility.</t>
        </is>
      </c>
      <c r="L339" s="11" t="n">
        <v>12</v>
      </c>
      <c r="M339" s="12" t="n"/>
      <c r="N339" s="12" t="n"/>
      <c r="O339" s="12" t="n"/>
      <c r="P339" s="12" t="n">
        <v>5000</v>
      </c>
      <c r="Q339" s="12" t="n"/>
      <c r="R339" s="13">
        <f>IF(ISNUMBER(M339),ROUND(M339/(1-Settings!$B$2)/Settings!$B$3,0)*Settings!$B$3,"")</f>
        <v/>
      </c>
      <c r="S339" s="13">
        <f>IF(ISNUMBER(N339),ROUND(N339/(1-Settings!$B$2)/Settings!$B$3,0)*Settings!$B$3,"")</f>
        <v/>
      </c>
      <c r="T339" s="13">
        <f>IF(ISNUMBER(O339),ROUND(O339/(1-Settings!$B$2)/Settings!$B$3,0)*Settings!$B$3,"")</f>
        <v/>
      </c>
      <c r="U339" s="13">
        <f>IF(ISNUMBER(P339),ROUND(P339/(1-Settings!$B$2)/Settings!$B$3,0)*Settings!$B$3,"")</f>
        <v/>
      </c>
      <c r="V339" s="13">
        <f>IF(ISNUMBER(Q339),ROUND(Q339/(1-Settings!$B$2)/Settings!$B$3,0)*Settings!$B$3,"")</f>
        <v/>
      </c>
      <c r="W339" s="14" t="n">
        <v>24520</v>
      </c>
      <c r="X339" s="14" t="n">
        <v>32953</v>
      </c>
      <c r="Y339" s="11" t="inlineStr"/>
      <c r="Z339" s="11" t="inlineStr"/>
      <c r="AA339" s="8" t="inlineStr"/>
      <c r="AB339" s="16" t="inlineStr">
        <is>
          <t>Source formula errors</t>
        </is>
      </c>
      <c r="AC339" s="11" t="inlineStr">
        <is>
          <t>MasterMilitaryOnBaseList 12.2.25 NS.xlsx</t>
        </is>
      </c>
      <c r="AD339" s="11" t="inlineStr">
        <is>
          <t>DFMWR_FortCarson_SponsorshipDeck_2026.pdf</t>
        </is>
      </c>
      <c r="AE339" s="15" t="inlineStr">
        <is>
          <t>Open in Box</t>
        </is>
      </c>
      <c r="AF339" s="15" t="inlineStr">
        <is>
          <t>Open in Box</t>
        </is>
      </c>
    </row>
    <row r="340">
      <c r="A340" s="11" t="inlineStr">
        <is>
          <t>CO-FORTCARS-022</t>
        </is>
      </c>
      <c r="B340" s="8" t="inlineStr">
        <is>
          <t>Fort Carson</t>
        </is>
      </c>
      <c r="C340" s="11" t="inlineStr"/>
      <c r="D340" s="11" t="inlineStr">
        <is>
          <t>CO</t>
        </is>
      </c>
      <c r="E340" s="11" t="inlineStr">
        <is>
          <t>Colorado Springs-Pueblo</t>
        </is>
      </c>
      <c r="F340" s="11" t="inlineStr">
        <is>
          <t>80913</t>
        </is>
      </c>
      <c r="G340" s="11" t="inlineStr">
        <is>
          <t>Army</t>
        </is>
      </c>
      <c r="H340" s="11" t="inlineStr">
        <is>
          <t>Large Format</t>
        </is>
      </c>
      <c r="I340" s="8" t="inlineStr">
        <is>
          <t>Floor Decals</t>
        </is>
      </c>
      <c r="J340" s="11" t="inlineStr">
        <is>
          <t>6" x 6"</t>
        </is>
      </c>
      <c r="K340" s="8" t="inlineStr">
        <is>
          <t>Your ad will appear on approved facility floors in the installation.</t>
        </is>
      </c>
      <c r="L340" s="11" t="n">
        <v>12</v>
      </c>
      <c r="M340" s="12" t="n"/>
      <c r="N340" s="12" t="n"/>
      <c r="O340" s="12" t="n"/>
      <c r="P340" s="12" t="n">
        <v>5000</v>
      </c>
      <c r="Q340" s="12" t="n">
        <v>0</v>
      </c>
      <c r="R340" s="13">
        <f>IF(ISNUMBER(M340),ROUND(M340/(1-Settings!$B$2)/Settings!$B$3,0)*Settings!$B$3,"")</f>
        <v/>
      </c>
      <c r="S340" s="13">
        <f>IF(ISNUMBER(N340),ROUND(N340/(1-Settings!$B$2)/Settings!$B$3,0)*Settings!$B$3,"")</f>
        <v/>
      </c>
      <c r="T340" s="13">
        <f>IF(ISNUMBER(O340),ROUND(O340/(1-Settings!$B$2)/Settings!$B$3,0)*Settings!$B$3,"")</f>
        <v/>
      </c>
      <c r="U340" s="13">
        <f>IF(ISNUMBER(P340),ROUND(P340/(1-Settings!$B$2)/Settings!$B$3,0)*Settings!$B$3,"")</f>
        <v/>
      </c>
      <c r="V340" s="13">
        <f>IF(ISNUMBER(Q340),ROUND(Q340/(1-Settings!$B$2)/Settings!$B$3,0)*Settings!$B$3,"")</f>
        <v/>
      </c>
      <c r="W340" s="14" t="n">
        <v>24520</v>
      </c>
      <c r="X340" s="14" t="n">
        <v>32953</v>
      </c>
      <c r="Y340" s="11" t="inlineStr"/>
      <c r="Z340" s="11" t="inlineStr"/>
      <c r="AA340" s="8" t="inlineStr"/>
      <c r="AB340" s="8" t="inlineStr"/>
      <c r="AC340" s="11" t="inlineStr">
        <is>
          <t>MasterMilitaryOnBaseList 12.2.25 NS.xlsx</t>
        </is>
      </c>
      <c r="AD340" s="11" t="inlineStr">
        <is>
          <t>DFMWR_FortCarson_SponsorshipDeck_2026.pdf</t>
        </is>
      </c>
      <c r="AE340" s="15" t="inlineStr">
        <is>
          <t>Open in Box</t>
        </is>
      </c>
      <c r="AF340" s="15" t="inlineStr">
        <is>
          <t>Open in Box</t>
        </is>
      </c>
    </row>
    <row r="341">
      <c r="A341" s="11" t="inlineStr">
        <is>
          <t>CO-FORTCARS-023</t>
        </is>
      </c>
      <c r="B341" s="8" t="inlineStr">
        <is>
          <t>Fort Carson</t>
        </is>
      </c>
      <c r="C341" s="11" t="inlineStr"/>
      <c r="D341" s="11" t="inlineStr">
        <is>
          <t>CO</t>
        </is>
      </c>
      <c r="E341" s="11" t="inlineStr">
        <is>
          <t>Colorado Springs-Pueblo</t>
        </is>
      </c>
      <c r="F341" s="11" t="inlineStr">
        <is>
          <t>80913</t>
        </is>
      </c>
      <c r="G341" s="11" t="inlineStr">
        <is>
          <t>Army</t>
        </is>
      </c>
      <c r="H341" s="11" t="inlineStr">
        <is>
          <t>Large Format</t>
        </is>
      </c>
      <c r="I341" s="8" t="inlineStr">
        <is>
          <t>Stair Wrap</t>
        </is>
      </c>
      <c r="J341" s="11" t="inlineStr">
        <is>
          <t>36"W x 72"H</t>
        </is>
      </c>
      <c r="K341" s="8" t="inlineStr">
        <is>
          <t>Your ad will appear at an approved installation facility.</t>
        </is>
      </c>
      <c r="L341" s="11" t="n">
        <v>12</v>
      </c>
      <c r="M341" s="12" t="n"/>
      <c r="N341" s="12" t="n"/>
      <c r="O341" s="12" t="n"/>
      <c r="P341" s="12" t="n">
        <v>6000</v>
      </c>
      <c r="Q341" s="12" t="n"/>
      <c r="R341" s="13">
        <f>IF(ISNUMBER(M341),ROUND(M341/(1-Settings!$B$2)/Settings!$B$3,0)*Settings!$B$3,"")</f>
        <v/>
      </c>
      <c r="S341" s="13">
        <f>IF(ISNUMBER(N341),ROUND(N341/(1-Settings!$B$2)/Settings!$B$3,0)*Settings!$B$3,"")</f>
        <v/>
      </c>
      <c r="T341" s="13">
        <f>IF(ISNUMBER(O341),ROUND(O341/(1-Settings!$B$2)/Settings!$B$3,0)*Settings!$B$3,"")</f>
        <v/>
      </c>
      <c r="U341" s="13">
        <f>IF(ISNUMBER(P341),ROUND(P341/(1-Settings!$B$2)/Settings!$B$3,0)*Settings!$B$3,"")</f>
        <v/>
      </c>
      <c r="V341" s="13">
        <f>IF(ISNUMBER(Q341),ROUND(Q341/(1-Settings!$B$2)/Settings!$B$3,0)*Settings!$B$3,"")</f>
        <v/>
      </c>
      <c r="W341" s="14" t="n">
        <v>24520</v>
      </c>
      <c r="X341" s="14" t="n">
        <v>32953</v>
      </c>
      <c r="Y341" s="11" t="inlineStr"/>
      <c r="Z341" s="11" t="inlineStr"/>
      <c r="AA341" s="8" t="inlineStr"/>
      <c r="AB341" s="16" t="inlineStr">
        <is>
          <t>Source formula errors</t>
        </is>
      </c>
      <c r="AC341" s="11" t="inlineStr">
        <is>
          <t>MasterMilitaryOnBaseList 12.2.25 NS.xlsx</t>
        </is>
      </c>
      <c r="AD341" s="11" t="inlineStr">
        <is>
          <t>DFMWR_FortCarson_SponsorshipDeck_2026.pdf</t>
        </is>
      </c>
      <c r="AE341" s="15" t="inlineStr">
        <is>
          <t>Open in Box</t>
        </is>
      </c>
      <c r="AF341" s="15" t="inlineStr">
        <is>
          <t>Open in Box</t>
        </is>
      </c>
    </row>
    <row r="342">
      <c r="A342" s="11" t="inlineStr">
        <is>
          <t>CO-FORTCARS-024</t>
        </is>
      </c>
      <c r="B342" s="8" t="inlineStr">
        <is>
          <t>Fort Carson</t>
        </is>
      </c>
      <c r="C342" s="11" t="inlineStr"/>
      <c r="D342" s="11" t="inlineStr">
        <is>
          <t>CO</t>
        </is>
      </c>
      <c r="E342" s="11" t="inlineStr">
        <is>
          <t>Colorado Springs-Pueblo</t>
        </is>
      </c>
      <c r="F342" s="11" t="inlineStr">
        <is>
          <t>80913</t>
        </is>
      </c>
      <c r="G342" s="11" t="inlineStr">
        <is>
          <t>Army</t>
        </is>
      </c>
      <c r="H342" s="11" t="inlineStr">
        <is>
          <t>Large Format</t>
        </is>
      </c>
      <c r="I342" s="8" t="inlineStr">
        <is>
          <t>Stair Wraps</t>
        </is>
      </c>
      <c r="J342" s="11" t="inlineStr">
        <is>
          <t>36"W x 72"H</t>
        </is>
      </c>
      <c r="K342" s="8" t="inlineStr">
        <is>
          <t>Your ad will appear on approved facility staircases in the installation.</t>
        </is>
      </c>
      <c r="L342" s="11" t="n">
        <v>12</v>
      </c>
      <c r="M342" s="12" t="n"/>
      <c r="N342" s="12" t="n"/>
      <c r="O342" s="12" t="n"/>
      <c r="P342" s="12" t="n">
        <v>6000</v>
      </c>
      <c r="Q342" s="12" t="n">
        <v>0</v>
      </c>
      <c r="R342" s="13">
        <f>IF(ISNUMBER(M342),ROUND(M342/(1-Settings!$B$2)/Settings!$B$3,0)*Settings!$B$3,"")</f>
        <v/>
      </c>
      <c r="S342" s="13">
        <f>IF(ISNUMBER(N342),ROUND(N342/(1-Settings!$B$2)/Settings!$B$3,0)*Settings!$B$3,"")</f>
        <v/>
      </c>
      <c r="T342" s="13">
        <f>IF(ISNUMBER(O342),ROUND(O342/(1-Settings!$B$2)/Settings!$B$3,0)*Settings!$B$3,"")</f>
        <v/>
      </c>
      <c r="U342" s="13">
        <f>IF(ISNUMBER(P342),ROUND(P342/(1-Settings!$B$2)/Settings!$B$3,0)*Settings!$B$3,"")</f>
        <v/>
      </c>
      <c r="V342" s="13">
        <f>IF(ISNUMBER(Q342),ROUND(Q342/(1-Settings!$B$2)/Settings!$B$3,0)*Settings!$B$3,"")</f>
        <v/>
      </c>
      <c r="W342" s="14" t="n">
        <v>24520</v>
      </c>
      <c r="X342" s="14" t="n">
        <v>32953</v>
      </c>
      <c r="Y342" s="11" t="inlineStr"/>
      <c r="Z342" s="11" t="inlineStr"/>
      <c r="AA342" s="8" t="inlineStr"/>
      <c r="AB342" s="8" t="inlineStr"/>
      <c r="AC342" s="11" t="inlineStr">
        <is>
          <t>MasterMilitaryOnBaseList 12.2.25 NS.xlsx</t>
        </is>
      </c>
      <c r="AD342" s="11" t="inlineStr">
        <is>
          <t>DFMWR_FortCarson_SponsorshipDeck_2026.pdf</t>
        </is>
      </c>
      <c r="AE342" s="15" t="inlineStr">
        <is>
          <t>Open in Box</t>
        </is>
      </c>
      <c r="AF342" s="15" t="inlineStr">
        <is>
          <t>Open in Box</t>
        </is>
      </c>
    </row>
    <row r="343">
      <c r="A343" s="11" t="inlineStr">
        <is>
          <t>CO-FORTCARS-025</t>
        </is>
      </c>
      <c r="B343" s="8" t="inlineStr">
        <is>
          <t>Fort Carson</t>
        </is>
      </c>
      <c r="C343" s="11" t="inlineStr"/>
      <c r="D343" s="11" t="inlineStr">
        <is>
          <t>CO</t>
        </is>
      </c>
      <c r="E343" s="11" t="inlineStr">
        <is>
          <t>Colorado Springs-Pueblo</t>
        </is>
      </c>
      <c r="F343" s="11" t="inlineStr">
        <is>
          <t>80913</t>
        </is>
      </c>
      <c r="G343" s="11" t="inlineStr">
        <is>
          <t>Army</t>
        </is>
      </c>
      <c r="H343" s="11" t="inlineStr">
        <is>
          <t>Large Format</t>
        </is>
      </c>
      <c r="I343" s="8" t="inlineStr">
        <is>
          <t>Tabling</t>
        </is>
      </c>
      <c r="J343" s="11" t="inlineStr">
        <is>
          <t>TBD</t>
        </is>
      </c>
      <c r="K343" s="8" t="inlineStr">
        <is>
          <t>Your business will interact on installation.</t>
        </is>
      </c>
      <c r="L343" s="11" t="n">
        <v>1</v>
      </c>
      <c r="M343" s="12" t="n">
        <v>500</v>
      </c>
      <c r="N343" s="12" t="n"/>
      <c r="O343" s="12" t="n"/>
      <c r="P343" s="12" t="n"/>
      <c r="Q343" s="12" t="n">
        <v>0</v>
      </c>
      <c r="R343" s="13">
        <f>IF(ISNUMBER(M343),ROUND(M343/(1-Settings!$B$2)/Settings!$B$3,0)*Settings!$B$3,"")</f>
        <v/>
      </c>
      <c r="S343" s="13">
        <f>IF(ISNUMBER(N343),ROUND(N343/(1-Settings!$B$2)/Settings!$B$3,0)*Settings!$B$3,"")</f>
        <v/>
      </c>
      <c r="T343" s="13">
        <f>IF(ISNUMBER(O343),ROUND(O343/(1-Settings!$B$2)/Settings!$B$3,0)*Settings!$B$3,"")</f>
        <v/>
      </c>
      <c r="U343" s="13">
        <f>IF(ISNUMBER(P343),ROUND(P343/(1-Settings!$B$2)/Settings!$B$3,0)*Settings!$B$3,"")</f>
        <v/>
      </c>
      <c r="V343" s="13">
        <f>IF(ISNUMBER(Q343),ROUND(Q343/(1-Settings!$B$2)/Settings!$B$3,0)*Settings!$B$3,"")</f>
        <v/>
      </c>
      <c r="W343" s="14" t="n">
        <v>24520</v>
      </c>
      <c r="X343" s="14" t="n">
        <v>32953</v>
      </c>
      <c r="Y343" s="11" t="inlineStr"/>
      <c r="Z343" s="11" t="inlineStr"/>
      <c r="AA343" s="8" t="inlineStr"/>
      <c r="AB343" s="16" t="inlineStr">
        <is>
          <t>Source formula errors</t>
        </is>
      </c>
      <c r="AC343" s="11" t="inlineStr">
        <is>
          <t>MasterMilitaryOnBaseList 12.2.25 NS.xlsx</t>
        </is>
      </c>
      <c r="AD343" s="11" t="inlineStr">
        <is>
          <t>DFMWR_FortCarson_SponsorshipDeck_2026.pdf</t>
        </is>
      </c>
      <c r="AE343" s="15" t="inlineStr">
        <is>
          <t>Open in Box</t>
        </is>
      </c>
      <c r="AF343" s="15" t="inlineStr">
        <is>
          <t>Open in Box</t>
        </is>
      </c>
    </row>
    <row r="344">
      <c r="A344" s="11" t="inlineStr">
        <is>
          <t>CO-FORTCARS-026</t>
        </is>
      </c>
      <c r="B344" s="8" t="inlineStr">
        <is>
          <t>Fort Carson</t>
        </is>
      </c>
      <c r="C344" s="11" t="inlineStr"/>
      <c r="D344" s="11" t="inlineStr">
        <is>
          <t>CO</t>
        </is>
      </c>
      <c r="E344" s="11" t="inlineStr">
        <is>
          <t>Colorado Springs-Pueblo</t>
        </is>
      </c>
      <c r="F344" s="11" t="inlineStr">
        <is>
          <t>80913</t>
        </is>
      </c>
      <c r="G344" s="11" t="inlineStr">
        <is>
          <t>Army</t>
        </is>
      </c>
      <c r="H344" s="11" t="inlineStr">
        <is>
          <t>Large Format</t>
        </is>
      </c>
      <c r="I344" s="8" t="inlineStr">
        <is>
          <t>Wall Cling</t>
        </is>
      </c>
      <c r="J344" s="11" t="inlineStr">
        <is>
          <t>6"W x 6"W</t>
        </is>
      </c>
      <c r="K344" s="8" t="inlineStr">
        <is>
          <t>Your ad will appear at an approved installation facility.</t>
        </is>
      </c>
      <c r="L344" s="11" t="n">
        <v>3</v>
      </c>
      <c r="M344" s="12" t="n"/>
      <c r="N344" s="12" t="n">
        <v>900</v>
      </c>
      <c r="O344" s="12" t="n">
        <v>1800</v>
      </c>
      <c r="P344" s="12" t="n">
        <v>3200</v>
      </c>
      <c r="Q344" s="12" t="n"/>
      <c r="R344" s="13">
        <f>IF(ISNUMBER(M344),ROUND(M344/(1-Settings!$B$2)/Settings!$B$3,0)*Settings!$B$3,"")</f>
        <v/>
      </c>
      <c r="S344" s="13">
        <f>IF(ISNUMBER(N344),ROUND(N344/(1-Settings!$B$2)/Settings!$B$3,0)*Settings!$B$3,"")</f>
        <v/>
      </c>
      <c r="T344" s="13">
        <f>IF(ISNUMBER(O344),ROUND(O344/(1-Settings!$B$2)/Settings!$B$3,0)*Settings!$B$3,"")</f>
        <v/>
      </c>
      <c r="U344" s="13">
        <f>IF(ISNUMBER(P344),ROUND(P344/(1-Settings!$B$2)/Settings!$B$3,0)*Settings!$B$3,"")</f>
        <v/>
      </c>
      <c r="V344" s="13">
        <f>IF(ISNUMBER(Q344),ROUND(Q344/(1-Settings!$B$2)/Settings!$B$3,0)*Settings!$B$3,"")</f>
        <v/>
      </c>
      <c r="W344" s="14" t="n">
        <v>24520</v>
      </c>
      <c r="X344" s="14" t="n">
        <v>32953</v>
      </c>
      <c r="Y344" s="11" t="inlineStr"/>
      <c r="Z344" s="11" t="inlineStr"/>
      <c r="AA344" s="8" t="inlineStr"/>
      <c r="AB344" s="16" t="inlineStr">
        <is>
          <t>Source formula errors</t>
        </is>
      </c>
      <c r="AC344" s="11" t="inlineStr">
        <is>
          <t>MasterMilitaryOnBaseList 12.2.25 NS.xlsx</t>
        </is>
      </c>
      <c r="AD344" s="11" t="inlineStr">
        <is>
          <t>DFMWR_FortCarson_SponsorshipDeck_2026.pdf</t>
        </is>
      </c>
      <c r="AE344" s="15" t="inlineStr">
        <is>
          <t>Open in Box</t>
        </is>
      </c>
      <c r="AF344" s="15" t="inlineStr">
        <is>
          <t>Open in Box</t>
        </is>
      </c>
    </row>
    <row r="345">
      <c r="A345" s="11" t="inlineStr">
        <is>
          <t>CO-FORTCARS-027</t>
        </is>
      </c>
      <c r="B345" s="8" t="inlineStr">
        <is>
          <t>Fort Carson</t>
        </is>
      </c>
      <c r="C345" s="11" t="inlineStr"/>
      <c r="D345" s="11" t="inlineStr">
        <is>
          <t>CO</t>
        </is>
      </c>
      <c r="E345" s="11" t="inlineStr">
        <is>
          <t>Colorado Springs-Pueblo</t>
        </is>
      </c>
      <c r="F345" s="11" t="inlineStr">
        <is>
          <t>80913</t>
        </is>
      </c>
      <c r="G345" s="11" t="inlineStr">
        <is>
          <t>Army</t>
        </is>
      </c>
      <c r="H345" s="11" t="inlineStr">
        <is>
          <t>Print &amp; Publications</t>
        </is>
      </c>
      <c r="I345" s="8" t="inlineStr">
        <is>
          <t>Flyers</t>
        </is>
      </c>
      <c r="J345" s="11" t="inlineStr">
        <is>
          <t>8"W x 11"H</t>
        </is>
      </c>
      <c r="K345" s="8" t="inlineStr">
        <is>
          <t>Your ad will appear in/on approved installation facilties.</t>
        </is>
      </c>
      <c r="L345" s="11" t="n">
        <v>1</v>
      </c>
      <c r="M345" s="12" t="n">
        <v>200</v>
      </c>
      <c r="N345" s="12" t="n">
        <v>600</v>
      </c>
      <c r="O345" s="12" t="n">
        <v>1000</v>
      </c>
      <c r="P345" s="12" t="n">
        <v>2000</v>
      </c>
      <c r="Q345" s="12" t="n">
        <v>0</v>
      </c>
      <c r="R345" s="13">
        <f>IF(ISNUMBER(M345),ROUND(M345/(1-Settings!$B$2)/Settings!$B$3,0)*Settings!$B$3,"")</f>
        <v/>
      </c>
      <c r="S345" s="13">
        <f>IF(ISNUMBER(N345),ROUND(N345/(1-Settings!$B$2)/Settings!$B$3,0)*Settings!$B$3,"")</f>
        <v/>
      </c>
      <c r="T345" s="13">
        <f>IF(ISNUMBER(O345),ROUND(O345/(1-Settings!$B$2)/Settings!$B$3,0)*Settings!$B$3,"")</f>
        <v/>
      </c>
      <c r="U345" s="13">
        <f>IF(ISNUMBER(P345),ROUND(P345/(1-Settings!$B$2)/Settings!$B$3,0)*Settings!$B$3,"")</f>
        <v/>
      </c>
      <c r="V345" s="13">
        <f>IF(ISNUMBER(Q345),ROUND(Q345/(1-Settings!$B$2)/Settings!$B$3,0)*Settings!$B$3,"")</f>
        <v/>
      </c>
      <c r="W345" s="14" t="n">
        <v>24520</v>
      </c>
      <c r="X345" s="14" t="n">
        <v>32953</v>
      </c>
      <c r="Y345" s="11" t="inlineStr"/>
      <c r="Z345" s="11" t="inlineStr"/>
      <c r="AA345" s="8" t="inlineStr"/>
      <c r="AB345" s="8" t="inlineStr"/>
      <c r="AC345" s="11" t="inlineStr">
        <is>
          <t>MasterMilitaryOnBaseList 12.2.25 NS.xlsx</t>
        </is>
      </c>
      <c r="AD345" s="11" t="inlineStr">
        <is>
          <t>DFMWR_FortCarson_SponsorshipDeck_2026.pdf</t>
        </is>
      </c>
      <c r="AE345" s="15" t="inlineStr">
        <is>
          <t>Open in Box</t>
        </is>
      </c>
      <c r="AF345" s="15" t="inlineStr">
        <is>
          <t>Open in Box</t>
        </is>
      </c>
    </row>
    <row r="346">
      <c r="A346" s="11" t="inlineStr">
        <is>
          <t>CO-FORTCARS-028</t>
        </is>
      </c>
      <c r="B346" s="8" t="inlineStr">
        <is>
          <t>Fort Carson</t>
        </is>
      </c>
      <c r="C346" s="11" t="inlineStr"/>
      <c r="D346" s="11" t="inlineStr">
        <is>
          <t>CO</t>
        </is>
      </c>
      <c r="E346" s="11" t="inlineStr">
        <is>
          <t>Colorado Springs-Pueblo</t>
        </is>
      </c>
      <c r="F346" s="11" t="inlineStr">
        <is>
          <t>80913</t>
        </is>
      </c>
      <c r="G346" s="11" t="inlineStr">
        <is>
          <t>Army</t>
        </is>
      </c>
      <c r="H346" s="11" t="inlineStr">
        <is>
          <t>Print &amp; Publications</t>
        </is>
      </c>
      <c r="I346" s="8" t="inlineStr">
        <is>
          <t>Flyers</t>
        </is>
      </c>
      <c r="J346" s="11" t="inlineStr">
        <is>
          <t>8"W x 11.5"H</t>
        </is>
      </c>
      <c r="K346" s="8" t="inlineStr">
        <is>
          <t>Your ad will appear in an approved installation facility.</t>
        </is>
      </c>
      <c r="L346" s="11" t="n">
        <v>1</v>
      </c>
      <c r="M346" s="12" t="n">
        <v>200</v>
      </c>
      <c r="N346" s="12" t="n">
        <v>600</v>
      </c>
      <c r="O346" s="12" t="n">
        <v>1000</v>
      </c>
      <c r="P346" s="12" t="n">
        <v>2000</v>
      </c>
      <c r="Q346" s="12" t="n"/>
      <c r="R346" s="13">
        <f>IF(ISNUMBER(M346),ROUND(M346/(1-Settings!$B$2)/Settings!$B$3,0)*Settings!$B$3,"")</f>
        <v/>
      </c>
      <c r="S346" s="13">
        <f>IF(ISNUMBER(N346),ROUND(N346/(1-Settings!$B$2)/Settings!$B$3,0)*Settings!$B$3,"")</f>
        <v/>
      </c>
      <c r="T346" s="13">
        <f>IF(ISNUMBER(O346),ROUND(O346/(1-Settings!$B$2)/Settings!$B$3,0)*Settings!$B$3,"")</f>
        <v/>
      </c>
      <c r="U346" s="13">
        <f>IF(ISNUMBER(P346),ROUND(P346/(1-Settings!$B$2)/Settings!$B$3,0)*Settings!$B$3,"")</f>
        <v/>
      </c>
      <c r="V346" s="13">
        <f>IF(ISNUMBER(Q346),ROUND(Q346/(1-Settings!$B$2)/Settings!$B$3,0)*Settings!$B$3,"")</f>
        <v/>
      </c>
      <c r="W346" s="14" t="n">
        <v>24520</v>
      </c>
      <c r="X346" s="14" t="n">
        <v>32953</v>
      </c>
      <c r="Y346" s="11" t="inlineStr"/>
      <c r="Z346" s="11" t="inlineStr"/>
      <c r="AA346" s="8" t="inlineStr"/>
      <c r="AB346" s="8" t="inlineStr"/>
      <c r="AC346" s="11" t="inlineStr">
        <is>
          <t>MasterMilitaryOnBaseList 12.2.25 NS.xlsx</t>
        </is>
      </c>
      <c r="AD346" s="11" t="inlineStr">
        <is>
          <t>DFMWR_FortCarson_SponsorshipDeck_2026.pdf</t>
        </is>
      </c>
      <c r="AE346" s="15" t="inlineStr">
        <is>
          <t>Open in Box</t>
        </is>
      </c>
      <c r="AF346" s="15" t="inlineStr">
        <is>
          <t>Open in Box</t>
        </is>
      </c>
    </row>
    <row r="347">
      <c r="A347" s="11" t="inlineStr">
        <is>
          <t>CO-FORTCARS-029</t>
        </is>
      </c>
      <c r="B347" s="8" t="inlineStr">
        <is>
          <t>Fort Carson</t>
        </is>
      </c>
      <c r="C347" s="11" t="inlineStr"/>
      <c r="D347" s="11" t="inlineStr">
        <is>
          <t>CO</t>
        </is>
      </c>
      <c r="E347" s="11" t="inlineStr">
        <is>
          <t>Colorado Springs-Pueblo</t>
        </is>
      </c>
      <c r="F347" s="11" t="inlineStr">
        <is>
          <t>80913</t>
        </is>
      </c>
      <c r="G347" s="11" t="inlineStr">
        <is>
          <t>Army</t>
        </is>
      </c>
      <c r="H347" s="11" t="inlineStr">
        <is>
          <t>Print &amp; Publications</t>
        </is>
      </c>
      <c r="I347" s="8" t="inlineStr">
        <is>
          <t>Magazine - Print</t>
        </is>
      </c>
      <c r="J347" s="11" t="inlineStr">
        <is>
          <t>8.5"W x 11"H</t>
        </is>
      </c>
      <c r="K347" s="8" t="inlineStr">
        <is>
          <t>Your ad will appear as a full page ad in the installation magazine.</t>
        </is>
      </c>
      <c r="L347" s="11" t="n">
        <v>1</v>
      </c>
      <c r="M347" s="12" t="n">
        <v>2000</v>
      </c>
      <c r="N347" s="12" t="n">
        <v>3800</v>
      </c>
      <c r="O347" s="12" t="n">
        <v>5700</v>
      </c>
      <c r="P347" s="12" t="n">
        <v>7600</v>
      </c>
      <c r="Q347" s="12" t="n">
        <v>0</v>
      </c>
      <c r="R347" s="13">
        <f>IF(ISNUMBER(M347),ROUND(M347/(1-Settings!$B$2)/Settings!$B$3,0)*Settings!$B$3,"")</f>
        <v/>
      </c>
      <c r="S347" s="13">
        <f>IF(ISNUMBER(N347),ROUND(N347/(1-Settings!$B$2)/Settings!$B$3,0)*Settings!$B$3,"")</f>
        <v/>
      </c>
      <c r="T347" s="13">
        <f>IF(ISNUMBER(O347),ROUND(O347/(1-Settings!$B$2)/Settings!$B$3,0)*Settings!$B$3,"")</f>
        <v/>
      </c>
      <c r="U347" s="13">
        <f>IF(ISNUMBER(P347),ROUND(P347/(1-Settings!$B$2)/Settings!$B$3,0)*Settings!$B$3,"")</f>
        <v/>
      </c>
      <c r="V347" s="13">
        <f>IF(ISNUMBER(Q347),ROUND(Q347/(1-Settings!$B$2)/Settings!$B$3,0)*Settings!$B$3,"")</f>
        <v/>
      </c>
      <c r="W347" s="14" t="n">
        <v>24520</v>
      </c>
      <c r="X347" s="14" t="n">
        <v>32953</v>
      </c>
      <c r="Y347" s="11" t="inlineStr"/>
      <c r="Z347" s="11" t="inlineStr"/>
      <c r="AA347" s="8" t="inlineStr">
        <is>
          <t>Inventory master 6/2026 lists Magazine Ad at $1,500 (1 mo)</t>
        </is>
      </c>
      <c r="AB347" s="8" t="inlineStr"/>
      <c r="AC347" s="11" t="inlineStr">
        <is>
          <t>MasterMilitaryOnBaseList 12.2.25 NS.xlsx</t>
        </is>
      </c>
      <c r="AD347" s="11" t="inlineStr">
        <is>
          <t>DFMWR_FortCarson_SponsorshipDeck_2026.pdf</t>
        </is>
      </c>
      <c r="AE347" s="15" t="inlineStr">
        <is>
          <t>Open in Box</t>
        </is>
      </c>
      <c r="AF347" s="15" t="inlineStr">
        <is>
          <t>Open in Box</t>
        </is>
      </c>
    </row>
    <row r="348">
      <c r="A348" s="11" t="inlineStr">
        <is>
          <t>CO-FORTCARS-030</t>
        </is>
      </c>
      <c r="B348" s="8" t="inlineStr">
        <is>
          <t>Fort Carson</t>
        </is>
      </c>
      <c r="C348" s="11" t="inlineStr"/>
      <c r="D348" s="11" t="inlineStr">
        <is>
          <t>CO</t>
        </is>
      </c>
      <c r="E348" s="11" t="inlineStr">
        <is>
          <t>Colorado Springs-Pueblo</t>
        </is>
      </c>
      <c r="F348" s="11" t="inlineStr">
        <is>
          <t>80913</t>
        </is>
      </c>
      <c r="G348" s="11" t="inlineStr">
        <is>
          <t>Army</t>
        </is>
      </c>
      <c r="H348" s="11" t="inlineStr">
        <is>
          <t>Print &amp; Publications</t>
        </is>
      </c>
      <c r="I348" s="8" t="inlineStr">
        <is>
          <t>Magazine Ad - 1/2 Page</t>
        </is>
      </c>
      <c r="J348" s="11" t="inlineStr">
        <is>
          <t>8.5"W x 5.5"H (Bleed: 8.9" x 5.8")</t>
        </is>
      </c>
      <c r="K348" s="8" t="inlineStr">
        <is>
          <t>Your ad will appear in the Fort Carson Magazine</t>
        </is>
      </c>
      <c r="L348" s="11" t="n">
        <v>3</v>
      </c>
      <c r="M348" s="12" t="n"/>
      <c r="N348" s="12" t="n">
        <v>1000</v>
      </c>
      <c r="O348" s="12" t="n">
        <v>1800</v>
      </c>
      <c r="P348" s="12" t="n">
        <v>3600</v>
      </c>
      <c r="Q348" s="12" t="n">
        <v>0</v>
      </c>
      <c r="R348" s="13">
        <f>IF(ISNUMBER(M348),ROUND(M348/(1-Settings!$B$2)/Settings!$B$3,0)*Settings!$B$3,"")</f>
        <v/>
      </c>
      <c r="S348" s="13">
        <f>IF(ISNUMBER(N348),ROUND(N348/(1-Settings!$B$2)/Settings!$B$3,0)*Settings!$B$3,"")</f>
        <v/>
      </c>
      <c r="T348" s="13">
        <f>IF(ISNUMBER(O348),ROUND(O348/(1-Settings!$B$2)/Settings!$B$3,0)*Settings!$B$3,"")</f>
        <v/>
      </c>
      <c r="U348" s="13">
        <f>IF(ISNUMBER(P348),ROUND(P348/(1-Settings!$B$2)/Settings!$B$3,0)*Settings!$B$3,"")</f>
        <v/>
      </c>
      <c r="V348" s="13">
        <f>IF(ISNUMBER(Q348),ROUND(Q348/(1-Settings!$B$2)/Settings!$B$3,0)*Settings!$B$3,"")</f>
        <v/>
      </c>
      <c r="W348" s="14" t="n">
        <v>24520</v>
      </c>
      <c r="X348" s="14" t="n">
        <v>32953</v>
      </c>
      <c r="Y348" s="11" t="inlineStr"/>
      <c r="Z348" s="11" t="inlineStr"/>
      <c r="AA348" s="8" t="inlineStr">
        <is>
          <t>Inventory master 6/2026 lists Magazine Ad at $1,500 (1 mo)</t>
        </is>
      </c>
      <c r="AB348" s="8" t="inlineStr"/>
      <c r="AC348" s="11" t="inlineStr">
        <is>
          <t>MasterMilitaryOnBaseList 12.2.25 NS.xlsx</t>
        </is>
      </c>
      <c r="AD348" s="11" t="inlineStr">
        <is>
          <t>DFMWR_FortCarson_SponsorshipDeck_2026.pdf</t>
        </is>
      </c>
      <c r="AE348" s="15" t="inlineStr">
        <is>
          <t>Open in Box</t>
        </is>
      </c>
      <c r="AF348" s="15" t="inlineStr">
        <is>
          <t>Open in Box</t>
        </is>
      </c>
    </row>
    <row r="349">
      <c r="A349" s="11" t="inlineStr">
        <is>
          <t>CO-FORTCARS-031</t>
        </is>
      </c>
      <c r="B349" s="8" t="inlineStr">
        <is>
          <t>Fort Carson</t>
        </is>
      </c>
      <c r="C349" s="11" t="inlineStr"/>
      <c r="D349" s="11" t="inlineStr">
        <is>
          <t>CO</t>
        </is>
      </c>
      <c r="E349" s="11" t="inlineStr">
        <is>
          <t>Colorado Springs-Pueblo</t>
        </is>
      </c>
      <c r="F349" s="11" t="inlineStr">
        <is>
          <t>80913</t>
        </is>
      </c>
      <c r="G349" s="11" t="inlineStr">
        <is>
          <t>Army</t>
        </is>
      </c>
      <c r="H349" s="11" t="inlineStr">
        <is>
          <t>Print &amp; Publications</t>
        </is>
      </c>
      <c r="I349" s="8" t="inlineStr">
        <is>
          <t>Magazine Ad - 1/4 Page</t>
        </is>
      </c>
      <c r="J349" s="11" t="inlineStr">
        <is>
          <t>4.13" x 5.36" (Bleed: 4.32" x 5.61")</t>
        </is>
      </c>
      <c r="K349" s="8" t="inlineStr">
        <is>
          <t>Your ad will appear in the Fort Carson Magazine</t>
        </is>
      </c>
      <c r="L349" s="11" t="n">
        <v>3</v>
      </c>
      <c r="M349" s="12" t="n"/>
      <c r="N349" s="12" t="n">
        <v>500</v>
      </c>
      <c r="O349" s="12" t="n">
        <v>800</v>
      </c>
      <c r="P349" s="12" t="n">
        <v>1600</v>
      </c>
      <c r="Q349" s="12" t="n">
        <v>0</v>
      </c>
      <c r="R349" s="13">
        <f>IF(ISNUMBER(M349),ROUND(M349/(1-Settings!$B$2)/Settings!$B$3,0)*Settings!$B$3,"")</f>
        <v/>
      </c>
      <c r="S349" s="13">
        <f>IF(ISNUMBER(N349),ROUND(N349/(1-Settings!$B$2)/Settings!$B$3,0)*Settings!$B$3,"")</f>
        <v/>
      </c>
      <c r="T349" s="13">
        <f>IF(ISNUMBER(O349),ROUND(O349/(1-Settings!$B$2)/Settings!$B$3,0)*Settings!$B$3,"")</f>
        <v/>
      </c>
      <c r="U349" s="13">
        <f>IF(ISNUMBER(P349),ROUND(P349/(1-Settings!$B$2)/Settings!$B$3,0)*Settings!$B$3,"")</f>
        <v/>
      </c>
      <c r="V349" s="13">
        <f>IF(ISNUMBER(Q349),ROUND(Q349/(1-Settings!$B$2)/Settings!$B$3,0)*Settings!$B$3,"")</f>
        <v/>
      </c>
      <c r="W349" s="14" t="n">
        <v>24520</v>
      </c>
      <c r="X349" s="14" t="n">
        <v>32953</v>
      </c>
      <c r="Y349" s="11" t="inlineStr"/>
      <c r="Z349" s="11" t="inlineStr"/>
      <c r="AA349" s="8" t="inlineStr">
        <is>
          <t>Inventory master 6/2026 lists Magazine Ad at $1,500 (1 mo)</t>
        </is>
      </c>
      <c r="AB349" s="8" t="inlineStr"/>
      <c r="AC349" s="11" t="inlineStr">
        <is>
          <t>MasterMilitaryOnBaseList 12.2.25 NS.xlsx</t>
        </is>
      </c>
      <c r="AD349" s="11" t="inlineStr">
        <is>
          <t>DFMWR_FortCarson_SponsorshipDeck_2026.pdf</t>
        </is>
      </c>
      <c r="AE349" s="15" t="inlineStr">
        <is>
          <t>Open in Box</t>
        </is>
      </c>
      <c r="AF349" s="15" t="inlineStr">
        <is>
          <t>Open in Box</t>
        </is>
      </c>
    </row>
    <row r="350">
      <c r="A350" s="11" t="inlineStr">
        <is>
          <t>CO-FORTCARS-032</t>
        </is>
      </c>
      <c r="B350" s="8" t="inlineStr">
        <is>
          <t>Fort Carson</t>
        </is>
      </c>
      <c r="C350" s="11" t="inlineStr"/>
      <c r="D350" s="11" t="inlineStr">
        <is>
          <t>CO</t>
        </is>
      </c>
      <c r="E350" s="11" t="inlineStr">
        <is>
          <t>Colorado Springs-Pueblo</t>
        </is>
      </c>
      <c r="F350" s="11" t="inlineStr">
        <is>
          <t>80913</t>
        </is>
      </c>
      <c r="G350" s="11" t="inlineStr">
        <is>
          <t>Army</t>
        </is>
      </c>
      <c r="H350" s="11" t="inlineStr">
        <is>
          <t>Print &amp; Publications</t>
        </is>
      </c>
      <c r="I350" s="8" t="inlineStr">
        <is>
          <t>Magazine Ad - Full Page</t>
        </is>
      </c>
      <c r="J350" s="11" t="inlineStr">
        <is>
          <t>8.5"W x 11"H (Bleed: 8.7509" x 11.5297")</t>
        </is>
      </c>
      <c r="K350" s="8" t="inlineStr">
        <is>
          <t>Your ad will appear in the Fort Carson Magazine</t>
        </is>
      </c>
      <c r="L350" s="11" t="n">
        <v>3</v>
      </c>
      <c r="M350" s="12" t="n"/>
      <c r="N350" s="12" t="n">
        <v>2000</v>
      </c>
      <c r="O350" s="12" t="n">
        <v>3800</v>
      </c>
      <c r="P350" s="12" t="n">
        <v>7600</v>
      </c>
      <c r="Q350" s="12" t="n">
        <v>0</v>
      </c>
      <c r="R350" s="13">
        <f>IF(ISNUMBER(M350),ROUND(M350/(1-Settings!$B$2)/Settings!$B$3,0)*Settings!$B$3,"")</f>
        <v/>
      </c>
      <c r="S350" s="13">
        <f>IF(ISNUMBER(N350),ROUND(N350/(1-Settings!$B$2)/Settings!$B$3,0)*Settings!$B$3,"")</f>
        <v/>
      </c>
      <c r="T350" s="13">
        <f>IF(ISNUMBER(O350),ROUND(O350/(1-Settings!$B$2)/Settings!$B$3,0)*Settings!$B$3,"")</f>
        <v/>
      </c>
      <c r="U350" s="13">
        <f>IF(ISNUMBER(P350),ROUND(P350/(1-Settings!$B$2)/Settings!$B$3,0)*Settings!$B$3,"")</f>
        <v/>
      </c>
      <c r="V350" s="13">
        <f>IF(ISNUMBER(Q350),ROUND(Q350/(1-Settings!$B$2)/Settings!$B$3,0)*Settings!$B$3,"")</f>
        <v/>
      </c>
      <c r="W350" s="14" t="n">
        <v>24520</v>
      </c>
      <c r="X350" s="14" t="n">
        <v>32953</v>
      </c>
      <c r="Y350" s="11" t="inlineStr"/>
      <c r="Z350" s="11" t="inlineStr"/>
      <c r="AA350" s="8" t="inlineStr">
        <is>
          <t>Inventory master 6/2026 lists Magazine Ad at $1,500 (1 mo)</t>
        </is>
      </c>
      <c r="AB350" s="8" t="inlineStr"/>
      <c r="AC350" s="11" t="inlineStr">
        <is>
          <t>MasterMilitaryOnBaseList 12.2.25 NS.xlsx</t>
        </is>
      </c>
      <c r="AD350" s="11" t="inlineStr">
        <is>
          <t>DFMWR_FortCarson_SponsorshipDeck_2026.pdf</t>
        </is>
      </c>
      <c r="AE350" s="15" t="inlineStr">
        <is>
          <t>Open in Box</t>
        </is>
      </c>
      <c r="AF350" s="15" t="inlineStr">
        <is>
          <t>Open in Box</t>
        </is>
      </c>
    </row>
    <row r="351">
      <c r="A351" s="11" t="inlineStr">
        <is>
          <t>CO-FORTCARS-033</t>
        </is>
      </c>
      <c r="B351" s="8" t="inlineStr">
        <is>
          <t>Fort Carson</t>
        </is>
      </c>
      <c r="C351" s="11" t="inlineStr"/>
      <c r="D351" s="11" t="inlineStr">
        <is>
          <t>CO</t>
        </is>
      </c>
      <c r="E351" s="11" t="inlineStr">
        <is>
          <t>Colorado Springs-Pueblo</t>
        </is>
      </c>
      <c r="F351" s="11" t="inlineStr">
        <is>
          <t>80913</t>
        </is>
      </c>
      <c r="G351" s="11" t="inlineStr">
        <is>
          <t>Army</t>
        </is>
      </c>
      <c r="H351" s="11" t="inlineStr">
        <is>
          <t>Print &amp; Publications</t>
        </is>
      </c>
      <c r="I351" s="8" t="inlineStr">
        <is>
          <t>Newcomers Folder Insert</t>
        </is>
      </c>
      <c r="J351" s="11" t="inlineStr">
        <is>
          <t>TBD</t>
        </is>
      </c>
      <c r="K351" s="8" t="inlineStr">
        <is>
          <t>Your ad will appear in the Fort Carson Newcomers Folder</t>
        </is>
      </c>
      <c r="L351" s="11" t="n">
        <v>1</v>
      </c>
      <c r="M351" s="12" t="n">
        <v>300</v>
      </c>
      <c r="N351" s="12" t="n">
        <v>900</v>
      </c>
      <c r="O351" s="12" t="n">
        <v>1200</v>
      </c>
      <c r="P351" s="12" t="n">
        <v>2400</v>
      </c>
      <c r="Q351" s="12" t="n">
        <v>0</v>
      </c>
      <c r="R351" s="13">
        <f>IF(ISNUMBER(M351),ROUND(M351/(1-Settings!$B$2)/Settings!$B$3,0)*Settings!$B$3,"")</f>
        <v/>
      </c>
      <c r="S351" s="13">
        <f>IF(ISNUMBER(N351),ROUND(N351/(1-Settings!$B$2)/Settings!$B$3,0)*Settings!$B$3,"")</f>
        <v/>
      </c>
      <c r="T351" s="13">
        <f>IF(ISNUMBER(O351),ROUND(O351/(1-Settings!$B$2)/Settings!$B$3,0)*Settings!$B$3,"")</f>
        <v/>
      </c>
      <c r="U351" s="13">
        <f>IF(ISNUMBER(P351),ROUND(P351/(1-Settings!$B$2)/Settings!$B$3,0)*Settings!$B$3,"")</f>
        <v/>
      </c>
      <c r="V351" s="13">
        <f>IF(ISNUMBER(Q351),ROUND(Q351/(1-Settings!$B$2)/Settings!$B$3,0)*Settings!$B$3,"")</f>
        <v/>
      </c>
      <c r="W351" s="14" t="n">
        <v>24520</v>
      </c>
      <c r="X351" s="14" t="n">
        <v>32953</v>
      </c>
      <c r="Y351" s="11" t="inlineStr"/>
      <c r="Z351" s="11" t="inlineStr"/>
      <c r="AA351" s="8" t="inlineStr"/>
      <c r="AB351" s="8" t="inlineStr"/>
      <c r="AC351" s="11" t="inlineStr">
        <is>
          <t>MasterMilitaryOnBaseList 12.2.25 NS.xlsx</t>
        </is>
      </c>
      <c r="AD351" s="11" t="inlineStr">
        <is>
          <t>DFMWR_FortCarson_SponsorshipDeck_2026.pdf</t>
        </is>
      </c>
      <c r="AE351" s="15" t="inlineStr">
        <is>
          <t>Open in Box</t>
        </is>
      </c>
      <c r="AF351" s="15" t="inlineStr">
        <is>
          <t>Open in Box</t>
        </is>
      </c>
    </row>
    <row r="352">
      <c r="A352" s="11" t="inlineStr">
        <is>
          <t>CO-FORTCARS-034</t>
        </is>
      </c>
      <c r="B352" s="8" t="inlineStr">
        <is>
          <t>Fort Carson</t>
        </is>
      </c>
      <c r="C352" s="11" t="inlineStr"/>
      <c r="D352" s="11" t="inlineStr">
        <is>
          <t>CO</t>
        </is>
      </c>
      <c r="E352" s="11" t="inlineStr">
        <is>
          <t>Colorado Springs-Pueblo</t>
        </is>
      </c>
      <c r="F352" s="11" t="inlineStr">
        <is>
          <t>80913</t>
        </is>
      </c>
      <c r="G352" s="11" t="inlineStr">
        <is>
          <t>Army</t>
        </is>
      </c>
      <c r="H352" s="11" t="inlineStr">
        <is>
          <t>Print &amp; Publications</t>
        </is>
      </c>
      <c r="I352" s="8" t="inlineStr">
        <is>
          <t>Newcomers Folder Insert</t>
        </is>
      </c>
      <c r="J352" s="11" t="inlineStr">
        <is>
          <t>TBD</t>
        </is>
      </c>
      <c r="K352" s="8" t="inlineStr">
        <is>
          <t>Your ad will appear in the newcomers guide folder.</t>
        </is>
      </c>
      <c r="L352" s="11" t="n">
        <v>1</v>
      </c>
      <c r="M352" s="12" t="n">
        <v>300</v>
      </c>
      <c r="N352" s="12" t="n">
        <v>900</v>
      </c>
      <c r="O352" s="12" t="n">
        <v>1200</v>
      </c>
      <c r="P352" s="12" t="n">
        <v>2400</v>
      </c>
      <c r="Q352" s="12" t="n"/>
      <c r="R352" s="13">
        <f>IF(ISNUMBER(M352),ROUND(M352/(1-Settings!$B$2)/Settings!$B$3,0)*Settings!$B$3,"")</f>
        <v/>
      </c>
      <c r="S352" s="13">
        <f>IF(ISNUMBER(N352),ROUND(N352/(1-Settings!$B$2)/Settings!$B$3,0)*Settings!$B$3,"")</f>
        <v/>
      </c>
      <c r="T352" s="13">
        <f>IF(ISNUMBER(O352),ROUND(O352/(1-Settings!$B$2)/Settings!$B$3,0)*Settings!$B$3,"")</f>
        <v/>
      </c>
      <c r="U352" s="13">
        <f>IF(ISNUMBER(P352),ROUND(P352/(1-Settings!$B$2)/Settings!$B$3,0)*Settings!$B$3,"")</f>
        <v/>
      </c>
      <c r="V352" s="13">
        <f>IF(ISNUMBER(Q352),ROUND(Q352/(1-Settings!$B$2)/Settings!$B$3,0)*Settings!$B$3,"")</f>
        <v/>
      </c>
      <c r="W352" s="14" t="n">
        <v>24520</v>
      </c>
      <c r="X352" s="14" t="n">
        <v>32953</v>
      </c>
      <c r="Y352" s="11" t="inlineStr"/>
      <c r="Z352" s="11" t="inlineStr"/>
      <c r="AA352" s="8" t="inlineStr"/>
      <c r="AB352" s="8" t="inlineStr"/>
      <c r="AC352" s="11" t="inlineStr">
        <is>
          <t>MasterMilitaryOnBaseList 12.2.25 NS.xlsx</t>
        </is>
      </c>
      <c r="AD352" s="11" t="inlineStr">
        <is>
          <t>DFMWR_FortCarson_SponsorshipDeck_2026.pdf</t>
        </is>
      </c>
      <c r="AE352" s="15" t="inlineStr">
        <is>
          <t>Open in Box</t>
        </is>
      </c>
      <c r="AF352" s="15" t="inlineStr">
        <is>
          <t>Open in Box</t>
        </is>
      </c>
    </row>
    <row r="353">
      <c r="A353" s="11" t="inlineStr">
        <is>
          <t>CO-FORTCARS-036</t>
        </is>
      </c>
      <c r="B353" s="8" t="inlineStr">
        <is>
          <t>Fort Carson</t>
        </is>
      </c>
      <c r="C353" s="11" t="inlineStr"/>
      <c r="D353" s="11" t="inlineStr">
        <is>
          <t>CO</t>
        </is>
      </c>
      <c r="E353" s="11" t="inlineStr">
        <is>
          <t>Colorado Springs-Pueblo</t>
        </is>
      </c>
      <c r="F353" s="11" t="inlineStr">
        <is>
          <t>80913</t>
        </is>
      </c>
      <c r="G353" s="11" t="inlineStr">
        <is>
          <t>Army</t>
        </is>
      </c>
      <c r="H353" s="11" t="inlineStr">
        <is>
          <t>Sponsorship &amp; Other</t>
        </is>
      </c>
      <c r="I353" s="8" t="inlineStr">
        <is>
          <t>Golf Cart Magnets</t>
        </is>
      </c>
      <c r="J353" s="11" t="inlineStr">
        <is>
          <t>TBD</t>
        </is>
      </c>
      <c r="K353" s="8" t="inlineStr">
        <is>
          <t>Your ad will appear in approved golf carts on the installation.</t>
        </is>
      </c>
      <c r="L353" s="11" t="n">
        <v>1</v>
      </c>
      <c r="M353" s="12" t="n">
        <v>200</v>
      </c>
      <c r="N353" s="12" t="n">
        <v>400</v>
      </c>
      <c r="O353" s="12" t="n">
        <v>900</v>
      </c>
      <c r="P353" s="12" t="n">
        <v>2000</v>
      </c>
      <c r="Q353" s="12" t="n">
        <v>0</v>
      </c>
      <c r="R353" s="13">
        <f>IF(ISNUMBER(M353),ROUND(M353/(1-Settings!$B$2)/Settings!$B$3,0)*Settings!$B$3,"")</f>
        <v/>
      </c>
      <c r="S353" s="13">
        <f>IF(ISNUMBER(N353),ROUND(N353/(1-Settings!$B$2)/Settings!$B$3,0)*Settings!$B$3,"")</f>
        <v/>
      </c>
      <c r="T353" s="13">
        <f>IF(ISNUMBER(O353),ROUND(O353/(1-Settings!$B$2)/Settings!$B$3,0)*Settings!$B$3,"")</f>
        <v/>
      </c>
      <c r="U353" s="13">
        <f>IF(ISNUMBER(P353),ROUND(P353/(1-Settings!$B$2)/Settings!$B$3,0)*Settings!$B$3,"")</f>
        <v/>
      </c>
      <c r="V353" s="13">
        <f>IF(ISNUMBER(Q353),ROUND(Q353/(1-Settings!$B$2)/Settings!$B$3,0)*Settings!$B$3,"")</f>
        <v/>
      </c>
      <c r="W353" s="14" t="n">
        <v>24520</v>
      </c>
      <c r="X353" s="14" t="n">
        <v>32953</v>
      </c>
      <c r="Y353" s="11" t="inlineStr"/>
      <c r="Z353" s="11" t="inlineStr"/>
      <c r="AA353" s="8" t="inlineStr"/>
      <c r="AB353" s="8" t="inlineStr"/>
      <c r="AC353" s="11" t="inlineStr">
        <is>
          <t>MasterMilitaryOnBaseList 12.2.25 NS.xlsx</t>
        </is>
      </c>
      <c r="AD353" s="11" t="inlineStr">
        <is>
          <t>DFMWR_FortCarson_SponsorshipDeck_2026.pdf</t>
        </is>
      </c>
      <c r="AE353" s="15" t="inlineStr">
        <is>
          <t>Open in Box</t>
        </is>
      </c>
      <c r="AF353" s="15" t="inlineStr">
        <is>
          <t>Open in Box</t>
        </is>
      </c>
    </row>
    <row r="354">
      <c r="A354" s="11" t="inlineStr">
        <is>
          <t>CO-FORTCARS-037</t>
        </is>
      </c>
      <c r="B354" s="8" t="inlineStr">
        <is>
          <t>Fort Carson</t>
        </is>
      </c>
      <c r="C354" s="11" t="inlineStr"/>
      <c r="D354" s="11" t="inlineStr">
        <is>
          <t>CO</t>
        </is>
      </c>
      <c r="E354" s="11" t="inlineStr">
        <is>
          <t>Colorado Springs-Pueblo</t>
        </is>
      </c>
      <c r="F354" s="11" t="inlineStr">
        <is>
          <t>80913</t>
        </is>
      </c>
      <c r="G354" s="11" t="inlineStr">
        <is>
          <t>Army</t>
        </is>
      </c>
      <c r="H354" s="11" t="inlineStr">
        <is>
          <t>Sponsorship &amp; Other</t>
        </is>
      </c>
      <c r="I354" s="8" t="inlineStr">
        <is>
          <t>Golf Cart Magnets</t>
        </is>
      </c>
      <c r="J354" s="11" t="inlineStr">
        <is>
          <t>TBD</t>
        </is>
      </c>
      <c r="K354" s="8" t="inlineStr">
        <is>
          <t>Your ad will appear on a golf cart as a magnet.</t>
        </is>
      </c>
      <c r="L354" s="11" t="n">
        <v>1</v>
      </c>
      <c r="M354" s="12" t="n">
        <v>200</v>
      </c>
      <c r="N354" s="12" t="n">
        <v>400</v>
      </c>
      <c r="O354" s="12" t="n">
        <v>900</v>
      </c>
      <c r="P354" s="12" t="n">
        <v>2000</v>
      </c>
      <c r="Q354" s="12" t="n"/>
      <c r="R354" s="13">
        <f>IF(ISNUMBER(M354),ROUND(M354/(1-Settings!$B$2)/Settings!$B$3,0)*Settings!$B$3,"")</f>
        <v/>
      </c>
      <c r="S354" s="13">
        <f>IF(ISNUMBER(N354),ROUND(N354/(1-Settings!$B$2)/Settings!$B$3,0)*Settings!$B$3,"")</f>
        <v/>
      </c>
      <c r="T354" s="13">
        <f>IF(ISNUMBER(O354),ROUND(O354/(1-Settings!$B$2)/Settings!$B$3,0)*Settings!$B$3,"")</f>
        <v/>
      </c>
      <c r="U354" s="13">
        <f>IF(ISNUMBER(P354),ROUND(P354/(1-Settings!$B$2)/Settings!$B$3,0)*Settings!$B$3,"")</f>
        <v/>
      </c>
      <c r="V354" s="13">
        <f>IF(ISNUMBER(Q354),ROUND(Q354/(1-Settings!$B$2)/Settings!$B$3,0)*Settings!$B$3,"")</f>
        <v/>
      </c>
      <c r="W354" s="14" t="n">
        <v>24520</v>
      </c>
      <c r="X354" s="14" t="n">
        <v>32953</v>
      </c>
      <c r="Y354" s="11" t="inlineStr"/>
      <c r="Z354" s="11" t="inlineStr"/>
      <c r="AA354" s="8" t="inlineStr"/>
      <c r="AB354" s="8" t="inlineStr"/>
      <c r="AC354" s="11" t="inlineStr">
        <is>
          <t>MasterMilitaryOnBaseList 12.2.25 NS.xlsx</t>
        </is>
      </c>
      <c r="AD354" s="11" t="inlineStr">
        <is>
          <t>DFMWR_FortCarson_SponsorshipDeck_2026.pdf</t>
        </is>
      </c>
      <c r="AE354" s="15" t="inlineStr">
        <is>
          <t>Open in Box</t>
        </is>
      </c>
      <c r="AF354" s="15" t="inlineStr">
        <is>
          <t>Open in Box</t>
        </is>
      </c>
    </row>
    <row r="355">
      <c r="A355" s="11" t="inlineStr">
        <is>
          <t>CO-FORTCARS-038</t>
        </is>
      </c>
      <c r="B355" s="8" t="inlineStr">
        <is>
          <t>Fort Carson</t>
        </is>
      </c>
      <c r="C355" s="11" t="inlineStr"/>
      <c r="D355" s="11" t="inlineStr">
        <is>
          <t>CO</t>
        </is>
      </c>
      <c r="E355" s="11" t="inlineStr">
        <is>
          <t>Colorado Springs-Pueblo</t>
        </is>
      </c>
      <c r="F355" s="11" t="inlineStr">
        <is>
          <t>80913</t>
        </is>
      </c>
      <c r="G355" s="11" t="inlineStr">
        <is>
          <t>Army</t>
        </is>
      </c>
      <c r="H355" s="11" t="inlineStr">
        <is>
          <t>Sponsorship &amp; Other</t>
        </is>
      </c>
      <c r="I355" s="8" t="inlineStr">
        <is>
          <t>T-Shirt Logo Placement</t>
        </is>
      </c>
      <c r="J355" s="11" t="inlineStr">
        <is>
          <t>TBD - Pricing is per event</t>
        </is>
      </c>
      <c r="K355" s="8" t="inlineStr">
        <is>
          <t>Your logo will appear on one of the Fort Carson festival or fun run T-shirts.</t>
        </is>
      </c>
      <c r="L355" s="11" t="n">
        <v>12</v>
      </c>
      <c r="M355" s="12" t="n"/>
      <c r="N355" s="12" t="n"/>
      <c r="O355" s="12" t="n"/>
      <c r="P355" s="12" t="n">
        <v>500</v>
      </c>
      <c r="Q355" s="12" t="n">
        <v>0</v>
      </c>
      <c r="R355" s="13">
        <f>IF(ISNUMBER(M355),ROUND(M355/(1-Settings!$B$2)/Settings!$B$3,0)*Settings!$B$3,"")</f>
        <v/>
      </c>
      <c r="S355" s="13">
        <f>IF(ISNUMBER(N355),ROUND(N355/(1-Settings!$B$2)/Settings!$B$3,0)*Settings!$B$3,"")</f>
        <v/>
      </c>
      <c r="T355" s="13">
        <f>IF(ISNUMBER(O355),ROUND(O355/(1-Settings!$B$2)/Settings!$B$3,0)*Settings!$B$3,"")</f>
        <v/>
      </c>
      <c r="U355" s="13">
        <f>IF(ISNUMBER(P355),ROUND(P355/(1-Settings!$B$2)/Settings!$B$3,0)*Settings!$B$3,"")</f>
        <v/>
      </c>
      <c r="V355" s="13">
        <f>IF(ISNUMBER(Q355),ROUND(Q355/(1-Settings!$B$2)/Settings!$B$3,0)*Settings!$B$3,"")</f>
        <v/>
      </c>
      <c r="W355" s="14" t="n">
        <v>24520</v>
      </c>
      <c r="X355" s="14" t="n">
        <v>32953</v>
      </c>
      <c r="Y355" s="11" t="inlineStr"/>
      <c r="Z355" s="11" t="inlineStr"/>
      <c r="AA355" s="8" t="inlineStr"/>
      <c r="AB355" s="8" t="inlineStr"/>
      <c r="AC355" s="11" t="inlineStr">
        <is>
          <t>MasterMilitaryOnBaseList 12.2.25 NS.xlsx</t>
        </is>
      </c>
      <c r="AD355" s="11" t="inlineStr">
        <is>
          <t>DFMWR_FortCarson_SponsorshipDeck_2026.pdf</t>
        </is>
      </c>
      <c r="AE355" s="15" t="inlineStr">
        <is>
          <t>Open in Box</t>
        </is>
      </c>
      <c r="AF355" s="15" t="inlineStr">
        <is>
          <t>Open in Box</t>
        </is>
      </c>
    </row>
    <row r="356">
      <c r="A356" s="11" t="inlineStr">
        <is>
          <t>CO-FORTCARS-011</t>
        </is>
      </c>
      <c r="B356" s="8" t="inlineStr">
        <is>
          <t>Fort Carson</t>
        </is>
      </c>
      <c r="C356" s="11" t="inlineStr"/>
      <c r="D356" s="11" t="inlineStr">
        <is>
          <t>CO</t>
        </is>
      </c>
      <c r="E356" s="11" t="inlineStr">
        <is>
          <t>Colorado Springs-Pueblo</t>
        </is>
      </c>
      <c r="F356" s="11" t="inlineStr">
        <is>
          <t>80913</t>
        </is>
      </c>
      <c r="G356" s="11" t="inlineStr">
        <is>
          <t>Army</t>
        </is>
      </c>
      <c r="H356" s="11" t="inlineStr">
        <is>
          <t>Standard Media</t>
        </is>
      </c>
      <c r="I356" s="8" t="inlineStr">
        <is>
          <t>Banners</t>
        </is>
      </c>
      <c r="J356" s="11" t="inlineStr">
        <is>
          <t>8'W x 4'H</t>
        </is>
      </c>
      <c r="K356" s="8" t="inlineStr">
        <is>
          <t>Your ad will appear in an approved installation facility.</t>
        </is>
      </c>
      <c r="L356" s="11" t="n">
        <v>3</v>
      </c>
      <c r="M356" s="12" t="n"/>
      <c r="N356" s="12" t="n">
        <v>900</v>
      </c>
      <c r="O356" s="12" t="n">
        <v>1800</v>
      </c>
      <c r="P356" s="12" t="n">
        <v>3200</v>
      </c>
      <c r="Q356" s="12" t="n">
        <v>250</v>
      </c>
      <c r="R356" s="13">
        <f>IF(ISNUMBER(M356),ROUND(M356/(1-Settings!$B$2)/Settings!$B$3,0)*Settings!$B$3,"")</f>
        <v/>
      </c>
      <c r="S356" s="13">
        <f>IF(ISNUMBER(N356),ROUND(N356/(1-Settings!$B$2)/Settings!$B$3,0)*Settings!$B$3,"")</f>
        <v/>
      </c>
      <c r="T356" s="13">
        <f>IF(ISNUMBER(O356),ROUND(O356/(1-Settings!$B$2)/Settings!$B$3,0)*Settings!$B$3,"")</f>
        <v/>
      </c>
      <c r="U356" s="13">
        <f>IF(ISNUMBER(P356),ROUND(P356/(1-Settings!$B$2)/Settings!$B$3,0)*Settings!$B$3,"")</f>
        <v/>
      </c>
      <c r="V356" s="13">
        <f>IF(ISNUMBER(Q356),ROUND(Q356/(1-Settings!$B$2)/Settings!$B$3,0)*Settings!$B$3,"")</f>
        <v/>
      </c>
      <c r="W356" s="14" t="n">
        <v>24520</v>
      </c>
      <c r="X356" s="14" t="n">
        <v>32953</v>
      </c>
      <c r="Y356" s="11" t="inlineStr"/>
      <c r="Z356" s="11" t="inlineStr"/>
      <c r="AA356" s="8" t="inlineStr"/>
      <c r="AB356" s="16" t="inlineStr">
        <is>
          <t>Source formula errors</t>
        </is>
      </c>
      <c r="AC356" s="11" t="inlineStr">
        <is>
          <t>MasterMilitaryOnBaseList 12.2.25 NS.xlsx</t>
        </is>
      </c>
      <c r="AD356" s="11" t="inlineStr">
        <is>
          <t>DFMWR_FortCarson_SponsorshipDeck_2026.pdf</t>
        </is>
      </c>
      <c r="AE356" s="15" t="inlineStr">
        <is>
          <t>Open in Box</t>
        </is>
      </c>
      <c r="AF356" s="15" t="inlineStr">
        <is>
          <t>Open in Box</t>
        </is>
      </c>
    </row>
    <row r="357">
      <c r="A357" s="11" t="inlineStr">
        <is>
          <t>CO-FORTCARS-012</t>
        </is>
      </c>
      <c r="B357" s="8" t="inlineStr">
        <is>
          <t>Fort Carson</t>
        </is>
      </c>
      <c r="C357" s="11" t="inlineStr"/>
      <c r="D357" s="11" t="inlineStr">
        <is>
          <t>CO</t>
        </is>
      </c>
      <c r="E357" s="11" t="inlineStr">
        <is>
          <t>Colorado Springs-Pueblo</t>
        </is>
      </c>
      <c r="F357" s="11" t="inlineStr">
        <is>
          <t>80913</t>
        </is>
      </c>
      <c r="G357" s="11" t="inlineStr">
        <is>
          <t>Army</t>
        </is>
      </c>
      <c r="H357" s="11" t="inlineStr">
        <is>
          <t>Standard Media</t>
        </is>
      </c>
      <c r="I357" s="8" t="inlineStr">
        <is>
          <t>Golf Course Tee Market</t>
        </is>
      </c>
      <c r="J357" s="11" t="inlineStr">
        <is>
          <t>TBD</t>
        </is>
      </c>
      <c r="K357" s="8" t="inlineStr">
        <is>
          <t>Your ad will appear at a golf course tee box.</t>
        </is>
      </c>
      <c r="L357" s="11" t="n">
        <v>12</v>
      </c>
      <c r="M357" s="12" t="n"/>
      <c r="N357" s="12" t="n"/>
      <c r="O357" s="12" t="n"/>
      <c r="P357" s="12" t="n">
        <v>2400</v>
      </c>
      <c r="Q357" s="12" t="n"/>
      <c r="R357" s="13">
        <f>IF(ISNUMBER(M357),ROUND(M357/(1-Settings!$B$2)/Settings!$B$3,0)*Settings!$B$3,"")</f>
        <v/>
      </c>
      <c r="S357" s="13">
        <f>IF(ISNUMBER(N357),ROUND(N357/(1-Settings!$B$2)/Settings!$B$3,0)*Settings!$B$3,"")</f>
        <v/>
      </c>
      <c r="T357" s="13">
        <f>IF(ISNUMBER(O357),ROUND(O357/(1-Settings!$B$2)/Settings!$B$3,0)*Settings!$B$3,"")</f>
        <v/>
      </c>
      <c r="U357" s="13">
        <f>IF(ISNUMBER(P357),ROUND(P357/(1-Settings!$B$2)/Settings!$B$3,0)*Settings!$B$3,"")</f>
        <v/>
      </c>
      <c r="V357" s="13">
        <f>IF(ISNUMBER(Q357),ROUND(Q357/(1-Settings!$B$2)/Settings!$B$3,0)*Settings!$B$3,"")</f>
        <v/>
      </c>
      <c r="W357" s="14" t="n">
        <v>24520</v>
      </c>
      <c r="X357" s="14" t="n">
        <v>32953</v>
      </c>
      <c r="Y357" s="11" t="inlineStr"/>
      <c r="Z357" s="11" t="inlineStr"/>
      <c r="AA357" s="8" t="inlineStr"/>
      <c r="AB357" s="16" t="inlineStr">
        <is>
          <t>Source formula errors</t>
        </is>
      </c>
      <c r="AC357" s="11" t="inlineStr">
        <is>
          <t>MasterMilitaryOnBaseList 12.2.25 NS.xlsx</t>
        </is>
      </c>
      <c r="AD357" s="11" t="inlineStr">
        <is>
          <t>DFMWR_FortCarson_SponsorshipDeck_2026.pdf</t>
        </is>
      </c>
      <c r="AE357" s="15" t="inlineStr">
        <is>
          <t>Open in Box</t>
        </is>
      </c>
      <c r="AF357" s="15" t="inlineStr">
        <is>
          <t>Open in Box</t>
        </is>
      </c>
    </row>
    <row r="358">
      <c r="A358" s="11" t="inlineStr">
        <is>
          <t>CO-FORTCARS-013</t>
        </is>
      </c>
      <c r="B358" s="8" t="inlineStr">
        <is>
          <t>Fort Carson</t>
        </is>
      </c>
      <c r="C358" s="11" t="inlineStr"/>
      <c r="D358" s="11" t="inlineStr">
        <is>
          <t>CO</t>
        </is>
      </c>
      <c r="E358" s="11" t="inlineStr">
        <is>
          <t>Colorado Springs-Pueblo</t>
        </is>
      </c>
      <c r="F358" s="11" t="inlineStr">
        <is>
          <t>80913</t>
        </is>
      </c>
      <c r="G358" s="11" t="inlineStr">
        <is>
          <t>Army</t>
        </is>
      </c>
      <c r="H358" s="11" t="inlineStr">
        <is>
          <t>Standard Media</t>
        </is>
      </c>
      <c r="I358" s="8" t="inlineStr">
        <is>
          <t>Indoor Horizontal Banner Placement</t>
        </is>
      </c>
      <c r="J358" s="11" t="inlineStr">
        <is>
          <t>8'W x 4'H</t>
        </is>
      </c>
      <c r="K358" s="8" t="inlineStr">
        <is>
          <t>Your ad will appear at an approved installation facility.</t>
        </is>
      </c>
      <c r="L358" s="11" t="n">
        <v>3</v>
      </c>
      <c r="M358" s="12" t="n"/>
      <c r="N358" s="12" t="n">
        <v>900</v>
      </c>
      <c r="O358" s="12" t="n">
        <v>1800</v>
      </c>
      <c r="P358" s="12" t="n">
        <v>3200</v>
      </c>
      <c r="Q358" s="12" t="n">
        <v>200</v>
      </c>
      <c r="R358" s="13">
        <f>IF(ISNUMBER(M358),ROUND(M358/(1-Settings!$B$2)/Settings!$B$3,0)*Settings!$B$3,"")</f>
        <v/>
      </c>
      <c r="S358" s="13">
        <f>IF(ISNUMBER(N358),ROUND(N358/(1-Settings!$B$2)/Settings!$B$3,0)*Settings!$B$3,"")</f>
        <v/>
      </c>
      <c r="T358" s="13">
        <f>IF(ISNUMBER(O358),ROUND(O358/(1-Settings!$B$2)/Settings!$B$3,0)*Settings!$B$3,"")</f>
        <v/>
      </c>
      <c r="U358" s="13">
        <f>IF(ISNUMBER(P358),ROUND(P358/(1-Settings!$B$2)/Settings!$B$3,0)*Settings!$B$3,"")</f>
        <v/>
      </c>
      <c r="V358" s="13">
        <f>IF(ISNUMBER(Q358),ROUND(Q358/(1-Settings!$B$2)/Settings!$B$3,0)*Settings!$B$3,"")</f>
        <v/>
      </c>
      <c r="W358" s="14" t="n">
        <v>24520</v>
      </c>
      <c r="X358" s="14" t="n">
        <v>32953</v>
      </c>
      <c r="Y358" s="11" t="inlineStr"/>
      <c r="Z358" s="11" t="inlineStr"/>
      <c r="AA358" s="8" t="inlineStr"/>
      <c r="AB358" s="8" t="inlineStr"/>
      <c r="AC358" s="11" t="inlineStr">
        <is>
          <t>MasterMilitaryOnBaseList 12.2.25 NS.xlsx</t>
        </is>
      </c>
      <c r="AD358" s="11" t="inlineStr">
        <is>
          <t>DFMWR_FortCarson_SponsorshipDeck_2026.pdf</t>
        </is>
      </c>
      <c r="AE358" s="15" t="inlineStr">
        <is>
          <t>Open in Box</t>
        </is>
      </c>
      <c r="AF358" s="15" t="inlineStr">
        <is>
          <t>Open in Box</t>
        </is>
      </c>
    </row>
    <row r="359">
      <c r="A359" s="11" t="inlineStr">
        <is>
          <t>CO-FORTCARS-014</t>
        </is>
      </c>
      <c r="B359" s="8" t="inlineStr">
        <is>
          <t>Fort Carson</t>
        </is>
      </c>
      <c r="C359" s="11" t="inlineStr"/>
      <c r="D359" s="11" t="inlineStr">
        <is>
          <t>CO</t>
        </is>
      </c>
      <c r="E359" s="11" t="inlineStr">
        <is>
          <t>Colorado Springs-Pueblo</t>
        </is>
      </c>
      <c r="F359" s="11" t="inlineStr">
        <is>
          <t>80913</t>
        </is>
      </c>
      <c r="G359" s="11" t="inlineStr">
        <is>
          <t>Army</t>
        </is>
      </c>
      <c r="H359" s="11" t="inlineStr">
        <is>
          <t>Standard Media</t>
        </is>
      </c>
      <c r="I359" s="8" t="inlineStr">
        <is>
          <t>Indoor Posters</t>
        </is>
      </c>
      <c r="J359" s="11" t="inlineStr">
        <is>
          <t>24"W x 28"H</t>
        </is>
      </c>
      <c r="K359" s="8" t="inlineStr">
        <is>
          <t>Your ad will appear at an approved installation facility.</t>
        </is>
      </c>
      <c r="L359" s="11" t="n">
        <v>1</v>
      </c>
      <c r="M359" s="12" t="n">
        <v>200</v>
      </c>
      <c r="N359" s="12" t="n">
        <v>600</v>
      </c>
      <c r="O359" s="12" t="n">
        <v>1800</v>
      </c>
      <c r="P359" s="12" t="n">
        <v>1200</v>
      </c>
      <c r="Q359" s="12" t="n">
        <v>100</v>
      </c>
      <c r="R359" s="13">
        <f>IF(ISNUMBER(M359),ROUND(M359/(1-Settings!$B$2)/Settings!$B$3,0)*Settings!$B$3,"")</f>
        <v/>
      </c>
      <c r="S359" s="13">
        <f>IF(ISNUMBER(N359),ROUND(N359/(1-Settings!$B$2)/Settings!$B$3,0)*Settings!$B$3,"")</f>
        <v/>
      </c>
      <c r="T359" s="13">
        <f>IF(ISNUMBER(O359),ROUND(O359/(1-Settings!$B$2)/Settings!$B$3,0)*Settings!$B$3,"")</f>
        <v/>
      </c>
      <c r="U359" s="13">
        <f>IF(ISNUMBER(P359),ROUND(P359/(1-Settings!$B$2)/Settings!$B$3,0)*Settings!$B$3,"")</f>
        <v/>
      </c>
      <c r="V359" s="13">
        <f>IF(ISNUMBER(Q359),ROUND(Q359/(1-Settings!$B$2)/Settings!$B$3,0)*Settings!$B$3,"")</f>
        <v/>
      </c>
      <c r="W359" s="14" t="n">
        <v>24520</v>
      </c>
      <c r="X359" s="14" t="n">
        <v>32953</v>
      </c>
      <c r="Y359" s="11" t="inlineStr"/>
      <c r="Z359" s="11" t="inlineStr"/>
      <c r="AA359" s="8" t="inlineStr"/>
      <c r="AB359" s="8" t="inlineStr"/>
      <c r="AC359" s="11" t="inlineStr">
        <is>
          <t>MasterMilitaryOnBaseList 12.2.25 NS.xlsx</t>
        </is>
      </c>
      <c r="AD359" s="11" t="inlineStr">
        <is>
          <t>DFMWR_FortCarson_SponsorshipDeck_2026.pdf</t>
        </is>
      </c>
      <c r="AE359" s="15" t="inlineStr">
        <is>
          <t>Open in Box</t>
        </is>
      </c>
      <c r="AF359" s="15" t="inlineStr">
        <is>
          <t>Open in Box</t>
        </is>
      </c>
    </row>
    <row r="360">
      <c r="A360" s="11" t="inlineStr">
        <is>
          <t>CO-FORTCARS-015</t>
        </is>
      </c>
      <c r="B360" s="8" t="inlineStr">
        <is>
          <t>Fort Carson</t>
        </is>
      </c>
      <c r="C360" s="11" t="inlineStr"/>
      <c r="D360" s="11" t="inlineStr">
        <is>
          <t>CO</t>
        </is>
      </c>
      <c r="E360" s="11" t="inlineStr">
        <is>
          <t>Colorado Springs-Pueblo</t>
        </is>
      </c>
      <c r="F360" s="11" t="inlineStr">
        <is>
          <t>80913</t>
        </is>
      </c>
      <c r="G360" s="11" t="inlineStr">
        <is>
          <t>Army</t>
        </is>
      </c>
      <c r="H360" s="11" t="inlineStr">
        <is>
          <t>Standard Media</t>
        </is>
      </c>
      <c r="I360" s="8" t="inlineStr">
        <is>
          <t>Outdoor Banners</t>
        </is>
      </c>
      <c r="J360" s="11" t="inlineStr">
        <is>
          <t>8'W x 4'H</t>
        </is>
      </c>
      <c r="K360" s="8" t="inlineStr">
        <is>
          <t>Your ad will appeat at an approved installation facility.</t>
        </is>
      </c>
      <c r="L360" s="11" t="n">
        <v>3</v>
      </c>
      <c r="M360" s="12" t="n"/>
      <c r="N360" s="12" t="n">
        <v>900</v>
      </c>
      <c r="O360" s="12" t="n">
        <v>1800</v>
      </c>
      <c r="P360" s="12" t="n">
        <v>3200</v>
      </c>
      <c r="Q360" s="12" t="n">
        <v>250</v>
      </c>
      <c r="R360" s="13">
        <f>IF(ISNUMBER(M360),ROUND(M360/(1-Settings!$B$2)/Settings!$B$3,0)*Settings!$B$3,"")</f>
        <v/>
      </c>
      <c r="S360" s="13">
        <f>IF(ISNUMBER(N360),ROUND(N360/(1-Settings!$B$2)/Settings!$B$3,0)*Settings!$B$3,"")</f>
        <v/>
      </c>
      <c r="T360" s="13">
        <f>IF(ISNUMBER(O360),ROUND(O360/(1-Settings!$B$2)/Settings!$B$3,0)*Settings!$B$3,"")</f>
        <v/>
      </c>
      <c r="U360" s="13">
        <f>IF(ISNUMBER(P360),ROUND(P360/(1-Settings!$B$2)/Settings!$B$3,0)*Settings!$B$3,"")</f>
        <v/>
      </c>
      <c r="V360" s="13">
        <f>IF(ISNUMBER(Q360),ROUND(Q360/(1-Settings!$B$2)/Settings!$B$3,0)*Settings!$B$3,"")</f>
        <v/>
      </c>
      <c r="W360" s="14" t="n">
        <v>24520</v>
      </c>
      <c r="X360" s="14" t="n">
        <v>32953</v>
      </c>
      <c r="Y360" s="11" t="inlineStr"/>
      <c r="Z360" s="11" t="inlineStr"/>
      <c r="AA360" s="8" t="inlineStr"/>
      <c r="AB360" s="16" t="inlineStr">
        <is>
          <t>Source formula errors</t>
        </is>
      </c>
      <c r="AC360" s="11" t="inlineStr">
        <is>
          <t>MasterMilitaryOnBaseList 12.2.25 NS.xlsx</t>
        </is>
      </c>
      <c r="AD360" s="11" t="inlineStr">
        <is>
          <t>DFMWR_FortCarson_SponsorshipDeck_2026.pdf</t>
        </is>
      </c>
      <c r="AE360" s="15" t="inlineStr">
        <is>
          <t>Open in Box</t>
        </is>
      </c>
      <c r="AF360" s="15" t="inlineStr">
        <is>
          <t>Open in Box</t>
        </is>
      </c>
    </row>
    <row r="361">
      <c r="A361" s="11" t="inlineStr">
        <is>
          <t>CO-FORTCARS-016</t>
        </is>
      </c>
      <c r="B361" s="8" t="inlineStr">
        <is>
          <t>Fort Carson</t>
        </is>
      </c>
      <c r="C361" s="11" t="inlineStr"/>
      <c r="D361" s="11" t="inlineStr">
        <is>
          <t>CO</t>
        </is>
      </c>
      <c r="E361" s="11" t="inlineStr">
        <is>
          <t>Colorado Springs-Pueblo</t>
        </is>
      </c>
      <c r="F361" s="11" t="inlineStr">
        <is>
          <t>80913</t>
        </is>
      </c>
      <c r="G361" s="11" t="inlineStr">
        <is>
          <t>Army</t>
        </is>
      </c>
      <c r="H361" s="11" t="inlineStr">
        <is>
          <t>Standard Media</t>
        </is>
      </c>
      <c r="I361" s="8" t="inlineStr">
        <is>
          <t>Posters</t>
        </is>
      </c>
      <c r="J361" s="11" t="inlineStr">
        <is>
          <t>24"W x 28"H</t>
        </is>
      </c>
      <c r="K361" s="8" t="inlineStr">
        <is>
          <t>Your ad will appear in an approved installation facility.</t>
        </is>
      </c>
      <c r="L361" s="11" t="n">
        <v>1</v>
      </c>
      <c r="M361" s="12" t="n">
        <v>200</v>
      </c>
      <c r="N361" s="12" t="n">
        <v>600</v>
      </c>
      <c r="O361" s="12" t="n">
        <v>1200</v>
      </c>
      <c r="P361" s="12" t="n">
        <v>2000</v>
      </c>
      <c r="Q361" s="12" t="n">
        <v>125</v>
      </c>
      <c r="R361" s="13">
        <f>IF(ISNUMBER(M361),ROUND(M361/(1-Settings!$B$2)/Settings!$B$3,0)*Settings!$B$3,"")</f>
        <v/>
      </c>
      <c r="S361" s="13">
        <f>IF(ISNUMBER(N361),ROUND(N361/(1-Settings!$B$2)/Settings!$B$3,0)*Settings!$B$3,"")</f>
        <v/>
      </c>
      <c r="T361" s="13">
        <f>IF(ISNUMBER(O361),ROUND(O361/(1-Settings!$B$2)/Settings!$B$3,0)*Settings!$B$3,"")</f>
        <v/>
      </c>
      <c r="U361" s="13">
        <f>IF(ISNUMBER(P361),ROUND(P361/(1-Settings!$B$2)/Settings!$B$3,0)*Settings!$B$3,"")</f>
        <v/>
      </c>
      <c r="V361" s="13">
        <f>IF(ISNUMBER(Q361),ROUND(Q361/(1-Settings!$B$2)/Settings!$B$3,0)*Settings!$B$3,"")</f>
        <v/>
      </c>
      <c r="W361" s="14" t="n">
        <v>24520</v>
      </c>
      <c r="X361" s="14" t="n">
        <v>32953</v>
      </c>
      <c r="Y361" s="11" t="inlineStr"/>
      <c r="Z361" s="11" t="inlineStr"/>
      <c r="AA361" s="8" t="inlineStr"/>
      <c r="AB361" s="8" t="inlineStr"/>
      <c r="AC361" s="11" t="inlineStr">
        <is>
          <t>MasterMilitaryOnBaseList 12.2.25 NS.xlsx</t>
        </is>
      </c>
      <c r="AD361" s="11" t="inlineStr">
        <is>
          <t>DFMWR_FortCarson_SponsorshipDeck_2026.pdf</t>
        </is>
      </c>
      <c r="AE361" s="15" t="inlineStr">
        <is>
          <t>Open in Box</t>
        </is>
      </c>
      <c r="AF361" s="15" t="inlineStr">
        <is>
          <t>Open in Box</t>
        </is>
      </c>
    </row>
    <row r="362">
      <c r="A362" s="11" t="inlineStr">
        <is>
          <t>CO-FORTCARS-017</t>
        </is>
      </c>
      <c r="B362" s="8" t="inlineStr">
        <is>
          <t>Fort Carson</t>
        </is>
      </c>
      <c r="C362" s="11" t="inlineStr"/>
      <c r="D362" s="11" t="inlineStr">
        <is>
          <t>CO</t>
        </is>
      </c>
      <c r="E362" s="11" t="inlineStr">
        <is>
          <t>Colorado Springs-Pueblo</t>
        </is>
      </c>
      <c r="F362" s="11" t="inlineStr">
        <is>
          <t>80913</t>
        </is>
      </c>
      <c r="G362" s="11" t="inlineStr">
        <is>
          <t>Army</t>
        </is>
      </c>
      <c r="H362" s="11" t="inlineStr">
        <is>
          <t>Standard Media</t>
        </is>
      </c>
      <c r="I362" s="8" t="inlineStr">
        <is>
          <t>Tee Markers</t>
        </is>
      </c>
      <c r="J362" s="11" t="inlineStr">
        <is>
          <t>TBD</t>
        </is>
      </c>
      <c r="K362" s="8" t="inlineStr">
        <is>
          <t>Your ad will appear on the Fort Carson golf course.</t>
        </is>
      </c>
      <c r="L362" s="11" t="n">
        <v>1</v>
      </c>
      <c r="M362" s="12" t="n">
        <v>200</v>
      </c>
      <c r="N362" s="12" t="n">
        <v>400</v>
      </c>
      <c r="O362" s="12" t="n">
        <v>900</v>
      </c>
      <c r="P362" s="12" t="n">
        <v>2000</v>
      </c>
      <c r="Q362" s="12" t="n">
        <v>0</v>
      </c>
      <c r="R362" s="13">
        <f>IF(ISNUMBER(M362),ROUND(M362/(1-Settings!$B$2)/Settings!$B$3,0)*Settings!$B$3,"")</f>
        <v/>
      </c>
      <c r="S362" s="13">
        <f>IF(ISNUMBER(N362),ROUND(N362/(1-Settings!$B$2)/Settings!$B$3,0)*Settings!$B$3,"")</f>
        <v/>
      </c>
      <c r="T362" s="13">
        <f>IF(ISNUMBER(O362),ROUND(O362/(1-Settings!$B$2)/Settings!$B$3,0)*Settings!$B$3,"")</f>
        <v/>
      </c>
      <c r="U362" s="13">
        <f>IF(ISNUMBER(P362),ROUND(P362/(1-Settings!$B$2)/Settings!$B$3,0)*Settings!$B$3,"")</f>
        <v/>
      </c>
      <c r="V362" s="13">
        <f>IF(ISNUMBER(Q362),ROUND(Q362/(1-Settings!$B$2)/Settings!$B$3,0)*Settings!$B$3,"")</f>
        <v/>
      </c>
      <c r="W362" s="14" t="n">
        <v>24520</v>
      </c>
      <c r="X362" s="14" t="n">
        <v>32953</v>
      </c>
      <c r="Y362" s="11" t="inlineStr"/>
      <c r="Z362" s="11" t="inlineStr"/>
      <c r="AA362" s="8" t="inlineStr"/>
      <c r="AB362" s="8" t="inlineStr"/>
      <c r="AC362" s="11" t="inlineStr">
        <is>
          <t>MasterMilitaryOnBaseList 12.2.25 NS.xlsx</t>
        </is>
      </c>
      <c r="AD362" s="11" t="inlineStr">
        <is>
          <t>DFMWR_FortCarson_SponsorshipDeck_2026.pdf</t>
        </is>
      </c>
      <c r="AE362" s="15" t="inlineStr">
        <is>
          <t>Open in Box</t>
        </is>
      </c>
      <c r="AF362" s="15" t="inlineStr">
        <is>
          <t>Open in Box</t>
        </is>
      </c>
    </row>
    <row r="363">
      <c r="A363" s="11" t="inlineStr">
        <is>
          <t>CO-FORTCARS-035</t>
        </is>
      </c>
      <c r="B363" s="8" t="inlineStr">
        <is>
          <t>Fort Carson</t>
        </is>
      </c>
      <c r="C363" s="11" t="inlineStr"/>
      <c r="D363" s="11" t="inlineStr">
        <is>
          <t>CO</t>
        </is>
      </c>
      <c r="E363" s="11" t="inlineStr">
        <is>
          <t>Colorado Springs-Pueblo</t>
        </is>
      </c>
      <c r="F363" s="11" t="inlineStr">
        <is>
          <t>80913</t>
        </is>
      </c>
      <c r="G363" s="11" t="inlineStr">
        <is>
          <t>Army</t>
        </is>
      </c>
      <c r="H363" s="11" t="inlineStr">
        <is>
          <t>Web &amp; Email</t>
        </is>
      </c>
      <c r="I363" s="8" t="inlineStr">
        <is>
          <t>Social Media Post</t>
        </is>
      </c>
      <c r="J363" s="11" t="inlineStr">
        <is>
          <t>TBD - 1 post/week</t>
        </is>
      </c>
      <c r="K363" s="8" t="inlineStr">
        <is>
          <t>Your ad will appear on the Fort Carson social media pages with a link to the website of your choice.</t>
        </is>
      </c>
      <c r="L363" s="11" t="n">
        <v>1</v>
      </c>
      <c r="M363" s="12" t="n">
        <v>400</v>
      </c>
      <c r="N363" s="12" t="n">
        <v>1000</v>
      </c>
      <c r="O363" s="12" t="n">
        <v>2100</v>
      </c>
      <c r="P363" s="12" t="n">
        <v>4400</v>
      </c>
      <c r="Q363" s="12" t="n">
        <v>0</v>
      </c>
      <c r="R363" s="13">
        <f>IF(ISNUMBER(M363),ROUND(M363/(1-Settings!$B$2)/Settings!$B$3,0)*Settings!$B$3,"")</f>
        <v/>
      </c>
      <c r="S363" s="13">
        <f>IF(ISNUMBER(N363),ROUND(N363/(1-Settings!$B$2)/Settings!$B$3,0)*Settings!$B$3,"")</f>
        <v/>
      </c>
      <c r="T363" s="13">
        <f>IF(ISNUMBER(O363),ROUND(O363/(1-Settings!$B$2)/Settings!$B$3,0)*Settings!$B$3,"")</f>
        <v/>
      </c>
      <c r="U363" s="13">
        <f>IF(ISNUMBER(P363),ROUND(P363/(1-Settings!$B$2)/Settings!$B$3,0)*Settings!$B$3,"")</f>
        <v/>
      </c>
      <c r="V363" s="13">
        <f>IF(ISNUMBER(Q363),ROUND(Q363/(1-Settings!$B$2)/Settings!$B$3,0)*Settings!$B$3,"")</f>
        <v/>
      </c>
      <c r="W363" s="14" t="n">
        <v>24520</v>
      </c>
      <c r="X363" s="14" t="n">
        <v>32953</v>
      </c>
      <c r="Y363" s="11" t="inlineStr"/>
      <c r="Z363" s="11" t="inlineStr"/>
      <c r="AA363" s="8" t="inlineStr"/>
      <c r="AB363" s="8" t="inlineStr"/>
      <c r="AC363" s="11" t="inlineStr">
        <is>
          <t>MasterMilitaryOnBaseList 12.2.25 NS.xlsx</t>
        </is>
      </c>
      <c r="AD363" s="11" t="inlineStr">
        <is>
          <t>DFMWR_FortCarson_SponsorshipDeck_2026.pdf</t>
        </is>
      </c>
      <c r="AE363" s="15" t="inlineStr">
        <is>
          <t>Open in Box</t>
        </is>
      </c>
      <c r="AF363" s="15" t="inlineStr">
        <is>
          <t>Open in Box</t>
        </is>
      </c>
    </row>
    <row r="364">
      <c r="A364" s="11" t="inlineStr">
        <is>
          <t>CO-FORTCARS-039</t>
        </is>
      </c>
      <c r="B364" s="8" t="inlineStr">
        <is>
          <t>Fort Carson</t>
        </is>
      </c>
      <c r="C364" s="11" t="inlineStr"/>
      <c r="D364" s="11" t="inlineStr">
        <is>
          <t>CO</t>
        </is>
      </c>
      <c r="E364" s="11" t="inlineStr">
        <is>
          <t>Colorado Springs-Pueblo</t>
        </is>
      </c>
      <c r="F364" s="11" t="inlineStr"/>
      <c r="G364" s="11" t="inlineStr">
        <is>
          <t>Army</t>
        </is>
      </c>
      <c r="H364" s="11" t="inlineStr">
        <is>
          <t>Web &amp; Email</t>
        </is>
      </c>
      <c r="I364" s="8" t="inlineStr">
        <is>
          <t>Web Ad</t>
        </is>
      </c>
      <c r="J364" s="11" t="inlineStr"/>
      <c r="K364" s="8" t="inlineStr">
        <is>
          <t>Your ad will appear on the installation MWR / FSS website.</t>
        </is>
      </c>
      <c r="L364" s="11" t="n">
        <v>1</v>
      </c>
      <c r="M364" s="12" t="n">
        <v>500</v>
      </c>
      <c r="N364" s="12" t="n"/>
      <c r="O364" s="12" t="n"/>
      <c r="P364" s="12" t="n"/>
      <c r="Q364" s="12" t="n"/>
      <c r="R364" s="13">
        <f>IF(ISNUMBER(M364),ROUND(M364/(1-Settings!$B$2)/Settings!$B$3,0)*Settings!$B$3,"")</f>
        <v/>
      </c>
      <c r="S364" s="13">
        <f>IF(ISNUMBER(N364),ROUND(N364/(1-Settings!$B$2)/Settings!$B$3,0)*Settings!$B$3,"")</f>
        <v/>
      </c>
      <c r="T364" s="13">
        <f>IF(ISNUMBER(O364),ROUND(O364/(1-Settings!$B$2)/Settings!$B$3,0)*Settings!$B$3,"")</f>
        <v/>
      </c>
      <c r="U364" s="13">
        <f>IF(ISNUMBER(P364),ROUND(P364/(1-Settings!$B$2)/Settings!$B$3,0)*Settings!$B$3,"")</f>
        <v/>
      </c>
      <c r="V364" s="13">
        <f>IF(ISNUMBER(Q364),ROUND(Q364/(1-Settings!$B$2)/Settings!$B$3,0)*Settings!$B$3,"")</f>
        <v/>
      </c>
      <c r="W364" s="14" t="n">
        <v>24520</v>
      </c>
      <c r="X364" s="14" t="n">
        <v>32953</v>
      </c>
      <c r="Y364" s="11" t="inlineStr">
        <is>
          <t>2026</t>
        </is>
      </c>
      <c r="Z364" s="11" t="inlineStr">
        <is>
          <t>2026-06</t>
        </is>
      </c>
      <c r="AA364" s="8" t="inlineStr"/>
      <c r="AB364" s="8" t="inlineStr"/>
      <c r="AC364" s="11" t="inlineStr">
        <is>
          <t>Military - National Publication Inventory Master_June 2026.xlsx</t>
        </is>
      </c>
      <c r="AD364" s="11" t="inlineStr">
        <is>
          <t>DFMWR_FortCarson_SponsorshipDeck_2026.pdf</t>
        </is>
      </c>
      <c r="AE364" s="15" t="inlineStr">
        <is>
          <t>Open in Box</t>
        </is>
      </c>
      <c r="AF364" s="15" t="inlineStr">
        <is>
          <t>Open in Box</t>
        </is>
      </c>
    </row>
    <row r="365">
      <c r="A365" s="11" t="inlineStr">
        <is>
          <t>CO-PETERSON-001</t>
        </is>
      </c>
      <c r="B365" s="8" t="inlineStr">
        <is>
          <t>Peterson AFB</t>
        </is>
      </c>
      <c r="C365" s="11" t="inlineStr"/>
      <c r="D365" s="11" t="inlineStr">
        <is>
          <t>CO</t>
        </is>
      </c>
      <c r="E365" s="11" t="inlineStr">
        <is>
          <t>Colorado Springs-Pueblo</t>
        </is>
      </c>
      <c r="F365" s="11" t="inlineStr">
        <is>
          <t>80914</t>
        </is>
      </c>
      <c r="G365" s="11" t="inlineStr">
        <is>
          <t>Air Force</t>
        </is>
      </c>
      <c r="H365" s="11" t="inlineStr">
        <is>
          <t>Digital</t>
        </is>
      </c>
      <c r="I365" s="8" t="inlineStr">
        <is>
          <t>Digital Monitor Network</t>
        </is>
      </c>
      <c r="J365" s="11" t="inlineStr">
        <is>
          <t>1920pxW x 1080pxH</t>
        </is>
      </c>
      <c r="K365" s="8" t="inlineStr">
        <is>
          <t>Your ad will appear 12 digital monitors in approved installation facilities. Additionally, your ad will appear on 348 lodging room monitors.</t>
        </is>
      </c>
      <c r="L365" s="11" t="n">
        <v>6</v>
      </c>
      <c r="M365" s="12" t="n"/>
      <c r="N365" s="12" t="n"/>
      <c r="O365" s="12" t="n">
        <v>1800</v>
      </c>
      <c r="P365" s="12" t="n">
        <v>3600</v>
      </c>
      <c r="Q365" s="12" t="n">
        <v>0</v>
      </c>
      <c r="R365" s="13">
        <f>IF(ISNUMBER(M365),ROUND(M365/(1-Settings!$B$2)/Settings!$B$3,0)*Settings!$B$3,"")</f>
        <v/>
      </c>
      <c r="S365" s="13">
        <f>IF(ISNUMBER(N365),ROUND(N365/(1-Settings!$B$2)/Settings!$B$3,0)*Settings!$B$3,"")</f>
        <v/>
      </c>
      <c r="T365" s="13">
        <f>IF(ISNUMBER(O365),ROUND(O365/(1-Settings!$B$2)/Settings!$B$3,0)*Settings!$B$3,"")</f>
        <v/>
      </c>
      <c r="U365" s="13">
        <f>IF(ISNUMBER(P365),ROUND(P365/(1-Settings!$B$2)/Settings!$B$3,0)*Settings!$B$3,"")</f>
        <v/>
      </c>
      <c r="V365" s="13">
        <f>IF(ISNUMBER(Q365),ROUND(Q365/(1-Settings!$B$2)/Settings!$B$3,0)*Settings!$B$3,"")</f>
        <v/>
      </c>
      <c r="W365" s="14" t="n">
        <v>3645</v>
      </c>
      <c r="X365" s="14" t="n">
        <v>6210</v>
      </c>
      <c r="Y365" s="11" t="inlineStr"/>
      <c r="Z365" s="11" t="inlineStr"/>
      <c r="AA365" s="8" t="inlineStr">
        <is>
          <t>Inventory master 6/2026 lists Digital Monitor Network at $1,800 (1 mo)</t>
        </is>
      </c>
      <c r="AB365" s="16" t="inlineStr">
        <is>
          <t>Source formula errors</t>
        </is>
      </c>
      <c r="AC365" s="11" t="inlineStr">
        <is>
          <t>MasterMilitaryOnBaseList 12.2.25 NS.xlsx</t>
        </is>
      </c>
      <c r="AD365" s="11" t="inlineStr">
        <is>
          <t>2026 PeteSFB Sponsored Events Calendar.pdf</t>
        </is>
      </c>
      <c r="AE365" s="15" t="inlineStr">
        <is>
          <t>Open in Box</t>
        </is>
      </c>
      <c r="AF365" s="15" t="inlineStr">
        <is>
          <t>Open in Box</t>
        </is>
      </c>
    </row>
    <row r="366">
      <c r="A366" s="11" t="inlineStr">
        <is>
          <t>CO-PETERSON-002</t>
        </is>
      </c>
      <c r="B366" s="8" t="inlineStr">
        <is>
          <t>Peterson AFB</t>
        </is>
      </c>
      <c r="C366" s="11" t="inlineStr"/>
      <c r="D366" s="11" t="inlineStr">
        <is>
          <t>CO</t>
        </is>
      </c>
      <c r="E366" s="11" t="inlineStr">
        <is>
          <t>Colorado Springs-Pueblo</t>
        </is>
      </c>
      <c r="F366" s="11" t="inlineStr">
        <is>
          <t>80914</t>
        </is>
      </c>
      <c r="G366" s="11" t="inlineStr">
        <is>
          <t>Air Force</t>
        </is>
      </c>
      <c r="H366" s="11" t="inlineStr">
        <is>
          <t>Digital</t>
        </is>
      </c>
      <c r="I366" s="8" t="inlineStr">
        <is>
          <t>Media Monitors</t>
        </is>
      </c>
      <c r="J366" s="11" t="inlineStr">
        <is>
          <t>1920px x 1080px</t>
        </is>
      </c>
      <c r="K366" s="8" t="inlineStr">
        <is>
          <t>Your ad will appear in 10 approved facilities on the installation with a total of 360 TVs</t>
        </is>
      </c>
      <c r="L366" s="11" t="n">
        <v>6</v>
      </c>
      <c r="M366" s="12" t="n"/>
      <c r="N366" s="12" t="n"/>
      <c r="O366" s="12" t="n">
        <v>5100</v>
      </c>
      <c r="P366" s="12" t="n">
        <v>8670</v>
      </c>
      <c r="Q366" s="12" t="n"/>
      <c r="R366" s="13">
        <f>IF(ISNUMBER(M366),ROUND(M366/(1-Settings!$B$2)/Settings!$B$3,0)*Settings!$B$3,"")</f>
        <v/>
      </c>
      <c r="S366" s="13">
        <f>IF(ISNUMBER(N366),ROUND(N366/(1-Settings!$B$2)/Settings!$B$3,0)*Settings!$B$3,"")</f>
        <v/>
      </c>
      <c r="T366" s="13">
        <f>IF(ISNUMBER(O366),ROUND(O366/(1-Settings!$B$2)/Settings!$B$3,0)*Settings!$B$3,"")</f>
        <v/>
      </c>
      <c r="U366" s="13">
        <f>IF(ISNUMBER(P366),ROUND(P366/(1-Settings!$B$2)/Settings!$B$3,0)*Settings!$B$3,"")</f>
        <v/>
      </c>
      <c r="V366" s="13">
        <f>IF(ISNUMBER(Q366),ROUND(Q366/(1-Settings!$B$2)/Settings!$B$3,0)*Settings!$B$3,"")</f>
        <v/>
      </c>
      <c r="W366" s="14" t="n">
        <v>3645</v>
      </c>
      <c r="X366" s="14" t="n">
        <v>6210</v>
      </c>
      <c r="Y366" s="11" t="inlineStr"/>
      <c r="Z366" s="11" t="inlineStr"/>
      <c r="AA366" s="8" t="inlineStr">
        <is>
          <t>Inventory master 6/2026 lists Digital Monitor Network at $1,800 (1 mo)</t>
        </is>
      </c>
      <c r="AB366" s="8" t="inlineStr"/>
      <c r="AC366" s="11" t="inlineStr">
        <is>
          <t>MasterMilitaryOnBaseList 12.2.25 NS.xlsx</t>
        </is>
      </c>
      <c r="AD366" s="11" t="inlineStr">
        <is>
          <t>2026 PeteSFB Sponsored Events Calendar.pdf</t>
        </is>
      </c>
      <c r="AE366" s="15" t="inlineStr">
        <is>
          <t>Open in Box</t>
        </is>
      </c>
      <c r="AF366" s="15" t="inlineStr">
        <is>
          <t>Open in Box</t>
        </is>
      </c>
    </row>
    <row r="367">
      <c r="A367" s="11" t="inlineStr">
        <is>
          <t>CO-PETERSON-003</t>
        </is>
      </c>
      <c r="B367" s="8" t="inlineStr">
        <is>
          <t>Peterson AFB</t>
        </is>
      </c>
      <c r="C367" s="11" t="inlineStr"/>
      <c r="D367" s="11" t="inlineStr">
        <is>
          <t>CO</t>
        </is>
      </c>
      <c r="E367" s="11" t="inlineStr">
        <is>
          <t>Colorado Springs-Pueblo</t>
        </is>
      </c>
      <c r="F367" s="11" t="inlineStr">
        <is>
          <t>80914</t>
        </is>
      </c>
      <c r="G367" s="11" t="inlineStr">
        <is>
          <t>Air Force</t>
        </is>
      </c>
      <c r="H367" s="11" t="inlineStr">
        <is>
          <t>Large Format</t>
        </is>
      </c>
      <c r="I367" s="8" t="inlineStr">
        <is>
          <t>Counter Wrap</t>
        </is>
      </c>
      <c r="J367" s="11" t="inlineStr">
        <is>
          <t>TBD</t>
        </is>
      </c>
      <c r="K367" s="8" t="inlineStr">
        <is>
          <t>Your ad will appear on approved counters in facilities on the installation.</t>
        </is>
      </c>
      <c r="L367" s="11" t="n">
        <v>12</v>
      </c>
      <c r="M367" s="12" t="n"/>
      <c r="N367" s="12" t="n"/>
      <c r="O367" s="12" t="n"/>
      <c r="P367" s="12" t="n">
        <v>5000</v>
      </c>
      <c r="Q367" s="12" t="n"/>
      <c r="R367" s="13">
        <f>IF(ISNUMBER(M367),ROUND(M367/(1-Settings!$B$2)/Settings!$B$3,0)*Settings!$B$3,"")</f>
        <v/>
      </c>
      <c r="S367" s="13">
        <f>IF(ISNUMBER(N367),ROUND(N367/(1-Settings!$B$2)/Settings!$B$3,0)*Settings!$B$3,"")</f>
        <v/>
      </c>
      <c r="T367" s="13">
        <f>IF(ISNUMBER(O367),ROUND(O367/(1-Settings!$B$2)/Settings!$B$3,0)*Settings!$B$3,"")</f>
        <v/>
      </c>
      <c r="U367" s="13">
        <f>IF(ISNUMBER(P367),ROUND(P367/(1-Settings!$B$2)/Settings!$B$3,0)*Settings!$B$3,"")</f>
        <v/>
      </c>
      <c r="V367" s="13">
        <f>IF(ISNUMBER(Q367),ROUND(Q367/(1-Settings!$B$2)/Settings!$B$3,0)*Settings!$B$3,"")</f>
        <v/>
      </c>
      <c r="W367" s="14" t="n">
        <v>3645</v>
      </c>
      <c r="X367" s="14" t="n">
        <v>6210</v>
      </c>
      <c r="Y367" s="11" t="inlineStr"/>
      <c r="Z367" s="11" t="inlineStr"/>
      <c r="AA367" s="8" t="inlineStr"/>
      <c r="AB367" s="8" t="inlineStr"/>
      <c r="AC367" s="11" t="inlineStr">
        <is>
          <t>MasterMilitaryOnBaseList 12.2.25 NS.xlsx</t>
        </is>
      </c>
      <c r="AD367" s="11" t="inlineStr">
        <is>
          <t>2026 PeteSFB Sponsored Events Calendar.pdf</t>
        </is>
      </c>
      <c r="AE367" s="15" t="inlineStr">
        <is>
          <t>Open in Box</t>
        </is>
      </c>
      <c r="AF367" s="15" t="inlineStr">
        <is>
          <t>Open in Box</t>
        </is>
      </c>
    </row>
    <row r="368">
      <c r="A368" s="11" t="inlineStr">
        <is>
          <t>CO-PETERSON-004</t>
        </is>
      </c>
      <c r="B368" s="8" t="inlineStr">
        <is>
          <t>Peterson AFB</t>
        </is>
      </c>
      <c r="C368" s="11" t="inlineStr"/>
      <c r="D368" s="11" t="inlineStr">
        <is>
          <t>CO</t>
        </is>
      </c>
      <c r="E368" s="11" t="inlineStr">
        <is>
          <t>Colorado Springs-Pueblo</t>
        </is>
      </c>
      <c r="F368" s="11" t="inlineStr">
        <is>
          <t>80914</t>
        </is>
      </c>
      <c r="G368" s="11" t="inlineStr">
        <is>
          <t>Air Force</t>
        </is>
      </c>
      <c r="H368" s="11" t="inlineStr">
        <is>
          <t>Large Format</t>
        </is>
      </c>
      <c r="I368" s="8" t="inlineStr">
        <is>
          <t>Door Cling</t>
        </is>
      </c>
      <c r="J368" s="11" t="inlineStr">
        <is>
          <t>TBD</t>
        </is>
      </c>
      <c r="K368" s="8" t="inlineStr">
        <is>
          <t>Your ad will appear on approved doors in facilities on the installation.</t>
        </is>
      </c>
      <c r="L368" s="11" t="n">
        <v>12</v>
      </c>
      <c r="M368" s="12" t="n"/>
      <c r="N368" s="12" t="n"/>
      <c r="O368" s="12" t="n"/>
      <c r="P368" s="12" t="n">
        <v>5000</v>
      </c>
      <c r="Q368" s="12" t="n"/>
      <c r="R368" s="13">
        <f>IF(ISNUMBER(M368),ROUND(M368/(1-Settings!$B$2)/Settings!$B$3,0)*Settings!$B$3,"")</f>
        <v/>
      </c>
      <c r="S368" s="13">
        <f>IF(ISNUMBER(N368),ROUND(N368/(1-Settings!$B$2)/Settings!$B$3,0)*Settings!$B$3,"")</f>
        <v/>
      </c>
      <c r="T368" s="13">
        <f>IF(ISNUMBER(O368),ROUND(O368/(1-Settings!$B$2)/Settings!$B$3,0)*Settings!$B$3,"")</f>
        <v/>
      </c>
      <c r="U368" s="13">
        <f>IF(ISNUMBER(P368),ROUND(P368/(1-Settings!$B$2)/Settings!$B$3,0)*Settings!$B$3,"")</f>
        <v/>
      </c>
      <c r="V368" s="13">
        <f>IF(ISNUMBER(Q368),ROUND(Q368/(1-Settings!$B$2)/Settings!$B$3,0)*Settings!$B$3,"")</f>
        <v/>
      </c>
      <c r="W368" s="14" t="n">
        <v>3645</v>
      </c>
      <c r="X368" s="14" t="n">
        <v>6210</v>
      </c>
      <c r="Y368" s="11" t="inlineStr"/>
      <c r="Z368" s="11" t="inlineStr"/>
      <c r="AA368" s="8" t="inlineStr"/>
      <c r="AB368" s="8" t="inlineStr"/>
      <c r="AC368" s="11" t="inlineStr">
        <is>
          <t>MasterMilitaryOnBaseList 12.2.25 NS.xlsx</t>
        </is>
      </c>
      <c r="AD368" s="11" t="inlineStr">
        <is>
          <t>2026 PeteSFB Sponsored Events Calendar.pdf</t>
        </is>
      </c>
      <c r="AE368" s="15" t="inlineStr">
        <is>
          <t>Open in Box</t>
        </is>
      </c>
      <c r="AF368" s="15" t="inlineStr">
        <is>
          <t>Open in Box</t>
        </is>
      </c>
    </row>
    <row r="369">
      <c r="A369" s="11" t="inlineStr">
        <is>
          <t>CO-PETERSON-005</t>
        </is>
      </c>
      <c r="B369" s="8" t="inlineStr">
        <is>
          <t>Peterson AFB</t>
        </is>
      </c>
      <c r="C369" s="11" t="inlineStr"/>
      <c r="D369" s="11" t="inlineStr">
        <is>
          <t>CO</t>
        </is>
      </c>
      <c r="E369" s="11" t="inlineStr">
        <is>
          <t>Colorado Springs-Pueblo</t>
        </is>
      </c>
      <c r="F369" s="11" t="inlineStr">
        <is>
          <t>80914</t>
        </is>
      </c>
      <c r="G369" s="11" t="inlineStr">
        <is>
          <t>Air Force</t>
        </is>
      </c>
      <c r="H369" s="11" t="inlineStr">
        <is>
          <t>Large Format</t>
        </is>
      </c>
      <c r="I369" s="8" t="inlineStr">
        <is>
          <t>Wall Cling</t>
        </is>
      </c>
      <c r="J369" s="11" t="inlineStr">
        <is>
          <t>TBD</t>
        </is>
      </c>
      <c r="K369" s="8" t="inlineStr">
        <is>
          <t>Your ad will appear on approved walls in facilities on the installation.</t>
        </is>
      </c>
      <c r="L369" s="11" t="n">
        <v>12</v>
      </c>
      <c r="M369" s="12" t="n"/>
      <c r="N369" s="12" t="n"/>
      <c r="O369" s="12" t="n"/>
      <c r="P369" s="12" t="n">
        <v>5000</v>
      </c>
      <c r="Q369" s="12" t="n"/>
      <c r="R369" s="13">
        <f>IF(ISNUMBER(M369),ROUND(M369/(1-Settings!$B$2)/Settings!$B$3,0)*Settings!$B$3,"")</f>
        <v/>
      </c>
      <c r="S369" s="13">
        <f>IF(ISNUMBER(N369),ROUND(N369/(1-Settings!$B$2)/Settings!$B$3,0)*Settings!$B$3,"")</f>
        <v/>
      </c>
      <c r="T369" s="13">
        <f>IF(ISNUMBER(O369),ROUND(O369/(1-Settings!$B$2)/Settings!$B$3,0)*Settings!$B$3,"")</f>
        <v/>
      </c>
      <c r="U369" s="13">
        <f>IF(ISNUMBER(P369),ROUND(P369/(1-Settings!$B$2)/Settings!$B$3,0)*Settings!$B$3,"")</f>
        <v/>
      </c>
      <c r="V369" s="13">
        <f>IF(ISNUMBER(Q369),ROUND(Q369/(1-Settings!$B$2)/Settings!$B$3,0)*Settings!$B$3,"")</f>
        <v/>
      </c>
      <c r="W369" s="14" t="n">
        <v>3645</v>
      </c>
      <c r="X369" s="14" t="n">
        <v>6210</v>
      </c>
      <c r="Y369" s="11" t="inlineStr"/>
      <c r="Z369" s="11" t="inlineStr"/>
      <c r="AA369" s="8" t="inlineStr"/>
      <c r="AB369" s="8" t="inlineStr"/>
      <c r="AC369" s="11" t="inlineStr">
        <is>
          <t>MasterMilitaryOnBaseList 12.2.25 NS.xlsx</t>
        </is>
      </c>
      <c r="AD369" s="11" t="inlineStr">
        <is>
          <t>2026 PeteSFB Sponsored Events Calendar.pdf</t>
        </is>
      </c>
      <c r="AE369" s="15" t="inlineStr">
        <is>
          <t>Open in Box</t>
        </is>
      </c>
      <c r="AF369" s="15" t="inlineStr">
        <is>
          <t>Open in Box</t>
        </is>
      </c>
    </row>
    <row r="370">
      <c r="A370" s="11" t="inlineStr">
        <is>
          <t>CO-PETERSON-006</t>
        </is>
      </c>
      <c r="B370" s="8" t="inlineStr">
        <is>
          <t>Peterson AFB</t>
        </is>
      </c>
      <c r="C370" s="11" t="inlineStr"/>
      <c r="D370" s="11" t="inlineStr">
        <is>
          <t>CO</t>
        </is>
      </c>
      <c r="E370" s="11" t="inlineStr">
        <is>
          <t>Colorado Springs-Pueblo</t>
        </is>
      </c>
      <c r="F370" s="11" t="inlineStr">
        <is>
          <t>80914</t>
        </is>
      </c>
      <c r="G370" s="11" t="inlineStr">
        <is>
          <t>Air Force</t>
        </is>
      </c>
      <c r="H370" s="11" t="inlineStr">
        <is>
          <t>Large Format</t>
        </is>
      </c>
      <c r="I370" s="8" t="inlineStr">
        <is>
          <t>Wall Wrap</t>
        </is>
      </c>
      <c r="J370" s="11" t="inlineStr">
        <is>
          <t>Varies</t>
        </is>
      </c>
      <c r="K370" s="8" t="inlineStr">
        <is>
          <t>Your ad will appear at the Fitness Center as a wall wrap, counter wrap or wall/door cling.</t>
        </is>
      </c>
      <c r="L370" s="11" t="n">
        <v>12</v>
      </c>
      <c r="M370" s="12" t="n"/>
      <c r="N370" s="12" t="n"/>
      <c r="O370" s="12" t="n"/>
      <c r="P370" s="12" t="n">
        <v>5000</v>
      </c>
      <c r="Q370" s="12" t="n"/>
      <c r="R370" s="13">
        <f>IF(ISNUMBER(M370),ROUND(M370/(1-Settings!$B$2)/Settings!$B$3,0)*Settings!$B$3,"")</f>
        <v/>
      </c>
      <c r="S370" s="13">
        <f>IF(ISNUMBER(N370),ROUND(N370/(1-Settings!$B$2)/Settings!$B$3,0)*Settings!$B$3,"")</f>
        <v/>
      </c>
      <c r="T370" s="13">
        <f>IF(ISNUMBER(O370),ROUND(O370/(1-Settings!$B$2)/Settings!$B$3,0)*Settings!$B$3,"")</f>
        <v/>
      </c>
      <c r="U370" s="13">
        <f>IF(ISNUMBER(P370),ROUND(P370/(1-Settings!$B$2)/Settings!$B$3,0)*Settings!$B$3,"")</f>
        <v/>
      </c>
      <c r="V370" s="13">
        <f>IF(ISNUMBER(Q370),ROUND(Q370/(1-Settings!$B$2)/Settings!$B$3,0)*Settings!$B$3,"")</f>
        <v/>
      </c>
      <c r="W370" s="14" t="n">
        <v>3645</v>
      </c>
      <c r="X370" s="14" t="n">
        <v>6210</v>
      </c>
      <c r="Y370" s="11" t="inlineStr"/>
      <c r="Z370" s="11" t="inlineStr"/>
      <c r="AA370" s="8" t="inlineStr"/>
      <c r="AB370" s="16" t="inlineStr">
        <is>
          <t>Source formula errors</t>
        </is>
      </c>
      <c r="AC370" s="11" t="inlineStr">
        <is>
          <t>MasterMilitaryOnBaseList 12.2.25 NS.xlsx</t>
        </is>
      </c>
      <c r="AD370" s="11" t="inlineStr">
        <is>
          <t>2026 PeteSFB Sponsored Events Calendar.pdf</t>
        </is>
      </c>
      <c r="AE370" s="15" t="inlineStr">
        <is>
          <t>Open in Box</t>
        </is>
      </c>
      <c r="AF370" s="15" t="inlineStr">
        <is>
          <t>Open in Box</t>
        </is>
      </c>
    </row>
    <row r="371">
      <c r="A371" s="11" t="inlineStr">
        <is>
          <t>CO-PETERSON-007</t>
        </is>
      </c>
      <c r="B371" s="8" t="inlineStr">
        <is>
          <t>Peterson AFB</t>
        </is>
      </c>
      <c r="C371" s="11" t="inlineStr"/>
      <c r="D371" s="11" t="inlineStr">
        <is>
          <t>CO</t>
        </is>
      </c>
      <c r="E371" s="11" t="inlineStr">
        <is>
          <t>Colorado Springs-Pueblo</t>
        </is>
      </c>
      <c r="F371" s="11" t="inlineStr">
        <is>
          <t>80914</t>
        </is>
      </c>
      <c r="G371" s="11" t="inlineStr">
        <is>
          <t>Air Force</t>
        </is>
      </c>
      <c r="H371" s="11" t="inlineStr">
        <is>
          <t>Large Format</t>
        </is>
      </c>
      <c r="I371" s="8" t="inlineStr">
        <is>
          <t>Window Cling</t>
        </is>
      </c>
      <c r="J371" s="11" t="inlineStr">
        <is>
          <t>TBD</t>
        </is>
      </c>
      <c r="K371" s="8" t="inlineStr">
        <is>
          <t>Your ad will appear on approved windows in facilities on the installation.</t>
        </is>
      </c>
      <c r="L371" s="11" t="n">
        <v>12</v>
      </c>
      <c r="M371" s="12" t="n"/>
      <c r="N371" s="12" t="n"/>
      <c r="O371" s="12" t="n"/>
      <c r="P371" s="12" t="n">
        <v>5000</v>
      </c>
      <c r="Q371" s="12" t="n"/>
      <c r="R371" s="13">
        <f>IF(ISNUMBER(M371),ROUND(M371/(1-Settings!$B$2)/Settings!$B$3,0)*Settings!$B$3,"")</f>
        <v/>
      </c>
      <c r="S371" s="13">
        <f>IF(ISNUMBER(N371),ROUND(N371/(1-Settings!$B$2)/Settings!$B$3,0)*Settings!$B$3,"")</f>
        <v/>
      </c>
      <c r="T371" s="13">
        <f>IF(ISNUMBER(O371),ROUND(O371/(1-Settings!$B$2)/Settings!$B$3,0)*Settings!$B$3,"")</f>
        <v/>
      </c>
      <c r="U371" s="13">
        <f>IF(ISNUMBER(P371),ROUND(P371/(1-Settings!$B$2)/Settings!$B$3,0)*Settings!$B$3,"")</f>
        <v/>
      </c>
      <c r="V371" s="13">
        <f>IF(ISNUMBER(Q371),ROUND(Q371/(1-Settings!$B$2)/Settings!$B$3,0)*Settings!$B$3,"")</f>
        <v/>
      </c>
      <c r="W371" s="14" t="n">
        <v>3645</v>
      </c>
      <c r="X371" s="14" t="n">
        <v>6210</v>
      </c>
      <c r="Y371" s="11" t="inlineStr"/>
      <c r="Z371" s="11" t="inlineStr"/>
      <c r="AA371" s="8" t="inlineStr"/>
      <c r="AB371" s="8" t="inlineStr"/>
      <c r="AC371" s="11" t="inlineStr">
        <is>
          <t>MasterMilitaryOnBaseList 12.2.25 NS.xlsx</t>
        </is>
      </c>
      <c r="AD371" s="11" t="inlineStr">
        <is>
          <t>2026 PeteSFB Sponsored Events Calendar.pdf</t>
        </is>
      </c>
      <c r="AE371" s="15" t="inlineStr">
        <is>
          <t>Open in Box</t>
        </is>
      </c>
      <c r="AF371" s="15" t="inlineStr">
        <is>
          <t>Open in Box</t>
        </is>
      </c>
    </row>
    <row r="372">
      <c r="A372" s="11" t="inlineStr">
        <is>
          <t>CO-PETERSON-008</t>
        </is>
      </c>
      <c r="B372" s="8" t="inlineStr">
        <is>
          <t>Peterson AFB</t>
        </is>
      </c>
      <c r="C372" s="11" t="inlineStr"/>
      <c r="D372" s="11" t="inlineStr">
        <is>
          <t>CO</t>
        </is>
      </c>
      <c r="E372" s="11" t="inlineStr">
        <is>
          <t>Colorado Springs-Pueblo</t>
        </is>
      </c>
      <c r="F372" s="11" t="inlineStr"/>
      <c r="G372" s="11" t="inlineStr">
        <is>
          <t>Air Force</t>
        </is>
      </c>
      <c r="H372" s="11" t="inlineStr">
        <is>
          <t>Web &amp; Email</t>
        </is>
      </c>
      <c r="I372" s="8" t="inlineStr">
        <is>
          <t>Web Ad</t>
        </is>
      </c>
      <c r="J372" s="11" t="inlineStr"/>
      <c r="K372" s="8" t="inlineStr">
        <is>
          <t>Your ad will appear on the installation MWR / FSS website.</t>
        </is>
      </c>
      <c r="L372" s="11" t="n">
        <v>6</v>
      </c>
      <c r="M372" s="12" t="n"/>
      <c r="N372" s="12" t="n"/>
      <c r="O372" s="12" t="n">
        <v>1500</v>
      </c>
      <c r="P372" s="12" t="n"/>
      <c r="Q372" s="12" t="n"/>
      <c r="R372" s="13">
        <f>IF(ISNUMBER(M372),ROUND(M372/(1-Settings!$B$2)/Settings!$B$3,0)*Settings!$B$3,"")</f>
        <v/>
      </c>
      <c r="S372" s="13">
        <f>IF(ISNUMBER(N372),ROUND(N372/(1-Settings!$B$2)/Settings!$B$3,0)*Settings!$B$3,"")</f>
        <v/>
      </c>
      <c r="T372" s="13">
        <f>IF(ISNUMBER(O372),ROUND(O372/(1-Settings!$B$2)/Settings!$B$3,0)*Settings!$B$3,"")</f>
        <v/>
      </c>
      <c r="U372" s="13">
        <f>IF(ISNUMBER(P372),ROUND(P372/(1-Settings!$B$2)/Settings!$B$3,0)*Settings!$B$3,"")</f>
        <v/>
      </c>
      <c r="V372" s="13">
        <f>IF(ISNUMBER(Q372),ROUND(Q372/(1-Settings!$B$2)/Settings!$B$3,0)*Settings!$B$3,"")</f>
        <v/>
      </c>
      <c r="W372" s="14" t="n">
        <v>3645</v>
      </c>
      <c r="X372" s="14" t="n">
        <v>6210</v>
      </c>
      <c r="Y372" s="11" t="inlineStr">
        <is>
          <t>2026</t>
        </is>
      </c>
      <c r="Z372" s="11" t="inlineStr">
        <is>
          <t>2026-06</t>
        </is>
      </c>
      <c r="AA372" s="8" t="inlineStr">
        <is>
          <t>6-month commitment</t>
        </is>
      </c>
      <c r="AB372" s="8" t="inlineStr"/>
      <c r="AC372" s="11" t="inlineStr">
        <is>
          <t>Military - National Publication Inventory Master_June 2026.xlsx</t>
        </is>
      </c>
      <c r="AD372" s="11" t="inlineStr">
        <is>
          <t>2026 PeteSFB Sponsored Events Calendar.pdf</t>
        </is>
      </c>
      <c r="AE372" s="15" t="inlineStr">
        <is>
          <t>Open in Box</t>
        </is>
      </c>
      <c r="AF372" s="15" t="inlineStr">
        <is>
          <t>Open in Box</t>
        </is>
      </c>
    </row>
    <row r="373">
      <c r="A373" s="11" t="inlineStr">
        <is>
          <t>CO-SCHRIEVE-001</t>
        </is>
      </c>
      <c r="B373" s="8" t="inlineStr">
        <is>
          <t>Schriever AFB</t>
        </is>
      </c>
      <c r="C373" s="11" t="inlineStr"/>
      <c r="D373" s="11" t="inlineStr">
        <is>
          <t>CO</t>
        </is>
      </c>
      <c r="E373" s="11" t="inlineStr">
        <is>
          <t>Colorado Springs-Pueblo</t>
        </is>
      </c>
      <c r="F373" s="11" t="inlineStr">
        <is>
          <t>80912</t>
        </is>
      </c>
      <c r="G373" s="11" t="inlineStr">
        <is>
          <t>Air Force</t>
        </is>
      </c>
      <c r="H373" s="11" t="inlineStr">
        <is>
          <t>Digital</t>
        </is>
      </c>
      <c r="I373" s="8" t="inlineStr">
        <is>
          <t>Digital Monitor Network</t>
        </is>
      </c>
      <c r="J373" s="11" t="inlineStr">
        <is>
          <t>1920pxW x 1080pxH</t>
        </is>
      </c>
      <c r="K373" s="8" t="inlineStr">
        <is>
          <t>Your ad will appear on 6 digital monitors in approved installation facilities.</t>
        </is>
      </c>
      <c r="L373" s="11" t="n">
        <v>1</v>
      </c>
      <c r="M373" s="12" t="n">
        <v>100</v>
      </c>
      <c r="N373" s="12" t="n">
        <v>270</v>
      </c>
      <c r="O373" s="12" t="n">
        <v>540</v>
      </c>
      <c r="P373" s="12" t="n">
        <v>1080</v>
      </c>
      <c r="Q373" s="12" t="n">
        <v>0</v>
      </c>
      <c r="R373" s="13">
        <f>IF(ISNUMBER(M373),ROUND(M373/(1-Settings!$B$2)/Settings!$B$3,0)*Settings!$B$3,"")</f>
        <v/>
      </c>
      <c r="S373" s="13">
        <f>IF(ISNUMBER(N373),ROUND(N373/(1-Settings!$B$2)/Settings!$B$3,0)*Settings!$B$3,"")</f>
        <v/>
      </c>
      <c r="T373" s="13">
        <f>IF(ISNUMBER(O373),ROUND(O373/(1-Settings!$B$2)/Settings!$B$3,0)*Settings!$B$3,"")</f>
        <v/>
      </c>
      <c r="U373" s="13">
        <f>IF(ISNUMBER(P373),ROUND(P373/(1-Settings!$B$2)/Settings!$B$3,0)*Settings!$B$3,"")</f>
        <v/>
      </c>
      <c r="V373" s="13">
        <f>IF(ISNUMBER(Q373),ROUND(Q373/(1-Settings!$B$2)/Settings!$B$3,0)*Settings!$B$3,"")</f>
        <v/>
      </c>
      <c r="W373" s="14" t="n">
        <v>1853</v>
      </c>
      <c r="X373" s="14" t="n">
        <v>2679</v>
      </c>
      <c r="Y373" s="11" t="inlineStr"/>
      <c r="Z373" s="11" t="inlineStr"/>
      <c r="AA373" s="8" t="inlineStr"/>
      <c r="AB373" s="8" t="inlineStr"/>
      <c r="AC373" s="11" t="inlineStr">
        <is>
          <t>MasterMilitaryOnBaseList 12.2.25 NS.xlsx</t>
        </is>
      </c>
      <c r="AD373" s="11" t="inlineStr">
        <is>
          <t>Schriever SFB Advertising - 2026 - NEW 07.02.26.pdf</t>
        </is>
      </c>
      <c r="AE373" s="15" t="inlineStr">
        <is>
          <t>Open in Box</t>
        </is>
      </c>
      <c r="AF373" s="15" t="inlineStr">
        <is>
          <t>Open in Box</t>
        </is>
      </c>
    </row>
    <row r="374">
      <c r="A374" s="11" t="inlineStr">
        <is>
          <t>CO-SCHRIEVE-003</t>
        </is>
      </c>
      <c r="B374" s="8" t="inlineStr">
        <is>
          <t>Schriever AFB</t>
        </is>
      </c>
      <c r="C374" s="11" t="inlineStr"/>
      <c r="D374" s="11" t="inlineStr">
        <is>
          <t>CO</t>
        </is>
      </c>
      <c r="E374" s="11" t="inlineStr">
        <is>
          <t>Colorado Springs-Pueblo</t>
        </is>
      </c>
      <c r="F374" s="11" t="inlineStr">
        <is>
          <t>80912</t>
        </is>
      </c>
      <c r="G374" s="11" t="inlineStr">
        <is>
          <t>Air Force</t>
        </is>
      </c>
      <c r="H374" s="11" t="inlineStr">
        <is>
          <t>Large Format</t>
        </is>
      </c>
      <c r="I374" s="8" t="inlineStr">
        <is>
          <t>Business Cards</t>
        </is>
      </c>
      <c r="J374" s="11" t="inlineStr">
        <is>
          <t>TBD</t>
        </is>
      </c>
      <c r="K374" s="8" t="inlineStr">
        <is>
          <t>Your ad will appear at the fitness and resale centers.</t>
        </is>
      </c>
      <c r="L374" s="11" t="n">
        <v>1</v>
      </c>
      <c r="M374" s="12" t="n">
        <v>50</v>
      </c>
      <c r="N374" s="12" t="n">
        <v>135</v>
      </c>
      <c r="O374" s="12" t="n">
        <v>270</v>
      </c>
      <c r="P374" s="12" t="n">
        <v>540</v>
      </c>
      <c r="Q374" s="12" t="n">
        <v>0</v>
      </c>
      <c r="R374" s="13">
        <f>IF(ISNUMBER(M374),ROUND(M374/(1-Settings!$B$2)/Settings!$B$3,0)*Settings!$B$3,"")</f>
        <v/>
      </c>
      <c r="S374" s="13">
        <f>IF(ISNUMBER(N374),ROUND(N374/(1-Settings!$B$2)/Settings!$B$3,0)*Settings!$B$3,"")</f>
        <v/>
      </c>
      <c r="T374" s="13">
        <f>IF(ISNUMBER(O374),ROUND(O374/(1-Settings!$B$2)/Settings!$B$3,0)*Settings!$B$3,"")</f>
        <v/>
      </c>
      <c r="U374" s="13">
        <f>IF(ISNUMBER(P374),ROUND(P374/(1-Settings!$B$2)/Settings!$B$3,0)*Settings!$B$3,"")</f>
        <v/>
      </c>
      <c r="V374" s="13">
        <f>IF(ISNUMBER(Q374),ROUND(Q374/(1-Settings!$B$2)/Settings!$B$3,0)*Settings!$B$3,"")</f>
        <v/>
      </c>
      <c r="W374" s="14" t="n">
        <v>1853</v>
      </c>
      <c r="X374" s="14" t="n">
        <v>2679</v>
      </c>
      <c r="Y374" s="11" t="inlineStr"/>
      <c r="Z374" s="11" t="inlineStr"/>
      <c r="AA374" s="8" t="inlineStr"/>
      <c r="AB374" s="8" t="inlineStr"/>
      <c r="AC374" s="11" t="inlineStr">
        <is>
          <t>MasterMilitaryOnBaseList 12.2.25 NS.xlsx</t>
        </is>
      </c>
      <c r="AD374" s="11" t="inlineStr">
        <is>
          <t>Schriever SFB Advertising - 2026 - NEW 07.02.26.pdf</t>
        </is>
      </c>
      <c r="AE374" s="15" t="inlineStr">
        <is>
          <t>Open in Box</t>
        </is>
      </c>
      <c r="AF374" s="15" t="inlineStr">
        <is>
          <t>Open in Box</t>
        </is>
      </c>
    </row>
    <row r="375">
      <c r="A375" s="11" t="inlineStr">
        <is>
          <t>CO-SCHRIEVE-004</t>
        </is>
      </c>
      <c r="B375" s="8" t="inlineStr">
        <is>
          <t>Schriever AFB</t>
        </is>
      </c>
      <c r="C375" s="11" t="inlineStr"/>
      <c r="D375" s="11" t="inlineStr">
        <is>
          <t>CO</t>
        </is>
      </c>
      <c r="E375" s="11" t="inlineStr">
        <is>
          <t>Colorado Springs-Pueblo</t>
        </is>
      </c>
      <c r="F375" s="11" t="inlineStr">
        <is>
          <t>80912</t>
        </is>
      </c>
      <c r="G375" s="11" t="inlineStr">
        <is>
          <t>Air Force</t>
        </is>
      </c>
      <c r="H375" s="11" t="inlineStr">
        <is>
          <t>Print &amp; Publications</t>
        </is>
      </c>
      <c r="I375" s="8" t="inlineStr">
        <is>
          <t>Magazine</t>
        </is>
      </c>
      <c r="J375" s="11" t="inlineStr">
        <is>
          <t>TBD</t>
        </is>
      </c>
      <c r="K375" s="8" t="inlineStr">
        <is>
          <t>Your ad will appear as a full page ad in 3 issues.</t>
        </is>
      </c>
      <c r="L375" s="11" t="n">
        <v>12</v>
      </c>
      <c r="M375" s="12" t="n"/>
      <c r="N375" s="12" t="n"/>
      <c r="O375" s="12" t="n"/>
      <c r="P375" s="12" t="n">
        <v>810</v>
      </c>
      <c r="Q375" s="12" t="n">
        <v>0</v>
      </c>
      <c r="R375" s="13">
        <f>IF(ISNUMBER(M375),ROUND(M375/(1-Settings!$B$2)/Settings!$B$3,0)*Settings!$B$3,"")</f>
        <v/>
      </c>
      <c r="S375" s="13">
        <f>IF(ISNUMBER(N375),ROUND(N375/(1-Settings!$B$2)/Settings!$B$3,0)*Settings!$B$3,"")</f>
        <v/>
      </c>
      <c r="T375" s="13">
        <f>IF(ISNUMBER(O375),ROUND(O375/(1-Settings!$B$2)/Settings!$B$3,0)*Settings!$B$3,"")</f>
        <v/>
      </c>
      <c r="U375" s="13">
        <f>IF(ISNUMBER(P375),ROUND(P375/(1-Settings!$B$2)/Settings!$B$3,0)*Settings!$B$3,"")</f>
        <v/>
      </c>
      <c r="V375" s="13">
        <f>IF(ISNUMBER(Q375),ROUND(Q375/(1-Settings!$B$2)/Settings!$B$3,0)*Settings!$B$3,"")</f>
        <v/>
      </c>
      <c r="W375" s="14" t="n">
        <v>1853</v>
      </c>
      <c r="X375" s="14" t="n">
        <v>2679</v>
      </c>
      <c r="Y375" s="11" t="inlineStr"/>
      <c r="Z375" s="11" t="inlineStr"/>
      <c r="AA375" s="8" t="inlineStr"/>
      <c r="AB375" s="16" t="inlineStr">
        <is>
          <t>Source formula errors</t>
        </is>
      </c>
      <c r="AC375" s="11" t="inlineStr">
        <is>
          <t>MasterMilitaryOnBaseList 12.2.25 NS.xlsx</t>
        </is>
      </c>
      <c r="AD375" s="11" t="inlineStr">
        <is>
          <t>Schriever SFB Advertising - 2026 - NEW 07.02.26.pdf</t>
        </is>
      </c>
      <c r="AE375" s="15" t="inlineStr">
        <is>
          <t>Open in Box</t>
        </is>
      </c>
      <c r="AF375" s="15" t="inlineStr">
        <is>
          <t>Open in Box</t>
        </is>
      </c>
    </row>
    <row r="376">
      <c r="A376" s="11" t="inlineStr">
        <is>
          <t>CO-SCHRIEVE-002</t>
        </is>
      </c>
      <c r="B376" s="8" t="inlineStr">
        <is>
          <t>Schriever AFB</t>
        </is>
      </c>
      <c r="C376" s="11" t="inlineStr"/>
      <c r="D376" s="11" t="inlineStr">
        <is>
          <t>CO</t>
        </is>
      </c>
      <c r="E376" s="11" t="inlineStr">
        <is>
          <t>Colorado Springs-Pueblo</t>
        </is>
      </c>
      <c r="F376" s="11" t="inlineStr">
        <is>
          <t>80912</t>
        </is>
      </c>
      <c r="G376" s="11" t="inlineStr">
        <is>
          <t>Air Force</t>
        </is>
      </c>
      <c r="H376" s="11" t="inlineStr">
        <is>
          <t>Standard Media</t>
        </is>
      </c>
      <c r="I376" s="8" t="inlineStr">
        <is>
          <t>Banner</t>
        </is>
      </c>
      <c r="J376" s="11" t="inlineStr">
        <is>
          <t>3'W x 6'H</t>
        </is>
      </c>
      <c r="K376" s="8" t="inlineStr">
        <is>
          <t>Your ad will appear at the fitness center.</t>
        </is>
      </c>
      <c r="L376" s="11" t="n">
        <v>1</v>
      </c>
      <c r="M376" s="12" t="n">
        <v>100</v>
      </c>
      <c r="N376" s="12" t="n">
        <v>270</v>
      </c>
      <c r="O376" s="12" t="n">
        <v>540</v>
      </c>
      <c r="P376" s="12" t="n">
        <v>1080</v>
      </c>
      <c r="Q376" s="12" t="n">
        <v>0</v>
      </c>
      <c r="R376" s="13">
        <f>IF(ISNUMBER(M376),ROUND(M376/(1-Settings!$B$2)/Settings!$B$3,0)*Settings!$B$3,"")</f>
        <v/>
      </c>
      <c r="S376" s="13">
        <f>IF(ISNUMBER(N376),ROUND(N376/(1-Settings!$B$2)/Settings!$B$3,0)*Settings!$B$3,"")</f>
        <v/>
      </c>
      <c r="T376" s="13">
        <f>IF(ISNUMBER(O376),ROUND(O376/(1-Settings!$B$2)/Settings!$B$3,0)*Settings!$B$3,"")</f>
        <v/>
      </c>
      <c r="U376" s="13">
        <f>IF(ISNUMBER(P376),ROUND(P376/(1-Settings!$B$2)/Settings!$B$3,0)*Settings!$B$3,"")</f>
        <v/>
      </c>
      <c r="V376" s="13">
        <f>IF(ISNUMBER(Q376),ROUND(Q376/(1-Settings!$B$2)/Settings!$B$3,0)*Settings!$B$3,"")</f>
        <v/>
      </c>
      <c r="W376" s="14" t="n">
        <v>1853</v>
      </c>
      <c r="X376" s="14" t="n">
        <v>2679</v>
      </c>
      <c r="Y376" s="11" t="inlineStr"/>
      <c r="Z376" s="11" t="inlineStr"/>
      <c r="AA376" s="8" t="inlineStr"/>
      <c r="AB376" s="8" t="inlineStr"/>
      <c r="AC376" s="11" t="inlineStr">
        <is>
          <t>MasterMilitaryOnBaseList 12.2.25 NS.xlsx</t>
        </is>
      </c>
      <c r="AD376" s="11" t="inlineStr">
        <is>
          <t>Schriever SFB Advertising - 2026 - NEW 07.02.26.pdf</t>
        </is>
      </c>
      <c r="AE376" s="15" t="inlineStr">
        <is>
          <t>Open in Box</t>
        </is>
      </c>
      <c r="AF376" s="15" t="inlineStr">
        <is>
          <t>Open in Box</t>
        </is>
      </c>
    </row>
    <row r="377">
      <c r="A377" s="11" t="inlineStr">
        <is>
          <t>CO-SCHRIEVE-005</t>
        </is>
      </c>
      <c r="B377" s="8" t="inlineStr">
        <is>
          <t>Schriever AFB</t>
        </is>
      </c>
      <c r="C377" s="11" t="inlineStr"/>
      <c r="D377" s="11" t="inlineStr">
        <is>
          <t>CO</t>
        </is>
      </c>
      <c r="E377" s="11" t="inlineStr">
        <is>
          <t>Colorado Springs-Pueblo</t>
        </is>
      </c>
      <c r="F377" s="11" t="inlineStr"/>
      <c r="G377" s="11" t="inlineStr">
        <is>
          <t>Air Force</t>
        </is>
      </c>
      <c r="H377" s="11" t="inlineStr">
        <is>
          <t>Web &amp; Email</t>
        </is>
      </c>
      <c r="I377" s="8" t="inlineStr">
        <is>
          <t>Web Ad</t>
        </is>
      </c>
      <c r="J377" s="11" t="inlineStr"/>
      <c r="K377" s="8" t="inlineStr">
        <is>
          <t>Your ad will appear on the installation MWR / FSS website.</t>
        </is>
      </c>
      <c r="L377" s="11" t="n">
        <v>1</v>
      </c>
      <c r="M377" s="12" t="n">
        <v>200</v>
      </c>
      <c r="N377" s="12" t="n"/>
      <c r="O377" s="12" t="n"/>
      <c r="P377" s="12" t="n"/>
      <c r="Q377" s="12" t="n"/>
      <c r="R377" s="13">
        <f>IF(ISNUMBER(M377),ROUND(M377/(1-Settings!$B$2)/Settings!$B$3,0)*Settings!$B$3,"")</f>
        <v/>
      </c>
      <c r="S377" s="13">
        <f>IF(ISNUMBER(N377),ROUND(N377/(1-Settings!$B$2)/Settings!$B$3,0)*Settings!$B$3,"")</f>
        <v/>
      </c>
      <c r="T377" s="13">
        <f>IF(ISNUMBER(O377),ROUND(O377/(1-Settings!$B$2)/Settings!$B$3,0)*Settings!$B$3,"")</f>
        <v/>
      </c>
      <c r="U377" s="13">
        <f>IF(ISNUMBER(P377),ROUND(P377/(1-Settings!$B$2)/Settings!$B$3,0)*Settings!$B$3,"")</f>
        <v/>
      </c>
      <c r="V377" s="13">
        <f>IF(ISNUMBER(Q377),ROUND(Q377/(1-Settings!$B$2)/Settings!$B$3,0)*Settings!$B$3,"")</f>
        <v/>
      </c>
      <c r="W377" s="14" t="n">
        <v>1853</v>
      </c>
      <c r="X377" s="14" t="n">
        <v>2679</v>
      </c>
      <c r="Y377" s="11" t="inlineStr">
        <is>
          <t>2026</t>
        </is>
      </c>
      <c r="Z377" s="11" t="inlineStr">
        <is>
          <t>2026-06</t>
        </is>
      </c>
      <c r="AA377" s="8" t="inlineStr"/>
      <c r="AB377" s="8" t="inlineStr"/>
      <c r="AC377" s="11" t="inlineStr">
        <is>
          <t>Military - National Publication Inventory Master_June 2026.xlsx</t>
        </is>
      </c>
      <c r="AD377" s="11" t="inlineStr">
        <is>
          <t>Schriever SFB Advertising - 2026 - NEW 07.02.26.pdf</t>
        </is>
      </c>
      <c r="AE377" s="15" t="inlineStr">
        <is>
          <t>Open in Box</t>
        </is>
      </c>
      <c r="AF377" s="15" t="inlineStr">
        <is>
          <t>Open in Box</t>
        </is>
      </c>
    </row>
    <row r="378">
      <c r="A378" s="11" t="inlineStr">
        <is>
          <t>CO-USAFACAD-001</t>
        </is>
      </c>
      <c r="B378" s="8" t="inlineStr">
        <is>
          <t>USAF Academy</t>
        </is>
      </c>
      <c r="C378" s="11" t="inlineStr"/>
      <c r="D378" s="11" t="inlineStr">
        <is>
          <t>CO</t>
        </is>
      </c>
      <c r="E378" s="11" t="inlineStr">
        <is>
          <t>Colorado Springs-Pueblo</t>
        </is>
      </c>
      <c r="F378" s="11" t="inlineStr">
        <is>
          <t>80840</t>
        </is>
      </c>
      <c r="G378" s="11" t="inlineStr">
        <is>
          <t>Air Force</t>
        </is>
      </c>
      <c r="H378" s="11" t="inlineStr">
        <is>
          <t>Digital</t>
        </is>
      </c>
      <c r="I378" s="8" t="inlineStr">
        <is>
          <t>Digital Monitor Network</t>
        </is>
      </c>
      <c r="J378" s="11" t="inlineStr">
        <is>
          <t>1920pxW x 1080pxH</t>
        </is>
      </c>
      <c r="K378" s="8" t="inlineStr">
        <is>
          <t>Your ad will appear on 14 digital monitors in approved installation facilities.</t>
        </is>
      </c>
      <c r="L378" s="11" t="n">
        <v>1</v>
      </c>
      <c r="M378" s="12" t="n">
        <v>200</v>
      </c>
      <c r="N378" s="12" t="n">
        <v>540</v>
      </c>
      <c r="O378" s="12" t="n">
        <v>1080</v>
      </c>
      <c r="P378" s="12" t="n">
        <v>1080</v>
      </c>
      <c r="Q378" s="12" t="n">
        <v>0</v>
      </c>
      <c r="R378" s="13">
        <f>IF(ISNUMBER(M378),ROUND(M378/(1-Settings!$B$2)/Settings!$B$3,0)*Settings!$B$3,"")</f>
        <v/>
      </c>
      <c r="S378" s="13">
        <f>IF(ISNUMBER(N378),ROUND(N378/(1-Settings!$B$2)/Settings!$B$3,0)*Settings!$B$3,"")</f>
        <v/>
      </c>
      <c r="T378" s="13">
        <f>IF(ISNUMBER(O378),ROUND(O378/(1-Settings!$B$2)/Settings!$B$3,0)*Settings!$B$3,"")</f>
        <v/>
      </c>
      <c r="U378" s="13">
        <f>IF(ISNUMBER(P378),ROUND(P378/(1-Settings!$B$2)/Settings!$B$3,0)*Settings!$B$3,"")</f>
        <v/>
      </c>
      <c r="V378" s="13">
        <f>IF(ISNUMBER(Q378),ROUND(Q378/(1-Settings!$B$2)/Settings!$B$3,0)*Settings!$B$3,"")</f>
        <v/>
      </c>
      <c r="W378" s="14" t="n">
        <v>2070</v>
      </c>
      <c r="X378" s="14" t="n">
        <v>3209</v>
      </c>
      <c r="Y378" s="11" t="inlineStr"/>
      <c r="Z378" s="11" t="inlineStr"/>
      <c r="AA378" s="8" t="inlineStr"/>
      <c r="AB378" s="8" t="inlineStr"/>
      <c r="AC378" s="11" t="inlineStr">
        <is>
          <t>MasterMilitaryOnBaseList 12.2.25 NS.xlsx</t>
        </is>
      </c>
      <c r="AD378" s="11" t="inlineStr">
        <is>
          <t>USAF Academy Advertising Updated.pdf</t>
        </is>
      </c>
      <c r="AE378" s="15" t="inlineStr">
        <is>
          <t>Open in Box</t>
        </is>
      </c>
      <c r="AF378" s="15" t="inlineStr">
        <is>
          <t>Open in Box</t>
        </is>
      </c>
    </row>
    <row r="379">
      <c r="A379" s="11" t="inlineStr">
        <is>
          <t>CO-USAFACAD-002</t>
        </is>
      </c>
      <c r="B379" s="8" t="inlineStr">
        <is>
          <t>USAF Academy</t>
        </is>
      </c>
      <c r="C379" s="11" t="inlineStr"/>
      <c r="D379" s="11" t="inlineStr">
        <is>
          <t>CO</t>
        </is>
      </c>
      <c r="E379" s="11" t="inlineStr">
        <is>
          <t>Colorado Springs-Pueblo</t>
        </is>
      </c>
      <c r="F379" s="11" t="inlineStr">
        <is>
          <t>80840</t>
        </is>
      </c>
      <c r="G379" s="11" t="inlineStr">
        <is>
          <t>Air Force</t>
        </is>
      </c>
      <c r="H379" s="11" t="inlineStr">
        <is>
          <t>Digital</t>
        </is>
      </c>
      <c r="I379" s="8" t="inlineStr">
        <is>
          <t>Digital Monitors</t>
        </is>
      </c>
      <c r="J379" s="11" t="inlineStr">
        <is>
          <t>1920pxW x 1080pxH</t>
        </is>
      </c>
      <c r="K379" s="8" t="inlineStr">
        <is>
          <t>Your ad will appear on 14 cross marketing TVs located throughout the installation.</t>
        </is>
      </c>
      <c r="L379" s="11" t="n">
        <v>1</v>
      </c>
      <c r="M379" s="12" t="n">
        <v>200</v>
      </c>
      <c r="N379" s="12" t="n">
        <v>540</v>
      </c>
      <c r="O379" s="12" t="n"/>
      <c r="P379" s="12" t="n"/>
      <c r="Q379" s="12" t="n"/>
      <c r="R379" s="13">
        <f>IF(ISNUMBER(M379),ROUND(M379/(1-Settings!$B$2)/Settings!$B$3,0)*Settings!$B$3,"")</f>
        <v/>
      </c>
      <c r="S379" s="13">
        <f>IF(ISNUMBER(N379),ROUND(N379/(1-Settings!$B$2)/Settings!$B$3,0)*Settings!$B$3,"")</f>
        <v/>
      </c>
      <c r="T379" s="13">
        <f>IF(ISNUMBER(O379),ROUND(O379/(1-Settings!$B$2)/Settings!$B$3,0)*Settings!$B$3,"")</f>
        <v/>
      </c>
      <c r="U379" s="13">
        <f>IF(ISNUMBER(P379),ROUND(P379/(1-Settings!$B$2)/Settings!$B$3,0)*Settings!$B$3,"")</f>
        <v/>
      </c>
      <c r="V379" s="13">
        <f>IF(ISNUMBER(Q379),ROUND(Q379/(1-Settings!$B$2)/Settings!$B$3,0)*Settings!$B$3,"")</f>
        <v/>
      </c>
      <c r="W379" s="14" t="n">
        <v>2070</v>
      </c>
      <c r="X379" s="14" t="n">
        <v>3209</v>
      </c>
      <c r="Y379" s="11" t="inlineStr"/>
      <c r="Z379" s="11" t="inlineStr"/>
      <c r="AA379" s="8" t="inlineStr"/>
      <c r="AB379" s="8" t="inlineStr"/>
      <c r="AC379" s="11" t="inlineStr">
        <is>
          <t>MasterMilitaryOnBaseList 12.2.25 NS.xlsx</t>
        </is>
      </c>
      <c r="AD379" s="11" t="inlineStr">
        <is>
          <t>USAF Academy Advertising Updated.pdf</t>
        </is>
      </c>
      <c r="AE379" s="15" t="inlineStr">
        <is>
          <t>Open in Box</t>
        </is>
      </c>
      <c r="AF379" s="15" t="inlineStr">
        <is>
          <t>Open in Box</t>
        </is>
      </c>
    </row>
    <row r="380">
      <c r="A380" s="11" t="inlineStr">
        <is>
          <t>CO-USAFACAD-004</t>
        </is>
      </c>
      <c r="B380" s="8" t="inlineStr">
        <is>
          <t>USAF Academy</t>
        </is>
      </c>
      <c r="C380" s="11" t="inlineStr"/>
      <c r="D380" s="11" t="inlineStr">
        <is>
          <t>CO</t>
        </is>
      </c>
      <c r="E380" s="11" t="inlineStr">
        <is>
          <t>Colorado Springs-Pueblo</t>
        </is>
      </c>
      <c r="F380" s="11" t="inlineStr">
        <is>
          <t>80840</t>
        </is>
      </c>
      <c r="G380" s="11" t="inlineStr">
        <is>
          <t>Air Force</t>
        </is>
      </c>
      <c r="H380" s="11" t="inlineStr">
        <is>
          <t>Print &amp; Publications</t>
        </is>
      </c>
      <c r="I380" s="8" t="inlineStr">
        <is>
          <t>Golf Score Card</t>
        </is>
      </c>
      <c r="J380" s="11" t="inlineStr">
        <is>
          <t>3.50"W x 1.50"H</t>
        </is>
      </c>
      <c r="K380" s="8" t="inlineStr">
        <is>
          <t>Your ad will be placed inside the first flap of 80,000 golf score cards.</t>
        </is>
      </c>
      <c r="L380" s="11" t="n">
        <v>12</v>
      </c>
      <c r="M380" s="12" t="n"/>
      <c r="N380" s="12" t="n"/>
      <c r="O380" s="12" t="n"/>
      <c r="P380" s="12" t="n">
        <v>5000</v>
      </c>
      <c r="Q380" s="12" t="n"/>
      <c r="R380" s="13">
        <f>IF(ISNUMBER(M380),ROUND(M380/(1-Settings!$B$2)/Settings!$B$3,0)*Settings!$B$3,"")</f>
        <v/>
      </c>
      <c r="S380" s="13">
        <f>IF(ISNUMBER(N380),ROUND(N380/(1-Settings!$B$2)/Settings!$B$3,0)*Settings!$B$3,"")</f>
        <v/>
      </c>
      <c r="T380" s="13">
        <f>IF(ISNUMBER(O380),ROUND(O380/(1-Settings!$B$2)/Settings!$B$3,0)*Settings!$B$3,"")</f>
        <v/>
      </c>
      <c r="U380" s="13">
        <f>IF(ISNUMBER(P380),ROUND(P380/(1-Settings!$B$2)/Settings!$B$3,0)*Settings!$B$3,"")</f>
        <v/>
      </c>
      <c r="V380" s="13">
        <f>IF(ISNUMBER(Q380),ROUND(Q380/(1-Settings!$B$2)/Settings!$B$3,0)*Settings!$B$3,"")</f>
        <v/>
      </c>
      <c r="W380" s="14" t="n">
        <v>2070</v>
      </c>
      <c r="X380" s="14" t="n">
        <v>3209</v>
      </c>
      <c r="Y380" s="11" t="inlineStr"/>
      <c r="Z380" s="11" t="inlineStr"/>
      <c r="AA380" s="8" t="inlineStr"/>
      <c r="AB380" s="8" t="inlineStr"/>
      <c r="AC380" s="11" t="inlineStr">
        <is>
          <t>MasterMilitaryOnBaseList 12.2.25 NS.xlsx</t>
        </is>
      </c>
      <c r="AD380" s="11" t="inlineStr">
        <is>
          <t>USAF Academy Advertising Updated.pdf</t>
        </is>
      </c>
      <c r="AE380" s="15" t="inlineStr">
        <is>
          <t>Open in Box</t>
        </is>
      </c>
      <c r="AF380" s="15" t="inlineStr">
        <is>
          <t>Open in Box</t>
        </is>
      </c>
    </row>
    <row r="381">
      <c r="A381" s="11" t="inlineStr">
        <is>
          <t>CO-USAFACAD-005</t>
        </is>
      </c>
      <c r="B381" s="8" t="inlineStr">
        <is>
          <t>USAF Academy</t>
        </is>
      </c>
      <c r="C381" s="11" t="inlineStr"/>
      <c r="D381" s="11" t="inlineStr">
        <is>
          <t>CO</t>
        </is>
      </c>
      <c r="E381" s="11" t="inlineStr">
        <is>
          <t>Colorado Springs-Pueblo</t>
        </is>
      </c>
      <c r="F381" s="11" t="inlineStr">
        <is>
          <t>80840</t>
        </is>
      </c>
      <c r="G381" s="11" t="inlineStr">
        <is>
          <t>Air Force</t>
        </is>
      </c>
      <c r="H381" s="11" t="inlineStr">
        <is>
          <t>Print &amp; Publications</t>
        </is>
      </c>
      <c r="I381" s="8" t="inlineStr">
        <is>
          <t>Golf Scorecard</t>
        </is>
      </c>
      <c r="J381" s="11" t="inlineStr">
        <is>
          <t>3.5" x 1.5"</t>
        </is>
      </c>
      <c r="K381" s="8" t="inlineStr">
        <is>
          <t>Your ad will appear on the on the golf course scorecard.</t>
        </is>
      </c>
      <c r="L381" s="11" t="n">
        <v>12</v>
      </c>
      <c r="M381" s="12" t="n"/>
      <c r="N381" s="12" t="n"/>
      <c r="O381" s="12" t="n"/>
      <c r="P381" s="12" t="n">
        <v>5000</v>
      </c>
      <c r="Q381" s="12" t="n"/>
      <c r="R381" s="13">
        <f>IF(ISNUMBER(M381),ROUND(M381/(1-Settings!$B$2)/Settings!$B$3,0)*Settings!$B$3,"")</f>
        <v/>
      </c>
      <c r="S381" s="13">
        <f>IF(ISNUMBER(N381),ROUND(N381/(1-Settings!$B$2)/Settings!$B$3,0)*Settings!$B$3,"")</f>
        <v/>
      </c>
      <c r="T381" s="13">
        <f>IF(ISNUMBER(O381),ROUND(O381/(1-Settings!$B$2)/Settings!$B$3,0)*Settings!$B$3,"")</f>
        <v/>
      </c>
      <c r="U381" s="13">
        <f>IF(ISNUMBER(P381),ROUND(P381/(1-Settings!$B$2)/Settings!$B$3,0)*Settings!$B$3,"")</f>
        <v/>
      </c>
      <c r="V381" s="13">
        <f>IF(ISNUMBER(Q381),ROUND(Q381/(1-Settings!$B$2)/Settings!$B$3,0)*Settings!$B$3,"")</f>
        <v/>
      </c>
      <c r="W381" s="14" t="n">
        <v>2070</v>
      </c>
      <c r="X381" s="14" t="n">
        <v>3209</v>
      </c>
      <c r="Y381" s="11" t="inlineStr"/>
      <c r="Z381" s="11" t="inlineStr"/>
      <c r="AA381" s="8" t="inlineStr"/>
      <c r="AB381" s="16" t="inlineStr">
        <is>
          <t>Source formula errors</t>
        </is>
      </c>
      <c r="AC381" s="11" t="inlineStr">
        <is>
          <t>MasterMilitaryOnBaseList 12.2.25 NS.xlsx</t>
        </is>
      </c>
      <c r="AD381" s="11" t="inlineStr">
        <is>
          <t>USAF Academy Advertising Updated.pdf</t>
        </is>
      </c>
      <c r="AE381" s="15" t="inlineStr">
        <is>
          <t>Open in Box</t>
        </is>
      </c>
      <c r="AF381" s="15" t="inlineStr">
        <is>
          <t>Open in Box</t>
        </is>
      </c>
    </row>
    <row r="382">
      <c r="A382" s="11" t="inlineStr">
        <is>
          <t>CO-USAFACAD-006</t>
        </is>
      </c>
      <c r="B382" s="8" t="inlineStr">
        <is>
          <t>USAF Academy</t>
        </is>
      </c>
      <c r="C382" s="11" t="inlineStr"/>
      <c r="D382" s="11" t="inlineStr">
        <is>
          <t>CO</t>
        </is>
      </c>
      <c r="E382" s="11" t="inlineStr">
        <is>
          <t>Colorado Springs-Pueblo</t>
        </is>
      </c>
      <c r="F382" s="11" t="inlineStr">
        <is>
          <t>80840</t>
        </is>
      </c>
      <c r="G382" s="11" t="inlineStr">
        <is>
          <t>Air Force</t>
        </is>
      </c>
      <c r="H382" s="11" t="inlineStr">
        <is>
          <t>Print &amp; Publications</t>
        </is>
      </c>
      <c r="I382" s="8" t="inlineStr">
        <is>
          <t>Magazine</t>
        </is>
      </c>
      <c r="J382" s="11" t="inlineStr">
        <is>
          <t>7.75"W x 10.5"H</t>
        </is>
      </c>
      <c r="K382" s="8" t="inlineStr">
        <is>
          <t>Your ad will appear in the bi-monthly magazine.</t>
        </is>
      </c>
      <c r="L382" s="11" t="n">
        <v>6</v>
      </c>
      <c r="M382" s="12" t="n"/>
      <c r="N382" s="12" t="n"/>
      <c r="O382" s="12" t="n">
        <v>3900</v>
      </c>
      <c r="P382" s="12" t="n">
        <v>7800</v>
      </c>
      <c r="Q382" s="12" t="n">
        <v>0</v>
      </c>
      <c r="R382" s="13">
        <f>IF(ISNUMBER(M382),ROUND(M382/(1-Settings!$B$2)/Settings!$B$3,0)*Settings!$B$3,"")</f>
        <v/>
      </c>
      <c r="S382" s="13">
        <f>IF(ISNUMBER(N382),ROUND(N382/(1-Settings!$B$2)/Settings!$B$3,0)*Settings!$B$3,"")</f>
        <v/>
      </c>
      <c r="T382" s="13">
        <f>IF(ISNUMBER(O382),ROUND(O382/(1-Settings!$B$2)/Settings!$B$3,0)*Settings!$B$3,"")</f>
        <v/>
      </c>
      <c r="U382" s="13">
        <f>IF(ISNUMBER(P382),ROUND(P382/(1-Settings!$B$2)/Settings!$B$3,0)*Settings!$B$3,"")</f>
        <v/>
      </c>
      <c r="V382" s="13">
        <f>IF(ISNUMBER(Q382),ROUND(Q382/(1-Settings!$B$2)/Settings!$B$3,0)*Settings!$B$3,"")</f>
        <v/>
      </c>
      <c r="W382" s="14" t="n">
        <v>2070</v>
      </c>
      <c r="X382" s="14" t="n">
        <v>3209</v>
      </c>
      <c r="Y382" s="11" t="inlineStr"/>
      <c r="Z382" s="11" t="inlineStr"/>
      <c r="AA382" s="8" t="inlineStr"/>
      <c r="AB382" s="16" t="inlineStr">
        <is>
          <t>Source formula errors</t>
        </is>
      </c>
      <c r="AC382" s="11" t="inlineStr">
        <is>
          <t>MasterMilitaryOnBaseList 12.2.25 NS.xlsx</t>
        </is>
      </c>
      <c r="AD382" s="11" t="inlineStr">
        <is>
          <t>USAF Academy Advertising Updated.pdf</t>
        </is>
      </c>
      <c r="AE382" s="15" t="inlineStr">
        <is>
          <t>Open in Box</t>
        </is>
      </c>
      <c r="AF382" s="15" t="inlineStr">
        <is>
          <t>Open in Box</t>
        </is>
      </c>
    </row>
    <row r="383">
      <c r="A383" s="11" t="inlineStr">
        <is>
          <t>CO-USAFACAD-007</t>
        </is>
      </c>
      <c r="B383" s="8" t="inlineStr">
        <is>
          <t>USAF Academy</t>
        </is>
      </c>
      <c r="C383" s="11" t="inlineStr"/>
      <c r="D383" s="11" t="inlineStr">
        <is>
          <t>CO</t>
        </is>
      </c>
      <c r="E383" s="11" t="inlineStr">
        <is>
          <t>Colorado Springs-Pueblo</t>
        </is>
      </c>
      <c r="F383" s="11" t="inlineStr">
        <is>
          <t>80840</t>
        </is>
      </c>
      <c r="G383" s="11" t="inlineStr">
        <is>
          <t>Air Force</t>
        </is>
      </c>
      <c r="H383" s="11" t="inlineStr">
        <is>
          <t>Print &amp; Publications</t>
        </is>
      </c>
      <c r="I383" s="8" t="inlineStr">
        <is>
          <t>Magazine Ad - Full Page</t>
        </is>
      </c>
      <c r="J383" s="11" t="inlineStr">
        <is>
          <t>7.75"W x 10.5"H</t>
        </is>
      </c>
      <c r="K383" s="8" t="inlineStr">
        <is>
          <t>Your ad will appear in the "Blast Magazine" that is sent out bimonthly. (One month price = 2 issues, $2,600 per issue)</t>
        </is>
      </c>
      <c r="L383" s="11" t="n">
        <v>1</v>
      </c>
      <c r="M383" s="12" t="n">
        <v>2600</v>
      </c>
      <c r="N383" s="12" t="n"/>
      <c r="O383" s="12" t="n"/>
      <c r="P383" s="12" t="n"/>
      <c r="Q383" s="12" t="n"/>
      <c r="R383" s="13">
        <f>IF(ISNUMBER(M383),ROUND(M383/(1-Settings!$B$2)/Settings!$B$3,0)*Settings!$B$3,"")</f>
        <v/>
      </c>
      <c r="S383" s="13">
        <f>IF(ISNUMBER(N383),ROUND(N383/(1-Settings!$B$2)/Settings!$B$3,0)*Settings!$B$3,"")</f>
        <v/>
      </c>
      <c r="T383" s="13">
        <f>IF(ISNUMBER(O383),ROUND(O383/(1-Settings!$B$2)/Settings!$B$3,0)*Settings!$B$3,"")</f>
        <v/>
      </c>
      <c r="U383" s="13">
        <f>IF(ISNUMBER(P383),ROUND(P383/(1-Settings!$B$2)/Settings!$B$3,0)*Settings!$B$3,"")</f>
        <v/>
      </c>
      <c r="V383" s="13">
        <f>IF(ISNUMBER(Q383),ROUND(Q383/(1-Settings!$B$2)/Settings!$B$3,0)*Settings!$B$3,"")</f>
        <v/>
      </c>
      <c r="W383" s="14" t="n">
        <v>2070</v>
      </c>
      <c r="X383" s="14" t="n">
        <v>3209</v>
      </c>
      <c r="Y383" s="11" t="inlineStr"/>
      <c r="Z383" s="11" t="inlineStr"/>
      <c r="AA383" s="8" t="inlineStr"/>
      <c r="AB383" s="8" t="inlineStr"/>
      <c r="AC383" s="11" t="inlineStr">
        <is>
          <t>MasterMilitaryOnBaseList 12.2.25 NS.xlsx</t>
        </is>
      </c>
      <c r="AD383" s="11" t="inlineStr">
        <is>
          <t>USAF Academy Advertising Updated.pdf</t>
        </is>
      </c>
      <c r="AE383" s="15" t="inlineStr">
        <is>
          <t>Open in Box</t>
        </is>
      </c>
      <c r="AF383" s="15" t="inlineStr">
        <is>
          <t>Open in Box</t>
        </is>
      </c>
    </row>
    <row r="384">
      <c r="A384" s="11" t="inlineStr">
        <is>
          <t>CO-USAFACAD-008</t>
        </is>
      </c>
      <c r="B384" s="8" t="inlineStr">
        <is>
          <t>USAF Academy</t>
        </is>
      </c>
      <c r="C384" s="11" t="inlineStr"/>
      <c r="D384" s="11" t="inlineStr">
        <is>
          <t>CO</t>
        </is>
      </c>
      <c r="E384" s="11" t="inlineStr">
        <is>
          <t>Colorado Springs-Pueblo</t>
        </is>
      </c>
      <c r="F384" s="11" t="inlineStr">
        <is>
          <t>80840</t>
        </is>
      </c>
      <c r="G384" s="11" t="inlineStr">
        <is>
          <t>Air Force</t>
        </is>
      </c>
      <c r="H384" s="11" t="inlineStr">
        <is>
          <t>Print &amp; Publications</t>
        </is>
      </c>
      <c r="I384" s="8" t="inlineStr">
        <is>
          <t>Magazine Ad - Half Page</t>
        </is>
      </c>
      <c r="J384" s="11" t="inlineStr">
        <is>
          <t>7.75"W x 5.25"H</t>
        </is>
      </c>
      <c r="K384" s="8" t="inlineStr">
        <is>
          <t>Your ad will appear in the "Blast Magazine" that is sent out bimonthly. (One month price = 2 issues, $1,700 per issue)</t>
        </is>
      </c>
      <c r="L384" s="11" t="n">
        <v>1</v>
      </c>
      <c r="M384" s="12" t="n">
        <v>1700</v>
      </c>
      <c r="N384" s="12" t="n"/>
      <c r="O384" s="12" t="n"/>
      <c r="P384" s="12" t="n"/>
      <c r="Q384" s="12" t="n"/>
      <c r="R384" s="13">
        <f>IF(ISNUMBER(M384),ROUND(M384/(1-Settings!$B$2)/Settings!$B$3,0)*Settings!$B$3,"")</f>
        <v/>
      </c>
      <c r="S384" s="13">
        <f>IF(ISNUMBER(N384),ROUND(N384/(1-Settings!$B$2)/Settings!$B$3,0)*Settings!$B$3,"")</f>
        <v/>
      </c>
      <c r="T384" s="13">
        <f>IF(ISNUMBER(O384),ROUND(O384/(1-Settings!$B$2)/Settings!$B$3,0)*Settings!$B$3,"")</f>
        <v/>
      </c>
      <c r="U384" s="13">
        <f>IF(ISNUMBER(P384),ROUND(P384/(1-Settings!$B$2)/Settings!$B$3,0)*Settings!$B$3,"")</f>
        <v/>
      </c>
      <c r="V384" s="13">
        <f>IF(ISNUMBER(Q384),ROUND(Q384/(1-Settings!$B$2)/Settings!$B$3,0)*Settings!$B$3,"")</f>
        <v/>
      </c>
      <c r="W384" s="14" t="n">
        <v>2070</v>
      </c>
      <c r="X384" s="14" t="n">
        <v>3209</v>
      </c>
      <c r="Y384" s="11" t="inlineStr"/>
      <c r="Z384" s="11" t="inlineStr"/>
      <c r="AA384" s="8" t="inlineStr"/>
      <c r="AB384" s="8" t="inlineStr"/>
      <c r="AC384" s="11" t="inlineStr">
        <is>
          <t>MasterMilitaryOnBaseList 12.2.25 NS.xlsx</t>
        </is>
      </c>
      <c r="AD384" s="11" t="inlineStr">
        <is>
          <t>USAF Academy Advertising Updated.pdf</t>
        </is>
      </c>
      <c r="AE384" s="15" t="inlineStr">
        <is>
          <t>Open in Box</t>
        </is>
      </c>
      <c r="AF384" s="15" t="inlineStr">
        <is>
          <t>Open in Box</t>
        </is>
      </c>
    </row>
    <row r="385">
      <c r="A385" s="11" t="inlineStr">
        <is>
          <t>CO-USAFACAD-009</t>
        </is>
      </c>
      <c r="B385" s="8" t="inlineStr">
        <is>
          <t>USAF Academy</t>
        </is>
      </c>
      <c r="C385" s="11" t="inlineStr"/>
      <c r="D385" s="11" t="inlineStr">
        <is>
          <t>CO</t>
        </is>
      </c>
      <c r="E385" s="11" t="inlineStr">
        <is>
          <t>Colorado Springs-Pueblo</t>
        </is>
      </c>
      <c r="F385" s="11" t="inlineStr">
        <is>
          <t>80840</t>
        </is>
      </c>
      <c r="G385" s="11" t="inlineStr">
        <is>
          <t>Air Force</t>
        </is>
      </c>
      <c r="H385" s="11" t="inlineStr">
        <is>
          <t>Print &amp; Publications</t>
        </is>
      </c>
      <c r="I385" s="8" t="inlineStr">
        <is>
          <t>Magazine Ad - Quarter Page</t>
        </is>
      </c>
      <c r="J385" s="11" t="inlineStr">
        <is>
          <t>3.7"W x 5.25"H</t>
        </is>
      </c>
      <c r="K385" s="8" t="inlineStr">
        <is>
          <t>Your ad will appear in the "Blast Magazine" that is sent out bimonthly. (One month price = 2 issues, $1,000 per issue)</t>
        </is>
      </c>
      <c r="L385" s="11" t="n">
        <v>1</v>
      </c>
      <c r="M385" s="12" t="n">
        <v>1000</v>
      </c>
      <c r="N385" s="12" t="n"/>
      <c r="O385" s="12" t="n"/>
      <c r="P385" s="12" t="n"/>
      <c r="Q385" s="12" t="n"/>
      <c r="R385" s="13">
        <f>IF(ISNUMBER(M385),ROUND(M385/(1-Settings!$B$2)/Settings!$B$3,0)*Settings!$B$3,"")</f>
        <v/>
      </c>
      <c r="S385" s="13">
        <f>IF(ISNUMBER(N385),ROUND(N385/(1-Settings!$B$2)/Settings!$B$3,0)*Settings!$B$3,"")</f>
        <v/>
      </c>
      <c r="T385" s="13">
        <f>IF(ISNUMBER(O385),ROUND(O385/(1-Settings!$B$2)/Settings!$B$3,0)*Settings!$B$3,"")</f>
        <v/>
      </c>
      <c r="U385" s="13">
        <f>IF(ISNUMBER(P385),ROUND(P385/(1-Settings!$B$2)/Settings!$B$3,0)*Settings!$B$3,"")</f>
        <v/>
      </c>
      <c r="V385" s="13">
        <f>IF(ISNUMBER(Q385),ROUND(Q385/(1-Settings!$B$2)/Settings!$B$3,0)*Settings!$B$3,"")</f>
        <v/>
      </c>
      <c r="W385" s="14" t="n">
        <v>2070</v>
      </c>
      <c r="X385" s="14" t="n">
        <v>3209</v>
      </c>
      <c r="Y385" s="11" t="inlineStr"/>
      <c r="Z385" s="11" t="inlineStr"/>
      <c r="AA385" s="8" t="inlineStr"/>
      <c r="AB385" s="8" t="inlineStr"/>
      <c r="AC385" s="11" t="inlineStr">
        <is>
          <t>MasterMilitaryOnBaseList 12.2.25 NS.xlsx</t>
        </is>
      </c>
      <c r="AD385" s="11" t="inlineStr">
        <is>
          <t>USAF Academy Advertising Updated.pdf</t>
        </is>
      </c>
      <c r="AE385" s="15" t="inlineStr">
        <is>
          <t>Open in Box</t>
        </is>
      </c>
      <c r="AF385" s="15" t="inlineStr">
        <is>
          <t>Open in Box</t>
        </is>
      </c>
    </row>
    <row r="386">
      <c r="A386" s="11" t="inlineStr">
        <is>
          <t>CO-USAFACAD-010</t>
        </is>
      </c>
      <c r="B386" s="8" t="inlineStr">
        <is>
          <t>USAF Academy</t>
        </is>
      </c>
      <c r="C386" s="11" t="inlineStr"/>
      <c r="D386" s="11" t="inlineStr">
        <is>
          <t>CO</t>
        </is>
      </c>
      <c r="E386" s="11" t="inlineStr">
        <is>
          <t>Colorado Springs-Pueblo</t>
        </is>
      </c>
      <c r="F386" s="11" t="inlineStr">
        <is>
          <t>80840</t>
        </is>
      </c>
      <c r="G386" s="11" t="inlineStr">
        <is>
          <t>Air Force</t>
        </is>
      </c>
      <c r="H386" s="11" t="inlineStr">
        <is>
          <t>Print &amp; Publications</t>
        </is>
      </c>
      <c r="I386" s="8" t="inlineStr">
        <is>
          <t>Outdoor Recreation Calendar</t>
        </is>
      </c>
      <c r="J386" s="11" t="inlineStr">
        <is>
          <t>2" x 4"</t>
        </is>
      </c>
      <c r="K386" s="8" t="inlineStr">
        <is>
          <t>Your ad will appear on the back cover of the Outdoor Recreation Calendar.</t>
        </is>
      </c>
      <c r="L386" s="11" t="n">
        <v>1</v>
      </c>
      <c r="M386" s="12" t="n">
        <v>100</v>
      </c>
      <c r="N386" s="12" t="n">
        <v>250</v>
      </c>
      <c r="O386" s="12" t="n"/>
      <c r="P386" s="12" t="n"/>
      <c r="Q386" s="12" t="n"/>
      <c r="R386" s="13">
        <f>IF(ISNUMBER(M386),ROUND(M386/(1-Settings!$B$2)/Settings!$B$3,0)*Settings!$B$3,"")</f>
        <v/>
      </c>
      <c r="S386" s="13">
        <f>IF(ISNUMBER(N386),ROUND(N386/(1-Settings!$B$2)/Settings!$B$3,0)*Settings!$B$3,"")</f>
        <v/>
      </c>
      <c r="T386" s="13">
        <f>IF(ISNUMBER(O386),ROUND(O386/(1-Settings!$B$2)/Settings!$B$3,0)*Settings!$B$3,"")</f>
        <v/>
      </c>
      <c r="U386" s="13">
        <f>IF(ISNUMBER(P386),ROUND(P386/(1-Settings!$B$2)/Settings!$B$3,0)*Settings!$B$3,"")</f>
        <v/>
      </c>
      <c r="V386" s="13">
        <f>IF(ISNUMBER(Q386),ROUND(Q386/(1-Settings!$B$2)/Settings!$B$3,0)*Settings!$B$3,"")</f>
        <v/>
      </c>
      <c r="W386" s="14" t="n">
        <v>2070</v>
      </c>
      <c r="X386" s="14" t="n">
        <v>3209</v>
      </c>
      <c r="Y386" s="11" t="inlineStr"/>
      <c r="Z386" s="11" t="inlineStr"/>
      <c r="AA386" s="8" t="inlineStr"/>
      <c r="AB386" s="8" t="inlineStr"/>
      <c r="AC386" s="11" t="inlineStr">
        <is>
          <t>MasterMilitaryOnBaseList 12.2.25 NS.xlsx</t>
        </is>
      </c>
      <c r="AD386" s="11" t="inlineStr">
        <is>
          <t>USAF Academy Advertising Updated.pdf</t>
        </is>
      </c>
      <c r="AE386" s="15" t="inlineStr">
        <is>
          <t>Open in Box</t>
        </is>
      </c>
      <c r="AF386" s="15" t="inlineStr">
        <is>
          <t>Open in Box</t>
        </is>
      </c>
    </row>
    <row r="387">
      <c r="A387" s="11" t="inlineStr">
        <is>
          <t>CO-USAFACAD-003</t>
        </is>
      </c>
      <c r="B387" s="8" t="inlineStr">
        <is>
          <t>USAF Academy</t>
        </is>
      </c>
      <c r="C387" s="11" t="inlineStr"/>
      <c r="D387" s="11" t="inlineStr">
        <is>
          <t>CO</t>
        </is>
      </c>
      <c r="E387" s="11" t="inlineStr">
        <is>
          <t>Colorado Springs-Pueblo</t>
        </is>
      </c>
      <c r="F387" s="11" t="inlineStr">
        <is>
          <t>80840</t>
        </is>
      </c>
      <c r="G387" s="11" t="inlineStr">
        <is>
          <t>Air Force</t>
        </is>
      </c>
      <c r="H387" s="11" t="inlineStr">
        <is>
          <t>Standard Media</t>
        </is>
      </c>
      <c r="I387" s="8" t="inlineStr">
        <is>
          <t>Banners</t>
        </is>
      </c>
      <c r="J387" s="11" t="inlineStr">
        <is>
          <t>TBD</t>
        </is>
      </c>
      <c r="K387" s="8" t="inlineStr">
        <is>
          <t>Your ad will appear in an approved installation facility.</t>
        </is>
      </c>
      <c r="L387" s="11" t="n">
        <v>1</v>
      </c>
      <c r="M387" s="12" t="n">
        <v>200</v>
      </c>
      <c r="N387" s="12" t="n">
        <v>540</v>
      </c>
      <c r="O387" s="12" t="n">
        <v>1080</v>
      </c>
      <c r="P387" s="12" t="n">
        <v>1080</v>
      </c>
      <c r="Q387" s="12" t="n"/>
      <c r="R387" s="13">
        <f>IF(ISNUMBER(M387),ROUND(M387/(1-Settings!$B$2)/Settings!$B$3,0)*Settings!$B$3,"")</f>
        <v/>
      </c>
      <c r="S387" s="13">
        <f>IF(ISNUMBER(N387),ROUND(N387/(1-Settings!$B$2)/Settings!$B$3,0)*Settings!$B$3,"")</f>
        <v/>
      </c>
      <c r="T387" s="13">
        <f>IF(ISNUMBER(O387),ROUND(O387/(1-Settings!$B$2)/Settings!$B$3,0)*Settings!$B$3,"")</f>
        <v/>
      </c>
      <c r="U387" s="13">
        <f>IF(ISNUMBER(P387),ROUND(P387/(1-Settings!$B$2)/Settings!$B$3,0)*Settings!$B$3,"")</f>
        <v/>
      </c>
      <c r="V387" s="13">
        <f>IF(ISNUMBER(Q387),ROUND(Q387/(1-Settings!$B$2)/Settings!$B$3,0)*Settings!$B$3,"")</f>
        <v/>
      </c>
      <c r="W387" s="14" t="n">
        <v>2070</v>
      </c>
      <c r="X387" s="14" t="n">
        <v>3209</v>
      </c>
      <c r="Y387" s="11" t="inlineStr"/>
      <c r="Z387" s="11" t="inlineStr"/>
      <c r="AA387" s="8" t="inlineStr"/>
      <c r="AB387" s="8" t="inlineStr"/>
      <c r="AC387" s="11" t="inlineStr">
        <is>
          <t>MasterMilitaryOnBaseList 12.2.25 NS.xlsx</t>
        </is>
      </c>
      <c r="AD387" s="11" t="inlineStr">
        <is>
          <t>USAF Academy Advertising Updated.pdf</t>
        </is>
      </c>
      <c r="AE387" s="15" t="inlineStr">
        <is>
          <t>Open in Box</t>
        </is>
      </c>
      <c r="AF387" s="15" t="inlineStr">
        <is>
          <t>Open in Box</t>
        </is>
      </c>
    </row>
    <row r="388">
      <c r="A388" s="11" t="inlineStr">
        <is>
          <t>CO-USAFACAD-011</t>
        </is>
      </c>
      <c r="B388" s="8" t="inlineStr">
        <is>
          <t>USAF Academy</t>
        </is>
      </c>
      <c r="C388" s="11" t="inlineStr"/>
      <c r="D388" s="11" t="inlineStr">
        <is>
          <t>CO</t>
        </is>
      </c>
      <c r="E388" s="11" t="inlineStr">
        <is>
          <t>Colorado Springs-Pueblo</t>
        </is>
      </c>
      <c r="F388" s="11" t="inlineStr"/>
      <c r="G388" s="11" t="inlineStr">
        <is>
          <t>Air Force</t>
        </is>
      </c>
      <c r="H388" s="11" t="inlineStr">
        <is>
          <t>Web &amp; Email</t>
        </is>
      </c>
      <c r="I388" s="8" t="inlineStr">
        <is>
          <t>Monthly E-Newsletter Ad</t>
        </is>
      </c>
      <c r="J388" s="11" t="inlineStr"/>
      <c r="K388" s="8" t="inlineStr">
        <is>
          <t>Your ad will appear in the monthly e-newsletter emailed to the installation community.</t>
        </is>
      </c>
      <c r="L388" s="11" t="n">
        <v>1</v>
      </c>
      <c r="M388" s="12" t="n">
        <v>100</v>
      </c>
      <c r="N388" s="12" t="n"/>
      <c r="O388" s="12" t="n"/>
      <c r="P388" s="12" t="n"/>
      <c r="Q388" s="12" t="n"/>
      <c r="R388" s="13">
        <f>IF(ISNUMBER(M388),ROUND(M388/(1-Settings!$B$2)/Settings!$B$3,0)*Settings!$B$3,"")</f>
        <v/>
      </c>
      <c r="S388" s="13">
        <f>IF(ISNUMBER(N388),ROUND(N388/(1-Settings!$B$2)/Settings!$B$3,0)*Settings!$B$3,"")</f>
        <v/>
      </c>
      <c r="T388" s="13">
        <f>IF(ISNUMBER(O388),ROUND(O388/(1-Settings!$B$2)/Settings!$B$3,0)*Settings!$B$3,"")</f>
        <v/>
      </c>
      <c r="U388" s="13">
        <f>IF(ISNUMBER(P388),ROUND(P388/(1-Settings!$B$2)/Settings!$B$3,0)*Settings!$B$3,"")</f>
        <v/>
      </c>
      <c r="V388" s="13">
        <f>IF(ISNUMBER(Q388),ROUND(Q388/(1-Settings!$B$2)/Settings!$B$3,0)*Settings!$B$3,"")</f>
        <v/>
      </c>
      <c r="W388" s="14" t="n">
        <v>2070</v>
      </c>
      <c r="X388" s="14" t="n">
        <v>3209</v>
      </c>
      <c r="Y388" s="11" t="inlineStr">
        <is>
          <t>2026</t>
        </is>
      </c>
      <c r="Z388" s="11" t="inlineStr">
        <is>
          <t>2026-06</t>
        </is>
      </c>
      <c r="AA388" s="8" t="inlineStr">
        <is>
          <t>Printed bi-monthly</t>
        </is>
      </c>
      <c r="AB388" s="8" t="inlineStr"/>
      <c r="AC388" s="11" t="inlineStr">
        <is>
          <t>Military - National Publication Inventory Master_June 2026.xlsx</t>
        </is>
      </c>
      <c r="AD388" s="11" t="inlineStr">
        <is>
          <t>USAF Academy Advertising Updated.pdf</t>
        </is>
      </c>
      <c r="AE388" s="15" t="inlineStr">
        <is>
          <t>Open in Box</t>
        </is>
      </c>
      <c r="AF388" s="15" t="inlineStr">
        <is>
          <t>Open in Box</t>
        </is>
      </c>
    </row>
    <row r="389">
      <c r="A389" s="11" t="inlineStr">
        <is>
          <t>CO-USAFACAD-012</t>
        </is>
      </c>
      <c r="B389" s="8" t="inlineStr">
        <is>
          <t>USAF Academy</t>
        </is>
      </c>
      <c r="C389" s="11" t="inlineStr"/>
      <c r="D389" s="11" t="inlineStr">
        <is>
          <t>CO</t>
        </is>
      </c>
      <c r="E389" s="11" t="inlineStr">
        <is>
          <t>Colorado Springs-Pueblo</t>
        </is>
      </c>
      <c r="F389" s="11" t="inlineStr"/>
      <c r="G389" s="11" t="inlineStr">
        <is>
          <t>Air Force</t>
        </is>
      </c>
      <c r="H389" s="11" t="inlineStr">
        <is>
          <t>Web &amp; Email</t>
        </is>
      </c>
      <c r="I389" s="8" t="inlineStr">
        <is>
          <t>Web Ad</t>
        </is>
      </c>
      <c r="J389" s="11" t="inlineStr"/>
      <c r="K389" s="8" t="inlineStr">
        <is>
          <t>Your ad will appear on the installation MWR / FSS website.</t>
        </is>
      </c>
      <c r="L389" s="11" t="n">
        <v>1</v>
      </c>
      <c r="M389" s="12" t="n">
        <v>400</v>
      </c>
      <c r="N389" s="12" t="n"/>
      <c r="O389" s="12" t="n"/>
      <c r="P389" s="12" t="n"/>
      <c r="Q389" s="12" t="n"/>
      <c r="R389" s="13">
        <f>IF(ISNUMBER(M389),ROUND(M389/(1-Settings!$B$2)/Settings!$B$3,0)*Settings!$B$3,"")</f>
        <v/>
      </c>
      <c r="S389" s="13">
        <f>IF(ISNUMBER(N389),ROUND(N389/(1-Settings!$B$2)/Settings!$B$3,0)*Settings!$B$3,"")</f>
        <v/>
      </c>
      <c r="T389" s="13">
        <f>IF(ISNUMBER(O389),ROUND(O389/(1-Settings!$B$2)/Settings!$B$3,0)*Settings!$B$3,"")</f>
        <v/>
      </c>
      <c r="U389" s="13">
        <f>IF(ISNUMBER(P389),ROUND(P389/(1-Settings!$B$2)/Settings!$B$3,0)*Settings!$B$3,"")</f>
        <v/>
      </c>
      <c r="V389" s="13">
        <f>IF(ISNUMBER(Q389),ROUND(Q389/(1-Settings!$B$2)/Settings!$B$3,0)*Settings!$B$3,"")</f>
        <v/>
      </c>
      <c r="W389" s="14" t="n">
        <v>2070</v>
      </c>
      <c r="X389" s="14" t="n">
        <v>3209</v>
      </c>
      <c r="Y389" s="11" t="inlineStr">
        <is>
          <t>2026</t>
        </is>
      </c>
      <c r="Z389" s="11" t="inlineStr">
        <is>
          <t>2026-06</t>
        </is>
      </c>
      <c r="AA389" s="8" t="inlineStr">
        <is>
          <t>Printed bi-monthly</t>
        </is>
      </c>
      <c r="AB389" s="8" t="inlineStr"/>
      <c r="AC389" s="11" t="inlineStr">
        <is>
          <t>Military - National Publication Inventory Master_June 2026.xlsx</t>
        </is>
      </c>
      <c r="AD389" s="11" t="inlineStr">
        <is>
          <t>USAF Academy Advertising Updated.pdf</t>
        </is>
      </c>
      <c r="AE389" s="15" t="inlineStr">
        <is>
          <t>Open in Box</t>
        </is>
      </c>
      <c r="AF389" s="15" t="inlineStr">
        <is>
          <t>Open in Box</t>
        </is>
      </c>
    </row>
    <row r="390">
      <c r="A390" s="11" t="inlineStr">
        <is>
          <t>CT-NEWLONDO-001</t>
        </is>
      </c>
      <c r="B390" s="8" t="inlineStr">
        <is>
          <t>New London NAVSUBBASE (Groton)</t>
        </is>
      </c>
      <c r="C390" s="11" t="inlineStr"/>
      <c r="D390" s="11" t="inlineStr">
        <is>
          <t>CT</t>
        </is>
      </c>
      <c r="E390" s="11" t="inlineStr">
        <is>
          <t>Hartford-New Haven, CT</t>
        </is>
      </c>
      <c r="F390" s="11" t="inlineStr"/>
      <c r="G390" s="11" t="inlineStr">
        <is>
          <t>Navy</t>
        </is>
      </c>
      <c r="H390" s="11" t="inlineStr">
        <is>
          <t>Digital</t>
        </is>
      </c>
      <c r="I390" s="8" t="inlineStr">
        <is>
          <t>Digital Monitor Network</t>
        </is>
      </c>
      <c r="J390" s="11" t="inlineStr">
        <is>
          <t>25 screens</t>
        </is>
      </c>
      <c r="K390" s="8" t="inlineStr">
        <is>
          <t>Your ad will appear on the 25-screen digital monitor network in approved installation facilities.</t>
        </is>
      </c>
      <c r="L390" s="11" t="n">
        <v>1</v>
      </c>
      <c r="M390" s="12" t="n">
        <v>1200</v>
      </c>
      <c r="N390" s="12" t="n"/>
      <c r="O390" s="12" t="n"/>
      <c r="P390" s="12" t="n"/>
      <c r="Q390" s="12" t="n"/>
      <c r="R390" s="13">
        <f>IF(ISNUMBER(M390),ROUND(M390/(1-Settings!$B$2)/Settings!$B$3,0)*Settings!$B$3,"")</f>
        <v/>
      </c>
      <c r="S390" s="13">
        <f>IF(ISNUMBER(N390),ROUND(N390/(1-Settings!$B$2)/Settings!$B$3,0)*Settings!$B$3,"")</f>
        <v/>
      </c>
      <c r="T390" s="13">
        <f>IF(ISNUMBER(O390),ROUND(O390/(1-Settings!$B$2)/Settings!$B$3,0)*Settings!$B$3,"")</f>
        <v/>
      </c>
      <c r="U390" s="13">
        <f>IF(ISNUMBER(P390),ROUND(P390/(1-Settings!$B$2)/Settings!$B$3,0)*Settings!$B$3,"")</f>
        <v/>
      </c>
      <c r="V390" s="13">
        <f>IF(ISNUMBER(Q390),ROUND(Q390/(1-Settings!$B$2)/Settings!$B$3,0)*Settings!$B$3,"")</f>
        <v/>
      </c>
      <c r="W390" s="14" t="n">
        <v>6385</v>
      </c>
      <c r="X390" s="14" t="n">
        <v>7471</v>
      </c>
      <c r="Y390" s="11" t="inlineStr">
        <is>
          <t>2026</t>
        </is>
      </c>
      <c r="Z390" s="11" t="inlineStr">
        <is>
          <t>2026-06</t>
        </is>
      </c>
      <c r="AA390" s="8" t="inlineStr">
        <is>
          <t>video at movies</t>
        </is>
      </c>
      <c r="AB390" s="8" t="inlineStr"/>
      <c r="AC390" s="11" t="inlineStr">
        <is>
          <t>Military - National Digital Inventory Master 6.3.26.xlsx</t>
        </is>
      </c>
      <c r="AD390" s="11" t="inlineStr">
        <is>
          <t>SUBASE New London Advertising Rate Card.pdf</t>
        </is>
      </c>
      <c r="AE390" s="15" t="inlineStr">
        <is>
          <t>Open in Box</t>
        </is>
      </c>
      <c r="AF390" s="15" t="inlineStr">
        <is>
          <t>Open in Box</t>
        </is>
      </c>
    </row>
    <row r="391">
      <c r="A391" s="11" t="inlineStr">
        <is>
          <t>CT-NEWLONDO-002</t>
        </is>
      </c>
      <c r="B391" s="8" t="inlineStr">
        <is>
          <t>New London NAVSUBBASE (Groton)</t>
        </is>
      </c>
      <c r="C391" s="11" t="inlineStr"/>
      <c r="D391" s="11" t="inlineStr">
        <is>
          <t>CT</t>
        </is>
      </c>
      <c r="E391" s="11" t="inlineStr">
        <is>
          <t>Hartford-New Haven, CT</t>
        </is>
      </c>
      <c r="F391" s="11" t="inlineStr"/>
      <c r="G391" s="11" t="inlineStr">
        <is>
          <t>Navy</t>
        </is>
      </c>
      <c r="H391" s="11" t="inlineStr">
        <is>
          <t>Digital</t>
        </is>
      </c>
      <c r="I391" s="8" t="inlineStr">
        <is>
          <t>Movie Theater Ad</t>
        </is>
      </c>
      <c r="J391" s="11" t="inlineStr">
        <is>
          <t>1 screens</t>
        </is>
      </c>
      <c r="K391" s="8" t="inlineStr">
        <is>
          <t>Your ad will appear on screen before movies at the installation theater (1-screen screens).</t>
        </is>
      </c>
      <c r="L391" s="11" t="n">
        <v>1</v>
      </c>
      <c r="M391" s="12" t="n">
        <v>350</v>
      </c>
      <c r="N391" s="12" t="n"/>
      <c r="O391" s="12" t="n"/>
      <c r="P391" s="12" t="n"/>
      <c r="Q391" s="12" t="n"/>
      <c r="R391" s="13">
        <f>IF(ISNUMBER(M391),ROUND(M391/(1-Settings!$B$2)/Settings!$B$3,0)*Settings!$B$3,"")</f>
        <v/>
      </c>
      <c r="S391" s="13">
        <f>IF(ISNUMBER(N391),ROUND(N391/(1-Settings!$B$2)/Settings!$B$3,0)*Settings!$B$3,"")</f>
        <v/>
      </c>
      <c r="T391" s="13">
        <f>IF(ISNUMBER(O391),ROUND(O391/(1-Settings!$B$2)/Settings!$B$3,0)*Settings!$B$3,"")</f>
        <v/>
      </c>
      <c r="U391" s="13">
        <f>IF(ISNUMBER(P391),ROUND(P391/(1-Settings!$B$2)/Settings!$B$3,0)*Settings!$B$3,"")</f>
        <v/>
      </c>
      <c r="V391" s="13">
        <f>IF(ISNUMBER(Q391),ROUND(Q391/(1-Settings!$B$2)/Settings!$B$3,0)*Settings!$B$3,"")</f>
        <v/>
      </c>
      <c r="W391" s="14" t="n">
        <v>6385</v>
      </c>
      <c r="X391" s="14" t="n">
        <v>7471</v>
      </c>
      <c r="Y391" s="11" t="inlineStr">
        <is>
          <t>2026</t>
        </is>
      </c>
      <c r="Z391" s="11" t="inlineStr">
        <is>
          <t>2026-06</t>
        </is>
      </c>
      <c r="AA391" s="8" t="inlineStr">
        <is>
          <t>video at movies</t>
        </is>
      </c>
      <c r="AB391" s="8" t="inlineStr"/>
      <c r="AC391" s="11" t="inlineStr">
        <is>
          <t>Military - National Digital Inventory Master 6.3.26.xlsx</t>
        </is>
      </c>
      <c r="AD391" s="11" t="inlineStr">
        <is>
          <t>SUBASE New London Advertising Rate Card.pdf</t>
        </is>
      </c>
      <c r="AE391" s="15" t="inlineStr">
        <is>
          <t>Open in Box</t>
        </is>
      </c>
      <c r="AF391" s="15" t="inlineStr">
        <is>
          <t>Open in Box</t>
        </is>
      </c>
    </row>
    <row r="392">
      <c r="A392" s="11" t="inlineStr">
        <is>
          <t>CT-NEWLONDO-003</t>
        </is>
      </c>
      <c r="B392" s="8" t="inlineStr">
        <is>
          <t>New London NAVSUBBASE (Groton)</t>
        </is>
      </c>
      <c r="C392" s="11" t="inlineStr"/>
      <c r="D392" s="11" t="inlineStr">
        <is>
          <t>CT</t>
        </is>
      </c>
      <c r="E392" s="11" t="inlineStr">
        <is>
          <t>Hartford-New Haven, CT</t>
        </is>
      </c>
      <c r="F392" s="11" t="inlineStr"/>
      <c r="G392" s="11" t="inlineStr">
        <is>
          <t>Navy</t>
        </is>
      </c>
      <c r="H392" s="11" t="inlineStr">
        <is>
          <t>Web &amp; Email</t>
        </is>
      </c>
      <c r="I392" s="8" t="inlineStr">
        <is>
          <t>Web Ad</t>
        </is>
      </c>
      <c r="J392" s="11" t="inlineStr"/>
      <c r="K392" s="8" t="inlineStr">
        <is>
          <t>Your ad will appear on the installation MWR / FSS website.</t>
        </is>
      </c>
      <c r="L392" s="11" t="n">
        <v>1</v>
      </c>
      <c r="M392" s="12" t="n">
        <v>300</v>
      </c>
      <c r="N392" s="12" t="n"/>
      <c r="O392" s="12" t="n"/>
      <c r="P392" s="12" t="n"/>
      <c r="Q392" s="12" t="n"/>
      <c r="R392" s="13">
        <f>IF(ISNUMBER(M392),ROUND(M392/(1-Settings!$B$2)/Settings!$B$3,0)*Settings!$B$3,"")</f>
        <v/>
      </c>
      <c r="S392" s="13">
        <f>IF(ISNUMBER(N392),ROUND(N392/(1-Settings!$B$2)/Settings!$B$3,0)*Settings!$B$3,"")</f>
        <v/>
      </c>
      <c r="T392" s="13">
        <f>IF(ISNUMBER(O392),ROUND(O392/(1-Settings!$B$2)/Settings!$B$3,0)*Settings!$B$3,"")</f>
        <v/>
      </c>
      <c r="U392" s="13">
        <f>IF(ISNUMBER(P392),ROUND(P392/(1-Settings!$B$2)/Settings!$B$3,0)*Settings!$B$3,"")</f>
        <v/>
      </c>
      <c r="V392" s="13">
        <f>IF(ISNUMBER(Q392),ROUND(Q392/(1-Settings!$B$2)/Settings!$B$3,0)*Settings!$B$3,"")</f>
        <v/>
      </c>
      <c r="W392" s="14" t="n">
        <v>6385</v>
      </c>
      <c r="X392" s="14" t="n">
        <v>7471</v>
      </c>
      <c r="Y392" s="11" t="inlineStr">
        <is>
          <t>2026</t>
        </is>
      </c>
      <c r="Z392" s="11" t="inlineStr">
        <is>
          <t>2026-06</t>
        </is>
      </c>
      <c r="AA392" s="8" t="inlineStr"/>
      <c r="AB392" s="8" t="inlineStr"/>
      <c r="AC392" s="11" t="inlineStr">
        <is>
          <t>Military - National Publication Inventory Master_June 2026.xlsx</t>
        </is>
      </c>
      <c r="AD392" s="11" t="inlineStr">
        <is>
          <t>SUBASE New London Advertising Rate Card.pdf</t>
        </is>
      </c>
      <c r="AE392" s="15" t="inlineStr">
        <is>
          <t>Open in Box</t>
        </is>
      </c>
      <c r="AF392" s="15" t="inlineStr">
        <is>
          <t>Open in Box</t>
        </is>
      </c>
    </row>
    <row r="393">
      <c r="A393" s="11" t="inlineStr">
        <is>
          <t>DC-JBABANAC-001</t>
        </is>
      </c>
      <c r="B393" s="8" t="inlineStr">
        <is>
          <t>JBAB Anacostia NS</t>
        </is>
      </c>
      <c r="C393" s="11" t="inlineStr">
        <is>
          <t>JB Anacostia-Bolling</t>
        </is>
      </c>
      <c r="D393" s="11" t="inlineStr">
        <is>
          <t>DC</t>
        </is>
      </c>
      <c r="E393" s="11" t="inlineStr">
        <is>
          <t>Washington, DC (Hagrstwn)</t>
        </is>
      </c>
      <c r="F393" s="11" t="inlineStr">
        <is>
          <t>20332</t>
        </is>
      </c>
      <c r="G393" s="11" t="inlineStr">
        <is>
          <t>Navy</t>
        </is>
      </c>
      <c r="H393" s="11" t="inlineStr">
        <is>
          <t>Digital</t>
        </is>
      </c>
      <c r="I393" s="8" t="inlineStr">
        <is>
          <t>Digital Monitors</t>
        </is>
      </c>
      <c r="J393" s="11" t="inlineStr">
        <is>
          <t>1920px x 1080px</t>
        </is>
      </c>
      <c r="K393" s="8" t="inlineStr">
        <is>
          <t>Your ad will appear on monitors in approved facilities on the installation.</t>
        </is>
      </c>
      <c r="L393" s="11" t="n">
        <v>1</v>
      </c>
      <c r="M393" s="12" t="n">
        <v>800</v>
      </c>
      <c r="N393" s="12" t="n">
        <v>2300</v>
      </c>
      <c r="O393" s="12" t="n">
        <v>4500</v>
      </c>
      <c r="P393" s="12" t="n">
        <v>8100</v>
      </c>
      <c r="Q393" s="12" t="n">
        <v>0</v>
      </c>
      <c r="R393" s="13">
        <f>IF(ISNUMBER(M393),ROUND(M393/(1-Settings!$B$2)/Settings!$B$3,0)*Settings!$B$3,"")</f>
        <v/>
      </c>
      <c r="S393" s="13">
        <f>IF(ISNUMBER(N393),ROUND(N393/(1-Settings!$B$2)/Settings!$B$3,0)*Settings!$B$3,"")</f>
        <v/>
      </c>
      <c r="T393" s="13">
        <f>IF(ISNUMBER(O393),ROUND(O393/(1-Settings!$B$2)/Settings!$B$3,0)*Settings!$B$3,"")</f>
        <v/>
      </c>
      <c r="U393" s="13">
        <f>IF(ISNUMBER(P393),ROUND(P393/(1-Settings!$B$2)/Settings!$B$3,0)*Settings!$B$3,"")</f>
        <v/>
      </c>
      <c r="V393" s="13">
        <f>IF(ISNUMBER(Q393),ROUND(Q393/(1-Settings!$B$2)/Settings!$B$3,0)*Settings!$B$3,"")</f>
        <v/>
      </c>
      <c r="W393" s="14" t="n">
        <v>2491</v>
      </c>
      <c r="X393" s="14" t="n">
        <v>3654</v>
      </c>
      <c r="Y393" s="11" t="inlineStr"/>
      <c r="Z393" s="11" t="inlineStr"/>
      <c r="AA393" s="8" t="inlineStr"/>
      <c r="AB393" s="8" t="inlineStr"/>
      <c r="AC393" s="11" t="inlineStr">
        <is>
          <t>MasterMilitaryOnBaseList 12.2.25 NS.xlsx</t>
        </is>
      </c>
      <c r="AD393" s="11" t="inlineStr">
        <is>
          <t>New POC_Aug 2026.pdf</t>
        </is>
      </c>
      <c r="AE393" s="15" t="inlineStr">
        <is>
          <t>Open in Box</t>
        </is>
      </c>
      <c r="AF393" s="15" t="inlineStr">
        <is>
          <t>Open in Box</t>
        </is>
      </c>
    </row>
    <row r="394">
      <c r="A394" s="11" t="inlineStr">
        <is>
          <t>DC-JBABANAC-004</t>
        </is>
      </c>
      <c r="B394" s="8" t="inlineStr">
        <is>
          <t>JBAB Anacostia NS</t>
        </is>
      </c>
      <c r="C394" s="11" t="inlineStr">
        <is>
          <t>JB Anacostia-Bolling</t>
        </is>
      </c>
      <c r="D394" s="11" t="inlineStr">
        <is>
          <t>DC</t>
        </is>
      </c>
      <c r="E394" s="11" t="inlineStr">
        <is>
          <t>Washington, DC (Hagrstwn)</t>
        </is>
      </c>
      <c r="F394" s="11" t="inlineStr">
        <is>
          <t>20332</t>
        </is>
      </c>
      <c r="G394" s="11" t="inlineStr">
        <is>
          <t>Navy</t>
        </is>
      </c>
      <c r="H394" s="11" t="inlineStr">
        <is>
          <t>Large Format</t>
        </is>
      </c>
      <c r="I394" s="8" t="inlineStr">
        <is>
          <t>Large Banner</t>
        </is>
      </c>
      <c r="J394" s="11" t="inlineStr">
        <is>
          <t>7' x 3'</t>
        </is>
      </c>
      <c r="K394" s="8" t="inlineStr">
        <is>
          <t>Your ad will appear in approved facilities on the installation.</t>
        </is>
      </c>
      <c r="L394" s="11" t="n">
        <v>1</v>
      </c>
      <c r="M394" s="12" t="n">
        <v>300</v>
      </c>
      <c r="N394" s="12" t="n">
        <v>800</v>
      </c>
      <c r="O394" s="12" t="n">
        <v>1600</v>
      </c>
      <c r="P394" s="12" t="n">
        <v>2880</v>
      </c>
      <c r="Q394" s="12" t="n">
        <v>200</v>
      </c>
      <c r="R394" s="13">
        <f>IF(ISNUMBER(M394),ROUND(M394/(1-Settings!$B$2)/Settings!$B$3,0)*Settings!$B$3,"")</f>
        <v/>
      </c>
      <c r="S394" s="13">
        <f>IF(ISNUMBER(N394),ROUND(N394/(1-Settings!$B$2)/Settings!$B$3,0)*Settings!$B$3,"")</f>
        <v/>
      </c>
      <c r="T394" s="13">
        <f>IF(ISNUMBER(O394),ROUND(O394/(1-Settings!$B$2)/Settings!$B$3,0)*Settings!$B$3,"")</f>
        <v/>
      </c>
      <c r="U394" s="13">
        <f>IF(ISNUMBER(P394),ROUND(P394/(1-Settings!$B$2)/Settings!$B$3,0)*Settings!$B$3,"")</f>
        <v/>
      </c>
      <c r="V394" s="13">
        <f>IF(ISNUMBER(Q394),ROUND(Q394/(1-Settings!$B$2)/Settings!$B$3,0)*Settings!$B$3,"")</f>
        <v/>
      </c>
      <c r="W394" s="14" t="n">
        <v>2491</v>
      </c>
      <c r="X394" s="14" t="n">
        <v>3654</v>
      </c>
      <c r="Y394" s="11" t="inlineStr"/>
      <c r="Z394" s="11" t="inlineStr"/>
      <c r="AA394" s="8" t="inlineStr"/>
      <c r="AB394" s="8" t="inlineStr"/>
      <c r="AC394" s="11" t="inlineStr">
        <is>
          <t>MasterMilitaryOnBaseList 12.2.25 NS.xlsx</t>
        </is>
      </c>
      <c r="AD394" s="11" t="inlineStr">
        <is>
          <t>New POC_Aug 2026.pdf</t>
        </is>
      </c>
      <c r="AE394" s="15" t="inlineStr">
        <is>
          <t>Open in Box</t>
        </is>
      </c>
      <c r="AF394" s="15" t="inlineStr">
        <is>
          <t>Open in Box</t>
        </is>
      </c>
    </row>
    <row r="395">
      <c r="A395" s="11" t="inlineStr">
        <is>
          <t>DC-JBABANAC-002</t>
        </is>
      </c>
      <c r="B395" s="8" t="inlineStr">
        <is>
          <t>JBAB Anacostia NS</t>
        </is>
      </c>
      <c r="C395" s="11" t="inlineStr">
        <is>
          <t>JB Anacostia-Bolling</t>
        </is>
      </c>
      <c r="D395" s="11" t="inlineStr">
        <is>
          <t>DC</t>
        </is>
      </c>
      <c r="E395" s="11" t="inlineStr">
        <is>
          <t>Washington, DC (Hagrstwn)</t>
        </is>
      </c>
      <c r="F395" s="11" t="inlineStr">
        <is>
          <t>20332</t>
        </is>
      </c>
      <c r="G395" s="11" t="inlineStr">
        <is>
          <t>Navy</t>
        </is>
      </c>
      <c r="H395" s="11" t="inlineStr">
        <is>
          <t>Standard Media</t>
        </is>
      </c>
      <c r="I395" s="8" t="inlineStr">
        <is>
          <t>Banner/Pop-up Banner</t>
        </is>
      </c>
      <c r="J395" s="11" t="inlineStr">
        <is>
          <t>4' x 6'</t>
        </is>
      </c>
      <c r="K395" s="8" t="inlineStr">
        <is>
          <t>Your ad will appear in approved facilities on the installation.</t>
        </is>
      </c>
      <c r="L395" s="11" t="n">
        <v>1</v>
      </c>
      <c r="M395" s="12" t="n">
        <v>300</v>
      </c>
      <c r="N395" s="12" t="n">
        <v>800</v>
      </c>
      <c r="O395" s="12" t="n">
        <v>1600</v>
      </c>
      <c r="P395" s="12" t="n">
        <v>2880</v>
      </c>
      <c r="Q395" s="12" t="n">
        <v>200</v>
      </c>
      <c r="R395" s="13">
        <f>IF(ISNUMBER(M395),ROUND(M395/(1-Settings!$B$2)/Settings!$B$3,0)*Settings!$B$3,"")</f>
        <v/>
      </c>
      <c r="S395" s="13">
        <f>IF(ISNUMBER(N395),ROUND(N395/(1-Settings!$B$2)/Settings!$B$3,0)*Settings!$B$3,"")</f>
        <v/>
      </c>
      <c r="T395" s="13">
        <f>IF(ISNUMBER(O395),ROUND(O395/(1-Settings!$B$2)/Settings!$B$3,0)*Settings!$B$3,"")</f>
        <v/>
      </c>
      <c r="U395" s="13">
        <f>IF(ISNUMBER(P395),ROUND(P395/(1-Settings!$B$2)/Settings!$B$3,0)*Settings!$B$3,"")</f>
        <v/>
      </c>
      <c r="V395" s="13">
        <f>IF(ISNUMBER(Q395),ROUND(Q395/(1-Settings!$B$2)/Settings!$B$3,0)*Settings!$B$3,"")</f>
        <v/>
      </c>
      <c r="W395" s="14" t="n">
        <v>2491</v>
      </c>
      <c r="X395" s="14" t="n">
        <v>3654</v>
      </c>
      <c r="Y395" s="11" t="inlineStr"/>
      <c r="Z395" s="11" t="inlineStr"/>
      <c r="AA395" s="8" t="inlineStr"/>
      <c r="AB395" s="8" t="inlineStr"/>
      <c r="AC395" s="11" t="inlineStr">
        <is>
          <t>MasterMilitaryOnBaseList 12.2.25 NS.xlsx</t>
        </is>
      </c>
      <c r="AD395" s="11" t="inlineStr">
        <is>
          <t>New POC_Aug 2026.pdf</t>
        </is>
      </c>
      <c r="AE395" s="15" t="inlineStr">
        <is>
          <t>Open in Box</t>
        </is>
      </c>
      <c r="AF395" s="15" t="inlineStr">
        <is>
          <t>Open in Box</t>
        </is>
      </c>
    </row>
    <row r="396">
      <c r="A396" s="11" t="inlineStr">
        <is>
          <t>DC-JBABANAC-003</t>
        </is>
      </c>
      <c r="B396" s="8" t="inlineStr">
        <is>
          <t>JBAB Anacostia NS</t>
        </is>
      </c>
      <c r="C396" s="11" t="inlineStr">
        <is>
          <t>JB Anacostia-Bolling</t>
        </is>
      </c>
      <c r="D396" s="11" t="inlineStr">
        <is>
          <t>DC</t>
        </is>
      </c>
      <c r="E396" s="11" t="inlineStr">
        <is>
          <t>Washington, DC (Hagrstwn)</t>
        </is>
      </c>
      <c r="F396" s="11" t="inlineStr">
        <is>
          <t>20332</t>
        </is>
      </c>
      <c r="G396" s="11" t="inlineStr">
        <is>
          <t>Navy</t>
        </is>
      </c>
      <c r="H396" s="11" t="inlineStr">
        <is>
          <t>Standard Media</t>
        </is>
      </c>
      <c r="I396" s="8" t="inlineStr">
        <is>
          <t>Posters</t>
        </is>
      </c>
      <c r="J396" s="11" t="inlineStr">
        <is>
          <t>22" x 28"</t>
        </is>
      </c>
      <c r="K396" s="8" t="inlineStr">
        <is>
          <t>Your ad will appear in approved facilities on the installation.</t>
        </is>
      </c>
      <c r="L396" s="11" t="n">
        <v>1</v>
      </c>
      <c r="M396" s="12" t="n">
        <v>150</v>
      </c>
      <c r="N396" s="12" t="n">
        <v>425</v>
      </c>
      <c r="O396" s="12" t="n">
        <v>825</v>
      </c>
      <c r="P396" s="12" t="n">
        <v>1485</v>
      </c>
      <c r="Q396" s="12" t="n">
        <v>100</v>
      </c>
      <c r="R396" s="13">
        <f>IF(ISNUMBER(M396),ROUND(M396/(1-Settings!$B$2)/Settings!$B$3,0)*Settings!$B$3,"")</f>
        <v/>
      </c>
      <c r="S396" s="13">
        <f>IF(ISNUMBER(N396),ROUND(N396/(1-Settings!$B$2)/Settings!$B$3,0)*Settings!$B$3,"")</f>
        <v/>
      </c>
      <c r="T396" s="13">
        <f>IF(ISNUMBER(O396),ROUND(O396/(1-Settings!$B$2)/Settings!$B$3,0)*Settings!$B$3,"")</f>
        <v/>
      </c>
      <c r="U396" s="13">
        <f>IF(ISNUMBER(P396),ROUND(P396/(1-Settings!$B$2)/Settings!$B$3,0)*Settings!$B$3,"")</f>
        <v/>
      </c>
      <c r="V396" s="13">
        <f>IF(ISNUMBER(Q396),ROUND(Q396/(1-Settings!$B$2)/Settings!$B$3,0)*Settings!$B$3,"")</f>
        <v/>
      </c>
      <c r="W396" s="14" t="n">
        <v>2491</v>
      </c>
      <c r="X396" s="14" t="n">
        <v>3654</v>
      </c>
      <c r="Y396" s="11" t="inlineStr"/>
      <c r="Z396" s="11" t="inlineStr"/>
      <c r="AA396" s="8" t="inlineStr"/>
      <c r="AB396" s="8" t="inlineStr"/>
      <c r="AC396" s="11" t="inlineStr">
        <is>
          <t>MasterMilitaryOnBaseList 12.2.25 NS.xlsx</t>
        </is>
      </c>
      <c r="AD396" s="11" t="inlineStr">
        <is>
          <t>New POC_Aug 2026.pdf</t>
        </is>
      </c>
      <c r="AE396" s="15" t="inlineStr">
        <is>
          <t>Open in Box</t>
        </is>
      </c>
      <c r="AF396" s="15" t="inlineStr">
        <is>
          <t>Open in Box</t>
        </is>
      </c>
    </row>
    <row r="397">
      <c r="A397" s="11" t="inlineStr">
        <is>
          <t>DC-JBABANAC-005</t>
        </is>
      </c>
      <c r="B397" s="8" t="inlineStr">
        <is>
          <t>JBAB Anacostia NS</t>
        </is>
      </c>
      <c r="C397" s="11" t="inlineStr">
        <is>
          <t>JB Anacostia-Bolling</t>
        </is>
      </c>
      <c r="D397" s="11" t="inlineStr">
        <is>
          <t>DC</t>
        </is>
      </c>
      <c r="E397" s="11" t="inlineStr">
        <is>
          <t>Washington, DC (Hagrstwn)</t>
        </is>
      </c>
      <c r="F397" s="11" t="inlineStr">
        <is>
          <t>20332</t>
        </is>
      </c>
      <c r="G397" s="11" t="inlineStr">
        <is>
          <t>Navy</t>
        </is>
      </c>
      <c r="H397" s="11" t="inlineStr">
        <is>
          <t>Web &amp; Email</t>
        </is>
      </c>
      <c r="I397" s="8" t="inlineStr">
        <is>
          <t>Monthly E-Newsletter - Full Page</t>
        </is>
      </c>
      <c r="J397" s="11" t="inlineStr">
        <is>
          <t>8.5"W x 10.1"H</t>
        </is>
      </c>
      <c r="K397" s="8" t="inlineStr">
        <is>
          <t>Your ad will appear in the monthly e-newsletter (sent out to 18,000 and posted on Facebook)</t>
        </is>
      </c>
      <c r="L397" s="11" t="n">
        <v>1</v>
      </c>
      <c r="M397" s="12" t="n">
        <v>275</v>
      </c>
      <c r="N397" s="12" t="n">
        <v>800</v>
      </c>
      <c r="O397" s="12" t="n">
        <v>1525</v>
      </c>
      <c r="P397" s="12" t="n">
        <v>2745</v>
      </c>
      <c r="Q397" s="12" t="n">
        <v>0</v>
      </c>
      <c r="R397" s="13">
        <f>IF(ISNUMBER(M397),ROUND(M397/(1-Settings!$B$2)/Settings!$B$3,0)*Settings!$B$3,"")</f>
        <v/>
      </c>
      <c r="S397" s="13">
        <f>IF(ISNUMBER(N397),ROUND(N397/(1-Settings!$B$2)/Settings!$B$3,0)*Settings!$B$3,"")</f>
        <v/>
      </c>
      <c r="T397" s="13">
        <f>IF(ISNUMBER(O397),ROUND(O397/(1-Settings!$B$2)/Settings!$B$3,0)*Settings!$B$3,"")</f>
        <v/>
      </c>
      <c r="U397" s="13">
        <f>IF(ISNUMBER(P397),ROUND(P397/(1-Settings!$B$2)/Settings!$B$3,0)*Settings!$B$3,"")</f>
        <v/>
      </c>
      <c r="V397" s="13">
        <f>IF(ISNUMBER(Q397),ROUND(Q397/(1-Settings!$B$2)/Settings!$B$3,0)*Settings!$B$3,"")</f>
        <v/>
      </c>
      <c r="W397" s="14" t="n">
        <v>2491</v>
      </c>
      <c r="X397" s="14" t="n">
        <v>3654</v>
      </c>
      <c r="Y397" s="11" t="inlineStr"/>
      <c r="Z397" s="11" t="inlineStr"/>
      <c r="AA397" s="8" t="inlineStr"/>
      <c r="AB397" s="8" t="inlineStr"/>
      <c r="AC397" s="11" t="inlineStr">
        <is>
          <t>MasterMilitaryOnBaseList 12.2.25 NS.xlsx</t>
        </is>
      </c>
      <c r="AD397" s="11" t="inlineStr">
        <is>
          <t>New POC_Aug 2026.pdf</t>
        </is>
      </c>
      <c r="AE397" s="15" t="inlineStr">
        <is>
          <t>Open in Box</t>
        </is>
      </c>
      <c r="AF397" s="15" t="inlineStr">
        <is>
          <t>Open in Box</t>
        </is>
      </c>
    </row>
    <row r="398">
      <c r="A398" s="11" t="inlineStr">
        <is>
          <t>DC-JBABANAC-006</t>
        </is>
      </c>
      <c r="B398" s="8" t="inlineStr">
        <is>
          <t>JBAB Anacostia NS</t>
        </is>
      </c>
      <c r="C398" s="11" t="inlineStr">
        <is>
          <t>JB Anacostia-Bolling</t>
        </is>
      </c>
      <c r="D398" s="11" t="inlineStr">
        <is>
          <t>DC</t>
        </is>
      </c>
      <c r="E398" s="11" t="inlineStr">
        <is>
          <t>Washington, DC (Hagrstwn)</t>
        </is>
      </c>
      <c r="F398" s="11" t="inlineStr">
        <is>
          <t>20332</t>
        </is>
      </c>
      <c r="G398" s="11" t="inlineStr">
        <is>
          <t>Navy</t>
        </is>
      </c>
      <c r="H398" s="11" t="inlineStr">
        <is>
          <t>Web &amp; Email</t>
        </is>
      </c>
      <c r="I398" s="8" t="inlineStr">
        <is>
          <t>Monthly E-Newsletter - Half Page</t>
        </is>
      </c>
      <c r="J398" s="11" t="inlineStr">
        <is>
          <t>8.110"W x 4.647"H</t>
        </is>
      </c>
      <c r="K398" s="8" t="inlineStr">
        <is>
          <t>Your ad will appear in the monthly e-newsletter (sent out to 18,000 and posted on Facebook)</t>
        </is>
      </c>
      <c r="L398" s="11" t="n">
        <v>1</v>
      </c>
      <c r="M398" s="12" t="n">
        <v>150</v>
      </c>
      <c r="N398" s="12" t="n">
        <v>425</v>
      </c>
      <c r="O398" s="12" t="n">
        <v>825</v>
      </c>
      <c r="P398" s="12" t="n">
        <v>1485</v>
      </c>
      <c r="Q398" s="12" t="n">
        <v>0</v>
      </c>
      <c r="R398" s="13">
        <f>IF(ISNUMBER(M398),ROUND(M398/(1-Settings!$B$2)/Settings!$B$3,0)*Settings!$B$3,"")</f>
        <v/>
      </c>
      <c r="S398" s="13">
        <f>IF(ISNUMBER(N398),ROUND(N398/(1-Settings!$B$2)/Settings!$B$3,0)*Settings!$B$3,"")</f>
        <v/>
      </c>
      <c r="T398" s="13">
        <f>IF(ISNUMBER(O398),ROUND(O398/(1-Settings!$B$2)/Settings!$B$3,0)*Settings!$B$3,"")</f>
        <v/>
      </c>
      <c r="U398" s="13">
        <f>IF(ISNUMBER(P398),ROUND(P398/(1-Settings!$B$2)/Settings!$B$3,0)*Settings!$B$3,"")</f>
        <v/>
      </c>
      <c r="V398" s="13">
        <f>IF(ISNUMBER(Q398),ROUND(Q398/(1-Settings!$B$2)/Settings!$B$3,0)*Settings!$B$3,"")</f>
        <v/>
      </c>
      <c r="W398" s="14" t="n">
        <v>2491</v>
      </c>
      <c r="X398" s="14" t="n">
        <v>3654</v>
      </c>
      <c r="Y398" s="11" t="inlineStr"/>
      <c r="Z398" s="11" t="inlineStr"/>
      <c r="AA398" s="8" t="inlineStr"/>
      <c r="AB398" s="8" t="inlineStr"/>
      <c r="AC398" s="11" t="inlineStr">
        <is>
          <t>MasterMilitaryOnBaseList 12.2.25 NS.xlsx</t>
        </is>
      </c>
      <c r="AD398" s="11" t="inlineStr">
        <is>
          <t>New POC_Aug 2026.pdf</t>
        </is>
      </c>
      <c r="AE398" s="15" t="inlineStr">
        <is>
          <t>Open in Box</t>
        </is>
      </c>
      <c r="AF398" s="15" t="inlineStr">
        <is>
          <t>Open in Box</t>
        </is>
      </c>
    </row>
    <row r="399">
      <c r="A399" s="11" t="inlineStr">
        <is>
          <t>DC-JBABANAC-007</t>
        </is>
      </c>
      <c r="B399" s="8" t="inlineStr">
        <is>
          <t>JBAB Anacostia NS</t>
        </is>
      </c>
      <c r="C399" s="11" t="inlineStr">
        <is>
          <t>JB Anacostia-Bolling</t>
        </is>
      </c>
      <c r="D399" s="11" t="inlineStr">
        <is>
          <t>DC</t>
        </is>
      </c>
      <c r="E399" s="11" t="inlineStr">
        <is>
          <t>Washington, DC (Hagrstwn)</t>
        </is>
      </c>
      <c r="F399" s="11" t="inlineStr">
        <is>
          <t>20332</t>
        </is>
      </c>
      <c r="G399" s="11" t="inlineStr">
        <is>
          <t>Navy</t>
        </is>
      </c>
      <c r="H399" s="11" t="inlineStr">
        <is>
          <t>Web &amp; Email</t>
        </is>
      </c>
      <c r="I399" s="8" t="inlineStr">
        <is>
          <t>Monthly E-Newsletter - Quarter Page</t>
        </is>
      </c>
      <c r="J399" s="11" t="inlineStr">
        <is>
          <t>4.017"W x 5.240"H</t>
        </is>
      </c>
      <c r="K399" s="8" t="inlineStr">
        <is>
          <t>Your ad will appear in the monthly e-newsletter (sent out to 18,000 and posted on Facebook)</t>
        </is>
      </c>
      <c r="L399" s="11" t="n">
        <v>1</v>
      </c>
      <c r="M399" s="12" t="n">
        <v>75</v>
      </c>
      <c r="N399" s="12" t="n">
        <v>225</v>
      </c>
      <c r="O399" s="12" t="n">
        <v>450</v>
      </c>
      <c r="P399" s="12" t="n">
        <v>810</v>
      </c>
      <c r="Q399" s="12" t="n">
        <v>0</v>
      </c>
      <c r="R399" s="13">
        <f>IF(ISNUMBER(M399),ROUND(M399/(1-Settings!$B$2)/Settings!$B$3,0)*Settings!$B$3,"")</f>
        <v/>
      </c>
      <c r="S399" s="13">
        <f>IF(ISNUMBER(N399),ROUND(N399/(1-Settings!$B$2)/Settings!$B$3,0)*Settings!$B$3,"")</f>
        <v/>
      </c>
      <c r="T399" s="13">
        <f>IF(ISNUMBER(O399),ROUND(O399/(1-Settings!$B$2)/Settings!$B$3,0)*Settings!$B$3,"")</f>
        <v/>
      </c>
      <c r="U399" s="13">
        <f>IF(ISNUMBER(P399),ROUND(P399/(1-Settings!$B$2)/Settings!$B$3,0)*Settings!$B$3,"")</f>
        <v/>
      </c>
      <c r="V399" s="13">
        <f>IF(ISNUMBER(Q399),ROUND(Q399/(1-Settings!$B$2)/Settings!$B$3,0)*Settings!$B$3,"")</f>
        <v/>
      </c>
      <c r="W399" s="14" t="n">
        <v>2491</v>
      </c>
      <c r="X399" s="14" t="n">
        <v>3654</v>
      </c>
      <c r="Y399" s="11" t="inlineStr"/>
      <c r="Z399" s="11" t="inlineStr"/>
      <c r="AA399" s="8" t="inlineStr"/>
      <c r="AB399" s="8" t="inlineStr"/>
      <c r="AC399" s="11" t="inlineStr">
        <is>
          <t>MasterMilitaryOnBaseList 12.2.25 NS.xlsx</t>
        </is>
      </c>
      <c r="AD399" s="11" t="inlineStr">
        <is>
          <t>New POC_Aug 2026.pdf</t>
        </is>
      </c>
      <c r="AE399" s="15" t="inlineStr">
        <is>
          <t>Open in Box</t>
        </is>
      </c>
      <c r="AF399" s="15" t="inlineStr">
        <is>
          <t>Open in Box</t>
        </is>
      </c>
    </row>
    <row r="400">
      <c r="A400" s="11" t="inlineStr">
        <is>
          <t>DC-JBABANAC-008</t>
        </is>
      </c>
      <c r="B400" s="8" t="inlineStr">
        <is>
          <t>JBAB Anacostia NS</t>
        </is>
      </c>
      <c r="C400" s="11" t="inlineStr"/>
      <c r="D400" s="11" t="inlineStr">
        <is>
          <t>DC</t>
        </is>
      </c>
      <c r="E400" s="11" t="inlineStr">
        <is>
          <t>Washington, DC (Hagrstwn)</t>
        </is>
      </c>
      <c r="F400" s="11" t="inlineStr"/>
      <c r="G400" s="11" t="inlineStr">
        <is>
          <t>Navy</t>
        </is>
      </c>
      <c r="H400" s="11" t="inlineStr">
        <is>
          <t>Web &amp; Email</t>
        </is>
      </c>
      <c r="I400" s="8" t="inlineStr">
        <is>
          <t>Web Ad</t>
        </is>
      </c>
      <c r="J400" s="11" t="inlineStr"/>
      <c r="K400" s="8" t="inlineStr">
        <is>
          <t>Your ad will appear on the installation MWR / FSS website.</t>
        </is>
      </c>
      <c r="L400" s="11" t="n">
        <v>1</v>
      </c>
      <c r="M400" s="12" t="n">
        <v>150</v>
      </c>
      <c r="N400" s="12" t="n"/>
      <c r="O400" s="12" t="n"/>
      <c r="P400" s="12" t="n"/>
      <c r="Q400" s="12" t="n"/>
      <c r="R400" s="13">
        <f>IF(ISNUMBER(M400),ROUND(M400/(1-Settings!$B$2)/Settings!$B$3,0)*Settings!$B$3,"")</f>
        <v/>
      </c>
      <c r="S400" s="13">
        <f>IF(ISNUMBER(N400),ROUND(N400/(1-Settings!$B$2)/Settings!$B$3,0)*Settings!$B$3,"")</f>
        <v/>
      </c>
      <c r="T400" s="13">
        <f>IF(ISNUMBER(O400),ROUND(O400/(1-Settings!$B$2)/Settings!$B$3,0)*Settings!$B$3,"")</f>
        <v/>
      </c>
      <c r="U400" s="13">
        <f>IF(ISNUMBER(P400),ROUND(P400/(1-Settings!$B$2)/Settings!$B$3,0)*Settings!$B$3,"")</f>
        <v/>
      </c>
      <c r="V400" s="13">
        <f>IF(ISNUMBER(Q400),ROUND(Q400/(1-Settings!$B$2)/Settings!$B$3,0)*Settings!$B$3,"")</f>
        <v/>
      </c>
      <c r="W400" s="14" t="n">
        <v>2491</v>
      </c>
      <c r="X400" s="14" t="n">
        <v>3654</v>
      </c>
      <c r="Y400" s="11" t="inlineStr">
        <is>
          <t>2026</t>
        </is>
      </c>
      <c r="Z400" s="11" t="inlineStr">
        <is>
          <t>2026-06</t>
        </is>
      </c>
      <c r="AA400" s="8" t="inlineStr"/>
      <c r="AB400" s="8" t="inlineStr"/>
      <c r="AC400" s="11" t="inlineStr">
        <is>
          <t>Military - National Publication Inventory Master_June 2026.xlsx</t>
        </is>
      </c>
      <c r="AD400" s="11" t="inlineStr">
        <is>
          <t>New POC_Aug 2026.pdf</t>
        </is>
      </c>
      <c r="AE400" s="15" t="inlineStr">
        <is>
          <t>Open in Box</t>
        </is>
      </c>
      <c r="AF400" s="15" t="inlineStr">
        <is>
          <t>Open in Box</t>
        </is>
      </c>
    </row>
    <row r="401">
      <c r="A401" s="11" t="inlineStr">
        <is>
          <t>DC-WASHINGT-001</t>
        </is>
      </c>
      <c r="B401" s="8" t="inlineStr">
        <is>
          <t>Washington NAVDIST HQ</t>
        </is>
      </c>
      <c r="C401" s="11" t="inlineStr">
        <is>
          <t>Naval District Washington / Washington Navy Yard</t>
        </is>
      </c>
      <c r="D401" s="11" t="inlineStr">
        <is>
          <t>DC</t>
        </is>
      </c>
      <c r="E401" s="11" t="inlineStr">
        <is>
          <t>Washington, DC (Hagrstwn)</t>
        </is>
      </c>
      <c r="F401" s="11" t="inlineStr">
        <is>
          <t>20374</t>
        </is>
      </c>
      <c r="G401" s="11" t="inlineStr">
        <is>
          <t>Navy</t>
        </is>
      </c>
      <c r="H401" s="11" t="inlineStr">
        <is>
          <t>Digital</t>
        </is>
      </c>
      <c r="I401" s="8" t="inlineStr">
        <is>
          <t>Bowling Screens</t>
        </is>
      </c>
      <c r="J401" s="11" t="inlineStr">
        <is>
          <t>1920px x 1080px</t>
        </is>
      </c>
      <c r="K401" s="8" t="inlineStr">
        <is>
          <t>Your ad will appear on the bowling alley digital monitors. ($1,000/monitor)</t>
        </is>
      </c>
      <c r="L401" s="11" t="n">
        <v>1</v>
      </c>
      <c r="M401" s="12" t="n">
        <v>500</v>
      </c>
      <c r="N401" s="12" t="n">
        <v>1500</v>
      </c>
      <c r="O401" s="12" t="n">
        <v>3000</v>
      </c>
      <c r="P401" s="12" t="n">
        <v>6000</v>
      </c>
      <c r="Q401" s="12" t="n">
        <v>0</v>
      </c>
      <c r="R401" s="13">
        <f>IF(ISNUMBER(M401),ROUND(M401/(1-Settings!$B$2)/Settings!$B$3,0)*Settings!$B$3,"")</f>
        <v/>
      </c>
      <c r="S401" s="13">
        <f>IF(ISNUMBER(N401),ROUND(N401/(1-Settings!$B$2)/Settings!$B$3,0)*Settings!$B$3,"")</f>
        <v/>
      </c>
      <c r="T401" s="13">
        <f>IF(ISNUMBER(O401),ROUND(O401/(1-Settings!$B$2)/Settings!$B$3,0)*Settings!$B$3,"")</f>
        <v/>
      </c>
      <c r="U401" s="13">
        <f>IF(ISNUMBER(P401),ROUND(P401/(1-Settings!$B$2)/Settings!$B$3,0)*Settings!$B$3,"")</f>
        <v/>
      </c>
      <c r="V401" s="13">
        <f>IF(ISNUMBER(Q401),ROUND(Q401/(1-Settings!$B$2)/Settings!$B$3,0)*Settings!$B$3,"")</f>
        <v/>
      </c>
      <c r="W401" s="14" t="n">
        <v>3100</v>
      </c>
      <c r="X401" s="14" t="n">
        <v>5435</v>
      </c>
      <c r="Y401" s="11" t="inlineStr"/>
      <c r="Z401" s="11" t="inlineStr"/>
      <c r="AA401" s="8" t="inlineStr"/>
      <c r="AB401" s="8" t="inlineStr"/>
      <c r="AC401" s="11" t="inlineStr">
        <is>
          <t>MasterMilitaryOnBaseList 12.2.25 NS.xlsx</t>
        </is>
      </c>
      <c r="AD401" s="11" t="inlineStr">
        <is>
          <t>NDW Advertising Rate Sheet (REGION-2026).pdf</t>
        </is>
      </c>
      <c r="AE401" s="15" t="inlineStr">
        <is>
          <t>Open in Box</t>
        </is>
      </c>
      <c r="AF401" s="15" t="inlineStr">
        <is>
          <t>Open in Box</t>
        </is>
      </c>
    </row>
    <row r="402">
      <c r="A402" s="11" t="inlineStr">
        <is>
          <t>DC-WASHINGT-002</t>
        </is>
      </c>
      <c r="B402" s="8" t="inlineStr">
        <is>
          <t>Washington NAVDIST HQ</t>
        </is>
      </c>
      <c r="C402" s="11" t="inlineStr">
        <is>
          <t>Naval District Washington / Washington Navy Yard</t>
        </is>
      </c>
      <c r="D402" s="11" t="inlineStr">
        <is>
          <t>DC</t>
        </is>
      </c>
      <c r="E402" s="11" t="inlineStr">
        <is>
          <t>Washington, DC (Hagrstwn)</t>
        </is>
      </c>
      <c r="F402" s="11" t="inlineStr">
        <is>
          <t>20374</t>
        </is>
      </c>
      <c r="G402" s="11" t="inlineStr">
        <is>
          <t>Navy</t>
        </is>
      </c>
      <c r="H402" s="11" t="inlineStr">
        <is>
          <t>Digital</t>
        </is>
      </c>
      <c r="I402" s="8" t="inlineStr">
        <is>
          <t>Digital Monitors</t>
        </is>
      </c>
      <c r="J402" s="11" t="inlineStr">
        <is>
          <t>1920px x 1080px</t>
        </is>
      </c>
      <c r="K402" s="8" t="inlineStr">
        <is>
          <t>Your ad will appear on monitors in approved facilities on the installation.($250/monitor - 45 monitors total)</t>
        </is>
      </c>
      <c r="L402" s="11" t="n">
        <v>1</v>
      </c>
      <c r="M402" s="12" t="n">
        <v>125</v>
      </c>
      <c r="N402" s="12" t="n">
        <v>375</v>
      </c>
      <c r="O402" s="12" t="n">
        <v>750</v>
      </c>
      <c r="P402" s="12" t="n">
        <v>1500</v>
      </c>
      <c r="Q402" s="12" t="n">
        <v>0</v>
      </c>
      <c r="R402" s="13">
        <f>IF(ISNUMBER(M402),ROUND(M402/(1-Settings!$B$2)/Settings!$B$3,0)*Settings!$B$3,"")</f>
        <v/>
      </c>
      <c r="S402" s="13">
        <f>IF(ISNUMBER(N402),ROUND(N402/(1-Settings!$B$2)/Settings!$B$3,0)*Settings!$B$3,"")</f>
        <v/>
      </c>
      <c r="T402" s="13">
        <f>IF(ISNUMBER(O402),ROUND(O402/(1-Settings!$B$2)/Settings!$B$3,0)*Settings!$B$3,"")</f>
        <v/>
      </c>
      <c r="U402" s="13">
        <f>IF(ISNUMBER(P402),ROUND(P402/(1-Settings!$B$2)/Settings!$B$3,0)*Settings!$B$3,"")</f>
        <v/>
      </c>
      <c r="V402" s="13">
        <f>IF(ISNUMBER(Q402),ROUND(Q402/(1-Settings!$B$2)/Settings!$B$3,0)*Settings!$B$3,"")</f>
        <v/>
      </c>
      <c r="W402" s="14" t="n">
        <v>3100</v>
      </c>
      <c r="X402" s="14" t="n">
        <v>5435</v>
      </c>
      <c r="Y402" s="11" t="inlineStr"/>
      <c r="Z402" s="11" t="inlineStr"/>
      <c r="AA402" s="8" t="inlineStr">
        <is>
          <t>Inventory master 6/2026 lists Digital Monitor Network at $750 (1 mo)</t>
        </is>
      </c>
      <c r="AB402" s="8" t="inlineStr"/>
      <c r="AC402" s="11" t="inlineStr">
        <is>
          <t>MasterMilitaryOnBaseList 12.2.25 NS.xlsx</t>
        </is>
      </c>
      <c r="AD402" s="11" t="inlineStr">
        <is>
          <t>NDW Advertising Rate Sheet (REGION-2026).pdf</t>
        </is>
      </c>
      <c r="AE402" s="15" t="inlineStr">
        <is>
          <t>Open in Box</t>
        </is>
      </c>
      <c r="AF402" s="15" t="inlineStr">
        <is>
          <t>Open in Box</t>
        </is>
      </c>
    </row>
    <row r="403">
      <c r="A403" s="11" t="inlineStr">
        <is>
          <t>DC-WASHINGT-003</t>
        </is>
      </c>
      <c r="B403" s="8" t="inlineStr">
        <is>
          <t>Washington NAVDIST HQ</t>
        </is>
      </c>
      <c r="C403" s="11" t="inlineStr">
        <is>
          <t>Naval District Washington / Washington Navy Yard</t>
        </is>
      </c>
      <c r="D403" s="11" t="inlineStr">
        <is>
          <t>DC</t>
        </is>
      </c>
      <c r="E403" s="11" t="inlineStr">
        <is>
          <t>Washington, DC (Hagrstwn)</t>
        </is>
      </c>
      <c r="F403" s="11" t="inlineStr">
        <is>
          <t>20374</t>
        </is>
      </c>
      <c r="G403" s="11" t="inlineStr">
        <is>
          <t>Navy</t>
        </is>
      </c>
      <c r="H403" s="11" t="inlineStr">
        <is>
          <t>Digital</t>
        </is>
      </c>
      <c r="I403" s="8" t="inlineStr">
        <is>
          <t>Static Marquees</t>
        </is>
      </c>
      <c r="J403" s="11" t="inlineStr">
        <is>
          <t>TBD</t>
        </is>
      </c>
      <c r="K403" s="8" t="inlineStr">
        <is>
          <t>Your ad will appear on approved marquees on the installation.</t>
        </is>
      </c>
      <c r="L403" s="11" t="n">
        <v>1</v>
      </c>
      <c r="M403" s="12" t="n">
        <v>350</v>
      </c>
      <c r="N403" s="12" t="n">
        <v>1050</v>
      </c>
      <c r="O403" s="12" t="n">
        <v>2100</v>
      </c>
      <c r="P403" s="12" t="n">
        <v>4200</v>
      </c>
      <c r="Q403" s="12" t="n">
        <v>0</v>
      </c>
      <c r="R403" s="13">
        <f>IF(ISNUMBER(M403),ROUND(M403/(1-Settings!$B$2)/Settings!$B$3,0)*Settings!$B$3,"")</f>
        <v/>
      </c>
      <c r="S403" s="13">
        <f>IF(ISNUMBER(N403),ROUND(N403/(1-Settings!$B$2)/Settings!$B$3,0)*Settings!$B$3,"")</f>
        <v/>
      </c>
      <c r="T403" s="13">
        <f>IF(ISNUMBER(O403),ROUND(O403/(1-Settings!$B$2)/Settings!$B$3,0)*Settings!$B$3,"")</f>
        <v/>
      </c>
      <c r="U403" s="13">
        <f>IF(ISNUMBER(P403),ROUND(P403/(1-Settings!$B$2)/Settings!$B$3,0)*Settings!$B$3,"")</f>
        <v/>
      </c>
      <c r="V403" s="13">
        <f>IF(ISNUMBER(Q403),ROUND(Q403/(1-Settings!$B$2)/Settings!$B$3,0)*Settings!$B$3,"")</f>
        <v/>
      </c>
      <c r="W403" s="14" t="n">
        <v>3100</v>
      </c>
      <c r="X403" s="14" t="n">
        <v>5435</v>
      </c>
      <c r="Y403" s="11" t="inlineStr"/>
      <c r="Z403" s="11" t="inlineStr"/>
      <c r="AA403" s="8" t="inlineStr"/>
      <c r="AB403" s="8" t="inlineStr"/>
      <c r="AC403" s="11" t="inlineStr">
        <is>
          <t>MasterMilitaryOnBaseList 12.2.25 NS.xlsx</t>
        </is>
      </c>
      <c r="AD403" s="11" t="inlineStr">
        <is>
          <t>NDW Advertising Rate Sheet (REGION-2026).pdf</t>
        </is>
      </c>
      <c r="AE403" s="15" t="inlineStr">
        <is>
          <t>Open in Box</t>
        </is>
      </c>
      <c r="AF403" s="15" t="inlineStr">
        <is>
          <t>Open in Box</t>
        </is>
      </c>
    </row>
    <row r="404">
      <c r="A404" s="11" t="inlineStr">
        <is>
          <t>DC-WASHINGT-004</t>
        </is>
      </c>
      <c r="B404" s="8" t="inlineStr">
        <is>
          <t>Washington NAVDIST HQ</t>
        </is>
      </c>
      <c r="C404" s="11" t="inlineStr">
        <is>
          <t>Naval District Washington / Washington Navy Yard</t>
        </is>
      </c>
      <c r="D404" s="11" t="inlineStr">
        <is>
          <t>DC</t>
        </is>
      </c>
      <c r="E404" s="11" t="inlineStr">
        <is>
          <t>Washington, DC (Hagrstwn)</t>
        </is>
      </c>
      <c r="F404" s="11" t="inlineStr">
        <is>
          <t>20374</t>
        </is>
      </c>
      <c r="G404" s="11" t="inlineStr">
        <is>
          <t>Navy</t>
        </is>
      </c>
      <c r="H404" s="11" t="inlineStr">
        <is>
          <t>Digital</t>
        </is>
      </c>
      <c r="I404" s="8" t="inlineStr">
        <is>
          <t>Theater Pre-Show Screen</t>
        </is>
      </c>
      <c r="J404" s="11" t="inlineStr">
        <is>
          <t>1920px x 1080px</t>
        </is>
      </c>
      <c r="K404" s="8" t="inlineStr">
        <is>
          <t>Your ad will appear on the movie theater screen prior to the movie. ($900/location)</t>
        </is>
      </c>
      <c r="L404" s="11" t="n">
        <v>1</v>
      </c>
      <c r="M404" s="12" t="n">
        <v>450</v>
      </c>
      <c r="N404" s="12" t="n">
        <v>135</v>
      </c>
      <c r="O404" s="12" t="n">
        <v>2700</v>
      </c>
      <c r="P404" s="12" t="n">
        <v>5400</v>
      </c>
      <c r="Q404" s="12" t="n">
        <v>0</v>
      </c>
      <c r="R404" s="13">
        <f>IF(ISNUMBER(M404),ROUND(M404/(1-Settings!$B$2)/Settings!$B$3,0)*Settings!$B$3,"")</f>
        <v/>
      </c>
      <c r="S404" s="13">
        <f>IF(ISNUMBER(N404),ROUND(N404/(1-Settings!$B$2)/Settings!$B$3,0)*Settings!$B$3,"")</f>
        <v/>
      </c>
      <c r="T404" s="13">
        <f>IF(ISNUMBER(O404),ROUND(O404/(1-Settings!$B$2)/Settings!$B$3,0)*Settings!$B$3,"")</f>
        <v/>
      </c>
      <c r="U404" s="13">
        <f>IF(ISNUMBER(P404),ROUND(P404/(1-Settings!$B$2)/Settings!$B$3,0)*Settings!$B$3,"")</f>
        <v/>
      </c>
      <c r="V404" s="13">
        <f>IF(ISNUMBER(Q404),ROUND(Q404/(1-Settings!$B$2)/Settings!$B$3,0)*Settings!$B$3,"")</f>
        <v/>
      </c>
      <c r="W404" s="14" t="n">
        <v>3100</v>
      </c>
      <c r="X404" s="14" t="n">
        <v>5435</v>
      </c>
      <c r="Y404" s="11" t="inlineStr"/>
      <c r="Z404" s="11" t="inlineStr"/>
      <c r="AA404" s="8" t="inlineStr"/>
      <c r="AB404" s="8" t="inlineStr"/>
      <c r="AC404" s="11" t="inlineStr">
        <is>
          <t>MasterMilitaryOnBaseList 12.2.25 NS.xlsx</t>
        </is>
      </c>
      <c r="AD404" s="11" t="inlineStr">
        <is>
          <t>NDW Advertising Rate Sheet (REGION-2026).pdf</t>
        </is>
      </c>
      <c r="AE404" s="15" t="inlineStr">
        <is>
          <t>Open in Box</t>
        </is>
      </c>
      <c r="AF404" s="15" t="inlineStr">
        <is>
          <t>Open in Box</t>
        </is>
      </c>
    </row>
    <row r="405">
      <c r="A405" s="11" t="inlineStr">
        <is>
          <t>DC-WASHINGT-005</t>
        </is>
      </c>
      <c r="B405" s="8" t="inlineStr">
        <is>
          <t>Washington NAVDIST HQ</t>
        </is>
      </c>
      <c r="C405" s="11" t="inlineStr">
        <is>
          <t>Naval District Washington / Washington Navy Yard</t>
        </is>
      </c>
      <c r="D405" s="11" t="inlineStr">
        <is>
          <t>DC</t>
        </is>
      </c>
      <c r="E405" s="11" t="inlineStr">
        <is>
          <t>Washington, DC (Hagrstwn)</t>
        </is>
      </c>
      <c r="F405" s="11" t="inlineStr">
        <is>
          <t>20374</t>
        </is>
      </c>
      <c r="G405" s="11" t="inlineStr">
        <is>
          <t>Navy</t>
        </is>
      </c>
      <c r="H405" s="11" t="inlineStr">
        <is>
          <t>Digital</t>
        </is>
      </c>
      <c r="I405" s="8" t="inlineStr">
        <is>
          <t>Video Marquees</t>
        </is>
      </c>
      <c r="J405" s="11" t="inlineStr">
        <is>
          <t>TBD</t>
        </is>
      </c>
      <c r="K405" s="8" t="inlineStr">
        <is>
          <t>Your ad will appear on approved marquees on the installation.</t>
        </is>
      </c>
      <c r="L405" s="11" t="n">
        <v>1</v>
      </c>
      <c r="M405" s="12" t="n">
        <v>1000</v>
      </c>
      <c r="N405" s="12" t="n">
        <v>3000</v>
      </c>
      <c r="O405" s="12" t="n">
        <v>6000</v>
      </c>
      <c r="P405" s="12" t="n">
        <v>12000</v>
      </c>
      <c r="Q405" s="12" t="n">
        <v>0</v>
      </c>
      <c r="R405" s="13">
        <f>IF(ISNUMBER(M405),ROUND(M405/(1-Settings!$B$2)/Settings!$B$3,0)*Settings!$B$3,"")</f>
        <v/>
      </c>
      <c r="S405" s="13">
        <f>IF(ISNUMBER(N405),ROUND(N405/(1-Settings!$B$2)/Settings!$B$3,0)*Settings!$B$3,"")</f>
        <v/>
      </c>
      <c r="T405" s="13">
        <f>IF(ISNUMBER(O405),ROUND(O405/(1-Settings!$B$2)/Settings!$B$3,0)*Settings!$B$3,"")</f>
        <v/>
      </c>
      <c r="U405" s="13">
        <f>IF(ISNUMBER(P405),ROUND(P405/(1-Settings!$B$2)/Settings!$B$3,0)*Settings!$B$3,"")</f>
        <v/>
      </c>
      <c r="V405" s="13">
        <f>IF(ISNUMBER(Q405),ROUND(Q405/(1-Settings!$B$2)/Settings!$B$3,0)*Settings!$B$3,"")</f>
        <v/>
      </c>
      <c r="W405" s="14" t="n">
        <v>3100</v>
      </c>
      <c r="X405" s="14" t="n">
        <v>5435</v>
      </c>
      <c r="Y405" s="11" t="inlineStr"/>
      <c r="Z405" s="11" t="inlineStr"/>
      <c r="AA405" s="8" t="inlineStr"/>
      <c r="AB405" s="8" t="inlineStr"/>
      <c r="AC405" s="11" t="inlineStr">
        <is>
          <t>MasterMilitaryOnBaseList 12.2.25 NS.xlsx</t>
        </is>
      </c>
      <c r="AD405" s="11" t="inlineStr">
        <is>
          <t>NDW Advertising Rate Sheet (REGION-2026).pdf</t>
        </is>
      </c>
      <c r="AE405" s="15" t="inlineStr">
        <is>
          <t>Open in Box</t>
        </is>
      </c>
      <c r="AF405" s="15" t="inlineStr">
        <is>
          <t>Open in Box</t>
        </is>
      </c>
    </row>
    <row r="406">
      <c r="A406" s="11" t="inlineStr">
        <is>
          <t>DC-WASHINGT-008</t>
        </is>
      </c>
      <c r="B406" s="8" t="inlineStr">
        <is>
          <t>Washington NAVDIST HQ</t>
        </is>
      </c>
      <c r="C406" s="11" t="inlineStr">
        <is>
          <t>Naval District Washington / Washington Navy Yard</t>
        </is>
      </c>
      <c r="D406" s="11" t="inlineStr">
        <is>
          <t>DC</t>
        </is>
      </c>
      <c r="E406" s="11" t="inlineStr">
        <is>
          <t>Washington, DC (Hagrstwn)</t>
        </is>
      </c>
      <c r="F406" s="11" t="inlineStr">
        <is>
          <t>20374</t>
        </is>
      </c>
      <c r="G406" s="11" t="inlineStr">
        <is>
          <t>Navy</t>
        </is>
      </c>
      <c r="H406" s="11" t="inlineStr">
        <is>
          <t>Large Format</t>
        </is>
      </c>
      <c r="I406" s="8" t="inlineStr">
        <is>
          <t>Counter Wraps</t>
        </is>
      </c>
      <c r="J406" s="11" t="inlineStr">
        <is>
          <t>TBD</t>
        </is>
      </c>
      <c r="K406" s="8" t="inlineStr">
        <is>
          <t>Your ad will appear in approved facilities on the installation.</t>
        </is>
      </c>
      <c r="L406" s="11" t="n">
        <v>1</v>
      </c>
      <c r="M406" s="12" t="n">
        <v>1000</v>
      </c>
      <c r="N406" s="12" t="n">
        <v>3000</v>
      </c>
      <c r="O406" s="12" t="n">
        <v>6000</v>
      </c>
      <c r="P406" s="12" t="n">
        <v>12000</v>
      </c>
      <c r="Q406" s="12" t="n">
        <v>0</v>
      </c>
      <c r="R406" s="13">
        <f>IF(ISNUMBER(M406),ROUND(M406/(1-Settings!$B$2)/Settings!$B$3,0)*Settings!$B$3,"")</f>
        <v/>
      </c>
      <c r="S406" s="13">
        <f>IF(ISNUMBER(N406),ROUND(N406/(1-Settings!$B$2)/Settings!$B$3,0)*Settings!$B$3,"")</f>
        <v/>
      </c>
      <c r="T406" s="13">
        <f>IF(ISNUMBER(O406),ROUND(O406/(1-Settings!$B$2)/Settings!$B$3,0)*Settings!$B$3,"")</f>
        <v/>
      </c>
      <c r="U406" s="13">
        <f>IF(ISNUMBER(P406),ROUND(P406/(1-Settings!$B$2)/Settings!$B$3,0)*Settings!$B$3,"")</f>
        <v/>
      </c>
      <c r="V406" s="13">
        <f>IF(ISNUMBER(Q406),ROUND(Q406/(1-Settings!$B$2)/Settings!$B$3,0)*Settings!$B$3,"")</f>
        <v/>
      </c>
      <c r="W406" s="14" t="n">
        <v>3100</v>
      </c>
      <c r="X406" s="14" t="n">
        <v>5435</v>
      </c>
      <c r="Y406" s="11" t="inlineStr"/>
      <c r="Z406" s="11" t="inlineStr"/>
      <c r="AA406" s="8" t="inlineStr"/>
      <c r="AB406" s="8" t="inlineStr"/>
      <c r="AC406" s="11" t="inlineStr">
        <is>
          <t>MasterMilitaryOnBaseList 12.2.25 NS.xlsx</t>
        </is>
      </c>
      <c r="AD406" s="11" t="inlineStr">
        <is>
          <t>NDW Advertising Rate Sheet (REGION-2026).pdf</t>
        </is>
      </c>
      <c r="AE406" s="15" t="inlineStr">
        <is>
          <t>Open in Box</t>
        </is>
      </c>
      <c r="AF406" s="15" t="inlineStr">
        <is>
          <t>Open in Box</t>
        </is>
      </c>
    </row>
    <row r="407">
      <c r="A407" s="11" t="inlineStr">
        <is>
          <t>DC-WASHINGT-006</t>
        </is>
      </c>
      <c r="B407" s="8" t="inlineStr">
        <is>
          <t>Washington NAVDIST HQ</t>
        </is>
      </c>
      <c r="C407" s="11" t="inlineStr">
        <is>
          <t>Naval District Washington / Washington Navy Yard</t>
        </is>
      </c>
      <c r="D407" s="11" t="inlineStr">
        <is>
          <t>DC</t>
        </is>
      </c>
      <c r="E407" s="11" t="inlineStr">
        <is>
          <t>Washington, DC (Hagrstwn)</t>
        </is>
      </c>
      <c r="F407" s="11" t="inlineStr">
        <is>
          <t>20374</t>
        </is>
      </c>
      <c r="G407" s="11" t="inlineStr">
        <is>
          <t>Navy</t>
        </is>
      </c>
      <c r="H407" s="11" t="inlineStr">
        <is>
          <t>Standard Media</t>
        </is>
      </c>
      <c r="I407" s="8" t="inlineStr">
        <is>
          <t>Banners</t>
        </is>
      </c>
      <c r="J407" s="11" t="inlineStr">
        <is>
          <t>3' x 6'</t>
        </is>
      </c>
      <c r="K407" s="8" t="inlineStr">
        <is>
          <t>Your ad will appear in approved facilities on the installation.</t>
        </is>
      </c>
      <c r="L407" s="11" t="n">
        <v>1</v>
      </c>
      <c r="M407" s="12" t="n">
        <v>500</v>
      </c>
      <c r="N407" s="12" t="n">
        <v>1500</v>
      </c>
      <c r="O407" s="12" t="n">
        <v>3000</v>
      </c>
      <c r="P407" s="12" t="n">
        <v>6000</v>
      </c>
      <c r="Q407" s="12" t="n">
        <v>200</v>
      </c>
      <c r="R407" s="13">
        <f>IF(ISNUMBER(M407),ROUND(M407/(1-Settings!$B$2)/Settings!$B$3,0)*Settings!$B$3,"")</f>
        <v/>
      </c>
      <c r="S407" s="13">
        <f>IF(ISNUMBER(N407),ROUND(N407/(1-Settings!$B$2)/Settings!$B$3,0)*Settings!$B$3,"")</f>
        <v/>
      </c>
      <c r="T407" s="13">
        <f>IF(ISNUMBER(O407),ROUND(O407/(1-Settings!$B$2)/Settings!$B$3,0)*Settings!$B$3,"")</f>
        <v/>
      </c>
      <c r="U407" s="13">
        <f>IF(ISNUMBER(P407),ROUND(P407/(1-Settings!$B$2)/Settings!$B$3,0)*Settings!$B$3,"")</f>
        <v/>
      </c>
      <c r="V407" s="13">
        <f>IF(ISNUMBER(Q407),ROUND(Q407/(1-Settings!$B$2)/Settings!$B$3,0)*Settings!$B$3,"")</f>
        <v/>
      </c>
      <c r="W407" s="14" t="n">
        <v>3100</v>
      </c>
      <c r="X407" s="14" t="n">
        <v>5435</v>
      </c>
      <c r="Y407" s="11" t="inlineStr"/>
      <c r="Z407" s="11" t="inlineStr"/>
      <c r="AA407" s="8" t="inlineStr"/>
      <c r="AB407" s="8" t="inlineStr"/>
      <c r="AC407" s="11" t="inlineStr">
        <is>
          <t>MasterMilitaryOnBaseList 12.2.25 NS.xlsx</t>
        </is>
      </c>
      <c r="AD407" s="11" t="inlineStr">
        <is>
          <t>NDW Advertising Rate Sheet (REGION-2026).pdf</t>
        </is>
      </c>
      <c r="AE407" s="15" t="inlineStr">
        <is>
          <t>Open in Box</t>
        </is>
      </c>
      <c r="AF407" s="15" t="inlineStr">
        <is>
          <t>Open in Box</t>
        </is>
      </c>
    </row>
    <row r="408">
      <c r="A408" s="11" t="inlineStr">
        <is>
          <t>DC-WASHINGT-007</t>
        </is>
      </c>
      <c r="B408" s="8" t="inlineStr">
        <is>
          <t>Washington NAVDIST HQ</t>
        </is>
      </c>
      <c r="C408" s="11" t="inlineStr">
        <is>
          <t>Naval District Washington / Washington Navy Yard</t>
        </is>
      </c>
      <c r="D408" s="11" t="inlineStr">
        <is>
          <t>DC</t>
        </is>
      </c>
      <c r="E408" s="11" t="inlineStr">
        <is>
          <t>Washington, DC (Hagrstwn)</t>
        </is>
      </c>
      <c r="F408" s="11" t="inlineStr">
        <is>
          <t>20374</t>
        </is>
      </c>
      <c r="G408" s="11" t="inlineStr">
        <is>
          <t>Navy</t>
        </is>
      </c>
      <c r="H408" s="11" t="inlineStr">
        <is>
          <t>Standard Media</t>
        </is>
      </c>
      <c r="I408" s="8" t="inlineStr">
        <is>
          <t>Posters</t>
        </is>
      </c>
      <c r="J408" s="11" t="inlineStr">
        <is>
          <t>22" x 28"</t>
        </is>
      </c>
      <c r="K408" s="8" t="inlineStr">
        <is>
          <t>Your ad will appear in approved facilities on the installation.</t>
        </is>
      </c>
      <c r="L408" s="11" t="n">
        <v>1</v>
      </c>
      <c r="M408" s="12" t="n">
        <v>200</v>
      </c>
      <c r="N408" s="12" t="n">
        <v>600</v>
      </c>
      <c r="O408" s="12" t="n">
        <v>1200</v>
      </c>
      <c r="P408" s="12" t="n">
        <v>2400</v>
      </c>
      <c r="Q408" s="12" t="n">
        <v>100</v>
      </c>
      <c r="R408" s="13">
        <f>IF(ISNUMBER(M408),ROUND(M408/(1-Settings!$B$2)/Settings!$B$3,0)*Settings!$B$3,"")</f>
        <v/>
      </c>
      <c r="S408" s="13">
        <f>IF(ISNUMBER(N408),ROUND(N408/(1-Settings!$B$2)/Settings!$B$3,0)*Settings!$B$3,"")</f>
        <v/>
      </c>
      <c r="T408" s="13">
        <f>IF(ISNUMBER(O408),ROUND(O408/(1-Settings!$B$2)/Settings!$B$3,0)*Settings!$B$3,"")</f>
        <v/>
      </c>
      <c r="U408" s="13">
        <f>IF(ISNUMBER(P408),ROUND(P408/(1-Settings!$B$2)/Settings!$B$3,0)*Settings!$B$3,"")</f>
        <v/>
      </c>
      <c r="V408" s="13">
        <f>IF(ISNUMBER(Q408),ROUND(Q408/(1-Settings!$B$2)/Settings!$B$3,0)*Settings!$B$3,"")</f>
        <v/>
      </c>
      <c r="W408" s="14" t="n">
        <v>3100</v>
      </c>
      <c r="X408" s="14" t="n">
        <v>5435</v>
      </c>
      <c r="Y408" s="11" t="inlineStr"/>
      <c r="Z408" s="11" t="inlineStr"/>
      <c r="AA408" s="8" t="inlineStr"/>
      <c r="AB408" s="8" t="inlineStr"/>
      <c r="AC408" s="11" t="inlineStr">
        <is>
          <t>MasterMilitaryOnBaseList 12.2.25 NS.xlsx</t>
        </is>
      </c>
      <c r="AD408" s="11" t="inlineStr">
        <is>
          <t>NDW Advertising Rate Sheet (REGION-2026).pdf</t>
        </is>
      </c>
      <c r="AE408" s="15" t="inlineStr">
        <is>
          <t>Open in Box</t>
        </is>
      </c>
      <c r="AF408" s="15" t="inlineStr">
        <is>
          <t>Open in Box</t>
        </is>
      </c>
    </row>
    <row r="409">
      <c r="A409" s="11" t="inlineStr">
        <is>
          <t>DC-WASHINGT-009</t>
        </is>
      </c>
      <c r="B409" s="8" t="inlineStr">
        <is>
          <t>Washington NAVDIST HQ</t>
        </is>
      </c>
      <c r="C409" s="11" t="inlineStr">
        <is>
          <t>Naval District Washington / Washington Navy Yard</t>
        </is>
      </c>
      <c r="D409" s="11" t="inlineStr">
        <is>
          <t>DC</t>
        </is>
      </c>
      <c r="E409" s="11" t="inlineStr">
        <is>
          <t>Washington, DC (Hagrstwn)</t>
        </is>
      </c>
      <c r="F409" s="11" t="inlineStr">
        <is>
          <t>20374</t>
        </is>
      </c>
      <c r="G409" s="11" t="inlineStr">
        <is>
          <t>Navy</t>
        </is>
      </c>
      <c r="H409" s="11" t="inlineStr">
        <is>
          <t>Web &amp; Email</t>
        </is>
      </c>
      <c r="I409" s="8" t="inlineStr">
        <is>
          <t>E-News Footer Ad</t>
        </is>
      </c>
      <c r="J409" s="11" t="inlineStr">
        <is>
          <t>800px x 450px</t>
        </is>
      </c>
      <c r="K409" s="8" t="inlineStr">
        <is>
          <t>Your ad will appear on the footer of the monthly newsletter ($1,200/month/send)</t>
        </is>
      </c>
      <c r="L409" s="11" t="n">
        <v>1</v>
      </c>
      <c r="M409" s="12" t="n">
        <v>400</v>
      </c>
      <c r="N409" s="12" t="n">
        <v>1200</v>
      </c>
      <c r="O409" s="12" t="n">
        <v>2400</v>
      </c>
      <c r="P409" s="12" t="n">
        <v>4800</v>
      </c>
      <c r="Q409" s="12" t="n">
        <v>0</v>
      </c>
      <c r="R409" s="13">
        <f>IF(ISNUMBER(M409),ROUND(M409/(1-Settings!$B$2)/Settings!$B$3,0)*Settings!$B$3,"")</f>
        <v/>
      </c>
      <c r="S409" s="13">
        <f>IF(ISNUMBER(N409),ROUND(N409/(1-Settings!$B$2)/Settings!$B$3,0)*Settings!$B$3,"")</f>
        <v/>
      </c>
      <c r="T409" s="13">
        <f>IF(ISNUMBER(O409),ROUND(O409/(1-Settings!$B$2)/Settings!$B$3,0)*Settings!$B$3,"")</f>
        <v/>
      </c>
      <c r="U409" s="13">
        <f>IF(ISNUMBER(P409),ROUND(P409/(1-Settings!$B$2)/Settings!$B$3,0)*Settings!$B$3,"")</f>
        <v/>
      </c>
      <c r="V409" s="13">
        <f>IF(ISNUMBER(Q409),ROUND(Q409/(1-Settings!$B$2)/Settings!$B$3,0)*Settings!$B$3,"")</f>
        <v/>
      </c>
      <c r="W409" s="14" t="n">
        <v>3100</v>
      </c>
      <c r="X409" s="14" t="n">
        <v>5435</v>
      </c>
      <c r="Y409" s="11" t="inlineStr"/>
      <c r="Z409" s="11" t="inlineStr"/>
      <c r="AA409" s="8" t="inlineStr"/>
      <c r="AB409" s="8" t="inlineStr"/>
      <c r="AC409" s="11" t="inlineStr">
        <is>
          <t>MasterMilitaryOnBaseList 12.2.25 NS.xlsx</t>
        </is>
      </c>
      <c r="AD409" s="11" t="inlineStr">
        <is>
          <t>NDW Advertising Rate Sheet (REGION-2026).pdf</t>
        </is>
      </c>
      <c r="AE409" s="15" t="inlineStr">
        <is>
          <t>Open in Box</t>
        </is>
      </c>
      <c r="AF409" s="15" t="inlineStr">
        <is>
          <t>Open in Box</t>
        </is>
      </c>
    </row>
    <row r="410">
      <c r="A410" s="11" t="inlineStr">
        <is>
          <t>DC-WASHINGT-010</t>
        </is>
      </c>
      <c r="B410" s="8" t="inlineStr">
        <is>
          <t>Washington NAVDIST HQ</t>
        </is>
      </c>
      <c r="C410" s="11" t="inlineStr">
        <is>
          <t>Naval District Washington / Washington Navy Yard</t>
        </is>
      </c>
      <c r="D410" s="11" t="inlineStr">
        <is>
          <t>DC</t>
        </is>
      </c>
      <c r="E410" s="11" t="inlineStr">
        <is>
          <t>Washington, DC (Hagrstwn)</t>
        </is>
      </c>
      <c r="F410" s="11" t="inlineStr">
        <is>
          <t>20374</t>
        </is>
      </c>
      <c r="G410" s="11" t="inlineStr">
        <is>
          <t>Navy</t>
        </is>
      </c>
      <c r="H410" s="11" t="inlineStr">
        <is>
          <t>Web &amp; Email</t>
        </is>
      </c>
      <c r="I410" s="8" t="inlineStr">
        <is>
          <t>E-News Header Ad</t>
        </is>
      </c>
      <c r="J410" s="11" t="inlineStr">
        <is>
          <t>800px x 150px</t>
        </is>
      </c>
      <c r="K410" s="8" t="inlineStr">
        <is>
          <t>Your ad will appear on the header of the monthly newsletter ($1,200/month/send)</t>
        </is>
      </c>
      <c r="L410" s="11" t="n">
        <v>1</v>
      </c>
      <c r="M410" s="12" t="n">
        <v>600</v>
      </c>
      <c r="N410" s="12" t="n">
        <v>1800</v>
      </c>
      <c r="O410" s="12" t="n">
        <v>3600</v>
      </c>
      <c r="P410" s="12" t="n">
        <v>7200</v>
      </c>
      <c r="Q410" s="12" t="n">
        <v>0</v>
      </c>
      <c r="R410" s="13">
        <f>IF(ISNUMBER(M410),ROUND(M410/(1-Settings!$B$2)/Settings!$B$3,0)*Settings!$B$3,"")</f>
        <v/>
      </c>
      <c r="S410" s="13">
        <f>IF(ISNUMBER(N410),ROUND(N410/(1-Settings!$B$2)/Settings!$B$3,0)*Settings!$B$3,"")</f>
        <v/>
      </c>
      <c r="T410" s="13">
        <f>IF(ISNUMBER(O410),ROUND(O410/(1-Settings!$B$2)/Settings!$B$3,0)*Settings!$B$3,"")</f>
        <v/>
      </c>
      <c r="U410" s="13">
        <f>IF(ISNUMBER(P410),ROUND(P410/(1-Settings!$B$2)/Settings!$B$3,0)*Settings!$B$3,"")</f>
        <v/>
      </c>
      <c r="V410" s="13">
        <f>IF(ISNUMBER(Q410),ROUND(Q410/(1-Settings!$B$2)/Settings!$B$3,0)*Settings!$B$3,"")</f>
        <v/>
      </c>
      <c r="W410" s="14" t="n">
        <v>3100</v>
      </c>
      <c r="X410" s="14" t="n">
        <v>5435</v>
      </c>
      <c r="Y410" s="11" t="inlineStr"/>
      <c r="Z410" s="11" t="inlineStr"/>
      <c r="AA410" s="8" t="inlineStr"/>
      <c r="AB410" s="8" t="inlineStr"/>
      <c r="AC410" s="11" t="inlineStr">
        <is>
          <t>MasterMilitaryOnBaseList 12.2.25 NS.xlsx</t>
        </is>
      </c>
      <c r="AD410" s="11" t="inlineStr">
        <is>
          <t>NDW Advertising Rate Sheet (REGION-2026).pdf</t>
        </is>
      </c>
      <c r="AE410" s="15" t="inlineStr">
        <is>
          <t>Open in Box</t>
        </is>
      </c>
      <c r="AF410" s="15" t="inlineStr">
        <is>
          <t>Open in Box</t>
        </is>
      </c>
    </row>
    <row r="411">
      <c r="A411" s="11" t="inlineStr">
        <is>
          <t>DC-WASHINGT-011</t>
        </is>
      </c>
      <c r="B411" s="8" t="inlineStr">
        <is>
          <t>Washington NAVDIST HQ</t>
        </is>
      </c>
      <c r="C411" s="11" t="inlineStr"/>
      <c r="D411" s="11" t="inlineStr">
        <is>
          <t>DC</t>
        </is>
      </c>
      <c r="E411" s="11" t="inlineStr">
        <is>
          <t>Washington, DC (Hagrstwn)</t>
        </is>
      </c>
      <c r="F411" s="11" t="inlineStr"/>
      <c r="G411" s="11" t="inlineStr">
        <is>
          <t>Navy</t>
        </is>
      </c>
      <c r="H411" s="11" t="inlineStr">
        <is>
          <t>Web &amp; Email</t>
        </is>
      </c>
      <c r="I411" s="8" t="inlineStr">
        <is>
          <t>Web Ad</t>
        </is>
      </c>
      <c r="J411" s="11" t="inlineStr"/>
      <c r="K411" s="8" t="inlineStr">
        <is>
          <t>Your ad will appear on the installation MWR / FSS website.</t>
        </is>
      </c>
      <c r="L411" s="11" t="n">
        <v>1</v>
      </c>
      <c r="M411" s="12" t="n">
        <v>500</v>
      </c>
      <c r="N411" s="12" t="n"/>
      <c r="O411" s="12" t="n"/>
      <c r="P411" s="12" t="n"/>
      <c r="Q411" s="12" t="n"/>
      <c r="R411" s="13">
        <f>IF(ISNUMBER(M411),ROUND(M411/(1-Settings!$B$2)/Settings!$B$3,0)*Settings!$B$3,"")</f>
        <v/>
      </c>
      <c r="S411" s="13">
        <f>IF(ISNUMBER(N411),ROUND(N411/(1-Settings!$B$2)/Settings!$B$3,0)*Settings!$B$3,"")</f>
        <v/>
      </c>
      <c r="T411" s="13">
        <f>IF(ISNUMBER(O411),ROUND(O411/(1-Settings!$B$2)/Settings!$B$3,0)*Settings!$B$3,"")</f>
        <v/>
      </c>
      <c r="U411" s="13">
        <f>IF(ISNUMBER(P411),ROUND(P411/(1-Settings!$B$2)/Settings!$B$3,0)*Settings!$B$3,"")</f>
        <v/>
      </c>
      <c r="V411" s="13">
        <f>IF(ISNUMBER(Q411),ROUND(Q411/(1-Settings!$B$2)/Settings!$B$3,0)*Settings!$B$3,"")</f>
        <v/>
      </c>
      <c r="W411" s="14" t="n">
        <v>3100</v>
      </c>
      <c r="X411" s="14" t="n">
        <v>5435</v>
      </c>
      <c r="Y411" s="11" t="inlineStr">
        <is>
          <t>2026</t>
        </is>
      </c>
      <c r="Z411" s="11" t="inlineStr">
        <is>
          <t>2026-06</t>
        </is>
      </c>
      <c r="AA411" s="8" t="inlineStr"/>
      <c r="AB411" s="8" t="inlineStr"/>
      <c r="AC411" s="11" t="inlineStr">
        <is>
          <t>Military - National Publication Inventory Master_June 2026.xlsx</t>
        </is>
      </c>
      <c r="AD411" s="11" t="inlineStr">
        <is>
          <t>NDW Advertising Rate Sheet (REGION-2026).pdf</t>
        </is>
      </c>
      <c r="AE411" s="15" t="inlineStr">
        <is>
          <t>Open in Box</t>
        </is>
      </c>
      <c r="AF411" s="15" t="inlineStr">
        <is>
          <t>Open in Box</t>
        </is>
      </c>
    </row>
    <row r="412">
      <c r="A412" s="11" t="inlineStr">
        <is>
          <t>DE-DOVERAFB-001</t>
        </is>
      </c>
      <c r="B412" s="8" t="inlineStr">
        <is>
          <t>Dover AFB</t>
        </is>
      </c>
      <c r="C412" s="11" t="inlineStr"/>
      <c r="D412" s="11" t="inlineStr">
        <is>
          <t>DE</t>
        </is>
      </c>
      <c r="E412" s="11" t="inlineStr">
        <is>
          <t>Philadelphia</t>
        </is>
      </c>
      <c r="F412" s="11" t="inlineStr">
        <is>
          <t>19902</t>
        </is>
      </c>
      <c r="G412" s="11" t="inlineStr">
        <is>
          <t>Air Force</t>
        </is>
      </c>
      <c r="H412" s="11" t="inlineStr">
        <is>
          <t>Digital</t>
        </is>
      </c>
      <c r="I412" s="8" t="inlineStr">
        <is>
          <t>Bowling Alley Masking Units</t>
        </is>
      </c>
      <c r="J412" s="11" t="inlineStr">
        <is>
          <t>42.5" x 132"</t>
        </is>
      </c>
      <c r="K412" s="8" t="inlineStr">
        <is>
          <t>Your ad will appear in the bowling alley on the installation.</t>
        </is>
      </c>
      <c r="L412" s="11" t="n">
        <v>3</v>
      </c>
      <c r="M412" s="12" t="n"/>
      <c r="N412" s="12" t="n">
        <v>600</v>
      </c>
      <c r="O412" s="12" t="n">
        <v>975</v>
      </c>
      <c r="P412" s="12" t="n">
        <v>1535</v>
      </c>
      <c r="Q412" s="12" t="n">
        <v>0</v>
      </c>
      <c r="R412" s="13">
        <f>IF(ISNUMBER(M412),ROUND(M412/(1-Settings!$B$2)/Settings!$B$3,0)*Settings!$B$3,"")</f>
        <v/>
      </c>
      <c r="S412" s="13">
        <f>IF(ISNUMBER(N412),ROUND(N412/(1-Settings!$B$2)/Settings!$B$3,0)*Settings!$B$3,"")</f>
        <v/>
      </c>
      <c r="T412" s="13">
        <f>IF(ISNUMBER(O412),ROUND(O412/(1-Settings!$B$2)/Settings!$B$3,0)*Settings!$B$3,"")</f>
        <v/>
      </c>
      <c r="U412" s="13">
        <f>IF(ISNUMBER(P412),ROUND(P412/(1-Settings!$B$2)/Settings!$B$3,0)*Settings!$B$3,"")</f>
        <v/>
      </c>
      <c r="V412" s="13">
        <f>IF(ISNUMBER(Q412),ROUND(Q412/(1-Settings!$B$2)/Settings!$B$3,0)*Settings!$B$3,"")</f>
        <v/>
      </c>
      <c r="W412" s="14" t="n">
        <v>3484</v>
      </c>
      <c r="X412" s="14" t="n">
        <v>4234</v>
      </c>
      <c r="Y412" s="11" t="inlineStr"/>
      <c r="Z412" s="11" t="inlineStr"/>
      <c r="AA412" s="8" t="inlineStr"/>
      <c r="AB412" s="16" t="inlineStr">
        <is>
          <t>Source formula errors</t>
        </is>
      </c>
      <c r="AC412" s="11" t="inlineStr">
        <is>
          <t>MasterMilitaryOnBaseList 12.2.25 NS.xlsx</t>
        </is>
      </c>
      <c r="AD412" s="11" t="inlineStr">
        <is>
          <t>DOVER AIR FORCE BASE ADVERTISING.docx</t>
        </is>
      </c>
      <c r="AE412" s="15" t="inlineStr">
        <is>
          <t>Open in Box</t>
        </is>
      </c>
      <c r="AF412" s="15" t="inlineStr">
        <is>
          <t>Open in Box</t>
        </is>
      </c>
    </row>
    <row r="413">
      <c r="A413" s="11" t="inlineStr">
        <is>
          <t>DE-DOVERAFB-002</t>
        </is>
      </c>
      <c r="B413" s="8" t="inlineStr">
        <is>
          <t>Dover AFB</t>
        </is>
      </c>
      <c r="C413" s="11" t="inlineStr"/>
      <c r="D413" s="11" t="inlineStr">
        <is>
          <t>DE</t>
        </is>
      </c>
      <c r="E413" s="11" t="inlineStr">
        <is>
          <t>Philadelphia</t>
        </is>
      </c>
      <c r="F413" s="11" t="inlineStr">
        <is>
          <t>19902</t>
        </is>
      </c>
      <c r="G413" s="11" t="inlineStr">
        <is>
          <t>Air Force</t>
        </is>
      </c>
      <c r="H413" s="11" t="inlineStr">
        <is>
          <t>Digital</t>
        </is>
      </c>
      <c r="I413" s="8" t="inlineStr">
        <is>
          <t>Bowling Masking Unit</t>
        </is>
      </c>
      <c r="J413" s="11" t="inlineStr">
        <is>
          <t>3.5'W x 11'H</t>
        </is>
      </c>
      <c r="K413" s="8" t="inlineStr">
        <is>
          <t>Your ad will appear above pins at the bowling ally.</t>
        </is>
      </c>
      <c r="L413" s="11" t="n">
        <v>3</v>
      </c>
      <c r="M413" s="12" t="n"/>
      <c r="N413" s="12" t="n">
        <v>600</v>
      </c>
      <c r="O413" s="12" t="n">
        <v>975</v>
      </c>
      <c r="P413" s="12" t="n">
        <v>1535</v>
      </c>
      <c r="Q413" s="12" t="n"/>
      <c r="R413" s="13">
        <f>IF(ISNUMBER(M413),ROUND(M413/(1-Settings!$B$2)/Settings!$B$3,0)*Settings!$B$3,"")</f>
        <v/>
      </c>
      <c r="S413" s="13">
        <f>IF(ISNUMBER(N413),ROUND(N413/(1-Settings!$B$2)/Settings!$B$3,0)*Settings!$B$3,"")</f>
        <v/>
      </c>
      <c r="T413" s="13">
        <f>IF(ISNUMBER(O413),ROUND(O413/(1-Settings!$B$2)/Settings!$B$3,0)*Settings!$B$3,"")</f>
        <v/>
      </c>
      <c r="U413" s="13">
        <f>IF(ISNUMBER(P413),ROUND(P413/(1-Settings!$B$2)/Settings!$B$3,0)*Settings!$B$3,"")</f>
        <v/>
      </c>
      <c r="V413" s="13">
        <f>IF(ISNUMBER(Q413),ROUND(Q413/(1-Settings!$B$2)/Settings!$B$3,0)*Settings!$B$3,"")</f>
        <v/>
      </c>
      <c r="W413" s="14" t="n">
        <v>3484</v>
      </c>
      <c r="X413" s="14" t="n">
        <v>4234</v>
      </c>
      <c r="Y413" s="11" t="inlineStr"/>
      <c r="Z413" s="11" t="inlineStr"/>
      <c r="AA413" s="8" t="inlineStr"/>
      <c r="AB413" s="16" t="inlineStr">
        <is>
          <t>Source formula errors</t>
        </is>
      </c>
      <c r="AC413" s="11" t="inlineStr">
        <is>
          <t>MasterMilitaryOnBaseList 12.2.25 NS.xlsx</t>
        </is>
      </c>
      <c r="AD413" s="11" t="inlineStr">
        <is>
          <t>DOVER AIR FORCE BASE ADVERTISING.docx</t>
        </is>
      </c>
      <c r="AE413" s="15" t="inlineStr">
        <is>
          <t>Open in Box</t>
        </is>
      </c>
      <c r="AF413" s="15" t="inlineStr">
        <is>
          <t>Open in Box</t>
        </is>
      </c>
    </row>
    <row r="414">
      <c r="A414" s="11" t="inlineStr">
        <is>
          <t>DE-DOVERAFB-003</t>
        </is>
      </c>
      <c r="B414" s="8" t="inlineStr">
        <is>
          <t>Dover AFB</t>
        </is>
      </c>
      <c r="C414" s="11" t="inlineStr"/>
      <c r="D414" s="11" t="inlineStr">
        <is>
          <t>DE</t>
        </is>
      </c>
      <c r="E414" s="11" t="inlineStr">
        <is>
          <t>Philadelphia</t>
        </is>
      </c>
      <c r="F414" s="11" t="inlineStr">
        <is>
          <t>19902</t>
        </is>
      </c>
      <c r="G414" s="11" t="inlineStr">
        <is>
          <t>Air Force</t>
        </is>
      </c>
      <c r="H414" s="11" t="inlineStr">
        <is>
          <t>Digital</t>
        </is>
      </c>
      <c r="I414" s="8" t="inlineStr">
        <is>
          <t>Digital Monitor Network</t>
        </is>
      </c>
      <c r="J414" s="11" t="inlineStr">
        <is>
          <t>1920pxW x 1080pxH</t>
        </is>
      </c>
      <c r="K414" s="8" t="inlineStr">
        <is>
          <t>Your ad will appear on 9 digital monitors in approved installation facilities.</t>
        </is>
      </c>
      <c r="L414" s="11" t="n">
        <v>3</v>
      </c>
      <c r="M414" s="12" t="n"/>
      <c r="N414" s="12" t="n">
        <v>750</v>
      </c>
      <c r="O414" s="12" t="n">
        <v>1200</v>
      </c>
      <c r="P414" s="12" t="n">
        <v>1800</v>
      </c>
      <c r="Q414" s="12" t="n">
        <v>0</v>
      </c>
      <c r="R414" s="13">
        <f>IF(ISNUMBER(M414),ROUND(M414/(1-Settings!$B$2)/Settings!$B$3,0)*Settings!$B$3,"")</f>
        <v/>
      </c>
      <c r="S414" s="13">
        <f>IF(ISNUMBER(N414),ROUND(N414/(1-Settings!$B$2)/Settings!$B$3,0)*Settings!$B$3,"")</f>
        <v/>
      </c>
      <c r="T414" s="13">
        <f>IF(ISNUMBER(O414),ROUND(O414/(1-Settings!$B$2)/Settings!$B$3,0)*Settings!$B$3,"")</f>
        <v/>
      </c>
      <c r="U414" s="13">
        <f>IF(ISNUMBER(P414),ROUND(P414/(1-Settings!$B$2)/Settings!$B$3,0)*Settings!$B$3,"")</f>
        <v/>
      </c>
      <c r="V414" s="13">
        <f>IF(ISNUMBER(Q414),ROUND(Q414/(1-Settings!$B$2)/Settings!$B$3,0)*Settings!$B$3,"")</f>
        <v/>
      </c>
      <c r="W414" s="14" t="n">
        <v>3484</v>
      </c>
      <c r="X414" s="14" t="n">
        <v>4234</v>
      </c>
      <c r="Y414" s="11" t="inlineStr"/>
      <c r="Z414" s="11" t="inlineStr"/>
      <c r="AA414" s="8" t="inlineStr">
        <is>
          <t>Inventory master 6/2026 lists Digital Monitor Network at $250 (1 mo)</t>
        </is>
      </c>
      <c r="AB414" s="16" t="inlineStr">
        <is>
          <t>Source formula errors</t>
        </is>
      </c>
      <c r="AC414" s="11" t="inlineStr">
        <is>
          <t>MasterMilitaryOnBaseList 12.2.25 NS.xlsx</t>
        </is>
      </c>
      <c r="AD414" s="11" t="inlineStr">
        <is>
          <t>DOVER AIR FORCE BASE ADVERTISING.docx</t>
        </is>
      </c>
      <c r="AE414" s="15" t="inlineStr">
        <is>
          <t>Open in Box</t>
        </is>
      </c>
      <c r="AF414" s="15" t="inlineStr">
        <is>
          <t>Open in Box</t>
        </is>
      </c>
    </row>
    <row r="415">
      <c r="A415" s="11" t="inlineStr">
        <is>
          <t>DE-DOVERAFB-008</t>
        </is>
      </c>
      <c r="B415" s="8" t="inlineStr">
        <is>
          <t>Dover AFB</t>
        </is>
      </c>
      <c r="C415" s="11" t="inlineStr"/>
      <c r="D415" s="11" t="inlineStr">
        <is>
          <t>DE</t>
        </is>
      </c>
      <c r="E415" s="11" t="inlineStr">
        <is>
          <t>Philadelphia</t>
        </is>
      </c>
      <c r="F415" s="11" t="inlineStr">
        <is>
          <t>19902</t>
        </is>
      </c>
      <c r="G415" s="11" t="inlineStr">
        <is>
          <t>Air Force</t>
        </is>
      </c>
      <c r="H415" s="11" t="inlineStr">
        <is>
          <t>Large Format</t>
        </is>
      </c>
      <c r="I415" s="8" t="inlineStr">
        <is>
          <t>Desk Wrap</t>
        </is>
      </c>
      <c r="J415" s="11" t="inlineStr">
        <is>
          <t>28'W x 3.1'H</t>
        </is>
      </c>
      <c r="K415" s="8" t="inlineStr">
        <is>
          <t>Your ad will appear in approved installation facilities.</t>
        </is>
      </c>
      <c r="L415" s="11" t="n">
        <v>12</v>
      </c>
      <c r="M415" s="12" t="n"/>
      <c r="N415" s="12" t="n"/>
      <c r="O415" s="12" t="n"/>
      <c r="P415" s="12" t="n">
        <v>5600</v>
      </c>
      <c r="Q415" s="12" t="n"/>
      <c r="R415" s="13">
        <f>IF(ISNUMBER(M415),ROUND(M415/(1-Settings!$B$2)/Settings!$B$3,0)*Settings!$B$3,"")</f>
        <v/>
      </c>
      <c r="S415" s="13">
        <f>IF(ISNUMBER(N415),ROUND(N415/(1-Settings!$B$2)/Settings!$B$3,0)*Settings!$B$3,"")</f>
        <v/>
      </c>
      <c r="T415" s="13">
        <f>IF(ISNUMBER(O415),ROUND(O415/(1-Settings!$B$2)/Settings!$B$3,0)*Settings!$B$3,"")</f>
        <v/>
      </c>
      <c r="U415" s="13">
        <f>IF(ISNUMBER(P415),ROUND(P415/(1-Settings!$B$2)/Settings!$B$3,0)*Settings!$B$3,"")</f>
        <v/>
      </c>
      <c r="V415" s="13">
        <f>IF(ISNUMBER(Q415),ROUND(Q415/(1-Settings!$B$2)/Settings!$B$3,0)*Settings!$B$3,"")</f>
        <v/>
      </c>
      <c r="W415" s="14" t="n">
        <v>3484</v>
      </c>
      <c r="X415" s="14" t="n">
        <v>4234</v>
      </c>
      <c r="Y415" s="11" t="inlineStr"/>
      <c r="Z415" s="11" t="inlineStr"/>
      <c r="AA415" s="8" t="inlineStr"/>
      <c r="AB415" s="16" t="inlineStr">
        <is>
          <t>Source formula errors</t>
        </is>
      </c>
      <c r="AC415" s="11" t="inlineStr">
        <is>
          <t>MasterMilitaryOnBaseList 12.2.25 NS.xlsx</t>
        </is>
      </c>
      <c r="AD415" s="11" t="inlineStr">
        <is>
          <t>DOVER AIR FORCE BASE ADVERTISING.docx</t>
        </is>
      </c>
      <c r="AE415" s="15" t="inlineStr">
        <is>
          <t>Open in Box</t>
        </is>
      </c>
      <c r="AF415" s="15" t="inlineStr">
        <is>
          <t>Open in Box</t>
        </is>
      </c>
    </row>
    <row r="416">
      <c r="A416" s="11" t="inlineStr">
        <is>
          <t>DE-DOVERAFB-009</t>
        </is>
      </c>
      <c r="B416" s="8" t="inlineStr">
        <is>
          <t>Dover AFB</t>
        </is>
      </c>
      <c r="C416" s="11" t="inlineStr"/>
      <c r="D416" s="11" t="inlineStr">
        <is>
          <t>DE</t>
        </is>
      </c>
      <c r="E416" s="11" t="inlineStr">
        <is>
          <t>Philadelphia</t>
        </is>
      </c>
      <c r="F416" s="11" t="inlineStr">
        <is>
          <t>19902</t>
        </is>
      </c>
      <c r="G416" s="11" t="inlineStr">
        <is>
          <t>Air Force</t>
        </is>
      </c>
      <c r="H416" s="11" t="inlineStr">
        <is>
          <t>Large Format</t>
        </is>
      </c>
      <c r="I416" s="8" t="inlineStr">
        <is>
          <t>Desk Wraps</t>
        </is>
      </c>
      <c r="J416" s="11" t="inlineStr">
        <is>
          <t>37"H x 28'W</t>
        </is>
      </c>
      <c r="K416" s="8" t="inlineStr">
        <is>
          <t>Your ad will appear on approved desks in the installation.</t>
        </is>
      </c>
      <c r="L416" s="11" t="n">
        <v>12</v>
      </c>
      <c r="M416" s="12" t="n"/>
      <c r="N416" s="12" t="n"/>
      <c r="O416" s="12" t="n"/>
      <c r="P416" s="12" t="n">
        <v>5600</v>
      </c>
      <c r="Q416" s="12" t="n">
        <v>0</v>
      </c>
      <c r="R416" s="13">
        <f>IF(ISNUMBER(M416),ROUND(M416/(1-Settings!$B$2)/Settings!$B$3,0)*Settings!$B$3,"")</f>
        <v/>
      </c>
      <c r="S416" s="13">
        <f>IF(ISNUMBER(N416),ROUND(N416/(1-Settings!$B$2)/Settings!$B$3,0)*Settings!$B$3,"")</f>
        <v/>
      </c>
      <c r="T416" s="13">
        <f>IF(ISNUMBER(O416),ROUND(O416/(1-Settings!$B$2)/Settings!$B$3,0)*Settings!$B$3,"")</f>
        <v/>
      </c>
      <c r="U416" s="13">
        <f>IF(ISNUMBER(P416),ROUND(P416/(1-Settings!$B$2)/Settings!$B$3,0)*Settings!$B$3,"")</f>
        <v/>
      </c>
      <c r="V416" s="13">
        <f>IF(ISNUMBER(Q416),ROUND(Q416/(1-Settings!$B$2)/Settings!$B$3,0)*Settings!$B$3,"")</f>
        <v/>
      </c>
      <c r="W416" s="14" t="n">
        <v>3484</v>
      </c>
      <c r="X416" s="14" t="n">
        <v>4234</v>
      </c>
      <c r="Y416" s="11" t="inlineStr"/>
      <c r="Z416" s="11" t="inlineStr"/>
      <c r="AA416" s="8" t="inlineStr"/>
      <c r="AB416" s="16" t="inlineStr">
        <is>
          <t>Source formula errors</t>
        </is>
      </c>
      <c r="AC416" s="11" t="inlineStr">
        <is>
          <t>MasterMilitaryOnBaseList 12.2.25 NS.xlsx</t>
        </is>
      </c>
      <c r="AD416" s="11" t="inlineStr">
        <is>
          <t>DOVER AIR FORCE BASE ADVERTISING.docx</t>
        </is>
      </c>
      <c r="AE416" s="15" t="inlineStr">
        <is>
          <t>Open in Box</t>
        </is>
      </c>
      <c r="AF416" s="15" t="inlineStr">
        <is>
          <t>Open in Box</t>
        </is>
      </c>
    </row>
    <row r="417">
      <c r="A417" s="11" t="inlineStr">
        <is>
          <t>DE-DOVERAFB-010</t>
        </is>
      </c>
      <c r="B417" s="8" t="inlineStr">
        <is>
          <t>Dover AFB</t>
        </is>
      </c>
      <c r="C417" s="11" t="inlineStr"/>
      <c r="D417" s="11" t="inlineStr">
        <is>
          <t>DE</t>
        </is>
      </c>
      <c r="E417" s="11" t="inlineStr">
        <is>
          <t>Philadelphia</t>
        </is>
      </c>
      <c r="F417" s="11" t="inlineStr">
        <is>
          <t>19902</t>
        </is>
      </c>
      <c r="G417" s="11" t="inlineStr">
        <is>
          <t>Air Force</t>
        </is>
      </c>
      <c r="H417" s="11" t="inlineStr">
        <is>
          <t>Sponsorship &amp; Other</t>
        </is>
      </c>
      <c r="I417" s="8" t="inlineStr">
        <is>
          <t>Table Toppers</t>
        </is>
      </c>
      <c r="J417" s="11" t="inlineStr">
        <is>
          <t>8.5" x 11"H</t>
        </is>
      </c>
      <c r="K417" s="8" t="inlineStr">
        <is>
          <t>Your ad will appear in approved installation facilities.</t>
        </is>
      </c>
      <c r="L417" s="11" t="n">
        <v>3</v>
      </c>
      <c r="M417" s="12" t="n"/>
      <c r="N417" s="12" t="n">
        <v>100</v>
      </c>
      <c r="O417" s="12" t="n">
        <v>215</v>
      </c>
      <c r="P417" s="12" t="n">
        <v>445</v>
      </c>
      <c r="Q417" s="12" t="n"/>
      <c r="R417" s="13">
        <f>IF(ISNUMBER(M417),ROUND(M417/(1-Settings!$B$2)/Settings!$B$3,0)*Settings!$B$3,"")</f>
        <v/>
      </c>
      <c r="S417" s="13">
        <f>IF(ISNUMBER(N417),ROUND(N417/(1-Settings!$B$2)/Settings!$B$3,0)*Settings!$B$3,"")</f>
        <v/>
      </c>
      <c r="T417" s="13">
        <f>IF(ISNUMBER(O417),ROUND(O417/(1-Settings!$B$2)/Settings!$B$3,0)*Settings!$B$3,"")</f>
        <v/>
      </c>
      <c r="U417" s="13">
        <f>IF(ISNUMBER(P417),ROUND(P417/(1-Settings!$B$2)/Settings!$B$3,0)*Settings!$B$3,"")</f>
        <v/>
      </c>
      <c r="V417" s="13">
        <f>IF(ISNUMBER(Q417),ROUND(Q417/(1-Settings!$B$2)/Settings!$B$3,0)*Settings!$B$3,"")</f>
        <v/>
      </c>
      <c r="W417" s="14" t="n">
        <v>3484</v>
      </c>
      <c r="X417" s="14" t="n">
        <v>4234</v>
      </c>
      <c r="Y417" s="11" t="inlineStr"/>
      <c r="Z417" s="11" t="inlineStr"/>
      <c r="AA417" s="8" t="inlineStr"/>
      <c r="AB417" s="16" t="inlineStr">
        <is>
          <t>Source formula errors</t>
        </is>
      </c>
      <c r="AC417" s="11" t="inlineStr">
        <is>
          <t>MasterMilitaryOnBaseList 12.2.25 NS.xlsx</t>
        </is>
      </c>
      <c r="AD417" s="11" t="inlineStr">
        <is>
          <t>DOVER AIR FORCE BASE ADVERTISING.docx</t>
        </is>
      </c>
      <c r="AE417" s="15" t="inlineStr">
        <is>
          <t>Open in Box</t>
        </is>
      </c>
      <c r="AF417" s="15" t="inlineStr">
        <is>
          <t>Open in Box</t>
        </is>
      </c>
    </row>
    <row r="418">
      <c r="A418" s="11" t="inlineStr">
        <is>
          <t>DE-DOVERAFB-011</t>
        </is>
      </c>
      <c r="B418" s="8" t="inlineStr">
        <is>
          <t>Dover AFB</t>
        </is>
      </c>
      <c r="C418" s="11" t="inlineStr"/>
      <c r="D418" s="11" t="inlineStr">
        <is>
          <t>DE</t>
        </is>
      </c>
      <c r="E418" s="11" t="inlineStr">
        <is>
          <t>Philadelphia</t>
        </is>
      </c>
      <c r="F418" s="11" t="inlineStr">
        <is>
          <t>19902</t>
        </is>
      </c>
      <c r="G418" s="11" t="inlineStr">
        <is>
          <t>Air Force</t>
        </is>
      </c>
      <c r="H418" s="11" t="inlineStr">
        <is>
          <t>Sponsorship &amp; Other</t>
        </is>
      </c>
      <c r="I418" s="8" t="inlineStr">
        <is>
          <t>Table/Counter Toppers</t>
        </is>
      </c>
      <c r="J418" s="11" t="inlineStr">
        <is>
          <t>8 1/12" x 11"</t>
        </is>
      </c>
      <c r="K418" s="8" t="inlineStr">
        <is>
          <t>Your ad will appear on approved tables and counters on the installation.</t>
        </is>
      </c>
      <c r="L418" s="11" t="n">
        <v>3</v>
      </c>
      <c r="M418" s="12" t="n"/>
      <c r="N418" s="12" t="n">
        <v>100</v>
      </c>
      <c r="O418" s="12" t="n">
        <v>215</v>
      </c>
      <c r="P418" s="12" t="n">
        <v>445</v>
      </c>
      <c r="Q418" s="12" t="n">
        <v>0</v>
      </c>
      <c r="R418" s="13">
        <f>IF(ISNUMBER(M418),ROUND(M418/(1-Settings!$B$2)/Settings!$B$3,0)*Settings!$B$3,"")</f>
        <v/>
      </c>
      <c r="S418" s="13">
        <f>IF(ISNUMBER(N418),ROUND(N418/(1-Settings!$B$2)/Settings!$B$3,0)*Settings!$B$3,"")</f>
        <v/>
      </c>
      <c r="T418" s="13">
        <f>IF(ISNUMBER(O418),ROUND(O418/(1-Settings!$B$2)/Settings!$B$3,0)*Settings!$B$3,"")</f>
        <v/>
      </c>
      <c r="U418" s="13">
        <f>IF(ISNUMBER(P418),ROUND(P418/(1-Settings!$B$2)/Settings!$B$3,0)*Settings!$B$3,"")</f>
        <v/>
      </c>
      <c r="V418" s="13">
        <f>IF(ISNUMBER(Q418),ROUND(Q418/(1-Settings!$B$2)/Settings!$B$3,0)*Settings!$B$3,"")</f>
        <v/>
      </c>
      <c r="W418" s="14" t="n">
        <v>3484</v>
      </c>
      <c r="X418" s="14" t="n">
        <v>4234</v>
      </c>
      <c r="Y418" s="11" t="inlineStr"/>
      <c r="Z418" s="11" t="inlineStr"/>
      <c r="AA418" s="8" t="inlineStr"/>
      <c r="AB418" s="16" t="inlineStr">
        <is>
          <t>Source formula errors</t>
        </is>
      </c>
      <c r="AC418" s="11" t="inlineStr">
        <is>
          <t>MasterMilitaryOnBaseList 12.2.25 NS.xlsx</t>
        </is>
      </c>
      <c r="AD418" s="11" t="inlineStr">
        <is>
          <t>DOVER AIR FORCE BASE ADVERTISING.docx</t>
        </is>
      </c>
      <c r="AE418" s="15" t="inlineStr">
        <is>
          <t>Open in Box</t>
        </is>
      </c>
      <c r="AF418" s="15" t="inlineStr">
        <is>
          <t>Open in Box</t>
        </is>
      </c>
    </row>
    <row r="419">
      <c r="A419" s="11" t="inlineStr">
        <is>
          <t>DE-DOVERAFB-004</t>
        </is>
      </c>
      <c r="B419" s="8" t="inlineStr">
        <is>
          <t>Dover AFB</t>
        </is>
      </c>
      <c r="C419" s="11" t="inlineStr"/>
      <c r="D419" s="11" t="inlineStr">
        <is>
          <t>DE</t>
        </is>
      </c>
      <c r="E419" s="11" t="inlineStr">
        <is>
          <t>Philadelphia</t>
        </is>
      </c>
      <c r="F419" s="11" t="inlineStr">
        <is>
          <t>19902</t>
        </is>
      </c>
      <c r="G419" s="11" t="inlineStr">
        <is>
          <t>Air Force</t>
        </is>
      </c>
      <c r="H419" s="11" t="inlineStr">
        <is>
          <t>Standard Media</t>
        </is>
      </c>
      <c r="I419" s="8" t="inlineStr">
        <is>
          <t>Banner</t>
        </is>
      </c>
      <c r="J419" s="11" t="inlineStr">
        <is>
          <t>2'W x 4'H</t>
        </is>
      </c>
      <c r="K419" s="8" t="inlineStr">
        <is>
          <t>Your ad will appear in approved installation facilities.</t>
        </is>
      </c>
      <c r="L419" s="11" t="n">
        <v>3</v>
      </c>
      <c r="M419" s="12" t="n"/>
      <c r="N419" s="12" t="n">
        <v>565</v>
      </c>
      <c r="O419" s="12" t="n">
        <v>940</v>
      </c>
      <c r="P419" s="12" t="n">
        <v>1500</v>
      </c>
      <c r="Q419" s="12" t="n">
        <v>175</v>
      </c>
      <c r="R419" s="13">
        <f>IF(ISNUMBER(M419),ROUND(M419/(1-Settings!$B$2)/Settings!$B$3,0)*Settings!$B$3,"")</f>
        <v/>
      </c>
      <c r="S419" s="13">
        <f>IF(ISNUMBER(N419),ROUND(N419/(1-Settings!$B$2)/Settings!$B$3,0)*Settings!$B$3,"")</f>
        <v/>
      </c>
      <c r="T419" s="13">
        <f>IF(ISNUMBER(O419),ROUND(O419/(1-Settings!$B$2)/Settings!$B$3,0)*Settings!$B$3,"")</f>
        <v/>
      </c>
      <c r="U419" s="13">
        <f>IF(ISNUMBER(P419),ROUND(P419/(1-Settings!$B$2)/Settings!$B$3,0)*Settings!$B$3,"")</f>
        <v/>
      </c>
      <c r="V419" s="13">
        <f>IF(ISNUMBER(Q419),ROUND(Q419/(1-Settings!$B$2)/Settings!$B$3,0)*Settings!$B$3,"")</f>
        <v/>
      </c>
      <c r="W419" s="14" t="n">
        <v>3484</v>
      </c>
      <c r="X419" s="14" t="n">
        <v>4234</v>
      </c>
      <c r="Y419" s="11" t="inlineStr"/>
      <c r="Z419" s="11" t="inlineStr"/>
      <c r="AA419" s="8" t="inlineStr"/>
      <c r="AB419" s="16" t="inlineStr">
        <is>
          <t>Source formula errors</t>
        </is>
      </c>
      <c r="AC419" s="11" t="inlineStr">
        <is>
          <t>MasterMilitaryOnBaseList 12.2.25 NS.xlsx</t>
        </is>
      </c>
      <c r="AD419" s="11" t="inlineStr">
        <is>
          <t>DOVER AIR FORCE BASE ADVERTISING.docx</t>
        </is>
      </c>
      <c r="AE419" s="15" t="inlineStr">
        <is>
          <t>Open in Box</t>
        </is>
      </c>
      <c r="AF419" s="15" t="inlineStr">
        <is>
          <t>Open in Box</t>
        </is>
      </c>
    </row>
    <row r="420">
      <c r="A420" s="11" t="inlineStr">
        <is>
          <t>DE-DOVERAFB-005</t>
        </is>
      </c>
      <c r="B420" s="8" t="inlineStr">
        <is>
          <t>Dover AFB</t>
        </is>
      </c>
      <c r="C420" s="11" t="inlineStr"/>
      <c r="D420" s="11" t="inlineStr">
        <is>
          <t>DE</t>
        </is>
      </c>
      <c r="E420" s="11" t="inlineStr">
        <is>
          <t>Philadelphia</t>
        </is>
      </c>
      <c r="F420" s="11" t="inlineStr">
        <is>
          <t>19902</t>
        </is>
      </c>
      <c r="G420" s="11" t="inlineStr">
        <is>
          <t>Air Force</t>
        </is>
      </c>
      <c r="H420" s="11" t="inlineStr">
        <is>
          <t>Standard Media</t>
        </is>
      </c>
      <c r="I420" s="8" t="inlineStr">
        <is>
          <t>Banners</t>
        </is>
      </c>
      <c r="J420" s="11" t="inlineStr">
        <is>
          <t>3' x 4'</t>
        </is>
      </c>
      <c r="K420" s="8" t="inlineStr">
        <is>
          <t>Your ad will appear in approved facilities on the installation.</t>
        </is>
      </c>
      <c r="L420" s="11" t="n">
        <v>3</v>
      </c>
      <c r="M420" s="12" t="n"/>
      <c r="N420" s="12" t="n">
        <v>565</v>
      </c>
      <c r="O420" s="12" t="n">
        <v>940</v>
      </c>
      <c r="P420" s="12" t="n">
        <v>1500</v>
      </c>
      <c r="Q420" s="12" t="n">
        <v>200</v>
      </c>
      <c r="R420" s="13">
        <f>IF(ISNUMBER(M420),ROUND(M420/(1-Settings!$B$2)/Settings!$B$3,0)*Settings!$B$3,"")</f>
        <v/>
      </c>
      <c r="S420" s="13">
        <f>IF(ISNUMBER(N420),ROUND(N420/(1-Settings!$B$2)/Settings!$B$3,0)*Settings!$B$3,"")</f>
        <v/>
      </c>
      <c r="T420" s="13">
        <f>IF(ISNUMBER(O420),ROUND(O420/(1-Settings!$B$2)/Settings!$B$3,0)*Settings!$B$3,"")</f>
        <v/>
      </c>
      <c r="U420" s="13">
        <f>IF(ISNUMBER(P420),ROUND(P420/(1-Settings!$B$2)/Settings!$B$3,0)*Settings!$B$3,"")</f>
        <v/>
      </c>
      <c r="V420" s="13">
        <f>IF(ISNUMBER(Q420),ROUND(Q420/(1-Settings!$B$2)/Settings!$B$3,0)*Settings!$B$3,"")</f>
        <v/>
      </c>
      <c r="W420" s="14" t="n">
        <v>3484</v>
      </c>
      <c r="X420" s="14" t="n">
        <v>4234</v>
      </c>
      <c r="Y420" s="11" t="inlineStr"/>
      <c r="Z420" s="11" t="inlineStr"/>
      <c r="AA420" s="8" t="inlineStr"/>
      <c r="AB420" s="16" t="inlineStr">
        <is>
          <t>Source formula errors</t>
        </is>
      </c>
      <c r="AC420" s="11" t="inlineStr">
        <is>
          <t>MasterMilitaryOnBaseList 12.2.25 NS.xlsx</t>
        </is>
      </c>
      <c r="AD420" s="11" t="inlineStr">
        <is>
          <t>DOVER AIR FORCE BASE ADVERTISING.docx</t>
        </is>
      </c>
      <c r="AE420" s="15" t="inlineStr">
        <is>
          <t>Open in Box</t>
        </is>
      </c>
      <c r="AF420" s="15" t="inlineStr">
        <is>
          <t>Open in Box</t>
        </is>
      </c>
    </row>
    <row r="421">
      <c r="A421" s="11" t="inlineStr">
        <is>
          <t>DE-DOVERAFB-006</t>
        </is>
      </c>
      <c r="B421" s="8" t="inlineStr">
        <is>
          <t>Dover AFB</t>
        </is>
      </c>
      <c r="C421" s="11" t="inlineStr"/>
      <c r="D421" s="11" t="inlineStr">
        <is>
          <t>DE</t>
        </is>
      </c>
      <c r="E421" s="11" t="inlineStr">
        <is>
          <t>Philadelphia</t>
        </is>
      </c>
      <c r="F421" s="11" t="inlineStr">
        <is>
          <t>19902</t>
        </is>
      </c>
      <c r="G421" s="11" t="inlineStr">
        <is>
          <t>Air Force</t>
        </is>
      </c>
      <c r="H421" s="11" t="inlineStr">
        <is>
          <t>Standard Media</t>
        </is>
      </c>
      <c r="I421" s="8" t="inlineStr">
        <is>
          <t>Poster</t>
        </is>
      </c>
      <c r="J421" s="11" t="inlineStr">
        <is>
          <t>22"W x 28"H</t>
        </is>
      </c>
      <c r="K421" s="8" t="inlineStr">
        <is>
          <t>Your ad will appear in approved installation facilities.</t>
        </is>
      </c>
      <c r="L421" s="11" t="n">
        <v>3</v>
      </c>
      <c r="M421" s="12" t="n"/>
      <c r="N421" s="12" t="n">
        <v>150</v>
      </c>
      <c r="O421" s="12" t="n">
        <v>265</v>
      </c>
      <c r="P421" s="12" t="n">
        <v>495</v>
      </c>
      <c r="Q421" s="12" t="n">
        <v>100</v>
      </c>
      <c r="R421" s="13">
        <f>IF(ISNUMBER(M421),ROUND(M421/(1-Settings!$B$2)/Settings!$B$3,0)*Settings!$B$3,"")</f>
        <v/>
      </c>
      <c r="S421" s="13">
        <f>IF(ISNUMBER(N421),ROUND(N421/(1-Settings!$B$2)/Settings!$B$3,0)*Settings!$B$3,"")</f>
        <v/>
      </c>
      <c r="T421" s="13">
        <f>IF(ISNUMBER(O421),ROUND(O421/(1-Settings!$B$2)/Settings!$B$3,0)*Settings!$B$3,"")</f>
        <v/>
      </c>
      <c r="U421" s="13">
        <f>IF(ISNUMBER(P421),ROUND(P421/(1-Settings!$B$2)/Settings!$B$3,0)*Settings!$B$3,"")</f>
        <v/>
      </c>
      <c r="V421" s="13">
        <f>IF(ISNUMBER(Q421),ROUND(Q421/(1-Settings!$B$2)/Settings!$B$3,0)*Settings!$B$3,"")</f>
        <v/>
      </c>
      <c r="W421" s="14" t="n">
        <v>3484</v>
      </c>
      <c r="X421" s="14" t="n">
        <v>4234</v>
      </c>
      <c r="Y421" s="11" t="inlineStr"/>
      <c r="Z421" s="11" t="inlineStr"/>
      <c r="AA421" s="8" t="inlineStr"/>
      <c r="AB421" s="16" t="inlineStr">
        <is>
          <t>Source formula errors</t>
        </is>
      </c>
      <c r="AC421" s="11" t="inlineStr">
        <is>
          <t>MasterMilitaryOnBaseList 12.2.25 NS.xlsx</t>
        </is>
      </c>
      <c r="AD421" s="11" t="inlineStr">
        <is>
          <t>DOVER AIR FORCE BASE ADVERTISING.docx</t>
        </is>
      </c>
      <c r="AE421" s="15" t="inlineStr">
        <is>
          <t>Open in Box</t>
        </is>
      </c>
      <c r="AF421" s="15" t="inlineStr">
        <is>
          <t>Open in Box</t>
        </is>
      </c>
    </row>
    <row r="422">
      <c r="A422" s="11" t="inlineStr">
        <is>
          <t>DE-DOVERAFB-007</t>
        </is>
      </c>
      <c r="B422" s="8" t="inlineStr">
        <is>
          <t>Dover AFB</t>
        </is>
      </c>
      <c r="C422" s="11" t="inlineStr"/>
      <c r="D422" s="11" t="inlineStr">
        <is>
          <t>DE</t>
        </is>
      </c>
      <c r="E422" s="11" t="inlineStr">
        <is>
          <t>Philadelphia</t>
        </is>
      </c>
      <c r="F422" s="11" t="inlineStr">
        <is>
          <t>19902</t>
        </is>
      </c>
      <c r="G422" s="11" t="inlineStr">
        <is>
          <t>Air Force</t>
        </is>
      </c>
      <c r="H422" s="11" t="inlineStr">
        <is>
          <t>Standard Media</t>
        </is>
      </c>
      <c r="I422" s="8" t="inlineStr">
        <is>
          <t>Posters</t>
        </is>
      </c>
      <c r="J422" s="11" t="inlineStr">
        <is>
          <t>22" x 28"</t>
        </is>
      </c>
      <c r="K422" s="8" t="inlineStr">
        <is>
          <t>Your ad will appear in approved facilities on the installation.</t>
        </is>
      </c>
      <c r="L422" s="11" t="n">
        <v>3</v>
      </c>
      <c r="M422" s="12" t="n"/>
      <c r="N422" s="12" t="n">
        <v>150</v>
      </c>
      <c r="O422" s="12" t="n">
        <v>265</v>
      </c>
      <c r="P422" s="12" t="n">
        <v>495</v>
      </c>
      <c r="Q422" s="12" t="n">
        <v>100</v>
      </c>
      <c r="R422" s="13">
        <f>IF(ISNUMBER(M422),ROUND(M422/(1-Settings!$B$2)/Settings!$B$3,0)*Settings!$B$3,"")</f>
        <v/>
      </c>
      <c r="S422" s="13">
        <f>IF(ISNUMBER(N422),ROUND(N422/(1-Settings!$B$2)/Settings!$B$3,0)*Settings!$B$3,"")</f>
        <v/>
      </c>
      <c r="T422" s="13">
        <f>IF(ISNUMBER(O422),ROUND(O422/(1-Settings!$B$2)/Settings!$B$3,0)*Settings!$B$3,"")</f>
        <v/>
      </c>
      <c r="U422" s="13">
        <f>IF(ISNUMBER(P422),ROUND(P422/(1-Settings!$B$2)/Settings!$B$3,0)*Settings!$B$3,"")</f>
        <v/>
      </c>
      <c r="V422" s="13">
        <f>IF(ISNUMBER(Q422),ROUND(Q422/(1-Settings!$B$2)/Settings!$B$3,0)*Settings!$B$3,"")</f>
        <v/>
      </c>
      <c r="W422" s="14" t="n">
        <v>3484</v>
      </c>
      <c r="X422" s="14" t="n">
        <v>4234</v>
      </c>
      <c r="Y422" s="11" t="inlineStr"/>
      <c r="Z422" s="11" t="inlineStr"/>
      <c r="AA422" s="8" t="inlineStr"/>
      <c r="AB422" s="16" t="inlineStr">
        <is>
          <t>Source formula errors</t>
        </is>
      </c>
      <c r="AC422" s="11" t="inlineStr">
        <is>
          <t>MasterMilitaryOnBaseList 12.2.25 NS.xlsx</t>
        </is>
      </c>
      <c r="AD422" s="11" t="inlineStr">
        <is>
          <t>DOVER AIR FORCE BASE ADVERTISING.docx</t>
        </is>
      </c>
      <c r="AE422" s="15" t="inlineStr">
        <is>
          <t>Open in Box</t>
        </is>
      </c>
      <c r="AF422" s="15" t="inlineStr">
        <is>
          <t>Open in Box</t>
        </is>
      </c>
    </row>
    <row r="423">
      <c r="A423" s="11" t="inlineStr">
        <is>
          <t>DE-DOVERAFB-012</t>
        </is>
      </c>
      <c r="B423" s="8" t="inlineStr">
        <is>
          <t>Dover AFB</t>
        </is>
      </c>
      <c r="C423" s="11" t="inlineStr"/>
      <c r="D423" s="11" t="inlineStr">
        <is>
          <t>DE</t>
        </is>
      </c>
      <c r="E423" s="11" t="inlineStr">
        <is>
          <t>Philadelphia</t>
        </is>
      </c>
      <c r="F423" s="11" t="inlineStr"/>
      <c r="G423" s="11" t="inlineStr">
        <is>
          <t>Air Force</t>
        </is>
      </c>
      <c r="H423" s="11" t="inlineStr">
        <is>
          <t>Web &amp; Email</t>
        </is>
      </c>
      <c r="I423" s="8" t="inlineStr">
        <is>
          <t>Web Ad</t>
        </is>
      </c>
      <c r="J423" s="11" t="inlineStr"/>
      <c r="K423" s="8" t="inlineStr">
        <is>
          <t>Your ad will appear on the installation MWR / FSS website.</t>
        </is>
      </c>
      <c r="L423" s="11" t="n">
        <v>3</v>
      </c>
      <c r="M423" s="12" t="n"/>
      <c r="N423" s="12" t="n">
        <v>225</v>
      </c>
      <c r="O423" s="12" t="n"/>
      <c r="P423" s="12" t="n"/>
      <c r="Q423" s="12" t="n"/>
      <c r="R423" s="13">
        <f>IF(ISNUMBER(M423),ROUND(M423/(1-Settings!$B$2)/Settings!$B$3,0)*Settings!$B$3,"")</f>
        <v/>
      </c>
      <c r="S423" s="13">
        <f>IF(ISNUMBER(N423),ROUND(N423/(1-Settings!$B$2)/Settings!$B$3,0)*Settings!$B$3,"")</f>
        <v/>
      </c>
      <c r="T423" s="13">
        <f>IF(ISNUMBER(O423),ROUND(O423/(1-Settings!$B$2)/Settings!$B$3,0)*Settings!$B$3,"")</f>
        <v/>
      </c>
      <c r="U423" s="13">
        <f>IF(ISNUMBER(P423),ROUND(P423/(1-Settings!$B$2)/Settings!$B$3,0)*Settings!$B$3,"")</f>
        <v/>
      </c>
      <c r="V423" s="13">
        <f>IF(ISNUMBER(Q423),ROUND(Q423/(1-Settings!$B$2)/Settings!$B$3,0)*Settings!$B$3,"")</f>
        <v/>
      </c>
      <c r="W423" s="14" t="n">
        <v>3484</v>
      </c>
      <c r="X423" s="14" t="n">
        <v>4234</v>
      </c>
      <c r="Y423" s="11" t="inlineStr">
        <is>
          <t>2026</t>
        </is>
      </c>
      <c r="Z423" s="11" t="inlineStr">
        <is>
          <t>2026-06</t>
        </is>
      </c>
      <c r="AA423" s="8" t="inlineStr">
        <is>
          <t>Sold quarterly</t>
        </is>
      </c>
      <c r="AB423" s="8" t="inlineStr"/>
      <c r="AC423" s="11" t="inlineStr">
        <is>
          <t>Military - National Publication Inventory Master_June 2026.xlsx</t>
        </is>
      </c>
      <c r="AD423" s="11" t="inlineStr">
        <is>
          <t>DOVER AIR FORCE BASE ADVERTISING.docx</t>
        </is>
      </c>
      <c r="AE423" s="15" t="inlineStr">
        <is>
          <t>Open in Box</t>
        </is>
      </c>
      <c r="AF423" s="15" t="inlineStr">
        <is>
          <t>Open in Box</t>
        </is>
      </c>
    </row>
    <row r="424">
      <c r="A424" s="11" t="inlineStr">
        <is>
          <t>FL-EGLINAFB-001</t>
        </is>
      </c>
      <c r="B424" s="8" t="inlineStr">
        <is>
          <t>Eglin AFB</t>
        </is>
      </c>
      <c r="C424" s="11" t="inlineStr"/>
      <c r="D424" s="11" t="inlineStr">
        <is>
          <t>FL</t>
        </is>
      </c>
      <c r="E424" s="11" t="inlineStr">
        <is>
          <t>Mobile-Pensacola (Ft Walt)</t>
        </is>
      </c>
      <c r="F424" s="11" t="inlineStr">
        <is>
          <t>32542</t>
        </is>
      </c>
      <c r="G424" s="11" t="inlineStr">
        <is>
          <t>Air Force</t>
        </is>
      </c>
      <c r="H424" s="11" t="inlineStr">
        <is>
          <t>Digital</t>
        </is>
      </c>
      <c r="I424" s="8" t="inlineStr">
        <is>
          <t>Digital Kiosk Network</t>
        </is>
      </c>
      <c r="J424" s="11" t="inlineStr">
        <is>
          <t>16"W x 9"H</t>
        </is>
      </c>
      <c r="K424" s="8" t="inlineStr">
        <is>
          <t>Your ad will be seen on 20 digital kiosks in approved installation facilities.</t>
        </is>
      </c>
      <c r="L424" s="11" t="n">
        <v>1</v>
      </c>
      <c r="M424" s="12" t="n">
        <v>600</v>
      </c>
      <c r="N424" s="12" t="n">
        <v>1620</v>
      </c>
      <c r="O424" s="12" t="n">
        <v>3060</v>
      </c>
      <c r="P424" s="12" t="n">
        <v>5760</v>
      </c>
      <c r="Q424" s="12" t="n">
        <v>0</v>
      </c>
      <c r="R424" s="13">
        <f>IF(ISNUMBER(M424),ROUND(M424/(1-Settings!$B$2)/Settings!$B$3,0)*Settings!$B$3,"")</f>
        <v/>
      </c>
      <c r="S424" s="13">
        <f>IF(ISNUMBER(N424),ROUND(N424/(1-Settings!$B$2)/Settings!$B$3,0)*Settings!$B$3,"")</f>
        <v/>
      </c>
      <c r="T424" s="13">
        <f>IF(ISNUMBER(O424),ROUND(O424/(1-Settings!$B$2)/Settings!$B$3,0)*Settings!$B$3,"")</f>
        <v/>
      </c>
      <c r="U424" s="13">
        <f>IF(ISNUMBER(P424),ROUND(P424/(1-Settings!$B$2)/Settings!$B$3,0)*Settings!$B$3,"")</f>
        <v/>
      </c>
      <c r="V424" s="13">
        <f>IF(ISNUMBER(Q424),ROUND(Q424/(1-Settings!$B$2)/Settings!$B$3,0)*Settings!$B$3,"")</f>
        <v/>
      </c>
      <c r="W424" s="14" t="n">
        <v>9243</v>
      </c>
      <c r="X424" s="14" t="n">
        <v>12793</v>
      </c>
      <c r="Y424" s="11" t="inlineStr"/>
      <c r="Z424" s="11" t="inlineStr"/>
      <c r="AA424" s="8" t="inlineStr"/>
      <c r="AB424" s="8" t="inlineStr"/>
      <c r="AC424" s="11" t="inlineStr">
        <is>
          <t>MasterMilitaryOnBaseList 12.2.25 NS.xlsx</t>
        </is>
      </c>
      <c r="AD424" s="11" t="inlineStr">
        <is>
          <t>EglinFSS_SP_Event_Pricing_2026.png</t>
        </is>
      </c>
      <c r="AE424" s="15" t="inlineStr">
        <is>
          <t>Open in Box</t>
        </is>
      </c>
      <c r="AF424" s="15" t="inlineStr">
        <is>
          <t>Open in Box</t>
        </is>
      </c>
    </row>
    <row r="425">
      <c r="A425" s="11" t="inlineStr">
        <is>
          <t>FL-EGLINAFB-009</t>
        </is>
      </c>
      <c r="B425" s="8" t="inlineStr">
        <is>
          <t>Eglin AFB</t>
        </is>
      </c>
      <c r="C425" s="11" t="inlineStr"/>
      <c r="D425" s="11" t="inlineStr">
        <is>
          <t>FL</t>
        </is>
      </c>
      <c r="E425" s="11" t="inlineStr">
        <is>
          <t>Mobile-Pensacola (Ft Walt)</t>
        </is>
      </c>
      <c r="F425" s="11" t="inlineStr">
        <is>
          <t>32542</t>
        </is>
      </c>
      <c r="G425" s="11" t="inlineStr">
        <is>
          <t>Air Force</t>
        </is>
      </c>
      <c r="H425" s="11" t="inlineStr">
        <is>
          <t>Large Format</t>
        </is>
      </c>
      <c r="I425" s="8" t="inlineStr">
        <is>
          <t>Large Banner</t>
        </is>
      </c>
      <c r="J425" s="11" t="inlineStr">
        <is>
          <t>16'W x 5'H</t>
        </is>
      </c>
      <c r="K425" s="8" t="inlineStr">
        <is>
          <t>Your ad will appear at an approved installation facility.</t>
        </is>
      </c>
      <c r="L425" s="11" t="n">
        <v>1</v>
      </c>
      <c r="M425" s="12" t="n">
        <v>1000</v>
      </c>
      <c r="N425" s="12" t="n">
        <v>3000</v>
      </c>
      <c r="O425" s="12" t="n">
        <v>6000</v>
      </c>
      <c r="P425" s="12" t="n">
        <v>12000</v>
      </c>
      <c r="Q425" s="12" t="n">
        <v>200</v>
      </c>
      <c r="R425" s="13">
        <f>IF(ISNUMBER(M425),ROUND(M425/(1-Settings!$B$2)/Settings!$B$3,0)*Settings!$B$3,"")</f>
        <v/>
      </c>
      <c r="S425" s="13">
        <f>IF(ISNUMBER(N425),ROUND(N425/(1-Settings!$B$2)/Settings!$B$3,0)*Settings!$B$3,"")</f>
        <v/>
      </c>
      <c r="T425" s="13">
        <f>IF(ISNUMBER(O425),ROUND(O425/(1-Settings!$B$2)/Settings!$B$3,0)*Settings!$B$3,"")</f>
        <v/>
      </c>
      <c r="U425" s="13">
        <f>IF(ISNUMBER(P425),ROUND(P425/(1-Settings!$B$2)/Settings!$B$3,0)*Settings!$B$3,"")</f>
        <v/>
      </c>
      <c r="V425" s="13">
        <f>IF(ISNUMBER(Q425),ROUND(Q425/(1-Settings!$B$2)/Settings!$B$3,0)*Settings!$B$3,"")</f>
        <v/>
      </c>
      <c r="W425" s="14" t="n">
        <v>9243</v>
      </c>
      <c r="X425" s="14" t="n">
        <v>12793</v>
      </c>
      <c r="Y425" s="11" t="inlineStr"/>
      <c r="Z425" s="11" t="inlineStr"/>
      <c r="AA425" s="8" t="inlineStr"/>
      <c r="AB425" s="8" t="inlineStr"/>
      <c r="AC425" s="11" t="inlineStr">
        <is>
          <t>MasterMilitaryOnBaseList 12.2.25 NS.xlsx</t>
        </is>
      </c>
      <c r="AD425" s="11" t="inlineStr">
        <is>
          <t>EglinFSS_SP_Event_Pricing_2026.png</t>
        </is>
      </c>
      <c r="AE425" s="15" t="inlineStr">
        <is>
          <t>Open in Box</t>
        </is>
      </c>
      <c r="AF425" s="15" t="inlineStr">
        <is>
          <t>Open in Box</t>
        </is>
      </c>
    </row>
    <row r="426">
      <c r="A426" s="11" t="inlineStr">
        <is>
          <t>FL-EGLINAFB-010</t>
        </is>
      </c>
      <c r="B426" s="8" t="inlineStr">
        <is>
          <t>Eglin AFB</t>
        </is>
      </c>
      <c r="C426" s="11" t="inlineStr"/>
      <c r="D426" s="11" t="inlineStr">
        <is>
          <t>FL</t>
        </is>
      </c>
      <c r="E426" s="11" t="inlineStr">
        <is>
          <t>Mobile-Pensacola (Ft Walt)</t>
        </is>
      </c>
      <c r="F426" s="11" t="inlineStr">
        <is>
          <t>32542</t>
        </is>
      </c>
      <c r="G426" s="11" t="inlineStr">
        <is>
          <t>Air Force</t>
        </is>
      </c>
      <c r="H426" s="11" t="inlineStr">
        <is>
          <t>Large Format</t>
        </is>
      </c>
      <c r="I426" s="8" t="inlineStr">
        <is>
          <t>Large Banner</t>
        </is>
      </c>
      <c r="J426" s="11" t="inlineStr">
        <is>
          <t>12'W x 4'H</t>
        </is>
      </c>
      <c r="K426" s="8" t="inlineStr">
        <is>
          <t>Your ad will appear at an approved installation facility.</t>
        </is>
      </c>
      <c r="L426" s="11" t="n">
        <v>1</v>
      </c>
      <c r="M426" s="12" t="n">
        <v>600</v>
      </c>
      <c r="N426" s="12" t="n">
        <v>1800</v>
      </c>
      <c r="O426" s="12" t="n">
        <v>3600</v>
      </c>
      <c r="P426" s="12" t="n">
        <v>7200</v>
      </c>
      <c r="Q426" s="12" t="n">
        <v>500</v>
      </c>
      <c r="R426" s="13">
        <f>IF(ISNUMBER(M426),ROUND(M426/(1-Settings!$B$2)/Settings!$B$3,0)*Settings!$B$3,"")</f>
        <v/>
      </c>
      <c r="S426" s="13">
        <f>IF(ISNUMBER(N426),ROUND(N426/(1-Settings!$B$2)/Settings!$B$3,0)*Settings!$B$3,"")</f>
        <v/>
      </c>
      <c r="T426" s="13">
        <f>IF(ISNUMBER(O426),ROUND(O426/(1-Settings!$B$2)/Settings!$B$3,0)*Settings!$B$3,"")</f>
        <v/>
      </c>
      <c r="U426" s="13">
        <f>IF(ISNUMBER(P426),ROUND(P426/(1-Settings!$B$2)/Settings!$B$3,0)*Settings!$B$3,"")</f>
        <v/>
      </c>
      <c r="V426" s="13">
        <f>IF(ISNUMBER(Q426),ROUND(Q426/(1-Settings!$B$2)/Settings!$B$3,0)*Settings!$B$3,"")</f>
        <v/>
      </c>
      <c r="W426" s="14" t="n">
        <v>9243</v>
      </c>
      <c r="X426" s="14" t="n">
        <v>12793</v>
      </c>
      <c r="Y426" s="11" t="inlineStr"/>
      <c r="Z426" s="11" t="inlineStr"/>
      <c r="AA426" s="8" t="inlineStr"/>
      <c r="AB426" s="8" t="inlineStr"/>
      <c r="AC426" s="11" t="inlineStr">
        <is>
          <t>MasterMilitaryOnBaseList 12.2.25 NS.xlsx</t>
        </is>
      </c>
      <c r="AD426" s="11" t="inlineStr">
        <is>
          <t>EglinFSS_SP_Event_Pricing_2026.png</t>
        </is>
      </c>
      <c r="AE426" s="15" t="inlineStr">
        <is>
          <t>Open in Box</t>
        </is>
      </c>
      <c r="AF426" s="15" t="inlineStr">
        <is>
          <t>Open in Box</t>
        </is>
      </c>
    </row>
    <row r="427">
      <c r="A427" s="11" t="inlineStr">
        <is>
          <t>FL-EGLINAFB-011</t>
        </is>
      </c>
      <c r="B427" s="8" t="inlineStr">
        <is>
          <t>Eglin AFB</t>
        </is>
      </c>
      <c r="C427" s="11" t="inlineStr"/>
      <c r="D427" s="11" t="inlineStr">
        <is>
          <t>FL</t>
        </is>
      </c>
      <c r="E427" s="11" t="inlineStr">
        <is>
          <t>Mobile-Pensacola (Ft Walt)</t>
        </is>
      </c>
      <c r="F427" s="11" t="inlineStr">
        <is>
          <t>32542</t>
        </is>
      </c>
      <c r="G427" s="11" t="inlineStr">
        <is>
          <t>Air Force</t>
        </is>
      </c>
      <c r="H427" s="11" t="inlineStr">
        <is>
          <t>Large Format</t>
        </is>
      </c>
      <c r="I427" s="8" t="inlineStr">
        <is>
          <t>Wall/Counter Wraps</t>
        </is>
      </c>
      <c r="J427" s="11" t="inlineStr">
        <is>
          <t>Square footage available based upon request</t>
        </is>
      </c>
      <c r="K427" s="8" t="inlineStr">
        <is>
          <t>Your ad will appear in approved facilities on the installation. (12 month minimum) - $10/sq ft.</t>
        </is>
      </c>
      <c r="L427" s="11" t="n"/>
      <c r="M427" s="12" t="n"/>
      <c r="N427" s="12" t="n"/>
      <c r="O427" s="12" t="n"/>
      <c r="P427" s="12" t="n"/>
      <c r="Q427" s="12" t="n"/>
      <c r="R427" s="13">
        <f>IF(ISNUMBER(M427),ROUND(M427/(1-Settings!$B$2)/Settings!$B$3,0)*Settings!$B$3,"")</f>
        <v/>
      </c>
      <c r="S427" s="13">
        <f>IF(ISNUMBER(N427),ROUND(N427/(1-Settings!$B$2)/Settings!$B$3,0)*Settings!$B$3,"")</f>
        <v/>
      </c>
      <c r="T427" s="13">
        <f>IF(ISNUMBER(O427),ROUND(O427/(1-Settings!$B$2)/Settings!$B$3,0)*Settings!$B$3,"")</f>
        <v/>
      </c>
      <c r="U427" s="13">
        <f>IF(ISNUMBER(P427),ROUND(P427/(1-Settings!$B$2)/Settings!$B$3,0)*Settings!$B$3,"")</f>
        <v/>
      </c>
      <c r="V427" s="13">
        <f>IF(ISNUMBER(Q427),ROUND(Q427/(1-Settings!$B$2)/Settings!$B$3,0)*Settings!$B$3,"")</f>
        <v/>
      </c>
      <c r="W427" s="14" t="n">
        <v>9243</v>
      </c>
      <c r="X427" s="14" t="n">
        <v>12793</v>
      </c>
      <c r="Y427" s="11" t="inlineStr"/>
      <c r="Z427" s="11" t="inlineStr"/>
      <c r="AA427" s="8" t="inlineStr"/>
      <c r="AB427" s="16" t="inlineStr">
        <is>
          <t>No price on file - inquire</t>
        </is>
      </c>
      <c r="AC427" s="11" t="inlineStr">
        <is>
          <t>MasterMilitaryOnBaseList 12.2.25 NS.xlsx</t>
        </is>
      </c>
      <c r="AD427" s="11" t="inlineStr">
        <is>
          <t>EglinFSS_SP_Event_Pricing_2026.png</t>
        </is>
      </c>
      <c r="AE427" s="15" t="inlineStr">
        <is>
          <t>Open in Box</t>
        </is>
      </c>
      <c r="AF427" s="15" t="inlineStr">
        <is>
          <t>Open in Box</t>
        </is>
      </c>
    </row>
    <row r="428">
      <c r="A428" s="11" t="inlineStr">
        <is>
          <t>FL-EGLINAFB-012</t>
        </is>
      </c>
      <c r="B428" s="8" t="inlineStr">
        <is>
          <t>Eglin AFB</t>
        </is>
      </c>
      <c r="C428" s="11" t="inlineStr"/>
      <c r="D428" s="11" t="inlineStr">
        <is>
          <t>FL</t>
        </is>
      </c>
      <c r="E428" s="11" t="inlineStr">
        <is>
          <t>Mobile-Pensacola (Ft Walt)</t>
        </is>
      </c>
      <c r="F428" s="11" t="inlineStr">
        <is>
          <t>32542</t>
        </is>
      </c>
      <c r="G428" s="11" t="inlineStr">
        <is>
          <t>Air Force</t>
        </is>
      </c>
      <c r="H428" s="11" t="inlineStr">
        <is>
          <t>Large Format</t>
        </is>
      </c>
      <c r="I428" s="8" t="inlineStr">
        <is>
          <t>Wall/Counter/Window Wrap/Cling</t>
        </is>
      </c>
      <c r="J428" s="11" t="inlineStr">
        <is>
          <t>Varies</t>
        </is>
      </c>
      <c r="K428" s="8" t="inlineStr">
        <is>
          <t>Your ad will appear at an approved installation facility.</t>
        </is>
      </c>
      <c r="L428" s="11" t="n"/>
      <c r="M428" s="12" t="n"/>
      <c r="N428" s="12" t="n"/>
      <c r="O428" s="12" t="n"/>
      <c r="P428" s="12" t="n"/>
      <c r="Q428" s="12" t="n"/>
      <c r="R428" s="13">
        <f>IF(ISNUMBER(M428),ROUND(M428/(1-Settings!$B$2)/Settings!$B$3,0)*Settings!$B$3,"")</f>
        <v/>
      </c>
      <c r="S428" s="13">
        <f>IF(ISNUMBER(N428),ROUND(N428/(1-Settings!$B$2)/Settings!$B$3,0)*Settings!$B$3,"")</f>
        <v/>
      </c>
      <c r="T428" s="13">
        <f>IF(ISNUMBER(O428),ROUND(O428/(1-Settings!$B$2)/Settings!$B$3,0)*Settings!$B$3,"")</f>
        <v/>
      </c>
      <c r="U428" s="13">
        <f>IF(ISNUMBER(P428),ROUND(P428/(1-Settings!$B$2)/Settings!$B$3,0)*Settings!$B$3,"")</f>
        <v/>
      </c>
      <c r="V428" s="13">
        <f>IF(ISNUMBER(Q428),ROUND(Q428/(1-Settings!$B$2)/Settings!$B$3,0)*Settings!$B$3,"")</f>
        <v/>
      </c>
      <c r="W428" s="14" t="n">
        <v>9243</v>
      </c>
      <c r="X428" s="14" t="n">
        <v>12793</v>
      </c>
      <c r="Y428" s="11" t="inlineStr"/>
      <c r="Z428" s="11" t="inlineStr"/>
      <c r="AA428" s="8" t="inlineStr"/>
      <c r="AB428" s="16" t="inlineStr">
        <is>
          <t>No price on file - inquire; Source formula errors</t>
        </is>
      </c>
      <c r="AC428" s="11" t="inlineStr">
        <is>
          <t>MasterMilitaryOnBaseList 12.2.25 NS.xlsx</t>
        </is>
      </c>
      <c r="AD428" s="11" t="inlineStr">
        <is>
          <t>EglinFSS_SP_Event_Pricing_2026.png</t>
        </is>
      </c>
      <c r="AE428" s="15" t="inlineStr">
        <is>
          <t>Open in Box</t>
        </is>
      </c>
      <c r="AF428" s="15" t="inlineStr">
        <is>
          <t>Open in Box</t>
        </is>
      </c>
    </row>
    <row r="429">
      <c r="A429" s="11" t="inlineStr">
        <is>
          <t>FL-EGLINAFB-013</t>
        </is>
      </c>
      <c r="B429" s="8" t="inlineStr">
        <is>
          <t>Eglin AFB</t>
        </is>
      </c>
      <c r="C429" s="11" t="inlineStr"/>
      <c r="D429" s="11" t="inlineStr">
        <is>
          <t>FL</t>
        </is>
      </c>
      <c r="E429" s="11" t="inlineStr">
        <is>
          <t>Mobile-Pensacola (Ft Walt)</t>
        </is>
      </c>
      <c r="F429" s="11" t="inlineStr">
        <is>
          <t>32542</t>
        </is>
      </c>
      <c r="G429" s="11" t="inlineStr">
        <is>
          <t>Air Force</t>
        </is>
      </c>
      <c r="H429" s="11" t="inlineStr">
        <is>
          <t>Large Format</t>
        </is>
      </c>
      <c r="I429" s="8" t="inlineStr">
        <is>
          <t>XL Banner</t>
        </is>
      </c>
      <c r="J429" s="11" t="inlineStr">
        <is>
          <t>16'W x 5'H</t>
        </is>
      </c>
      <c r="K429" s="8" t="inlineStr">
        <is>
          <t>Your ad will appear at an approved installation facility.</t>
        </is>
      </c>
      <c r="L429" s="11" t="n">
        <v>1</v>
      </c>
      <c r="M429" s="12" t="n">
        <v>1000</v>
      </c>
      <c r="N429" s="12" t="n">
        <v>3000</v>
      </c>
      <c r="O429" s="12" t="n">
        <v>6000</v>
      </c>
      <c r="P429" s="12" t="n">
        <v>12000</v>
      </c>
      <c r="Q429" s="12" t="n">
        <v>900</v>
      </c>
      <c r="R429" s="13">
        <f>IF(ISNUMBER(M429),ROUND(M429/(1-Settings!$B$2)/Settings!$B$3,0)*Settings!$B$3,"")</f>
        <v/>
      </c>
      <c r="S429" s="13">
        <f>IF(ISNUMBER(N429),ROUND(N429/(1-Settings!$B$2)/Settings!$B$3,0)*Settings!$B$3,"")</f>
        <v/>
      </c>
      <c r="T429" s="13">
        <f>IF(ISNUMBER(O429),ROUND(O429/(1-Settings!$B$2)/Settings!$B$3,0)*Settings!$B$3,"")</f>
        <v/>
      </c>
      <c r="U429" s="13">
        <f>IF(ISNUMBER(P429),ROUND(P429/(1-Settings!$B$2)/Settings!$B$3,0)*Settings!$B$3,"")</f>
        <v/>
      </c>
      <c r="V429" s="13">
        <f>IF(ISNUMBER(Q429),ROUND(Q429/(1-Settings!$B$2)/Settings!$B$3,0)*Settings!$B$3,"")</f>
        <v/>
      </c>
      <c r="W429" s="14" t="n">
        <v>9243</v>
      </c>
      <c r="X429" s="14" t="n">
        <v>12793</v>
      </c>
      <c r="Y429" s="11" t="inlineStr"/>
      <c r="Z429" s="11" t="inlineStr"/>
      <c r="AA429" s="8" t="inlineStr"/>
      <c r="AB429" s="8" t="inlineStr"/>
      <c r="AC429" s="11" t="inlineStr">
        <is>
          <t>MasterMilitaryOnBaseList 12.2.25 NS.xlsx</t>
        </is>
      </c>
      <c r="AD429" s="11" t="inlineStr">
        <is>
          <t>EglinFSS_SP_Event_Pricing_2026.png</t>
        </is>
      </c>
      <c r="AE429" s="15" t="inlineStr">
        <is>
          <t>Open in Box</t>
        </is>
      </c>
      <c r="AF429" s="15" t="inlineStr">
        <is>
          <t>Open in Box</t>
        </is>
      </c>
    </row>
    <row r="430">
      <c r="A430" s="11" t="inlineStr">
        <is>
          <t>FL-EGLINAFB-014</t>
        </is>
      </c>
      <c r="B430" s="8" t="inlineStr">
        <is>
          <t>Eglin AFB</t>
        </is>
      </c>
      <c r="C430" s="11" t="inlineStr"/>
      <c r="D430" s="11" t="inlineStr">
        <is>
          <t>FL</t>
        </is>
      </c>
      <c r="E430" s="11" t="inlineStr">
        <is>
          <t>Mobile-Pensacola (Ft Walt)</t>
        </is>
      </c>
      <c r="F430" s="11" t="inlineStr">
        <is>
          <t>32542</t>
        </is>
      </c>
      <c r="G430" s="11" t="inlineStr">
        <is>
          <t>Air Force</t>
        </is>
      </c>
      <c r="H430" s="11" t="inlineStr">
        <is>
          <t>Print &amp; Publications</t>
        </is>
      </c>
      <c r="I430" s="8" t="inlineStr">
        <is>
          <t>Golf Score Cards</t>
        </is>
      </c>
      <c r="J430" s="11" t="inlineStr">
        <is>
          <t>4"W x 2"H</t>
        </is>
      </c>
      <c r="K430" s="8" t="inlineStr">
        <is>
          <t>Your ad will appear on score cards at the Eglin Golf Course. (12 month commitment)</t>
        </is>
      </c>
      <c r="L430" s="11" t="n">
        <v>1</v>
      </c>
      <c r="M430" s="12" t="n">
        <v>75</v>
      </c>
      <c r="N430" s="12" t="n">
        <v>150</v>
      </c>
      <c r="O430" s="12" t="n">
        <v>300</v>
      </c>
      <c r="P430" s="12" t="n">
        <v>600</v>
      </c>
      <c r="Q430" s="12" t="n">
        <v>0</v>
      </c>
      <c r="R430" s="13">
        <f>IF(ISNUMBER(M430),ROUND(M430/(1-Settings!$B$2)/Settings!$B$3,0)*Settings!$B$3,"")</f>
        <v/>
      </c>
      <c r="S430" s="13">
        <f>IF(ISNUMBER(N430),ROUND(N430/(1-Settings!$B$2)/Settings!$B$3,0)*Settings!$B$3,"")</f>
        <v/>
      </c>
      <c r="T430" s="13">
        <f>IF(ISNUMBER(O430),ROUND(O430/(1-Settings!$B$2)/Settings!$B$3,0)*Settings!$B$3,"")</f>
        <v/>
      </c>
      <c r="U430" s="13">
        <f>IF(ISNUMBER(P430),ROUND(P430/(1-Settings!$B$2)/Settings!$B$3,0)*Settings!$B$3,"")</f>
        <v/>
      </c>
      <c r="V430" s="13">
        <f>IF(ISNUMBER(Q430),ROUND(Q430/(1-Settings!$B$2)/Settings!$B$3,0)*Settings!$B$3,"")</f>
        <v/>
      </c>
      <c r="W430" s="14" t="n">
        <v>9243</v>
      </c>
      <c r="X430" s="14" t="n">
        <v>12793</v>
      </c>
      <c r="Y430" s="11" t="inlineStr"/>
      <c r="Z430" s="11" t="inlineStr"/>
      <c r="AA430" s="8" t="inlineStr"/>
      <c r="AB430" s="8" t="inlineStr"/>
      <c r="AC430" s="11" t="inlineStr">
        <is>
          <t>MasterMilitaryOnBaseList 12.2.25 NS.xlsx</t>
        </is>
      </c>
      <c r="AD430" s="11" t="inlineStr">
        <is>
          <t>EglinFSS_SP_Event_Pricing_2026.png</t>
        </is>
      </c>
      <c r="AE430" s="15" t="inlineStr">
        <is>
          <t>Open in Box</t>
        </is>
      </c>
      <c r="AF430" s="15" t="inlineStr">
        <is>
          <t>Open in Box</t>
        </is>
      </c>
    </row>
    <row r="431">
      <c r="A431" s="11" t="inlineStr">
        <is>
          <t>FL-EGLINAFB-015</t>
        </is>
      </c>
      <c r="B431" s="8" t="inlineStr">
        <is>
          <t>Eglin AFB</t>
        </is>
      </c>
      <c r="C431" s="11" t="inlineStr"/>
      <c r="D431" s="11" t="inlineStr">
        <is>
          <t>FL</t>
        </is>
      </c>
      <c r="E431" s="11" t="inlineStr">
        <is>
          <t>Mobile-Pensacola (Ft Walt)</t>
        </is>
      </c>
      <c r="F431" s="11" t="inlineStr">
        <is>
          <t>32542</t>
        </is>
      </c>
      <c r="G431" s="11" t="inlineStr">
        <is>
          <t>Air Force</t>
        </is>
      </c>
      <c r="H431" s="11" t="inlineStr">
        <is>
          <t>Print &amp; Publications</t>
        </is>
      </c>
      <c r="I431" s="8" t="inlineStr">
        <is>
          <t>Golf Scorecard</t>
        </is>
      </c>
      <c r="J431" s="11" t="inlineStr">
        <is>
          <t>4"W x 2"H</t>
        </is>
      </c>
      <c r="K431" s="8" t="inlineStr">
        <is>
          <t>Your ad will appear on the golf course scorecard.</t>
        </is>
      </c>
      <c r="L431" s="11" t="n">
        <v>12</v>
      </c>
      <c r="M431" s="12" t="n"/>
      <c r="N431" s="12" t="n"/>
      <c r="O431" s="12" t="n"/>
      <c r="P431" s="12" t="n">
        <v>900</v>
      </c>
      <c r="Q431" s="12" t="n"/>
      <c r="R431" s="13">
        <f>IF(ISNUMBER(M431),ROUND(M431/(1-Settings!$B$2)/Settings!$B$3,0)*Settings!$B$3,"")</f>
        <v/>
      </c>
      <c r="S431" s="13">
        <f>IF(ISNUMBER(N431),ROUND(N431/(1-Settings!$B$2)/Settings!$B$3,0)*Settings!$B$3,"")</f>
        <v/>
      </c>
      <c r="T431" s="13">
        <f>IF(ISNUMBER(O431),ROUND(O431/(1-Settings!$B$2)/Settings!$B$3,0)*Settings!$B$3,"")</f>
        <v/>
      </c>
      <c r="U431" s="13">
        <f>IF(ISNUMBER(P431),ROUND(P431/(1-Settings!$B$2)/Settings!$B$3,0)*Settings!$B$3,"")</f>
        <v/>
      </c>
      <c r="V431" s="13">
        <f>IF(ISNUMBER(Q431),ROUND(Q431/(1-Settings!$B$2)/Settings!$B$3,0)*Settings!$B$3,"")</f>
        <v/>
      </c>
      <c r="W431" s="14" t="n">
        <v>9243</v>
      </c>
      <c r="X431" s="14" t="n">
        <v>12793</v>
      </c>
      <c r="Y431" s="11" t="inlineStr"/>
      <c r="Z431" s="11" t="inlineStr"/>
      <c r="AA431" s="8" t="inlineStr"/>
      <c r="AB431" s="16" t="inlineStr">
        <is>
          <t>Source formula errors</t>
        </is>
      </c>
      <c r="AC431" s="11" t="inlineStr">
        <is>
          <t>MasterMilitaryOnBaseList 12.2.25 NS.xlsx</t>
        </is>
      </c>
      <c r="AD431" s="11" t="inlineStr">
        <is>
          <t>EglinFSS_SP_Event_Pricing_2026.png</t>
        </is>
      </c>
      <c r="AE431" s="15" t="inlineStr">
        <is>
          <t>Open in Box</t>
        </is>
      </c>
      <c r="AF431" s="15" t="inlineStr">
        <is>
          <t>Open in Box</t>
        </is>
      </c>
    </row>
    <row r="432">
      <c r="A432" s="11" t="inlineStr">
        <is>
          <t>FL-EGLINAFB-016</t>
        </is>
      </c>
      <c r="B432" s="8" t="inlineStr">
        <is>
          <t>Eglin AFB</t>
        </is>
      </c>
      <c r="C432" s="11" t="inlineStr"/>
      <c r="D432" s="11" t="inlineStr">
        <is>
          <t>FL</t>
        </is>
      </c>
      <c r="E432" s="11" t="inlineStr">
        <is>
          <t>Mobile-Pensacola (Ft Walt)</t>
        </is>
      </c>
      <c r="F432" s="11" t="inlineStr">
        <is>
          <t>32542</t>
        </is>
      </c>
      <c r="G432" s="11" t="inlineStr">
        <is>
          <t>Air Force</t>
        </is>
      </c>
      <c r="H432" s="11" t="inlineStr">
        <is>
          <t>Print &amp; Publications</t>
        </is>
      </c>
      <c r="I432" s="8" t="inlineStr">
        <is>
          <t>Newsletter</t>
        </is>
      </c>
      <c r="J432" s="11" t="inlineStr">
        <is>
          <t>TBD</t>
        </is>
      </c>
      <c r="K432" s="8" t="inlineStr">
        <is>
          <t>Your ad will appear on the weekly e-newsletter.</t>
        </is>
      </c>
      <c r="L432" s="11" t="n">
        <v>1</v>
      </c>
      <c r="M432" s="12" t="n">
        <v>180</v>
      </c>
      <c r="N432" s="12" t="n">
        <v>540</v>
      </c>
      <c r="O432" s="12" t="n">
        <v>1080</v>
      </c>
      <c r="P432" s="12" t="n">
        <v>2160</v>
      </c>
      <c r="Q432" s="12" t="n">
        <v>0</v>
      </c>
      <c r="R432" s="13">
        <f>IF(ISNUMBER(M432),ROUND(M432/(1-Settings!$B$2)/Settings!$B$3,0)*Settings!$B$3,"")</f>
        <v/>
      </c>
      <c r="S432" s="13">
        <f>IF(ISNUMBER(N432),ROUND(N432/(1-Settings!$B$2)/Settings!$B$3,0)*Settings!$B$3,"")</f>
        <v/>
      </c>
      <c r="T432" s="13">
        <f>IF(ISNUMBER(O432),ROUND(O432/(1-Settings!$B$2)/Settings!$B$3,0)*Settings!$B$3,"")</f>
        <v/>
      </c>
      <c r="U432" s="13">
        <f>IF(ISNUMBER(P432),ROUND(P432/(1-Settings!$B$2)/Settings!$B$3,0)*Settings!$B$3,"")</f>
        <v/>
      </c>
      <c r="V432" s="13">
        <f>IF(ISNUMBER(Q432),ROUND(Q432/(1-Settings!$B$2)/Settings!$B$3,0)*Settings!$B$3,"")</f>
        <v/>
      </c>
      <c r="W432" s="14" t="n">
        <v>9243</v>
      </c>
      <c r="X432" s="14" t="n">
        <v>12793</v>
      </c>
      <c r="Y432" s="11" t="inlineStr"/>
      <c r="Z432" s="11" t="inlineStr"/>
      <c r="AA432" s="8" t="inlineStr">
        <is>
          <t>Inventory master 6/2026 lists Weekly E-Newsletter Ad at $400 (1 mo)</t>
        </is>
      </c>
      <c r="AB432" s="8" t="inlineStr"/>
      <c r="AC432" s="11" t="inlineStr">
        <is>
          <t>MasterMilitaryOnBaseList 12.2.25 NS.xlsx</t>
        </is>
      </c>
      <c r="AD432" s="11" t="inlineStr">
        <is>
          <t>EglinFSS_SP_Event_Pricing_2026.png</t>
        </is>
      </c>
      <c r="AE432" s="15" t="inlineStr">
        <is>
          <t>Open in Box</t>
        </is>
      </c>
      <c r="AF432" s="15" t="inlineStr">
        <is>
          <t>Open in Box</t>
        </is>
      </c>
    </row>
    <row r="433">
      <c r="A433" s="11" t="inlineStr">
        <is>
          <t>FL-EGLINAFB-017</t>
        </is>
      </c>
      <c r="B433" s="8" t="inlineStr">
        <is>
          <t>Eglin AFB</t>
        </is>
      </c>
      <c r="C433" s="11" t="inlineStr"/>
      <c r="D433" s="11" t="inlineStr">
        <is>
          <t>FL</t>
        </is>
      </c>
      <c r="E433" s="11" t="inlineStr">
        <is>
          <t>Mobile-Pensacola (Ft Walt)</t>
        </is>
      </c>
      <c r="F433" s="11" t="inlineStr">
        <is>
          <t>32542</t>
        </is>
      </c>
      <c r="G433" s="11" t="inlineStr">
        <is>
          <t>Air Force</t>
        </is>
      </c>
      <c r="H433" s="11" t="inlineStr">
        <is>
          <t>Print &amp; Publications</t>
        </is>
      </c>
      <c r="I433" s="8" t="inlineStr">
        <is>
          <t>Newsletter Ads</t>
        </is>
      </c>
      <c r="J433" s="11" t="inlineStr">
        <is>
          <t>16"W x 9"H</t>
        </is>
      </c>
      <c r="K433" s="8" t="inlineStr">
        <is>
          <t>Your ad will appear in a weekly newsletter.</t>
        </is>
      </c>
      <c r="L433" s="11" t="n">
        <v>1</v>
      </c>
      <c r="M433" s="12" t="n">
        <v>180</v>
      </c>
      <c r="N433" s="12" t="n">
        <v>360</v>
      </c>
      <c r="O433" s="12" t="n">
        <v>720</v>
      </c>
      <c r="P433" s="12" t="n">
        <v>1440</v>
      </c>
      <c r="Q433" s="12" t="n">
        <v>0</v>
      </c>
      <c r="R433" s="13">
        <f>IF(ISNUMBER(M433),ROUND(M433/(1-Settings!$B$2)/Settings!$B$3,0)*Settings!$B$3,"")</f>
        <v/>
      </c>
      <c r="S433" s="13">
        <f>IF(ISNUMBER(N433),ROUND(N433/(1-Settings!$B$2)/Settings!$B$3,0)*Settings!$B$3,"")</f>
        <v/>
      </c>
      <c r="T433" s="13">
        <f>IF(ISNUMBER(O433),ROUND(O433/(1-Settings!$B$2)/Settings!$B$3,0)*Settings!$B$3,"")</f>
        <v/>
      </c>
      <c r="U433" s="13">
        <f>IF(ISNUMBER(P433),ROUND(P433/(1-Settings!$B$2)/Settings!$B$3,0)*Settings!$B$3,"")</f>
        <v/>
      </c>
      <c r="V433" s="13">
        <f>IF(ISNUMBER(Q433),ROUND(Q433/(1-Settings!$B$2)/Settings!$B$3,0)*Settings!$B$3,"")</f>
        <v/>
      </c>
      <c r="W433" s="14" t="n">
        <v>9243</v>
      </c>
      <c r="X433" s="14" t="n">
        <v>12793</v>
      </c>
      <c r="Y433" s="11" t="inlineStr"/>
      <c r="Z433" s="11" t="inlineStr"/>
      <c r="AA433" s="8" t="inlineStr">
        <is>
          <t>Inventory master 6/2026 lists Weekly E-Newsletter Ad at $400 (1 mo)</t>
        </is>
      </c>
      <c r="AB433" s="8" t="inlineStr"/>
      <c r="AC433" s="11" t="inlineStr">
        <is>
          <t>MasterMilitaryOnBaseList 12.2.25 NS.xlsx</t>
        </is>
      </c>
      <c r="AD433" s="11" t="inlineStr">
        <is>
          <t>EglinFSS_SP_Event_Pricing_2026.png</t>
        </is>
      </c>
      <c r="AE433" s="15" t="inlineStr">
        <is>
          <t>Open in Box</t>
        </is>
      </c>
      <c r="AF433" s="15" t="inlineStr">
        <is>
          <t>Open in Box</t>
        </is>
      </c>
    </row>
    <row r="434">
      <c r="A434" s="11" t="inlineStr">
        <is>
          <t>FL-EGLINAFB-002</t>
        </is>
      </c>
      <c r="B434" s="8" t="inlineStr">
        <is>
          <t>Eglin AFB</t>
        </is>
      </c>
      <c r="C434" s="11" t="inlineStr"/>
      <c r="D434" s="11" t="inlineStr">
        <is>
          <t>FL</t>
        </is>
      </c>
      <c r="E434" s="11" t="inlineStr">
        <is>
          <t>Mobile-Pensacola (Ft Walt)</t>
        </is>
      </c>
      <c r="F434" s="11" t="inlineStr">
        <is>
          <t>32542</t>
        </is>
      </c>
      <c r="G434" s="11" t="inlineStr">
        <is>
          <t>Air Force</t>
        </is>
      </c>
      <c r="H434" s="11" t="inlineStr">
        <is>
          <t>Standard Media</t>
        </is>
      </c>
      <c r="I434" s="8" t="inlineStr">
        <is>
          <t>Banner</t>
        </is>
      </c>
      <c r="J434" s="11" t="inlineStr">
        <is>
          <t>8'W x 3'H</t>
        </is>
      </c>
      <c r="K434" s="8" t="inlineStr">
        <is>
          <t>Your ad will appear at an approved installation facility.</t>
        </is>
      </c>
      <c r="L434" s="11" t="n">
        <v>1</v>
      </c>
      <c r="M434" s="12" t="n">
        <v>500</v>
      </c>
      <c r="N434" s="12" t="n">
        <v>1500</v>
      </c>
      <c r="O434" s="12" t="n">
        <v>3000</v>
      </c>
      <c r="P434" s="12" t="n">
        <v>6000</v>
      </c>
      <c r="Q434" s="12" t="n">
        <v>250</v>
      </c>
      <c r="R434" s="13">
        <f>IF(ISNUMBER(M434),ROUND(M434/(1-Settings!$B$2)/Settings!$B$3,0)*Settings!$B$3,"")</f>
        <v/>
      </c>
      <c r="S434" s="13">
        <f>IF(ISNUMBER(N434),ROUND(N434/(1-Settings!$B$2)/Settings!$B$3,0)*Settings!$B$3,"")</f>
        <v/>
      </c>
      <c r="T434" s="13">
        <f>IF(ISNUMBER(O434),ROUND(O434/(1-Settings!$B$2)/Settings!$B$3,0)*Settings!$B$3,"")</f>
        <v/>
      </c>
      <c r="U434" s="13">
        <f>IF(ISNUMBER(P434),ROUND(P434/(1-Settings!$B$2)/Settings!$B$3,0)*Settings!$B$3,"")</f>
        <v/>
      </c>
      <c r="V434" s="13">
        <f>IF(ISNUMBER(Q434),ROUND(Q434/(1-Settings!$B$2)/Settings!$B$3,0)*Settings!$B$3,"")</f>
        <v/>
      </c>
      <c r="W434" s="14" t="n">
        <v>9243</v>
      </c>
      <c r="X434" s="14" t="n">
        <v>12793</v>
      </c>
      <c r="Y434" s="11" t="inlineStr"/>
      <c r="Z434" s="11" t="inlineStr"/>
      <c r="AA434" s="8" t="inlineStr"/>
      <c r="AB434" s="8" t="inlineStr"/>
      <c r="AC434" s="11" t="inlineStr">
        <is>
          <t>MasterMilitaryOnBaseList 12.2.25 NS.xlsx</t>
        </is>
      </c>
      <c r="AD434" s="11" t="inlineStr">
        <is>
          <t>EglinFSS_SP_Event_Pricing_2026.png</t>
        </is>
      </c>
      <c r="AE434" s="15" t="inlineStr">
        <is>
          <t>Open in Box</t>
        </is>
      </c>
      <c r="AF434" s="15" t="inlineStr">
        <is>
          <t>Open in Box</t>
        </is>
      </c>
    </row>
    <row r="435">
      <c r="A435" s="11" t="inlineStr">
        <is>
          <t>FL-EGLINAFB-003</t>
        </is>
      </c>
      <c r="B435" s="8" t="inlineStr">
        <is>
          <t>Eglin AFB</t>
        </is>
      </c>
      <c r="C435" s="11" t="inlineStr"/>
      <c r="D435" s="11" t="inlineStr">
        <is>
          <t>FL</t>
        </is>
      </c>
      <c r="E435" s="11" t="inlineStr">
        <is>
          <t>Mobile-Pensacola (Ft Walt)</t>
        </is>
      </c>
      <c r="F435" s="11" t="inlineStr">
        <is>
          <t>32542</t>
        </is>
      </c>
      <c r="G435" s="11" t="inlineStr">
        <is>
          <t>Air Force</t>
        </is>
      </c>
      <c r="H435" s="11" t="inlineStr">
        <is>
          <t>Standard Media</t>
        </is>
      </c>
      <c r="I435" s="8" t="inlineStr">
        <is>
          <t>Countertop Display</t>
        </is>
      </c>
      <c r="J435" s="11" t="inlineStr">
        <is>
          <t>TBD</t>
        </is>
      </c>
      <c r="K435" s="8" t="inlineStr">
        <is>
          <t>Your ad will appear on approved counters in facilities on the installation. (3 month minimum purchase)</t>
        </is>
      </c>
      <c r="L435" s="11" t="n">
        <v>3</v>
      </c>
      <c r="M435" s="12" t="n"/>
      <c r="N435" s="12" t="n">
        <v>450</v>
      </c>
      <c r="O435" s="12" t="n">
        <v>900</v>
      </c>
      <c r="P435" s="12" t="n">
        <v>1800</v>
      </c>
      <c r="Q435" s="12" t="n">
        <v>0</v>
      </c>
      <c r="R435" s="13">
        <f>IF(ISNUMBER(M435),ROUND(M435/(1-Settings!$B$2)/Settings!$B$3,0)*Settings!$B$3,"")</f>
        <v/>
      </c>
      <c r="S435" s="13">
        <f>IF(ISNUMBER(N435),ROUND(N435/(1-Settings!$B$2)/Settings!$B$3,0)*Settings!$B$3,"")</f>
        <v/>
      </c>
      <c r="T435" s="13">
        <f>IF(ISNUMBER(O435),ROUND(O435/(1-Settings!$B$2)/Settings!$B$3,0)*Settings!$B$3,"")</f>
        <v/>
      </c>
      <c r="U435" s="13">
        <f>IF(ISNUMBER(P435),ROUND(P435/(1-Settings!$B$2)/Settings!$B$3,0)*Settings!$B$3,"")</f>
        <v/>
      </c>
      <c r="V435" s="13">
        <f>IF(ISNUMBER(Q435),ROUND(Q435/(1-Settings!$B$2)/Settings!$B$3,0)*Settings!$B$3,"")</f>
        <v/>
      </c>
      <c r="W435" s="14" t="n">
        <v>9243</v>
      </c>
      <c r="X435" s="14" t="n">
        <v>12793</v>
      </c>
      <c r="Y435" s="11" t="inlineStr"/>
      <c r="Z435" s="11" t="inlineStr"/>
      <c r="AA435" s="8" t="inlineStr"/>
      <c r="AB435" s="8" t="inlineStr"/>
      <c r="AC435" s="11" t="inlineStr">
        <is>
          <t>MasterMilitaryOnBaseList 12.2.25 NS.xlsx</t>
        </is>
      </c>
      <c r="AD435" s="11" t="inlineStr">
        <is>
          <t>EglinFSS_SP_Event_Pricing_2026.png</t>
        </is>
      </c>
      <c r="AE435" s="15" t="inlineStr">
        <is>
          <t>Open in Box</t>
        </is>
      </c>
      <c r="AF435" s="15" t="inlineStr">
        <is>
          <t>Open in Box</t>
        </is>
      </c>
    </row>
    <row r="436">
      <c r="A436" s="11" t="inlineStr">
        <is>
          <t>FL-EGLINAFB-004</t>
        </is>
      </c>
      <c r="B436" s="8" t="inlineStr">
        <is>
          <t>Eglin AFB</t>
        </is>
      </c>
      <c r="C436" s="11" t="inlineStr"/>
      <c r="D436" s="11" t="inlineStr">
        <is>
          <t>FL</t>
        </is>
      </c>
      <c r="E436" s="11" t="inlineStr">
        <is>
          <t>Mobile-Pensacola (Ft Walt)</t>
        </is>
      </c>
      <c r="F436" s="11" t="inlineStr">
        <is>
          <t>32542</t>
        </is>
      </c>
      <c r="G436" s="11" t="inlineStr">
        <is>
          <t>Air Force</t>
        </is>
      </c>
      <c r="H436" s="11" t="inlineStr">
        <is>
          <t>Standard Media</t>
        </is>
      </c>
      <c r="I436" s="8" t="inlineStr">
        <is>
          <t>Countertop Display</t>
        </is>
      </c>
      <c r="J436" s="11" t="inlineStr">
        <is>
          <t>TBD</t>
        </is>
      </c>
      <c r="K436" s="8" t="inlineStr">
        <is>
          <t>Your ad will appear at an approved installation facility.</t>
        </is>
      </c>
      <c r="L436" s="11" t="n">
        <v>3</v>
      </c>
      <c r="M436" s="12" t="n"/>
      <c r="N436" s="12" t="n">
        <v>450</v>
      </c>
      <c r="O436" s="12" t="n">
        <v>900</v>
      </c>
      <c r="P436" s="12" t="n">
        <v>1800</v>
      </c>
      <c r="Q436" s="12" t="n"/>
      <c r="R436" s="13">
        <f>IF(ISNUMBER(M436),ROUND(M436/(1-Settings!$B$2)/Settings!$B$3,0)*Settings!$B$3,"")</f>
        <v/>
      </c>
      <c r="S436" s="13">
        <f>IF(ISNUMBER(N436),ROUND(N436/(1-Settings!$B$2)/Settings!$B$3,0)*Settings!$B$3,"")</f>
        <v/>
      </c>
      <c r="T436" s="13">
        <f>IF(ISNUMBER(O436),ROUND(O436/(1-Settings!$B$2)/Settings!$B$3,0)*Settings!$B$3,"")</f>
        <v/>
      </c>
      <c r="U436" s="13">
        <f>IF(ISNUMBER(P436),ROUND(P436/(1-Settings!$B$2)/Settings!$B$3,0)*Settings!$B$3,"")</f>
        <v/>
      </c>
      <c r="V436" s="13">
        <f>IF(ISNUMBER(Q436),ROUND(Q436/(1-Settings!$B$2)/Settings!$B$3,0)*Settings!$B$3,"")</f>
        <v/>
      </c>
      <c r="W436" s="14" t="n">
        <v>9243</v>
      </c>
      <c r="X436" s="14" t="n">
        <v>12793</v>
      </c>
      <c r="Y436" s="11" t="inlineStr"/>
      <c r="Z436" s="11" t="inlineStr"/>
      <c r="AA436" s="8" t="inlineStr"/>
      <c r="AB436" s="16" t="inlineStr">
        <is>
          <t>Source formula errors</t>
        </is>
      </c>
      <c r="AC436" s="11" t="inlineStr">
        <is>
          <t>MasterMilitaryOnBaseList 12.2.25 NS.xlsx</t>
        </is>
      </c>
      <c r="AD436" s="11" t="inlineStr">
        <is>
          <t>EglinFSS_SP_Event_Pricing_2026.png</t>
        </is>
      </c>
      <c r="AE436" s="15" t="inlineStr">
        <is>
          <t>Open in Box</t>
        </is>
      </c>
      <c r="AF436" s="15" t="inlineStr">
        <is>
          <t>Open in Box</t>
        </is>
      </c>
    </row>
    <row r="437">
      <c r="A437" s="11" t="inlineStr">
        <is>
          <t>FL-EGLINAFB-005</t>
        </is>
      </c>
      <c r="B437" s="8" t="inlineStr">
        <is>
          <t>Eglin AFB</t>
        </is>
      </c>
      <c r="C437" s="11" t="inlineStr"/>
      <c r="D437" s="11" t="inlineStr">
        <is>
          <t>FL</t>
        </is>
      </c>
      <c r="E437" s="11" t="inlineStr">
        <is>
          <t>Mobile-Pensacola (Ft Walt)</t>
        </is>
      </c>
      <c r="F437" s="11" t="inlineStr">
        <is>
          <t>32542</t>
        </is>
      </c>
      <c r="G437" s="11" t="inlineStr">
        <is>
          <t>Air Force</t>
        </is>
      </c>
      <c r="H437" s="11" t="inlineStr">
        <is>
          <t>Standard Media</t>
        </is>
      </c>
      <c r="I437" s="8" t="inlineStr">
        <is>
          <t>Golf Tee Markers</t>
        </is>
      </c>
      <c r="J437" s="11" t="inlineStr">
        <is>
          <t>TBD</t>
        </is>
      </c>
      <c r="K437" s="8" t="inlineStr">
        <is>
          <t>Your ad will appear on tees at the Eglin Golf Course (minimum of a 12 month purchase, $1,125 for 2 ads)</t>
        </is>
      </c>
      <c r="L437" s="11" t="n">
        <v>12</v>
      </c>
      <c r="M437" s="12" t="n"/>
      <c r="N437" s="12" t="n"/>
      <c r="O437" s="12" t="n"/>
      <c r="P437" s="12" t="n">
        <v>560</v>
      </c>
      <c r="Q437" s="12" t="n"/>
      <c r="R437" s="13">
        <f>IF(ISNUMBER(M437),ROUND(M437/(1-Settings!$B$2)/Settings!$B$3,0)*Settings!$B$3,"")</f>
        <v/>
      </c>
      <c r="S437" s="13">
        <f>IF(ISNUMBER(N437),ROUND(N437/(1-Settings!$B$2)/Settings!$B$3,0)*Settings!$B$3,"")</f>
        <v/>
      </c>
      <c r="T437" s="13">
        <f>IF(ISNUMBER(O437),ROUND(O437/(1-Settings!$B$2)/Settings!$B$3,0)*Settings!$B$3,"")</f>
        <v/>
      </c>
      <c r="U437" s="13">
        <f>IF(ISNUMBER(P437),ROUND(P437/(1-Settings!$B$2)/Settings!$B$3,0)*Settings!$B$3,"")</f>
        <v/>
      </c>
      <c r="V437" s="13">
        <f>IF(ISNUMBER(Q437),ROUND(Q437/(1-Settings!$B$2)/Settings!$B$3,0)*Settings!$B$3,"")</f>
        <v/>
      </c>
      <c r="W437" s="14" t="n">
        <v>9243</v>
      </c>
      <c r="X437" s="14" t="n">
        <v>12793</v>
      </c>
      <c r="Y437" s="11" t="inlineStr"/>
      <c r="Z437" s="11" t="inlineStr"/>
      <c r="AA437" s="8" t="inlineStr"/>
      <c r="AB437" s="8" t="inlineStr"/>
      <c r="AC437" s="11" t="inlineStr">
        <is>
          <t>MasterMilitaryOnBaseList 12.2.25 NS.xlsx</t>
        </is>
      </c>
      <c r="AD437" s="11" t="inlineStr">
        <is>
          <t>EglinFSS_SP_Event_Pricing_2026.png</t>
        </is>
      </c>
      <c r="AE437" s="15" t="inlineStr">
        <is>
          <t>Open in Box</t>
        </is>
      </c>
      <c r="AF437" s="15" t="inlineStr">
        <is>
          <t>Open in Box</t>
        </is>
      </c>
    </row>
    <row r="438">
      <c r="A438" s="11" t="inlineStr">
        <is>
          <t>FL-EGLINAFB-006</t>
        </is>
      </c>
      <c r="B438" s="8" t="inlineStr">
        <is>
          <t>Eglin AFB</t>
        </is>
      </c>
      <c r="C438" s="11" t="inlineStr"/>
      <c r="D438" s="11" t="inlineStr">
        <is>
          <t>FL</t>
        </is>
      </c>
      <c r="E438" s="11" t="inlineStr">
        <is>
          <t>Mobile-Pensacola (Ft Walt)</t>
        </is>
      </c>
      <c r="F438" s="11" t="inlineStr">
        <is>
          <t>32542</t>
        </is>
      </c>
      <c r="G438" s="11" t="inlineStr">
        <is>
          <t>Air Force</t>
        </is>
      </c>
      <c r="H438" s="11" t="inlineStr">
        <is>
          <t>Standard Media</t>
        </is>
      </c>
      <c r="I438" s="8" t="inlineStr">
        <is>
          <t>Golf Tee Markers</t>
        </is>
      </c>
      <c r="J438" s="11" t="inlineStr">
        <is>
          <t>TBD</t>
        </is>
      </c>
      <c r="K438" s="8" t="inlineStr">
        <is>
          <t>Your ad will appear at each golf course.</t>
        </is>
      </c>
      <c r="L438" s="11" t="n">
        <v>12</v>
      </c>
      <c r="M438" s="12" t="n"/>
      <c r="N438" s="12" t="n"/>
      <c r="O438" s="12" t="n"/>
      <c r="P438" s="12" t="n">
        <v>560</v>
      </c>
      <c r="Q438" s="12" t="n"/>
      <c r="R438" s="13">
        <f>IF(ISNUMBER(M438),ROUND(M438/(1-Settings!$B$2)/Settings!$B$3,0)*Settings!$B$3,"")</f>
        <v/>
      </c>
      <c r="S438" s="13">
        <f>IF(ISNUMBER(N438),ROUND(N438/(1-Settings!$B$2)/Settings!$B$3,0)*Settings!$B$3,"")</f>
        <v/>
      </c>
      <c r="T438" s="13">
        <f>IF(ISNUMBER(O438),ROUND(O438/(1-Settings!$B$2)/Settings!$B$3,0)*Settings!$B$3,"")</f>
        <v/>
      </c>
      <c r="U438" s="13">
        <f>IF(ISNUMBER(P438),ROUND(P438/(1-Settings!$B$2)/Settings!$B$3,0)*Settings!$B$3,"")</f>
        <v/>
      </c>
      <c r="V438" s="13">
        <f>IF(ISNUMBER(Q438),ROUND(Q438/(1-Settings!$B$2)/Settings!$B$3,0)*Settings!$B$3,"")</f>
        <v/>
      </c>
      <c r="W438" s="14" t="n">
        <v>9243</v>
      </c>
      <c r="X438" s="14" t="n">
        <v>12793</v>
      </c>
      <c r="Y438" s="11" t="inlineStr"/>
      <c r="Z438" s="11" t="inlineStr"/>
      <c r="AA438" s="8" t="inlineStr"/>
      <c r="AB438" s="16" t="inlineStr">
        <is>
          <t>Source formula errors</t>
        </is>
      </c>
      <c r="AC438" s="11" t="inlineStr">
        <is>
          <t>MasterMilitaryOnBaseList 12.2.25 NS.xlsx</t>
        </is>
      </c>
      <c r="AD438" s="11" t="inlineStr">
        <is>
          <t>EglinFSS_SP_Event_Pricing_2026.png</t>
        </is>
      </c>
      <c r="AE438" s="15" t="inlineStr">
        <is>
          <t>Open in Box</t>
        </is>
      </c>
      <c r="AF438" s="15" t="inlineStr">
        <is>
          <t>Open in Box</t>
        </is>
      </c>
    </row>
    <row r="439">
      <c r="A439" s="11" t="inlineStr">
        <is>
          <t>FL-EGLINAFB-007</t>
        </is>
      </c>
      <c r="B439" s="8" t="inlineStr">
        <is>
          <t>Eglin AFB</t>
        </is>
      </c>
      <c r="C439" s="11" t="inlineStr"/>
      <c r="D439" s="11" t="inlineStr">
        <is>
          <t>FL</t>
        </is>
      </c>
      <c r="E439" s="11" t="inlineStr">
        <is>
          <t>Mobile-Pensacola (Ft Walt)</t>
        </is>
      </c>
      <c r="F439" s="11" t="inlineStr">
        <is>
          <t>32542</t>
        </is>
      </c>
      <c r="G439" s="11" t="inlineStr">
        <is>
          <t>Air Force</t>
        </is>
      </c>
      <c r="H439" s="11" t="inlineStr">
        <is>
          <t>Standard Media</t>
        </is>
      </c>
      <c r="I439" s="8" t="inlineStr">
        <is>
          <t>Medium Banner</t>
        </is>
      </c>
      <c r="J439" s="11" t="inlineStr">
        <is>
          <t>12'W x 4'H</t>
        </is>
      </c>
      <c r="K439" s="8" t="inlineStr">
        <is>
          <t>Your ad will appear at an approved installation facility.</t>
        </is>
      </c>
      <c r="L439" s="11" t="n">
        <v>1</v>
      </c>
      <c r="M439" s="12" t="n">
        <v>600</v>
      </c>
      <c r="N439" s="12" t="n">
        <v>1800</v>
      </c>
      <c r="O439" s="12" t="n">
        <v>3600</v>
      </c>
      <c r="P439" s="12" t="n">
        <v>7200</v>
      </c>
      <c r="Q439" s="12" t="n">
        <v>200</v>
      </c>
      <c r="R439" s="13">
        <f>IF(ISNUMBER(M439),ROUND(M439/(1-Settings!$B$2)/Settings!$B$3,0)*Settings!$B$3,"")</f>
        <v/>
      </c>
      <c r="S439" s="13">
        <f>IF(ISNUMBER(N439),ROUND(N439/(1-Settings!$B$2)/Settings!$B$3,0)*Settings!$B$3,"")</f>
        <v/>
      </c>
      <c r="T439" s="13">
        <f>IF(ISNUMBER(O439),ROUND(O439/(1-Settings!$B$2)/Settings!$B$3,0)*Settings!$B$3,"")</f>
        <v/>
      </c>
      <c r="U439" s="13">
        <f>IF(ISNUMBER(P439),ROUND(P439/(1-Settings!$B$2)/Settings!$B$3,0)*Settings!$B$3,"")</f>
        <v/>
      </c>
      <c r="V439" s="13">
        <f>IF(ISNUMBER(Q439),ROUND(Q439/(1-Settings!$B$2)/Settings!$B$3,0)*Settings!$B$3,"")</f>
        <v/>
      </c>
      <c r="W439" s="14" t="n">
        <v>9243</v>
      </c>
      <c r="X439" s="14" t="n">
        <v>12793</v>
      </c>
      <c r="Y439" s="11" t="inlineStr"/>
      <c r="Z439" s="11" t="inlineStr"/>
      <c r="AA439" s="8" t="inlineStr"/>
      <c r="AB439" s="8" t="inlineStr"/>
      <c r="AC439" s="11" t="inlineStr">
        <is>
          <t>MasterMilitaryOnBaseList 12.2.25 NS.xlsx</t>
        </is>
      </c>
      <c r="AD439" s="11" t="inlineStr">
        <is>
          <t>EglinFSS_SP_Event_Pricing_2026.png</t>
        </is>
      </c>
      <c r="AE439" s="15" t="inlineStr">
        <is>
          <t>Open in Box</t>
        </is>
      </c>
      <c r="AF439" s="15" t="inlineStr">
        <is>
          <t>Open in Box</t>
        </is>
      </c>
    </row>
    <row r="440">
      <c r="A440" s="11" t="inlineStr">
        <is>
          <t>FL-EGLINAFB-008</t>
        </is>
      </c>
      <c r="B440" s="8" t="inlineStr">
        <is>
          <t>Eglin AFB</t>
        </is>
      </c>
      <c r="C440" s="11" t="inlineStr"/>
      <c r="D440" s="11" t="inlineStr">
        <is>
          <t>FL</t>
        </is>
      </c>
      <c r="E440" s="11" t="inlineStr">
        <is>
          <t>Mobile-Pensacola (Ft Walt)</t>
        </is>
      </c>
      <c r="F440" s="11" t="inlineStr">
        <is>
          <t>32542</t>
        </is>
      </c>
      <c r="G440" s="11" t="inlineStr">
        <is>
          <t>Air Force</t>
        </is>
      </c>
      <c r="H440" s="11" t="inlineStr">
        <is>
          <t>Standard Media</t>
        </is>
      </c>
      <c r="I440" s="8" t="inlineStr">
        <is>
          <t>Small Banner</t>
        </is>
      </c>
      <c r="J440" s="11" t="inlineStr">
        <is>
          <t>8'W x 3'H</t>
        </is>
      </c>
      <c r="K440" s="8" t="inlineStr">
        <is>
          <t>Your ad will appear at an approved installation facility.</t>
        </is>
      </c>
      <c r="L440" s="11" t="n">
        <v>1</v>
      </c>
      <c r="M440" s="12" t="n">
        <v>500</v>
      </c>
      <c r="N440" s="12" t="n">
        <v>1500</v>
      </c>
      <c r="O440" s="12" t="n">
        <v>3000</v>
      </c>
      <c r="P440" s="12" t="n">
        <v>6000</v>
      </c>
      <c r="Q440" s="12" t="n">
        <v>200</v>
      </c>
      <c r="R440" s="13">
        <f>IF(ISNUMBER(M440),ROUND(M440/(1-Settings!$B$2)/Settings!$B$3,0)*Settings!$B$3,"")</f>
        <v/>
      </c>
      <c r="S440" s="13">
        <f>IF(ISNUMBER(N440),ROUND(N440/(1-Settings!$B$2)/Settings!$B$3,0)*Settings!$B$3,"")</f>
        <v/>
      </c>
      <c r="T440" s="13">
        <f>IF(ISNUMBER(O440),ROUND(O440/(1-Settings!$B$2)/Settings!$B$3,0)*Settings!$B$3,"")</f>
        <v/>
      </c>
      <c r="U440" s="13">
        <f>IF(ISNUMBER(P440),ROUND(P440/(1-Settings!$B$2)/Settings!$B$3,0)*Settings!$B$3,"")</f>
        <v/>
      </c>
      <c r="V440" s="13">
        <f>IF(ISNUMBER(Q440),ROUND(Q440/(1-Settings!$B$2)/Settings!$B$3,0)*Settings!$B$3,"")</f>
        <v/>
      </c>
      <c r="W440" s="14" t="n">
        <v>9243</v>
      </c>
      <c r="X440" s="14" t="n">
        <v>12793</v>
      </c>
      <c r="Y440" s="11" t="inlineStr"/>
      <c r="Z440" s="11" t="inlineStr"/>
      <c r="AA440" s="8" t="inlineStr"/>
      <c r="AB440" s="8" t="inlineStr"/>
      <c r="AC440" s="11" t="inlineStr">
        <is>
          <t>MasterMilitaryOnBaseList 12.2.25 NS.xlsx</t>
        </is>
      </c>
      <c r="AD440" s="11" t="inlineStr">
        <is>
          <t>EglinFSS_SP_Event_Pricing_2026.png</t>
        </is>
      </c>
      <c r="AE440" s="15" t="inlineStr">
        <is>
          <t>Open in Box</t>
        </is>
      </c>
      <c r="AF440" s="15" t="inlineStr">
        <is>
          <t>Open in Box</t>
        </is>
      </c>
    </row>
    <row r="441">
      <c r="A441" s="11" t="inlineStr">
        <is>
          <t>FL-EGLINAFB-018</t>
        </is>
      </c>
      <c r="B441" s="8" t="inlineStr">
        <is>
          <t>Eglin AFB</t>
        </is>
      </c>
      <c r="C441" s="11" t="inlineStr"/>
      <c r="D441" s="11" t="inlineStr">
        <is>
          <t>FL</t>
        </is>
      </c>
      <c r="E441" s="11" t="inlineStr">
        <is>
          <t>Mobile-Pensacola (Ft Walt)</t>
        </is>
      </c>
      <c r="F441" s="11" t="inlineStr"/>
      <c r="G441" s="11" t="inlineStr">
        <is>
          <t>Air Force</t>
        </is>
      </c>
      <c r="H441" s="11" t="inlineStr">
        <is>
          <t>Web &amp; Email</t>
        </is>
      </c>
      <c r="I441" s="8" t="inlineStr">
        <is>
          <t>Web Ad</t>
        </is>
      </c>
      <c r="J441" s="11" t="inlineStr"/>
      <c r="K441" s="8" t="inlineStr">
        <is>
          <t>Your ad will appear on the installation MWR / FSS website.</t>
        </is>
      </c>
      <c r="L441" s="11" t="n">
        <v>1</v>
      </c>
      <c r="M441" s="12" t="n">
        <v>600</v>
      </c>
      <c r="N441" s="12" t="n"/>
      <c r="O441" s="12" t="n"/>
      <c r="P441" s="12" t="n"/>
      <c r="Q441" s="12" t="n"/>
      <c r="R441" s="13">
        <f>IF(ISNUMBER(M441),ROUND(M441/(1-Settings!$B$2)/Settings!$B$3,0)*Settings!$B$3,"")</f>
        <v/>
      </c>
      <c r="S441" s="13">
        <f>IF(ISNUMBER(N441),ROUND(N441/(1-Settings!$B$2)/Settings!$B$3,0)*Settings!$B$3,"")</f>
        <v/>
      </c>
      <c r="T441" s="13">
        <f>IF(ISNUMBER(O441),ROUND(O441/(1-Settings!$B$2)/Settings!$B$3,0)*Settings!$B$3,"")</f>
        <v/>
      </c>
      <c r="U441" s="13">
        <f>IF(ISNUMBER(P441),ROUND(P441/(1-Settings!$B$2)/Settings!$B$3,0)*Settings!$B$3,"")</f>
        <v/>
      </c>
      <c r="V441" s="13">
        <f>IF(ISNUMBER(Q441),ROUND(Q441/(1-Settings!$B$2)/Settings!$B$3,0)*Settings!$B$3,"")</f>
        <v/>
      </c>
      <c r="W441" s="14" t="n">
        <v>9243</v>
      </c>
      <c r="X441" s="14" t="n">
        <v>12793</v>
      </c>
      <c r="Y441" s="11" t="inlineStr">
        <is>
          <t>2026</t>
        </is>
      </c>
      <c r="Z441" s="11" t="inlineStr">
        <is>
          <t>2026-06</t>
        </is>
      </c>
      <c r="AA441" s="8" t="inlineStr">
        <is>
          <t>Sent weekly, price is per month. 3-month max campaign at one time</t>
        </is>
      </c>
      <c r="AB441" s="8" t="inlineStr"/>
      <c r="AC441" s="11" t="inlineStr">
        <is>
          <t>Military - National Publication Inventory Master_June 2026.xlsx</t>
        </is>
      </c>
      <c r="AD441" s="11" t="inlineStr">
        <is>
          <t>EglinFSS_SP_Event_Pricing_2026.png</t>
        </is>
      </c>
      <c r="AE441" s="15" t="inlineStr">
        <is>
          <t>Open in Box</t>
        </is>
      </c>
      <c r="AF441" s="15" t="inlineStr">
        <is>
          <t>Open in Box</t>
        </is>
      </c>
    </row>
    <row r="442">
      <c r="A442" s="11" t="inlineStr">
        <is>
          <t>FL-HOMESTEA-001</t>
        </is>
      </c>
      <c r="B442" s="8" t="inlineStr">
        <is>
          <t>Homestead AFB</t>
        </is>
      </c>
      <c r="C442" s="11" t="inlineStr"/>
      <c r="D442" s="11" t="inlineStr">
        <is>
          <t>FL</t>
        </is>
      </c>
      <c r="E442" s="11" t="inlineStr">
        <is>
          <t>Miami-Ft. Lauderdale</t>
        </is>
      </c>
      <c r="F442" s="11" t="inlineStr">
        <is>
          <t>33039</t>
        </is>
      </c>
      <c r="G442" s="11" t="inlineStr">
        <is>
          <t>Air Force</t>
        </is>
      </c>
      <c r="H442" s="11" t="inlineStr">
        <is>
          <t>Sponsorship &amp; Other</t>
        </is>
      </c>
      <c r="I442" s="8" t="inlineStr">
        <is>
          <t>Contact 482fw.pa@us.af.mil</t>
        </is>
      </c>
      <c r="J442" s="11" t="inlineStr"/>
      <c r="K442" s="8" t="inlineStr"/>
      <c r="L442" s="11" t="n"/>
      <c r="M442" s="12" t="n"/>
      <c r="N442" s="12" t="n"/>
      <c r="O442" s="12" t="n"/>
      <c r="P442" s="12" t="n"/>
      <c r="Q442" s="12" t="n"/>
      <c r="R442" s="13">
        <f>IF(ISNUMBER(M442),ROUND(M442/(1-Settings!$B$2)/Settings!$B$3,0)*Settings!$B$3,"")</f>
        <v/>
      </c>
      <c r="S442" s="13">
        <f>IF(ISNUMBER(N442),ROUND(N442/(1-Settings!$B$2)/Settings!$B$3,0)*Settings!$B$3,"")</f>
        <v/>
      </c>
      <c r="T442" s="13">
        <f>IF(ISNUMBER(O442),ROUND(O442/(1-Settings!$B$2)/Settings!$B$3,0)*Settings!$B$3,"")</f>
        <v/>
      </c>
      <c r="U442" s="13">
        <f>IF(ISNUMBER(P442),ROUND(P442/(1-Settings!$B$2)/Settings!$B$3,0)*Settings!$B$3,"")</f>
        <v/>
      </c>
      <c r="V442" s="13">
        <f>IF(ISNUMBER(Q442),ROUND(Q442/(1-Settings!$B$2)/Settings!$B$3,0)*Settings!$B$3,"")</f>
        <v/>
      </c>
      <c r="W442" s="14" t="n">
        <v>429</v>
      </c>
      <c r="X442" s="14" t="n">
        <v>718</v>
      </c>
      <c r="Y442" s="11" t="inlineStr"/>
      <c r="Z442" s="11" t="inlineStr"/>
      <c r="AA442" s="8" t="inlineStr"/>
      <c r="AB442" s="16" t="inlineStr">
        <is>
          <t>No price on file - inquire</t>
        </is>
      </c>
      <c r="AC442" s="11" t="inlineStr">
        <is>
          <t>MasterMilitaryOnBaseList 12.2.25 NS.xlsx</t>
        </is>
      </c>
      <c r="AD442" s="11" t="inlineStr">
        <is>
          <t>FY26-27 ADVERTISING ASSETS_NRSE.xlsx</t>
        </is>
      </c>
      <c r="AE442" s="15" t="inlineStr">
        <is>
          <t>Open in Box</t>
        </is>
      </c>
      <c r="AF442" s="15" t="inlineStr">
        <is>
          <t>Open in Box</t>
        </is>
      </c>
    </row>
    <row r="443">
      <c r="A443" s="11" t="inlineStr">
        <is>
          <t>FL-HURLBURT-001</t>
        </is>
      </c>
      <c r="B443" s="8" t="inlineStr">
        <is>
          <t>Hurlburt Field</t>
        </is>
      </c>
      <c r="C443" s="11" t="inlineStr"/>
      <c r="D443" s="11" t="inlineStr">
        <is>
          <t>FL</t>
        </is>
      </c>
      <c r="E443" s="11" t="inlineStr">
        <is>
          <t>Mobile-Pensacola (Ft Walt)</t>
        </is>
      </c>
      <c r="F443" s="11" t="inlineStr">
        <is>
          <t>32544</t>
        </is>
      </c>
      <c r="G443" s="11" t="inlineStr">
        <is>
          <t>Air Force</t>
        </is>
      </c>
      <c r="H443" s="11" t="inlineStr">
        <is>
          <t>Digital</t>
        </is>
      </c>
      <c r="I443" s="8" t="inlineStr">
        <is>
          <t>Digital Marquee</t>
        </is>
      </c>
      <c r="J443" s="11" t="inlineStr">
        <is>
          <t>1024pxW x 574pxH</t>
        </is>
      </c>
      <c r="K443" s="8" t="inlineStr">
        <is>
          <t>Your ad will appear on 4 6'W x 9'H digital marquees located at both the front and back entry gates.</t>
        </is>
      </c>
      <c r="L443" s="11" t="n">
        <v>1</v>
      </c>
      <c r="M443" s="12" t="n">
        <v>1300</v>
      </c>
      <c r="N443" s="12" t="n">
        <v>3900</v>
      </c>
      <c r="O443" s="12" t="n">
        <v>7800</v>
      </c>
      <c r="P443" s="12" t="n">
        <v>15600</v>
      </c>
      <c r="Q443" s="12" t="n">
        <v>0</v>
      </c>
      <c r="R443" s="13">
        <f>IF(ISNUMBER(M443),ROUND(M443/(1-Settings!$B$2)/Settings!$B$3,0)*Settings!$B$3,"")</f>
        <v/>
      </c>
      <c r="S443" s="13">
        <f>IF(ISNUMBER(N443),ROUND(N443/(1-Settings!$B$2)/Settings!$B$3,0)*Settings!$B$3,"")</f>
        <v/>
      </c>
      <c r="T443" s="13">
        <f>IF(ISNUMBER(O443),ROUND(O443/(1-Settings!$B$2)/Settings!$B$3,0)*Settings!$B$3,"")</f>
        <v/>
      </c>
      <c r="U443" s="13">
        <f>IF(ISNUMBER(P443),ROUND(P443/(1-Settings!$B$2)/Settings!$B$3,0)*Settings!$B$3,"")</f>
        <v/>
      </c>
      <c r="V443" s="13">
        <f>IF(ISNUMBER(Q443),ROUND(Q443/(1-Settings!$B$2)/Settings!$B$3,0)*Settings!$B$3,"")</f>
        <v/>
      </c>
      <c r="W443" s="14" t="n">
        <v>8185</v>
      </c>
      <c r="X443" s="14" t="n">
        <v>10597</v>
      </c>
      <c r="Y443" s="11" t="inlineStr"/>
      <c r="Z443" s="11" t="inlineStr"/>
      <c r="AA443" s="8" t="inlineStr"/>
      <c r="AB443" s="8" t="inlineStr"/>
      <c r="AC443" s="11" t="inlineStr">
        <is>
          <t>MasterMilitaryOnBaseList 12.2.25 NS.xlsx</t>
        </is>
      </c>
      <c r="AD443" s="11" t="inlineStr">
        <is>
          <t>Hurlburt Field_FY27_Media Kit.pdf</t>
        </is>
      </c>
      <c r="AE443" s="15" t="inlineStr">
        <is>
          <t>Open in Box</t>
        </is>
      </c>
      <c r="AF443" s="15" t="inlineStr">
        <is>
          <t>Open in Box</t>
        </is>
      </c>
    </row>
    <row r="444">
      <c r="A444" s="11" t="inlineStr">
        <is>
          <t>FL-HURLBURT-002</t>
        </is>
      </c>
      <c r="B444" s="8" t="inlineStr">
        <is>
          <t>Hurlburt Field</t>
        </is>
      </c>
      <c r="C444" s="11" t="inlineStr"/>
      <c r="D444" s="11" t="inlineStr">
        <is>
          <t>FL</t>
        </is>
      </c>
      <c r="E444" s="11" t="inlineStr">
        <is>
          <t>Mobile-Pensacola (Ft Walt)</t>
        </is>
      </c>
      <c r="F444" s="11" t="inlineStr">
        <is>
          <t>32544</t>
        </is>
      </c>
      <c r="G444" s="11" t="inlineStr">
        <is>
          <t>Air Force</t>
        </is>
      </c>
      <c r="H444" s="11" t="inlineStr">
        <is>
          <t>Digital</t>
        </is>
      </c>
      <c r="I444" s="8" t="inlineStr">
        <is>
          <t>Digital Monitor Network</t>
        </is>
      </c>
      <c r="J444" s="11" t="inlineStr">
        <is>
          <t>1920pxW x 1080pxH</t>
        </is>
      </c>
      <c r="K444" s="8" t="inlineStr">
        <is>
          <t>Your ad will appear on 12 monitors in approved installation facilities.</t>
        </is>
      </c>
      <c r="L444" s="11" t="n">
        <v>1</v>
      </c>
      <c r="M444" s="12" t="n">
        <v>350</v>
      </c>
      <c r="N444" s="12" t="n">
        <v>1050</v>
      </c>
      <c r="O444" s="12" t="n">
        <v>2100</v>
      </c>
      <c r="P444" s="12" t="n">
        <v>4200</v>
      </c>
      <c r="Q444" s="12" t="n">
        <v>0</v>
      </c>
      <c r="R444" s="13">
        <f>IF(ISNUMBER(M444),ROUND(M444/(1-Settings!$B$2)/Settings!$B$3,0)*Settings!$B$3,"")</f>
        <v/>
      </c>
      <c r="S444" s="13">
        <f>IF(ISNUMBER(N444),ROUND(N444/(1-Settings!$B$2)/Settings!$B$3,0)*Settings!$B$3,"")</f>
        <v/>
      </c>
      <c r="T444" s="13">
        <f>IF(ISNUMBER(O444),ROUND(O444/(1-Settings!$B$2)/Settings!$B$3,0)*Settings!$B$3,"")</f>
        <v/>
      </c>
      <c r="U444" s="13">
        <f>IF(ISNUMBER(P444),ROUND(P444/(1-Settings!$B$2)/Settings!$B$3,0)*Settings!$B$3,"")</f>
        <v/>
      </c>
      <c r="V444" s="13">
        <f>IF(ISNUMBER(Q444),ROUND(Q444/(1-Settings!$B$2)/Settings!$B$3,0)*Settings!$B$3,"")</f>
        <v/>
      </c>
      <c r="W444" s="14" t="n">
        <v>8185</v>
      </c>
      <c r="X444" s="14" t="n">
        <v>10597</v>
      </c>
      <c r="Y444" s="11" t="inlineStr"/>
      <c r="Z444" s="11" t="inlineStr"/>
      <c r="AA444" s="8" t="inlineStr"/>
      <c r="AB444" s="8" t="inlineStr"/>
      <c r="AC444" s="11" t="inlineStr">
        <is>
          <t>MasterMilitaryOnBaseList 12.2.25 NS.xlsx</t>
        </is>
      </c>
      <c r="AD444" s="11" t="inlineStr">
        <is>
          <t>Hurlburt Field_FY27_Media Kit.pdf</t>
        </is>
      </c>
      <c r="AE444" s="15" t="inlineStr">
        <is>
          <t>Open in Box</t>
        </is>
      </c>
      <c r="AF444" s="15" t="inlineStr">
        <is>
          <t>Open in Box</t>
        </is>
      </c>
    </row>
    <row r="445">
      <c r="A445" s="11" t="inlineStr">
        <is>
          <t>FL-HURLBURT-007</t>
        </is>
      </c>
      <c r="B445" s="8" t="inlineStr">
        <is>
          <t>Hurlburt Field</t>
        </is>
      </c>
      <c r="C445" s="11" t="inlineStr"/>
      <c r="D445" s="11" t="inlineStr">
        <is>
          <t>FL</t>
        </is>
      </c>
      <c r="E445" s="11" t="inlineStr">
        <is>
          <t>Mobile-Pensacola (Ft Walt)</t>
        </is>
      </c>
      <c r="F445" s="11" t="inlineStr">
        <is>
          <t>32544</t>
        </is>
      </c>
      <c r="G445" s="11" t="inlineStr">
        <is>
          <t>Air Force</t>
        </is>
      </c>
      <c r="H445" s="11" t="inlineStr">
        <is>
          <t>Large Format</t>
        </is>
      </c>
      <c r="I445" s="8" t="inlineStr">
        <is>
          <t>Counter Wrap</t>
        </is>
      </c>
      <c r="J445" s="11" t="inlineStr">
        <is>
          <t>Varies</t>
        </is>
      </c>
      <c r="K445" s="8" t="inlineStr">
        <is>
          <t>Your ad will wrap an approved installation facility counter.</t>
        </is>
      </c>
      <c r="L445" s="11" t="n">
        <v>1</v>
      </c>
      <c r="M445" s="12" t="n">
        <v>275</v>
      </c>
      <c r="N445" s="12" t="n">
        <v>825</v>
      </c>
      <c r="O445" s="12" t="n">
        <v>1650</v>
      </c>
      <c r="P445" s="12" t="n">
        <v>3300</v>
      </c>
      <c r="Q445" s="12" t="n"/>
      <c r="R445" s="13">
        <f>IF(ISNUMBER(M445),ROUND(M445/(1-Settings!$B$2)/Settings!$B$3,0)*Settings!$B$3,"")</f>
        <v/>
      </c>
      <c r="S445" s="13">
        <f>IF(ISNUMBER(N445),ROUND(N445/(1-Settings!$B$2)/Settings!$B$3,0)*Settings!$B$3,"")</f>
        <v/>
      </c>
      <c r="T445" s="13">
        <f>IF(ISNUMBER(O445),ROUND(O445/(1-Settings!$B$2)/Settings!$B$3,0)*Settings!$B$3,"")</f>
        <v/>
      </c>
      <c r="U445" s="13">
        <f>IF(ISNUMBER(P445),ROUND(P445/(1-Settings!$B$2)/Settings!$B$3,0)*Settings!$B$3,"")</f>
        <v/>
      </c>
      <c r="V445" s="13">
        <f>IF(ISNUMBER(Q445),ROUND(Q445/(1-Settings!$B$2)/Settings!$B$3,0)*Settings!$B$3,"")</f>
        <v/>
      </c>
      <c r="W445" s="14" t="n">
        <v>8185</v>
      </c>
      <c r="X445" s="14" t="n">
        <v>10597</v>
      </c>
      <c r="Y445" s="11" t="inlineStr"/>
      <c r="Z445" s="11" t="inlineStr"/>
      <c r="AA445" s="8" t="inlineStr"/>
      <c r="AB445" s="8" t="inlineStr"/>
      <c r="AC445" s="11" t="inlineStr">
        <is>
          <t>MasterMilitaryOnBaseList 12.2.25 NS.xlsx</t>
        </is>
      </c>
      <c r="AD445" s="11" t="inlineStr">
        <is>
          <t>Hurlburt Field_FY27_Media Kit.pdf</t>
        </is>
      </c>
      <c r="AE445" s="15" t="inlineStr">
        <is>
          <t>Open in Box</t>
        </is>
      </c>
      <c r="AF445" s="15" t="inlineStr">
        <is>
          <t>Open in Box</t>
        </is>
      </c>
    </row>
    <row r="446">
      <c r="A446" s="11" t="inlineStr">
        <is>
          <t>FL-HURLBURT-010</t>
        </is>
      </c>
      <c r="B446" s="8" t="inlineStr">
        <is>
          <t>Hurlburt Field</t>
        </is>
      </c>
      <c r="C446" s="11" t="inlineStr"/>
      <c r="D446" s="11" t="inlineStr">
        <is>
          <t>FL</t>
        </is>
      </c>
      <c r="E446" s="11" t="inlineStr">
        <is>
          <t>Mobile-Pensacola (Ft Walt)</t>
        </is>
      </c>
      <c r="F446" s="11" t="inlineStr"/>
      <c r="G446" s="11" t="inlineStr">
        <is>
          <t>Air Force</t>
        </is>
      </c>
      <c r="H446" s="11" t="inlineStr">
        <is>
          <t>Print &amp; Publications</t>
        </is>
      </c>
      <c r="I446" s="8" t="inlineStr">
        <is>
          <t>Golf Scorecard Ad</t>
        </is>
      </c>
      <c r="J446" s="11" t="inlineStr"/>
      <c r="K446" s="8" t="inlineStr">
        <is>
          <t>Your ad will appear on the golf course scorecard.</t>
        </is>
      </c>
      <c r="L446" s="11" t="n">
        <v>12</v>
      </c>
      <c r="M446" s="12" t="n"/>
      <c r="N446" s="12" t="n"/>
      <c r="O446" s="12" t="n"/>
      <c r="P446" s="12" t="n">
        <v>425</v>
      </c>
      <c r="Q446" s="12" t="n"/>
      <c r="R446" s="13">
        <f>IF(ISNUMBER(M446),ROUND(M446/(1-Settings!$B$2)/Settings!$B$3,0)*Settings!$B$3,"")</f>
        <v/>
      </c>
      <c r="S446" s="13">
        <f>IF(ISNUMBER(N446),ROUND(N446/(1-Settings!$B$2)/Settings!$B$3,0)*Settings!$B$3,"")</f>
        <v/>
      </c>
      <c r="T446" s="13">
        <f>IF(ISNUMBER(O446),ROUND(O446/(1-Settings!$B$2)/Settings!$B$3,0)*Settings!$B$3,"")</f>
        <v/>
      </c>
      <c r="U446" s="13">
        <f>IF(ISNUMBER(P446),ROUND(P446/(1-Settings!$B$2)/Settings!$B$3,0)*Settings!$B$3,"")</f>
        <v/>
      </c>
      <c r="V446" s="13">
        <f>IF(ISNUMBER(Q446),ROUND(Q446/(1-Settings!$B$2)/Settings!$B$3,0)*Settings!$B$3,"")</f>
        <v/>
      </c>
      <c r="W446" s="14" t="n">
        <v>8185</v>
      </c>
      <c r="X446" s="14" t="n">
        <v>10597</v>
      </c>
      <c r="Y446" s="11" t="inlineStr">
        <is>
          <t>2026</t>
        </is>
      </c>
      <c r="Z446" s="11" t="inlineStr">
        <is>
          <t>2026-06</t>
        </is>
      </c>
      <c r="AA446" s="8" t="inlineStr">
        <is>
          <t>Annual</t>
        </is>
      </c>
      <c r="AB446" s="8" t="inlineStr"/>
      <c r="AC446" s="11" t="inlineStr">
        <is>
          <t>Military - National Publication Inventory Master_June 2026.xlsx</t>
        </is>
      </c>
      <c r="AD446" s="11" t="inlineStr">
        <is>
          <t>Hurlburt Field_FY27_Media Kit.pdf</t>
        </is>
      </c>
      <c r="AE446" s="15" t="inlineStr">
        <is>
          <t>Open in Box</t>
        </is>
      </c>
      <c r="AF446" s="15" t="inlineStr">
        <is>
          <t>Open in Box</t>
        </is>
      </c>
    </row>
    <row r="447">
      <c r="A447" s="11" t="inlineStr">
        <is>
          <t>FL-HURLBURT-008</t>
        </is>
      </c>
      <c r="B447" s="8" t="inlineStr">
        <is>
          <t>Hurlburt Field</t>
        </is>
      </c>
      <c r="C447" s="11" t="inlineStr"/>
      <c r="D447" s="11" t="inlineStr">
        <is>
          <t>FL</t>
        </is>
      </c>
      <c r="E447" s="11" t="inlineStr">
        <is>
          <t>Mobile-Pensacola (Ft Walt)</t>
        </is>
      </c>
      <c r="F447" s="11" t="inlineStr">
        <is>
          <t>32544</t>
        </is>
      </c>
      <c r="G447" s="11" t="inlineStr">
        <is>
          <t>Air Force</t>
        </is>
      </c>
      <c r="H447" s="11" t="inlineStr">
        <is>
          <t>Print &amp; Publications</t>
        </is>
      </c>
      <c r="I447" s="8" t="inlineStr">
        <is>
          <t>Magazine</t>
        </is>
      </c>
      <c r="J447" s="11" t="inlineStr">
        <is>
          <t>8.75"W x 11.25"H</t>
        </is>
      </c>
      <c r="K447" s="8" t="inlineStr">
        <is>
          <t>Your ad will appear in the monthly magazine in over 40 facilities and digitally.</t>
        </is>
      </c>
      <c r="L447" s="11" t="n">
        <v>1</v>
      </c>
      <c r="M447" s="12" t="n">
        <v>375</v>
      </c>
      <c r="N447" s="12" t="n">
        <v>1125</v>
      </c>
      <c r="O447" s="12" t="n">
        <v>2250</v>
      </c>
      <c r="P447" s="12" t="n">
        <v>4500</v>
      </c>
      <c r="Q447" s="12" t="n">
        <v>0</v>
      </c>
      <c r="R447" s="13">
        <f>IF(ISNUMBER(M447),ROUND(M447/(1-Settings!$B$2)/Settings!$B$3,0)*Settings!$B$3,"")</f>
        <v/>
      </c>
      <c r="S447" s="13">
        <f>IF(ISNUMBER(N447),ROUND(N447/(1-Settings!$B$2)/Settings!$B$3,0)*Settings!$B$3,"")</f>
        <v/>
      </c>
      <c r="T447" s="13">
        <f>IF(ISNUMBER(O447),ROUND(O447/(1-Settings!$B$2)/Settings!$B$3,0)*Settings!$B$3,"")</f>
        <v/>
      </c>
      <c r="U447" s="13">
        <f>IF(ISNUMBER(P447),ROUND(P447/(1-Settings!$B$2)/Settings!$B$3,0)*Settings!$B$3,"")</f>
        <v/>
      </c>
      <c r="V447" s="13">
        <f>IF(ISNUMBER(Q447),ROUND(Q447/(1-Settings!$B$2)/Settings!$B$3,0)*Settings!$B$3,"")</f>
        <v/>
      </c>
      <c r="W447" s="14" t="n">
        <v>8185</v>
      </c>
      <c r="X447" s="14" t="n">
        <v>10597</v>
      </c>
      <c r="Y447" s="11" t="inlineStr"/>
      <c r="Z447" s="11" t="inlineStr"/>
      <c r="AA447" s="8" t="inlineStr">
        <is>
          <t>Inventory master 6/2026 lists Magazine Ad at $400 (12 mo)</t>
        </is>
      </c>
      <c r="AB447" s="8" t="inlineStr"/>
      <c r="AC447" s="11" t="inlineStr">
        <is>
          <t>MasterMilitaryOnBaseList 12.2.25 NS.xlsx</t>
        </is>
      </c>
      <c r="AD447" s="11" t="inlineStr">
        <is>
          <t>Hurlburt Field_FY27_Media Kit.pdf</t>
        </is>
      </c>
      <c r="AE447" s="15" t="inlineStr">
        <is>
          <t>Open in Box</t>
        </is>
      </c>
      <c r="AF447" s="15" t="inlineStr">
        <is>
          <t>Open in Box</t>
        </is>
      </c>
    </row>
    <row r="448">
      <c r="A448" s="11" t="inlineStr">
        <is>
          <t>FL-HURLBURT-003</t>
        </is>
      </c>
      <c r="B448" s="8" t="inlineStr">
        <is>
          <t>Hurlburt Field</t>
        </is>
      </c>
      <c r="C448" s="11" t="inlineStr"/>
      <c r="D448" s="11" t="inlineStr">
        <is>
          <t>FL</t>
        </is>
      </c>
      <c r="E448" s="11" t="inlineStr">
        <is>
          <t>Mobile-Pensacola (Ft Walt)</t>
        </is>
      </c>
      <c r="F448" s="11" t="inlineStr">
        <is>
          <t>32544</t>
        </is>
      </c>
      <c r="G448" s="11" t="inlineStr">
        <is>
          <t>Air Force</t>
        </is>
      </c>
      <c r="H448" s="11" t="inlineStr">
        <is>
          <t>Standard Media</t>
        </is>
      </c>
      <c r="I448" s="8" t="inlineStr">
        <is>
          <t>Banner</t>
        </is>
      </c>
      <c r="J448" s="11" t="inlineStr">
        <is>
          <t>8'W x 3'H</t>
        </is>
      </c>
      <c r="K448" s="8" t="inlineStr">
        <is>
          <t>Your ad will appear in an approved installation facility.</t>
        </is>
      </c>
      <c r="L448" s="11" t="n">
        <v>1</v>
      </c>
      <c r="M448" s="12" t="n">
        <v>500</v>
      </c>
      <c r="N448" s="12" t="n">
        <v>1500</v>
      </c>
      <c r="O448" s="12" t="n">
        <v>3000</v>
      </c>
      <c r="P448" s="12" t="n">
        <v>6000</v>
      </c>
      <c r="Q448" s="12" t="n">
        <v>250</v>
      </c>
      <c r="R448" s="13">
        <f>IF(ISNUMBER(M448),ROUND(M448/(1-Settings!$B$2)/Settings!$B$3,0)*Settings!$B$3,"")</f>
        <v/>
      </c>
      <c r="S448" s="13">
        <f>IF(ISNUMBER(N448),ROUND(N448/(1-Settings!$B$2)/Settings!$B$3,0)*Settings!$B$3,"")</f>
        <v/>
      </c>
      <c r="T448" s="13">
        <f>IF(ISNUMBER(O448),ROUND(O448/(1-Settings!$B$2)/Settings!$B$3,0)*Settings!$B$3,"")</f>
        <v/>
      </c>
      <c r="U448" s="13">
        <f>IF(ISNUMBER(P448),ROUND(P448/(1-Settings!$B$2)/Settings!$B$3,0)*Settings!$B$3,"")</f>
        <v/>
      </c>
      <c r="V448" s="13">
        <f>IF(ISNUMBER(Q448),ROUND(Q448/(1-Settings!$B$2)/Settings!$B$3,0)*Settings!$B$3,"")</f>
        <v/>
      </c>
      <c r="W448" s="14" t="n">
        <v>8185</v>
      </c>
      <c r="X448" s="14" t="n">
        <v>10597</v>
      </c>
      <c r="Y448" s="11" t="inlineStr"/>
      <c r="Z448" s="11" t="inlineStr"/>
      <c r="AA448" s="8" t="inlineStr"/>
      <c r="AB448" s="8" t="inlineStr"/>
      <c r="AC448" s="11" t="inlineStr">
        <is>
          <t>MasterMilitaryOnBaseList 12.2.25 NS.xlsx</t>
        </is>
      </c>
      <c r="AD448" s="11" t="inlineStr">
        <is>
          <t>Hurlburt Field_FY27_Media Kit.pdf</t>
        </is>
      </c>
      <c r="AE448" s="15" t="inlineStr">
        <is>
          <t>Open in Box</t>
        </is>
      </c>
      <c r="AF448" s="15" t="inlineStr">
        <is>
          <t>Open in Box</t>
        </is>
      </c>
    </row>
    <row r="449">
      <c r="A449" s="11" t="inlineStr">
        <is>
          <t>FL-HURLBURT-004</t>
        </is>
      </c>
      <c r="B449" s="8" t="inlineStr">
        <is>
          <t>Hurlburt Field</t>
        </is>
      </c>
      <c r="C449" s="11" t="inlineStr"/>
      <c r="D449" s="11" t="inlineStr">
        <is>
          <t>FL</t>
        </is>
      </c>
      <c r="E449" s="11" t="inlineStr">
        <is>
          <t>Mobile-Pensacola (Ft Walt)</t>
        </is>
      </c>
      <c r="F449" s="11" t="inlineStr">
        <is>
          <t>32544</t>
        </is>
      </c>
      <c r="G449" s="11" t="inlineStr">
        <is>
          <t>Air Force</t>
        </is>
      </c>
      <c r="H449" s="11" t="inlineStr">
        <is>
          <t>Standard Media</t>
        </is>
      </c>
      <c r="I449" s="8" t="inlineStr">
        <is>
          <t>Countertop Display</t>
        </is>
      </c>
      <c r="J449" s="11" t="inlineStr">
        <is>
          <t>TBD</t>
        </is>
      </c>
      <c r="K449" s="8" t="inlineStr">
        <is>
          <t>Your ad will appear in an approved installation facility.</t>
        </is>
      </c>
      <c r="L449" s="11" t="n">
        <v>1</v>
      </c>
      <c r="M449" s="12" t="n">
        <v>100</v>
      </c>
      <c r="N449" s="12" t="n">
        <v>300</v>
      </c>
      <c r="O449" s="12" t="n">
        <v>600</v>
      </c>
      <c r="P449" s="12" t="n">
        <v>1200</v>
      </c>
      <c r="Q449" s="12" t="n"/>
      <c r="R449" s="13">
        <f>IF(ISNUMBER(M449),ROUND(M449/(1-Settings!$B$2)/Settings!$B$3,0)*Settings!$B$3,"")</f>
        <v/>
      </c>
      <c r="S449" s="13">
        <f>IF(ISNUMBER(N449),ROUND(N449/(1-Settings!$B$2)/Settings!$B$3,0)*Settings!$B$3,"")</f>
        <v/>
      </c>
      <c r="T449" s="13">
        <f>IF(ISNUMBER(O449),ROUND(O449/(1-Settings!$B$2)/Settings!$B$3,0)*Settings!$B$3,"")</f>
        <v/>
      </c>
      <c r="U449" s="13">
        <f>IF(ISNUMBER(P449),ROUND(P449/(1-Settings!$B$2)/Settings!$B$3,0)*Settings!$B$3,"")</f>
        <v/>
      </c>
      <c r="V449" s="13">
        <f>IF(ISNUMBER(Q449),ROUND(Q449/(1-Settings!$B$2)/Settings!$B$3,0)*Settings!$B$3,"")</f>
        <v/>
      </c>
      <c r="W449" s="14" t="n">
        <v>8185</v>
      </c>
      <c r="X449" s="14" t="n">
        <v>10597</v>
      </c>
      <c r="Y449" s="11" t="inlineStr"/>
      <c r="Z449" s="11" t="inlineStr"/>
      <c r="AA449" s="8" t="inlineStr"/>
      <c r="AB449" s="8" t="inlineStr"/>
      <c r="AC449" s="11" t="inlineStr">
        <is>
          <t>MasterMilitaryOnBaseList 12.2.25 NS.xlsx</t>
        </is>
      </c>
      <c r="AD449" s="11" t="inlineStr">
        <is>
          <t>Hurlburt Field_FY27_Media Kit.pdf</t>
        </is>
      </c>
      <c r="AE449" s="15" t="inlineStr">
        <is>
          <t>Open in Box</t>
        </is>
      </c>
      <c r="AF449" s="15" t="inlineStr">
        <is>
          <t>Open in Box</t>
        </is>
      </c>
    </row>
    <row r="450">
      <c r="A450" s="11" t="inlineStr">
        <is>
          <t>FL-HURLBURT-005</t>
        </is>
      </c>
      <c r="B450" s="8" t="inlineStr">
        <is>
          <t>Hurlburt Field</t>
        </is>
      </c>
      <c r="C450" s="11" t="inlineStr"/>
      <c r="D450" s="11" t="inlineStr">
        <is>
          <t>FL</t>
        </is>
      </c>
      <c r="E450" s="11" t="inlineStr">
        <is>
          <t>Mobile-Pensacola (Ft Walt)</t>
        </is>
      </c>
      <c r="F450" s="11" t="inlineStr">
        <is>
          <t>32544</t>
        </is>
      </c>
      <c r="G450" s="11" t="inlineStr">
        <is>
          <t>Air Force</t>
        </is>
      </c>
      <c r="H450" s="11" t="inlineStr">
        <is>
          <t>Standard Media</t>
        </is>
      </c>
      <c r="I450" s="8" t="inlineStr">
        <is>
          <t>Golf Tee Markers</t>
        </is>
      </c>
      <c r="J450" s="11" t="inlineStr">
        <is>
          <t>TBD</t>
        </is>
      </c>
      <c r="K450" s="8" t="inlineStr">
        <is>
          <t>Your ad will appear at a golf course tee box.</t>
        </is>
      </c>
      <c r="L450" s="11" t="n">
        <v>1</v>
      </c>
      <c r="M450" s="12" t="n">
        <v>300</v>
      </c>
      <c r="N450" s="12" t="n">
        <v>900</v>
      </c>
      <c r="O450" s="12" t="n">
        <v>1800</v>
      </c>
      <c r="P450" s="12" t="n">
        <v>3600</v>
      </c>
      <c r="Q450" s="12" t="n"/>
      <c r="R450" s="13">
        <f>IF(ISNUMBER(M450),ROUND(M450/(1-Settings!$B$2)/Settings!$B$3,0)*Settings!$B$3,"")</f>
        <v/>
      </c>
      <c r="S450" s="13">
        <f>IF(ISNUMBER(N450),ROUND(N450/(1-Settings!$B$2)/Settings!$B$3,0)*Settings!$B$3,"")</f>
        <v/>
      </c>
      <c r="T450" s="13">
        <f>IF(ISNUMBER(O450),ROUND(O450/(1-Settings!$B$2)/Settings!$B$3,0)*Settings!$B$3,"")</f>
        <v/>
      </c>
      <c r="U450" s="13">
        <f>IF(ISNUMBER(P450),ROUND(P450/(1-Settings!$B$2)/Settings!$B$3,0)*Settings!$B$3,"")</f>
        <v/>
      </c>
      <c r="V450" s="13">
        <f>IF(ISNUMBER(Q450),ROUND(Q450/(1-Settings!$B$2)/Settings!$B$3,0)*Settings!$B$3,"")</f>
        <v/>
      </c>
      <c r="W450" s="14" t="n">
        <v>8185</v>
      </c>
      <c r="X450" s="14" t="n">
        <v>10597</v>
      </c>
      <c r="Y450" s="11" t="inlineStr"/>
      <c r="Z450" s="11" t="inlineStr"/>
      <c r="AA450" s="8" t="inlineStr"/>
      <c r="AB450" s="8" t="inlineStr"/>
      <c r="AC450" s="11" t="inlineStr">
        <is>
          <t>MasterMilitaryOnBaseList 12.2.25 NS.xlsx</t>
        </is>
      </c>
      <c r="AD450" s="11" t="inlineStr">
        <is>
          <t>Hurlburt Field_FY27_Media Kit.pdf</t>
        </is>
      </c>
      <c r="AE450" s="15" t="inlineStr">
        <is>
          <t>Open in Box</t>
        </is>
      </c>
      <c r="AF450" s="15" t="inlineStr">
        <is>
          <t>Open in Box</t>
        </is>
      </c>
    </row>
    <row r="451">
      <c r="A451" s="11" t="inlineStr">
        <is>
          <t>FL-HURLBURT-006</t>
        </is>
      </c>
      <c r="B451" s="8" t="inlineStr">
        <is>
          <t>Hurlburt Field</t>
        </is>
      </c>
      <c r="C451" s="11" t="inlineStr"/>
      <c r="D451" s="11" t="inlineStr">
        <is>
          <t>FL</t>
        </is>
      </c>
      <c r="E451" s="11" t="inlineStr">
        <is>
          <t>Mobile-Pensacola (Ft Walt)</t>
        </is>
      </c>
      <c r="F451" s="11" t="inlineStr">
        <is>
          <t>32544</t>
        </is>
      </c>
      <c r="G451" s="11" t="inlineStr">
        <is>
          <t>Air Force</t>
        </is>
      </c>
      <c r="H451" s="11" t="inlineStr">
        <is>
          <t>Standard Media</t>
        </is>
      </c>
      <c r="I451" s="8" t="inlineStr">
        <is>
          <t>Poster</t>
        </is>
      </c>
      <c r="J451" s="11" t="inlineStr">
        <is>
          <t>22"W x 28"H</t>
        </is>
      </c>
      <c r="K451" s="8" t="inlineStr">
        <is>
          <t>Your ad will appear in an approved installation facility.</t>
        </is>
      </c>
      <c r="L451" s="11" t="n">
        <v>1</v>
      </c>
      <c r="M451" s="12" t="n">
        <v>125</v>
      </c>
      <c r="N451" s="12" t="n">
        <v>375</v>
      </c>
      <c r="O451" s="12" t="n">
        <v>750</v>
      </c>
      <c r="P451" s="12" t="n">
        <v>1500</v>
      </c>
      <c r="Q451" s="12" t="n">
        <v>100</v>
      </c>
      <c r="R451" s="13">
        <f>IF(ISNUMBER(M451),ROUND(M451/(1-Settings!$B$2)/Settings!$B$3,0)*Settings!$B$3,"")</f>
        <v/>
      </c>
      <c r="S451" s="13">
        <f>IF(ISNUMBER(N451),ROUND(N451/(1-Settings!$B$2)/Settings!$B$3,0)*Settings!$B$3,"")</f>
        <v/>
      </c>
      <c r="T451" s="13">
        <f>IF(ISNUMBER(O451),ROUND(O451/(1-Settings!$B$2)/Settings!$B$3,0)*Settings!$B$3,"")</f>
        <v/>
      </c>
      <c r="U451" s="13">
        <f>IF(ISNUMBER(P451),ROUND(P451/(1-Settings!$B$2)/Settings!$B$3,0)*Settings!$B$3,"")</f>
        <v/>
      </c>
      <c r="V451" s="13">
        <f>IF(ISNUMBER(Q451),ROUND(Q451/(1-Settings!$B$2)/Settings!$B$3,0)*Settings!$B$3,"")</f>
        <v/>
      </c>
      <c r="W451" s="14" t="n">
        <v>8185</v>
      </c>
      <c r="X451" s="14" t="n">
        <v>10597</v>
      </c>
      <c r="Y451" s="11" t="inlineStr"/>
      <c r="Z451" s="11" t="inlineStr"/>
      <c r="AA451" s="8" t="inlineStr"/>
      <c r="AB451" s="8" t="inlineStr"/>
      <c r="AC451" s="11" t="inlineStr">
        <is>
          <t>MasterMilitaryOnBaseList 12.2.25 NS.xlsx</t>
        </is>
      </c>
      <c r="AD451" s="11" t="inlineStr">
        <is>
          <t>Hurlburt Field_FY27_Media Kit.pdf</t>
        </is>
      </c>
      <c r="AE451" s="15" t="inlineStr">
        <is>
          <t>Open in Box</t>
        </is>
      </c>
      <c r="AF451" s="15" t="inlineStr">
        <is>
          <t>Open in Box</t>
        </is>
      </c>
    </row>
    <row r="452">
      <c r="A452" s="11" t="inlineStr">
        <is>
          <t>FL-HURLBURT-009</t>
        </is>
      </c>
      <c r="B452" s="8" t="inlineStr">
        <is>
          <t>Hurlburt Field</t>
        </is>
      </c>
      <c r="C452" s="11" t="inlineStr"/>
      <c r="D452" s="11" t="inlineStr">
        <is>
          <t>FL</t>
        </is>
      </c>
      <c r="E452" s="11" t="inlineStr">
        <is>
          <t>Mobile-Pensacola (Ft Walt)</t>
        </is>
      </c>
      <c r="F452" s="11" t="inlineStr"/>
      <c r="G452" s="11" t="inlineStr">
        <is>
          <t>Air Force</t>
        </is>
      </c>
      <c r="H452" s="11" t="inlineStr">
        <is>
          <t>Web &amp; Email</t>
        </is>
      </c>
      <c r="I452" s="8" t="inlineStr">
        <is>
          <t>Web Ad</t>
        </is>
      </c>
      <c r="J452" s="11" t="inlineStr"/>
      <c r="K452" s="8" t="inlineStr">
        <is>
          <t>Your ad will appear on the installation MWR / FSS website.</t>
        </is>
      </c>
      <c r="L452" s="11" t="n">
        <v>12</v>
      </c>
      <c r="M452" s="12" t="n"/>
      <c r="N452" s="12" t="n"/>
      <c r="O452" s="12" t="n"/>
      <c r="P452" s="12" t="n">
        <v>350</v>
      </c>
      <c r="Q452" s="12" t="n"/>
      <c r="R452" s="13">
        <f>IF(ISNUMBER(M452),ROUND(M452/(1-Settings!$B$2)/Settings!$B$3,0)*Settings!$B$3,"")</f>
        <v/>
      </c>
      <c r="S452" s="13">
        <f>IF(ISNUMBER(N452),ROUND(N452/(1-Settings!$B$2)/Settings!$B$3,0)*Settings!$B$3,"")</f>
        <v/>
      </c>
      <c r="T452" s="13">
        <f>IF(ISNUMBER(O452),ROUND(O452/(1-Settings!$B$2)/Settings!$B$3,0)*Settings!$B$3,"")</f>
        <v/>
      </c>
      <c r="U452" s="13">
        <f>IF(ISNUMBER(P452),ROUND(P452/(1-Settings!$B$2)/Settings!$B$3,0)*Settings!$B$3,"")</f>
        <v/>
      </c>
      <c r="V452" s="13">
        <f>IF(ISNUMBER(Q452),ROUND(Q452/(1-Settings!$B$2)/Settings!$B$3,0)*Settings!$B$3,"")</f>
        <v/>
      </c>
      <c r="W452" s="14" t="n">
        <v>8185</v>
      </c>
      <c r="X452" s="14" t="n">
        <v>10597</v>
      </c>
      <c r="Y452" s="11" t="inlineStr">
        <is>
          <t>2026</t>
        </is>
      </c>
      <c r="Z452" s="11" t="inlineStr">
        <is>
          <t>2026-06</t>
        </is>
      </c>
      <c r="AA452" s="8" t="inlineStr">
        <is>
          <t>Annual</t>
        </is>
      </c>
      <c r="AB452" s="8" t="inlineStr"/>
      <c r="AC452" s="11" t="inlineStr">
        <is>
          <t>Military - National Publication Inventory Master_June 2026.xlsx</t>
        </is>
      </c>
      <c r="AD452" s="11" t="inlineStr">
        <is>
          <t>Hurlburt Field_FY27_Media Kit.pdf</t>
        </is>
      </c>
      <c r="AE452" s="15" t="inlineStr">
        <is>
          <t>Open in Box</t>
        </is>
      </c>
      <c r="AF452" s="15" t="inlineStr">
        <is>
          <t>Open in Box</t>
        </is>
      </c>
    </row>
    <row r="453">
      <c r="A453" s="11" t="inlineStr">
        <is>
          <t>FL-JACKSONV-001</t>
        </is>
      </c>
      <c r="B453" s="8" t="inlineStr">
        <is>
          <t>Jacksonville NAS</t>
        </is>
      </c>
      <c r="C453" s="11" t="inlineStr"/>
      <c r="D453" s="11" t="inlineStr">
        <is>
          <t>FL</t>
        </is>
      </c>
      <c r="E453" s="11" t="inlineStr">
        <is>
          <t>Jacksonville</t>
        </is>
      </c>
      <c r="F453" s="11" t="inlineStr">
        <is>
          <t>32212</t>
        </is>
      </c>
      <c r="G453" s="11" t="inlineStr">
        <is>
          <t>Navy</t>
        </is>
      </c>
      <c r="H453" s="11" t="inlineStr">
        <is>
          <t>Digital</t>
        </is>
      </c>
      <c r="I453" s="8" t="inlineStr">
        <is>
          <t>Bowling Scoring Monitors</t>
        </is>
      </c>
      <c r="J453" s="11" t="inlineStr">
        <is>
          <t>1920pxW x 1080pxH</t>
        </is>
      </c>
      <c r="K453" s="8" t="inlineStr">
        <is>
          <t>Your ad will appear on 16 bowling scoring monitors.</t>
        </is>
      </c>
      <c r="L453" s="11" t="n">
        <v>1</v>
      </c>
      <c r="M453" s="12" t="n">
        <v>350</v>
      </c>
      <c r="N453" s="12" t="n">
        <v>1050</v>
      </c>
      <c r="O453" s="12" t="n">
        <v>2100</v>
      </c>
      <c r="P453" s="12" t="n">
        <v>4200</v>
      </c>
      <c r="Q453" s="12" t="n">
        <v>0</v>
      </c>
      <c r="R453" s="13">
        <f>IF(ISNUMBER(M453),ROUND(M453/(1-Settings!$B$2)/Settings!$B$3,0)*Settings!$B$3,"")</f>
        <v/>
      </c>
      <c r="S453" s="13">
        <f>IF(ISNUMBER(N453),ROUND(N453/(1-Settings!$B$2)/Settings!$B$3,0)*Settings!$B$3,"")</f>
        <v/>
      </c>
      <c r="T453" s="13">
        <f>IF(ISNUMBER(O453),ROUND(O453/(1-Settings!$B$2)/Settings!$B$3,0)*Settings!$B$3,"")</f>
        <v/>
      </c>
      <c r="U453" s="13">
        <f>IF(ISNUMBER(P453),ROUND(P453/(1-Settings!$B$2)/Settings!$B$3,0)*Settings!$B$3,"")</f>
        <v/>
      </c>
      <c r="V453" s="13">
        <f>IF(ISNUMBER(Q453),ROUND(Q453/(1-Settings!$B$2)/Settings!$B$3,0)*Settings!$B$3,"")</f>
        <v/>
      </c>
      <c r="W453" s="14" t="n">
        <v>6967</v>
      </c>
      <c r="X453" s="14" t="n">
        <v>9499</v>
      </c>
      <c r="Y453" s="11" t="inlineStr"/>
      <c r="Z453" s="11" t="inlineStr"/>
      <c r="AA453" s="8" t="inlineStr"/>
      <c r="AB453" s="8" t="inlineStr"/>
      <c r="AC453" s="11" t="inlineStr">
        <is>
          <t>MasterMilitaryOnBaseList 12.2.25 NS.xlsx</t>
        </is>
      </c>
      <c r="AD453" s="11" t="inlineStr">
        <is>
          <t>FY26-27 ADVERTISING ASSETS_NRSE.xlsx</t>
        </is>
      </c>
      <c r="AE453" s="15" t="inlineStr">
        <is>
          <t>Open in Box</t>
        </is>
      </c>
      <c r="AF453" s="15" t="inlineStr">
        <is>
          <t>Open in Box</t>
        </is>
      </c>
    </row>
    <row r="454">
      <c r="A454" s="11" t="inlineStr">
        <is>
          <t>FL-JACKSONV-002</t>
        </is>
      </c>
      <c r="B454" s="8" t="inlineStr">
        <is>
          <t>Jacksonville NAS</t>
        </is>
      </c>
      <c r="C454" s="11" t="inlineStr"/>
      <c r="D454" s="11" t="inlineStr">
        <is>
          <t>FL</t>
        </is>
      </c>
      <c r="E454" s="11" t="inlineStr">
        <is>
          <t>Jacksonville</t>
        </is>
      </c>
      <c r="F454" s="11" t="inlineStr">
        <is>
          <t>32212</t>
        </is>
      </c>
      <c r="G454" s="11" t="inlineStr">
        <is>
          <t>Navy</t>
        </is>
      </c>
      <c r="H454" s="11" t="inlineStr">
        <is>
          <t>Digital</t>
        </is>
      </c>
      <c r="I454" s="8" t="inlineStr">
        <is>
          <t>Digital Monitor Network</t>
        </is>
      </c>
      <c r="J454" s="11" t="inlineStr">
        <is>
          <t>1920pxW x 1080pxH</t>
        </is>
      </c>
      <c r="K454" s="8" t="inlineStr">
        <is>
          <t>Your ad will appear on 6 digital monitors in approved installation facilities.</t>
        </is>
      </c>
      <c r="L454" s="11" t="n">
        <v>1</v>
      </c>
      <c r="M454" s="12" t="n">
        <v>680</v>
      </c>
      <c r="N454" s="12" t="n">
        <v>2040</v>
      </c>
      <c r="O454" s="12" t="n">
        <v>4080</v>
      </c>
      <c r="P454" s="12" t="n">
        <v>8160</v>
      </c>
      <c r="Q454" s="12" t="n">
        <v>0</v>
      </c>
      <c r="R454" s="13">
        <f>IF(ISNUMBER(M454),ROUND(M454/(1-Settings!$B$2)/Settings!$B$3,0)*Settings!$B$3,"")</f>
        <v/>
      </c>
      <c r="S454" s="13">
        <f>IF(ISNUMBER(N454),ROUND(N454/(1-Settings!$B$2)/Settings!$B$3,0)*Settings!$B$3,"")</f>
        <v/>
      </c>
      <c r="T454" s="13">
        <f>IF(ISNUMBER(O454),ROUND(O454/(1-Settings!$B$2)/Settings!$B$3,0)*Settings!$B$3,"")</f>
        <v/>
      </c>
      <c r="U454" s="13">
        <f>IF(ISNUMBER(P454),ROUND(P454/(1-Settings!$B$2)/Settings!$B$3,0)*Settings!$B$3,"")</f>
        <v/>
      </c>
      <c r="V454" s="13">
        <f>IF(ISNUMBER(Q454),ROUND(Q454/(1-Settings!$B$2)/Settings!$B$3,0)*Settings!$B$3,"")</f>
        <v/>
      </c>
      <c r="W454" s="14" t="n">
        <v>6967</v>
      </c>
      <c r="X454" s="14" t="n">
        <v>9499</v>
      </c>
      <c r="Y454" s="11" t="inlineStr"/>
      <c r="Z454" s="11" t="inlineStr"/>
      <c r="AA454" s="8" t="inlineStr">
        <is>
          <t>Inventory master 6/2026 lists Digital Monitor Network at $660 (1 mo)</t>
        </is>
      </c>
      <c r="AB454" s="8" t="inlineStr"/>
      <c r="AC454" s="11" t="inlineStr">
        <is>
          <t>MasterMilitaryOnBaseList 12.2.25 NS.xlsx</t>
        </is>
      </c>
      <c r="AD454" s="11" t="inlineStr">
        <is>
          <t>FY26-27 ADVERTISING ASSETS_NRSE.xlsx</t>
        </is>
      </c>
      <c r="AE454" s="15" t="inlineStr">
        <is>
          <t>Open in Box</t>
        </is>
      </c>
      <c r="AF454" s="15" t="inlineStr">
        <is>
          <t>Open in Box</t>
        </is>
      </c>
    </row>
    <row r="455">
      <c r="A455" s="11" t="inlineStr">
        <is>
          <t>FL-JACKSONV-007</t>
        </is>
      </c>
      <c r="B455" s="8" t="inlineStr">
        <is>
          <t>Jacksonville NAS</t>
        </is>
      </c>
      <c r="C455" s="11" t="inlineStr"/>
      <c r="D455" s="11" t="inlineStr">
        <is>
          <t>FL</t>
        </is>
      </c>
      <c r="E455" s="11" t="inlineStr">
        <is>
          <t>Jacksonville</t>
        </is>
      </c>
      <c r="F455" s="11" t="inlineStr">
        <is>
          <t>32212</t>
        </is>
      </c>
      <c r="G455" s="11" t="inlineStr">
        <is>
          <t>Navy</t>
        </is>
      </c>
      <c r="H455" s="11" t="inlineStr">
        <is>
          <t>Large Format</t>
        </is>
      </c>
      <c r="I455" s="8" t="inlineStr">
        <is>
          <t>Counter Wrap</t>
        </is>
      </c>
      <c r="J455" s="11" t="inlineStr">
        <is>
          <t>Varies</t>
        </is>
      </c>
      <c r="K455" s="8" t="inlineStr">
        <is>
          <t>Your ad will appear at an approved installation facility.</t>
        </is>
      </c>
      <c r="L455" s="11" t="n">
        <v>1</v>
      </c>
      <c r="M455" s="12" t="n">
        <v>550</v>
      </c>
      <c r="N455" s="12" t="n">
        <v>1650</v>
      </c>
      <c r="O455" s="12" t="n">
        <v>3300</v>
      </c>
      <c r="P455" s="12" t="n">
        <v>6600</v>
      </c>
      <c r="Q455" s="12" t="n"/>
      <c r="R455" s="13">
        <f>IF(ISNUMBER(M455),ROUND(M455/(1-Settings!$B$2)/Settings!$B$3,0)*Settings!$B$3,"")</f>
        <v/>
      </c>
      <c r="S455" s="13">
        <f>IF(ISNUMBER(N455),ROUND(N455/(1-Settings!$B$2)/Settings!$B$3,0)*Settings!$B$3,"")</f>
        <v/>
      </c>
      <c r="T455" s="13">
        <f>IF(ISNUMBER(O455),ROUND(O455/(1-Settings!$B$2)/Settings!$B$3,0)*Settings!$B$3,"")</f>
        <v/>
      </c>
      <c r="U455" s="13">
        <f>IF(ISNUMBER(P455),ROUND(P455/(1-Settings!$B$2)/Settings!$B$3,0)*Settings!$B$3,"")</f>
        <v/>
      </c>
      <c r="V455" s="13">
        <f>IF(ISNUMBER(Q455),ROUND(Q455/(1-Settings!$B$2)/Settings!$B$3,0)*Settings!$B$3,"")</f>
        <v/>
      </c>
      <c r="W455" s="14" t="n">
        <v>6967</v>
      </c>
      <c r="X455" s="14" t="n">
        <v>9499</v>
      </c>
      <c r="Y455" s="11" t="inlineStr"/>
      <c r="Z455" s="11" t="inlineStr"/>
      <c r="AA455" s="8" t="inlineStr"/>
      <c r="AB455" s="8" t="inlineStr"/>
      <c r="AC455" s="11" t="inlineStr">
        <is>
          <t>MasterMilitaryOnBaseList 12.2.25 NS.xlsx</t>
        </is>
      </c>
      <c r="AD455" s="11" t="inlineStr">
        <is>
          <t>FY26-27 ADVERTISING ASSETS_NRSE.xlsx</t>
        </is>
      </c>
      <c r="AE455" s="15" t="inlineStr">
        <is>
          <t>Open in Box</t>
        </is>
      </c>
      <c r="AF455" s="15" t="inlineStr">
        <is>
          <t>Open in Box</t>
        </is>
      </c>
    </row>
    <row r="456">
      <c r="A456" s="11" t="inlineStr">
        <is>
          <t>FL-JACKSONV-008</t>
        </is>
      </c>
      <c r="B456" s="8" t="inlineStr">
        <is>
          <t>Jacksonville NAS</t>
        </is>
      </c>
      <c r="C456" s="11" t="inlineStr"/>
      <c r="D456" s="11" t="inlineStr">
        <is>
          <t>FL</t>
        </is>
      </c>
      <c r="E456" s="11" t="inlineStr">
        <is>
          <t>Jacksonville</t>
        </is>
      </c>
      <c r="F456" s="11" t="inlineStr">
        <is>
          <t>32212</t>
        </is>
      </c>
      <c r="G456" s="11" t="inlineStr">
        <is>
          <t>Navy</t>
        </is>
      </c>
      <c r="H456" s="11" t="inlineStr">
        <is>
          <t>Large Format</t>
        </is>
      </c>
      <c r="I456" s="8" t="inlineStr">
        <is>
          <t>Large Poster</t>
        </is>
      </c>
      <c r="J456" s="11" t="inlineStr">
        <is>
          <t>22"W x 56"H</t>
        </is>
      </c>
      <c r="K456" s="8" t="inlineStr">
        <is>
          <t>Your ad will appear at an approved installation facility.</t>
        </is>
      </c>
      <c r="L456" s="11" t="n">
        <v>1</v>
      </c>
      <c r="M456" s="12" t="n">
        <v>400</v>
      </c>
      <c r="N456" s="12" t="n">
        <v>1200</v>
      </c>
      <c r="O456" s="12" t="n">
        <v>2400</v>
      </c>
      <c r="P456" s="12" t="n">
        <v>4800</v>
      </c>
      <c r="Q456" s="12" t="n">
        <v>200</v>
      </c>
      <c r="R456" s="13">
        <f>IF(ISNUMBER(M456),ROUND(M456/(1-Settings!$B$2)/Settings!$B$3,0)*Settings!$B$3,"")</f>
        <v/>
      </c>
      <c r="S456" s="13">
        <f>IF(ISNUMBER(N456),ROUND(N456/(1-Settings!$B$2)/Settings!$B$3,0)*Settings!$B$3,"")</f>
        <v/>
      </c>
      <c r="T456" s="13">
        <f>IF(ISNUMBER(O456),ROUND(O456/(1-Settings!$B$2)/Settings!$B$3,0)*Settings!$B$3,"")</f>
        <v/>
      </c>
      <c r="U456" s="13">
        <f>IF(ISNUMBER(P456),ROUND(P456/(1-Settings!$B$2)/Settings!$B$3,0)*Settings!$B$3,"")</f>
        <v/>
      </c>
      <c r="V456" s="13">
        <f>IF(ISNUMBER(Q456),ROUND(Q456/(1-Settings!$B$2)/Settings!$B$3,0)*Settings!$B$3,"")</f>
        <v/>
      </c>
      <c r="W456" s="14" t="n">
        <v>6967</v>
      </c>
      <c r="X456" s="14" t="n">
        <v>9499</v>
      </c>
      <c r="Y456" s="11" t="inlineStr"/>
      <c r="Z456" s="11" t="inlineStr"/>
      <c r="AA456" s="8" t="inlineStr"/>
      <c r="AB456" s="8" t="inlineStr"/>
      <c r="AC456" s="11" t="inlineStr">
        <is>
          <t>MasterMilitaryOnBaseList 12.2.25 NS.xlsx</t>
        </is>
      </c>
      <c r="AD456" s="11" t="inlineStr">
        <is>
          <t>FY26-27 ADVERTISING ASSETS_NRSE.xlsx</t>
        </is>
      </c>
      <c r="AE456" s="15" t="inlineStr">
        <is>
          <t>Open in Box</t>
        </is>
      </c>
      <c r="AF456" s="15" t="inlineStr">
        <is>
          <t>Open in Box</t>
        </is>
      </c>
    </row>
    <row r="457">
      <c r="A457" s="11" t="inlineStr">
        <is>
          <t>FL-JACKSONV-009</t>
        </is>
      </c>
      <c r="B457" s="8" t="inlineStr">
        <is>
          <t>Jacksonville NAS</t>
        </is>
      </c>
      <c r="C457" s="11" t="inlineStr"/>
      <c r="D457" s="11" t="inlineStr">
        <is>
          <t>FL</t>
        </is>
      </c>
      <c r="E457" s="11" t="inlineStr">
        <is>
          <t>Jacksonville</t>
        </is>
      </c>
      <c r="F457" s="11" t="inlineStr">
        <is>
          <t>32212</t>
        </is>
      </c>
      <c r="G457" s="11" t="inlineStr">
        <is>
          <t>Navy</t>
        </is>
      </c>
      <c r="H457" s="11" t="inlineStr">
        <is>
          <t>Large Format</t>
        </is>
      </c>
      <c r="I457" s="8" t="inlineStr">
        <is>
          <t>Wall Cling</t>
        </is>
      </c>
      <c r="J457" s="11" t="inlineStr">
        <is>
          <t>Varies</t>
        </is>
      </c>
      <c r="K457" s="8" t="inlineStr">
        <is>
          <t>Your ad will appear at an approved installation facility.</t>
        </is>
      </c>
      <c r="L457" s="11" t="n">
        <v>1</v>
      </c>
      <c r="M457" s="12" t="n">
        <v>400</v>
      </c>
      <c r="N457" s="12" t="n">
        <v>1200</v>
      </c>
      <c r="O457" s="12" t="n">
        <v>2400</v>
      </c>
      <c r="P457" s="12" t="n">
        <v>4800</v>
      </c>
      <c r="Q457" s="12" t="n"/>
      <c r="R457" s="13">
        <f>IF(ISNUMBER(M457),ROUND(M457/(1-Settings!$B$2)/Settings!$B$3,0)*Settings!$B$3,"")</f>
        <v/>
      </c>
      <c r="S457" s="13">
        <f>IF(ISNUMBER(N457),ROUND(N457/(1-Settings!$B$2)/Settings!$B$3,0)*Settings!$B$3,"")</f>
        <v/>
      </c>
      <c r="T457" s="13">
        <f>IF(ISNUMBER(O457),ROUND(O457/(1-Settings!$B$2)/Settings!$B$3,0)*Settings!$B$3,"")</f>
        <v/>
      </c>
      <c r="U457" s="13">
        <f>IF(ISNUMBER(P457),ROUND(P457/(1-Settings!$B$2)/Settings!$B$3,0)*Settings!$B$3,"")</f>
        <v/>
      </c>
      <c r="V457" s="13">
        <f>IF(ISNUMBER(Q457),ROUND(Q457/(1-Settings!$B$2)/Settings!$B$3,0)*Settings!$B$3,"")</f>
        <v/>
      </c>
      <c r="W457" s="14" t="n">
        <v>6967</v>
      </c>
      <c r="X457" s="14" t="n">
        <v>9499</v>
      </c>
      <c r="Y457" s="11" t="inlineStr"/>
      <c r="Z457" s="11" t="inlineStr"/>
      <c r="AA457" s="8" t="inlineStr"/>
      <c r="AB457" s="8" t="inlineStr"/>
      <c r="AC457" s="11" t="inlineStr">
        <is>
          <t>MasterMilitaryOnBaseList 12.2.25 NS.xlsx</t>
        </is>
      </c>
      <c r="AD457" s="11" t="inlineStr">
        <is>
          <t>FY26-27 ADVERTISING ASSETS_NRSE.xlsx</t>
        </is>
      </c>
      <c r="AE457" s="15" t="inlineStr">
        <is>
          <t>Open in Box</t>
        </is>
      </c>
      <c r="AF457" s="15" t="inlineStr">
        <is>
          <t>Open in Box</t>
        </is>
      </c>
    </row>
    <row r="458">
      <c r="A458" s="11" t="inlineStr">
        <is>
          <t>FL-JACKSONV-010</t>
        </is>
      </c>
      <c r="B458" s="8" t="inlineStr">
        <is>
          <t>Jacksonville NAS</t>
        </is>
      </c>
      <c r="C458" s="11" t="inlineStr"/>
      <c r="D458" s="11" t="inlineStr">
        <is>
          <t>FL</t>
        </is>
      </c>
      <c r="E458" s="11" t="inlineStr">
        <is>
          <t>Jacksonville</t>
        </is>
      </c>
      <c r="F458" s="11" t="inlineStr">
        <is>
          <t>32212</t>
        </is>
      </c>
      <c r="G458" s="11" t="inlineStr">
        <is>
          <t>Navy</t>
        </is>
      </c>
      <c r="H458" s="11" t="inlineStr">
        <is>
          <t>Large Format</t>
        </is>
      </c>
      <c r="I458" s="8" t="inlineStr">
        <is>
          <t>XL Banner</t>
        </is>
      </c>
      <c r="J458" s="11" t="inlineStr">
        <is>
          <t>36'W x 6'H</t>
        </is>
      </c>
      <c r="K458" s="8" t="inlineStr">
        <is>
          <t>Your ad will appear at an approved installation facility.</t>
        </is>
      </c>
      <c r="L458" s="11" t="n">
        <v>1</v>
      </c>
      <c r="M458" s="12" t="n">
        <v>600</v>
      </c>
      <c r="N458" s="12" t="n">
        <v>1800</v>
      </c>
      <c r="O458" s="12" t="n">
        <v>3600</v>
      </c>
      <c r="P458" s="12" t="n">
        <v>7200</v>
      </c>
      <c r="Q458" s="12" t="n"/>
      <c r="R458" s="13">
        <f>IF(ISNUMBER(M458),ROUND(M458/(1-Settings!$B$2)/Settings!$B$3,0)*Settings!$B$3,"")</f>
        <v/>
      </c>
      <c r="S458" s="13">
        <f>IF(ISNUMBER(N458),ROUND(N458/(1-Settings!$B$2)/Settings!$B$3,0)*Settings!$B$3,"")</f>
        <v/>
      </c>
      <c r="T458" s="13">
        <f>IF(ISNUMBER(O458),ROUND(O458/(1-Settings!$B$2)/Settings!$B$3,0)*Settings!$B$3,"")</f>
        <v/>
      </c>
      <c r="U458" s="13">
        <f>IF(ISNUMBER(P458),ROUND(P458/(1-Settings!$B$2)/Settings!$B$3,0)*Settings!$B$3,"")</f>
        <v/>
      </c>
      <c r="V458" s="13">
        <f>IF(ISNUMBER(Q458),ROUND(Q458/(1-Settings!$B$2)/Settings!$B$3,0)*Settings!$B$3,"")</f>
        <v/>
      </c>
      <c r="W458" s="14" t="n">
        <v>6967</v>
      </c>
      <c r="X458" s="14" t="n">
        <v>9499</v>
      </c>
      <c r="Y458" s="11" t="inlineStr"/>
      <c r="Z458" s="11" t="inlineStr"/>
      <c r="AA458" s="8" t="inlineStr"/>
      <c r="AB458" s="8" t="inlineStr"/>
      <c r="AC458" s="11" t="inlineStr">
        <is>
          <t>MasterMilitaryOnBaseList 12.2.25 NS.xlsx</t>
        </is>
      </c>
      <c r="AD458" s="11" t="inlineStr">
        <is>
          <t>FY26-27 ADVERTISING ASSETS_NRSE.xlsx</t>
        </is>
      </c>
      <c r="AE458" s="15" t="inlineStr">
        <is>
          <t>Open in Box</t>
        </is>
      </c>
      <c r="AF458" s="15" t="inlineStr">
        <is>
          <t>Open in Box</t>
        </is>
      </c>
    </row>
    <row r="459">
      <c r="A459" s="11" t="inlineStr">
        <is>
          <t>FL-JACKSONV-011</t>
        </is>
      </c>
      <c r="B459" s="8" t="inlineStr">
        <is>
          <t>Jacksonville NAS</t>
        </is>
      </c>
      <c r="C459" s="11" t="inlineStr"/>
      <c r="D459" s="11" t="inlineStr">
        <is>
          <t>FL</t>
        </is>
      </c>
      <c r="E459" s="11" t="inlineStr">
        <is>
          <t>Jacksonville</t>
        </is>
      </c>
      <c r="F459" s="11" t="inlineStr">
        <is>
          <t>32212</t>
        </is>
      </c>
      <c r="G459" s="11" t="inlineStr">
        <is>
          <t>Navy</t>
        </is>
      </c>
      <c r="H459" s="11" t="inlineStr">
        <is>
          <t>Print &amp; Publications</t>
        </is>
      </c>
      <c r="I459" s="8" t="inlineStr">
        <is>
          <t>Brochures / Flyers</t>
        </is>
      </c>
      <c r="J459" s="11" t="inlineStr">
        <is>
          <t>8.5"W x 11"H</t>
        </is>
      </c>
      <c r="K459" s="8" t="inlineStr">
        <is>
          <t>Your ad will appear in 7 approved installation facilities.</t>
        </is>
      </c>
      <c r="L459" s="11" t="n">
        <v>1</v>
      </c>
      <c r="M459" s="12" t="n">
        <v>394</v>
      </c>
      <c r="N459" s="12" t="n">
        <v>1182</v>
      </c>
      <c r="O459" s="12" t="n">
        <v>2364</v>
      </c>
      <c r="P459" s="12" t="n">
        <v>4728</v>
      </c>
      <c r="Q459" s="12" t="n"/>
      <c r="R459" s="13">
        <f>IF(ISNUMBER(M459),ROUND(M459/(1-Settings!$B$2)/Settings!$B$3,0)*Settings!$B$3,"")</f>
        <v/>
      </c>
      <c r="S459" s="13">
        <f>IF(ISNUMBER(N459),ROUND(N459/(1-Settings!$B$2)/Settings!$B$3,0)*Settings!$B$3,"")</f>
        <v/>
      </c>
      <c r="T459" s="13">
        <f>IF(ISNUMBER(O459),ROUND(O459/(1-Settings!$B$2)/Settings!$B$3,0)*Settings!$B$3,"")</f>
        <v/>
      </c>
      <c r="U459" s="13">
        <f>IF(ISNUMBER(P459),ROUND(P459/(1-Settings!$B$2)/Settings!$B$3,0)*Settings!$B$3,"")</f>
        <v/>
      </c>
      <c r="V459" s="13">
        <f>IF(ISNUMBER(Q459),ROUND(Q459/(1-Settings!$B$2)/Settings!$B$3,0)*Settings!$B$3,"")</f>
        <v/>
      </c>
      <c r="W459" s="14" t="n">
        <v>6967</v>
      </c>
      <c r="X459" s="14" t="n">
        <v>9499</v>
      </c>
      <c r="Y459" s="11" t="inlineStr"/>
      <c r="Z459" s="11" t="inlineStr"/>
      <c r="AA459" s="8" t="inlineStr"/>
      <c r="AB459" s="8" t="inlineStr"/>
      <c r="AC459" s="11" t="inlineStr">
        <is>
          <t>MasterMilitaryOnBaseList 12.2.25 NS.xlsx</t>
        </is>
      </c>
      <c r="AD459" s="11" t="inlineStr">
        <is>
          <t>FY26-27 ADVERTISING ASSETS_NRSE.xlsx</t>
        </is>
      </c>
      <c r="AE459" s="15" t="inlineStr">
        <is>
          <t>Open in Box</t>
        </is>
      </c>
      <c r="AF459" s="15" t="inlineStr">
        <is>
          <t>Open in Box</t>
        </is>
      </c>
    </row>
    <row r="460">
      <c r="A460" s="11" t="inlineStr">
        <is>
          <t>FL-JACKSONV-014</t>
        </is>
      </c>
      <c r="B460" s="8" t="inlineStr">
        <is>
          <t>Jacksonville NAS</t>
        </is>
      </c>
      <c r="C460" s="11" t="inlineStr"/>
      <c r="D460" s="11" t="inlineStr">
        <is>
          <t>FL</t>
        </is>
      </c>
      <c r="E460" s="11" t="inlineStr">
        <is>
          <t>Jacksonville</t>
        </is>
      </c>
      <c r="F460" s="11" t="inlineStr"/>
      <c r="G460" s="11" t="inlineStr">
        <is>
          <t>Navy</t>
        </is>
      </c>
      <c r="H460" s="11" t="inlineStr">
        <is>
          <t>Print &amp; Publications</t>
        </is>
      </c>
      <c r="I460" s="8" t="inlineStr">
        <is>
          <t>Guide / Map Ad</t>
        </is>
      </c>
      <c r="J460" s="11" t="inlineStr"/>
      <c r="K460" s="8" t="inlineStr">
        <is>
          <t>Your ad will appear in the installation guide or map.</t>
        </is>
      </c>
      <c r="L460" s="11" t="n">
        <v>1</v>
      </c>
      <c r="M460" s="12" t="n">
        <v>1500</v>
      </c>
      <c r="N460" s="12" t="n"/>
      <c r="O460" s="12" t="n"/>
      <c r="P460" s="12" t="n"/>
      <c r="Q460" s="12" t="n"/>
      <c r="R460" s="13">
        <f>IF(ISNUMBER(M460),ROUND(M460/(1-Settings!$B$2)/Settings!$B$3,0)*Settings!$B$3,"")</f>
        <v/>
      </c>
      <c r="S460" s="13">
        <f>IF(ISNUMBER(N460),ROUND(N460/(1-Settings!$B$2)/Settings!$B$3,0)*Settings!$B$3,"")</f>
        <v/>
      </c>
      <c r="T460" s="13">
        <f>IF(ISNUMBER(O460),ROUND(O460/(1-Settings!$B$2)/Settings!$B$3,0)*Settings!$B$3,"")</f>
        <v/>
      </c>
      <c r="U460" s="13">
        <f>IF(ISNUMBER(P460),ROUND(P460/(1-Settings!$B$2)/Settings!$B$3,0)*Settings!$B$3,"")</f>
        <v/>
      </c>
      <c r="V460" s="13">
        <f>IF(ISNUMBER(Q460),ROUND(Q460/(1-Settings!$B$2)/Settings!$B$3,0)*Settings!$B$3,"")</f>
        <v/>
      </c>
      <c r="W460" s="14" t="n">
        <v>6967</v>
      </c>
      <c r="X460" s="14" t="n">
        <v>9499</v>
      </c>
      <c r="Y460" s="11" t="inlineStr">
        <is>
          <t>2026</t>
        </is>
      </c>
      <c r="Z460" s="11" t="inlineStr">
        <is>
          <t>2026-06</t>
        </is>
      </c>
      <c r="AA460" s="8" t="inlineStr"/>
      <c r="AB460" s="8" t="inlineStr"/>
      <c r="AC460" s="11" t="inlineStr">
        <is>
          <t>Military - National Publication Inventory Master_June 2026.xlsx</t>
        </is>
      </c>
      <c r="AD460" s="11" t="inlineStr">
        <is>
          <t>FY26-27 ADVERTISING ASSETS_NRSE.xlsx</t>
        </is>
      </c>
      <c r="AE460" s="15" t="inlineStr">
        <is>
          <t>Open in Box</t>
        </is>
      </c>
      <c r="AF460" s="15" t="inlineStr">
        <is>
          <t>Open in Box</t>
        </is>
      </c>
    </row>
    <row r="461">
      <c r="A461" s="11" t="inlineStr">
        <is>
          <t>FL-JACKSONV-003</t>
        </is>
      </c>
      <c r="B461" s="8" t="inlineStr">
        <is>
          <t>Jacksonville NAS</t>
        </is>
      </c>
      <c r="C461" s="11" t="inlineStr"/>
      <c r="D461" s="11" t="inlineStr">
        <is>
          <t>FL</t>
        </is>
      </c>
      <c r="E461" s="11" t="inlineStr">
        <is>
          <t>Jacksonville</t>
        </is>
      </c>
      <c r="F461" s="11" t="inlineStr">
        <is>
          <t>32212</t>
        </is>
      </c>
      <c r="G461" s="11" t="inlineStr">
        <is>
          <t>Navy</t>
        </is>
      </c>
      <c r="H461" s="11" t="inlineStr">
        <is>
          <t>Standard Media</t>
        </is>
      </c>
      <c r="I461" s="8" t="inlineStr">
        <is>
          <t>Banner</t>
        </is>
      </c>
      <c r="J461" s="11" t="inlineStr">
        <is>
          <t>8'W x 4'H</t>
        </is>
      </c>
      <c r="K461" s="8" t="inlineStr">
        <is>
          <t>Your ad will appear at an approved installation facility.</t>
        </is>
      </c>
      <c r="L461" s="11" t="n">
        <v>1</v>
      </c>
      <c r="M461" s="12" t="n">
        <v>450</v>
      </c>
      <c r="N461" s="12" t="n">
        <v>1350</v>
      </c>
      <c r="O461" s="12" t="n">
        <v>2700</v>
      </c>
      <c r="P461" s="12" t="n">
        <v>5400</v>
      </c>
      <c r="Q461" s="12" t="n">
        <v>250</v>
      </c>
      <c r="R461" s="13">
        <f>IF(ISNUMBER(M461),ROUND(M461/(1-Settings!$B$2)/Settings!$B$3,0)*Settings!$B$3,"")</f>
        <v/>
      </c>
      <c r="S461" s="13">
        <f>IF(ISNUMBER(N461),ROUND(N461/(1-Settings!$B$2)/Settings!$B$3,0)*Settings!$B$3,"")</f>
        <v/>
      </c>
      <c r="T461" s="13">
        <f>IF(ISNUMBER(O461),ROUND(O461/(1-Settings!$B$2)/Settings!$B$3,0)*Settings!$B$3,"")</f>
        <v/>
      </c>
      <c r="U461" s="13">
        <f>IF(ISNUMBER(P461),ROUND(P461/(1-Settings!$B$2)/Settings!$B$3,0)*Settings!$B$3,"")</f>
        <v/>
      </c>
      <c r="V461" s="13">
        <f>IF(ISNUMBER(Q461),ROUND(Q461/(1-Settings!$B$2)/Settings!$B$3,0)*Settings!$B$3,"")</f>
        <v/>
      </c>
      <c r="W461" s="14" t="n">
        <v>6967</v>
      </c>
      <c r="X461" s="14" t="n">
        <v>9499</v>
      </c>
      <c r="Y461" s="11" t="inlineStr"/>
      <c r="Z461" s="11" t="inlineStr"/>
      <c r="AA461" s="8" t="inlineStr"/>
      <c r="AB461" s="8" t="inlineStr"/>
      <c r="AC461" s="11" t="inlineStr">
        <is>
          <t>MasterMilitaryOnBaseList 12.2.25 NS.xlsx</t>
        </is>
      </c>
      <c r="AD461" s="11" t="inlineStr">
        <is>
          <t>FY26-27 ADVERTISING ASSETS_NRSE.xlsx</t>
        </is>
      </c>
      <c r="AE461" s="15" t="inlineStr">
        <is>
          <t>Open in Box</t>
        </is>
      </c>
      <c r="AF461" s="15" t="inlineStr">
        <is>
          <t>Open in Box</t>
        </is>
      </c>
    </row>
    <row r="462">
      <c r="A462" s="11" t="inlineStr">
        <is>
          <t>FL-JACKSONV-004</t>
        </is>
      </c>
      <c r="B462" s="8" t="inlineStr">
        <is>
          <t>Jacksonville NAS</t>
        </is>
      </c>
      <c r="C462" s="11" t="inlineStr"/>
      <c r="D462" s="11" t="inlineStr">
        <is>
          <t>FL</t>
        </is>
      </c>
      <c r="E462" s="11" t="inlineStr">
        <is>
          <t>Jacksonville</t>
        </is>
      </c>
      <c r="F462" s="11" t="inlineStr">
        <is>
          <t>32212</t>
        </is>
      </c>
      <c r="G462" s="11" t="inlineStr">
        <is>
          <t>Navy</t>
        </is>
      </c>
      <c r="H462" s="11" t="inlineStr">
        <is>
          <t>Standard Media</t>
        </is>
      </c>
      <c r="I462" s="8" t="inlineStr">
        <is>
          <t>Golf Cart Signage</t>
        </is>
      </c>
      <c r="J462" s="11" t="inlineStr">
        <is>
          <t>9"W x 6"H</t>
        </is>
      </c>
      <c r="K462" s="8" t="inlineStr">
        <is>
          <t>Your ad will appear on approved golf carts.</t>
        </is>
      </c>
      <c r="L462" s="11" t="n">
        <v>1</v>
      </c>
      <c r="M462" s="12" t="n">
        <v>300</v>
      </c>
      <c r="N462" s="12" t="n">
        <v>900</v>
      </c>
      <c r="O462" s="12" t="n">
        <v>1800</v>
      </c>
      <c r="P462" s="12" t="n">
        <v>3600</v>
      </c>
      <c r="Q462" s="12" t="n"/>
      <c r="R462" s="13">
        <f>IF(ISNUMBER(M462),ROUND(M462/(1-Settings!$B$2)/Settings!$B$3,0)*Settings!$B$3,"")</f>
        <v/>
      </c>
      <c r="S462" s="13">
        <f>IF(ISNUMBER(N462),ROUND(N462/(1-Settings!$B$2)/Settings!$B$3,0)*Settings!$B$3,"")</f>
        <v/>
      </c>
      <c r="T462" s="13">
        <f>IF(ISNUMBER(O462),ROUND(O462/(1-Settings!$B$2)/Settings!$B$3,0)*Settings!$B$3,"")</f>
        <v/>
      </c>
      <c r="U462" s="13">
        <f>IF(ISNUMBER(P462),ROUND(P462/(1-Settings!$B$2)/Settings!$B$3,0)*Settings!$B$3,"")</f>
        <v/>
      </c>
      <c r="V462" s="13">
        <f>IF(ISNUMBER(Q462),ROUND(Q462/(1-Settings!$B$2)/Settings!$B$3,0)*Settings!$B$3,"")</f>
        <v/>
      </c>
      <c r="W462" s="14" t="n">
        <v>6967</v>
      </c>
      <c r="X462" s="14" t="n">
        <v>9499</v>
      </c>
      <c r="Y462" s="11" t="inlineStr"/>
      <c r="Z462" s="11" t="inlineStr"/>
      <c r="AA462" s="8" t="inlineStr"/>
      <c r="AB462" s="8" t="inlineStr"/>
      <c r="AC462" s="11" t="inlineStr">
        <is>
          <t>MasterMilitaryOnBaseList 12.2.25 NS.xlsx</t>
        </is>
      </c>
      <c r="AD462" s="11" t="inlineStr">
        <is>
          <t>FY26-27 ADVERTISING ASSETS_NRSE.xlsx</t>
        </is>
      </c>
      <c r="AE462" s="15" t="inlineStr">
        <is>
          <t>Open in Box</t>
        </is>
      </c>
      <c r="AF462" s="15" t="inlineStr">
        <is>
          <t>Open in Box</t>
        </is>
      </c>
    </row>
    <row r="463">
      <c r="A463" s="11" t="inlineStr">
        <is>
          <t>FL-JACKSONV-005</t>
        </is>
      </c>
      <c r="B463" s="8" t="inlineStr">
        <is>
          <t>Jacksonville NAS</t>
        </is>
      </c>
      <c r="C463" s="11" t="inlineStr"/>
      <c r="D463" s="11" t="inlineStr">
        <is>
          <t>FL</t>
        </is>
      </c>
      <c r="E463" s="11" t="inlineStr">
        <is>
          <t>Jacksonville</t>
        </is>
      </c>
      <c r="F463" s="11" t="inlineStr">
        <is>
          <t>32212</t>
        </is>
      </c>
      <c r="G463" s="11" t="inlineStr">
        <is>
          <t>Navy</t>
        </is>
      </c>
      <c r="H463" s="11" t="inlineStr">
        <is>
          <t>Standard Media</t>
        </is>
      </c>
      <c r="I463" s="8" t="inlineStr">
        <is>
          <t>Poster</t>
        </is>
      </c>
      <c r="J463" s="11" t="inlineStr">
        <is>
          <t>22"W x 28"H</t>
        </is>
      </c>
      <c r="K463" s="8" t="inlineStr">
        <is>
          <t>Your ad will appear at an approved installation facility.</t>
        </is>
      </c>
      <c r="L463" s="11" t="n">
        <v>1</v>
      </c>
      <c r="M463" s="12" t="n">
        <v>200</v>
      </c>
      <c r="N463" s="12" t="n">
        <v>600</v>
      </c>
      <c r="O463" s="12" t="n">
        <v>1200</v>
      </c>
      <c r="P463" s="12" t="n">
        <v>2400</v>
      </c>
      <c r="Q463" s="12" t="n">
        <v>100</v>
      </c>
      <c r="R463" s="13">
        <f>IF(ISNUMBER(M463),ROUND(M463/(1-Settings!$B$2)/Settings!$B$3,0)*Settings!$B$3,"")</f>
        <v/>
      </c>
      <c r="S463" s="13">
        <f>IF(ISNUMBER(N463),ROUND(N463/(1-Settings!$B$2)/Settings!$B$3,0)*Settings!$B$3,"")</f>
        <v/>
      </c>
      <c r="T463" s="13">
        <f>IF(ISNUMBER(O463),ROUND(O463/(1-Settings!$B$2)/Settings!$B$3,0)*Settings!$B$3,"")</f>
        <v/>
      </c>
      <c r="U463" s="13">
        <f>IF(ISNUMBER(P463),ROUND(P463/(1-Settings!$B$2)/Settings!$B$3,0)*Settings!$B$3,"")</f>
        <v/>
      </c>
      <c r="V463" s="13">
        <f>IF(ISNUMBER(Q463),ROUND(Q463/(1-Settings!$B$2)/Settings!$B$3,0)*Settings!$B$3,"")</f>
        <v/>
      </c>
      <c r="W463" s="14" t="n">
        <v>6967</v>
      </c>
      <c r="X463" s="14" t="n">
        <v>9499</v>
      </c>
      <c r="Y463" s="11" t="inlineStr"/>
      <c r="Z463" s="11" t="inlineStr"/>
      <c r="AA463" s="8" t="inlineStr"/>
      <c r="AB463" s="8" t="inlineStr"/>
      <c r="AC463" s="11" t="inlineStr">
        <is>
          <t>MasterMilitaryOnBaseList 12.2.25 NS.xlsx</t>
        </is>
      </c>
      <c r="AD463" s="11" t="inlineStr">
        <is>
          <t>FY26-27 ADVERTISING ASSETS_NRSE.xlsx</t>
        </is>
      </c>
      <c r="AE463" s="15" t="inlineStr">
        <is>
          <t>Open in Box</t>
        </is>
      </c>
      <c r="AF463" s="15" t="inlineStr">
        <is>
          <t>Open in Box</t>
        </is>
      </c>
    </row>
    <row r="464">
      <c r="A464" s="11" t="inlineStr">
        <is>
          <t>FL-JACKSONV-006</t>
        </is>
      </c>
      <c r="B464" s="8" t="inlineStr">
        <is>
          <t>Jacksonville NAS</t>
        </is>
      </c>
      <c r="C464" s="11" t="inlineStr"/>
      <c r="D464" s="11" t="inlineStr">
        <is>
          <t>FL</t>
        </is>
      </c>
      <c r="E464" s="11" t="inlineStr">
        <is>
          <t>Jacksonville</t>
        </is>
      </c>
      <c r="F464" s="11" t="inlineStr">
        <is>
          <t>32212</t>
        </is>
      </c>
      <c r="G464" s="11" t="inlineStr">
        <is>
          <t>Navy</t>
        </is>
      </c>
      <c r="H464" s="11" t="inlineStr">
        <is>
          <t>Standard Media</t>
        </is>
      </c>
      <c r="I464" s="8" t="inlineStr">
        <is>
          <t>Table Tents</t>
        </is>
      </c>
      <c r="J464" s="11" t="inlineStr">
        <is>
          <t>4"W x 6"H</t>
        </is>
      </c>
      <c r="K464" s="8" t="inlineStr">
        <is>
          <t>Your ad will appear at approved tables.</t>
        </is>
      </c>
      <c r="L464" s="11" t="n">
        <v>1</v>
      </c>
      <c r="M464" s="12" t="n">
        <v>200</v>
      </c>
      <c r="N464" s="12" t="n">
        <v>600</v>
      </c>
      <c r="O464" s="12" t="n">
        <v>1200</v>
      </c>
      <c r="P464" s="12" t="n">
        <v>2400</v>
      </c>
      <c r="Q464" s="12" t="n"/>
      <c r="R464" s="13">
        <f>IF(ISNUMBER(M464),ROUND(M464/(1-Settings!$B$2)/Settings!$B$3,0)*Settings!$B$3,"")</f>
        <v/>
      </c>
      <c r="S464" s="13">
        <f>IF(ISNUMBER(N464),ROUND(N464/(1-Settings!$B$2)/Settings!$B$3,0)*Settings!$B$3,"")</f>
        <v/>
      </c>
      <c r="T464" s="13">
        <f>IF(ISNUMBER(O464),ROUND(O464/(1-Settings!$B$2)/Settings!$B$3,0)*Settings!$B$3,"")</f>
        <v/>
      </c>
      <c r="U464" s="13">
        <f>IF(ISNUMBER(P464),ROUND(P464/(1-Settings!$B$2)/Settings!$B$3,0)*Settings!$B$3,"")</f>
        <v/>
      </c>
      <c r="V464" s="13">
        <f>IF(ISNUMBER(Q464),ROUND(Q464/(1-Settings!$B$2)/Settings!$B$3,0)*Settings!$B$3,"")</f>
        <v/>
      </c>
      <c r="W464" s="14" t="n">
        <v>6967</v>
      </c>
      <c r="X464" s="14" t="n">
        <v>9499</v>
      </c>
      <c r="Y464" s="11" t="inlineStr"/>
      <c r="Z464" s="11" t="inlineStr"/>
      <c r="AA464" s="8" t="inlineStr"/>
      <c r="AB464" s="8" t="inlineStr"/>
      <c r="AC464" s="11" t="inlineStr">
        <is>
          <t>MasterMilitaryOnBaseList 12.2.25 NS.xlsx</t>
        </is>
      </c>
      <c r="AD464" s="11" t="inlineStr">
        <is>
          <t>FY26-27 ADVERTISING ASSETS_NRSE.xlsx</t>
        </is>
      </c>
      <c r="AE464" s="15" t="inlineStr">
        <is>
          <t>Open in Box</t>
        </is>
      </c>
      <c r="AF464" s="15" t="inlineStr">
        <is>
          <t>Open in Box</t>
        </is>
      </c>
    </row>
    <row r="465">
      <c r="A465" s="11" t="inlineStr">
        <is>
          <t>FL-JACKSONV-012</t>
        </is>
      </c>
      <c r="B465" s="8" t="inlineStr">
        <is>
          <t>Jacksonville NAS</t>
        </is>
      </c>
      <c r="C465" s="11" t="inlineStr"/>
      <c r="D465" s="11" t="inlineStr">
        <is>
          <t>FL</t>
        </is>
      </c>
      <c r="E465" s="11" t="inlineStr">
        <is>
          <t>Jacksonville</t>
        </is>
      </c>
      <c r="F465" s="11" t="inlineStr"/>
      <c r="G465" s="11" t="inlineStr">
        <is>
          <t>Navy</t>
        </is>
      </c>
      <c r="H465" s="11" t="inlineStr">
        <is>
          <t>Web &amp; Email</t>
        </is>
      </c>
      <c r="I465" s="8" t="inlineStr">
        <is>
          <t>Monthly E-Newsletter Ad</t>
        </is>
      </c>
      <c r="J465" s="11" t="inlineStr"/>
      <c r="K465" s="8" t="inlineStr">
        <is>
          <t>Your ad will appear in the monthly e-newsletter emailed to the installation community.</t>
        </is>
      </c>
      <c r="L465" s="11" t="n">
        <v>1</v>
      </c>
      <c r="M465" s="12" t="n">
        <v>250</v>
      </c>
      <c r="N465" s="12" t="n"/>
      <c r="O465" s="12" t="n"/>
      <c r="P465" s="12" t="n"/>
      <c r="Q465" s="12" t="n"/>
      <c r="R465" s="13">
        <f>IF(ISNUMBER(M465),ROUND(M465/(1-Settings!$B$2)/Settings!$B$3,0)*Settings!$B$3,"")</f>
        <v/>
      </c>
      <c r="S465" s="13">
        <f>IF(ISNUMBER(N465),ROUND(N465/(1-Settings!$B$2)/Settings!$B$3,0)*Settings!$B$3,"")</f>
        <v/>
      </c>
      <c r="T465" s="13">
        <f>IF(ISNUMBER(O465),ROUND(O465/(1-Settings!$B$2)/Settings!$B$3,0)*Settings!$B$3,"")</f>
        <v/>
      </c>
      <c r="U465" s="13">
        <f>IF(ISNUMBER(P465),ROUND(P465/(1-Settings!$B$2)/Settings!$B$3,0)*Settings!$B$3,"")</f>
        <v/>
      </c>
      <c r="V465" s="13">
        <f>IF(ISNUMBER(Q465),ROUND(Q465/(1-Settings!$B$2)/Settings!$B$3,0)*Settings!$B$3,"")</f>
        <v/>
      </c>
      <c r="W465" s="14" t="n">
        <v>6967</v>
      </c>
      <c r="X465" s="14" t="n">
        <v>9499</v>
      </c>
      <c r="Y465" s="11" t="inlineStr">
        <is>
          <t>2026</t>
        </is>
      </c>
      <c r="Z465" s="11" t="inlineStr">
        <is>
          <t>2026-06</t>
        </is>
      </c>
      <c r="AA465" s="8" t="inlineStr"/>
      <c r="AB465" s="8" t="inlineStr"/>
      <c r="AC465" s="11" t="inlineStr">
        <is>
          <t>Military - National Publication Inventory Master_June 2026.xlsx</t>
        </is>
      </c>
      <c r="AD465" s="11" t="inlineStr">
        <is>
          <t>FY26-27 ADVERTISING ASSETS_NRSE.xlsx</t>
        </is>
      </c>
      <c r="AE465" s="15" t="inlineStr">
        <is>
          <t>Open in Box</t>
        </is>
      </c>
      <c r="AF465" s="15" t="inlineStr">
        <is>
          <t>Open in Box</t>
        </is>
      </c>
    </row>
    <row r="466">
      <c r="A466" s="11" t="inlineStr">
        <is>
          <t>FL-JACKSONV-013</t>
        </is>
      </c>
      <c r="B466" s="8" t="inlineStr">
        <is>
          <t>Jacksonville NAS</t>
        </is>
      </c>
      <c r="C466" s="11" t="inlineStr"/>
      <c r="D466" s="11" t="inlineStr">
        <is>
          <t>FL</t>
        </is>
      </c>
      <c r="E466" s="11" t="inlineStr">
        <is>
          <t>Jacksonville</t>
        </is>
      </c>
      <c r="F466" s="11" t="inlineStr"/>
      <c r="G466" s="11" t="inlineStr">
        <is>
          <t>Navy</t>
        </is>
      </c>
      <c r="H466" s="11" t="inlineStr">
        <is>
          <t>Web &amp; Email</t>
        </is>
      </c>
      <c r="I466" s="8" t="inlineStr">
        <is>
          <t>Web Ad</t>
        </is>
      </c>
      <c r="J466" s="11" t="inlineStr"/>
      <c r="K466" s="8" t="inlineStr">
        <is>
          <t>Your ad will appear on the installation MWR / FSS website.</t>
        </is>
      </c>
      <c r="L466" s="11" t="n">
        <v>1</v>
      </c>
      <c r="M466" s="12" t="n">
        <v>500</v>
      </c>
      <c r="N466" s="12" t="n"/>
      <c r="O466" s="12" t="n"/>
      <c r="P466" s="12" t="n"/>
      <c r="Q466" s="12" t="n"/>
      <c r="R466" s="13">
        <f>IF(ISNUMBER(M466),ROUND(M466/(1-Settings!$B$2)/Settings!$B$3,0)*Settings!$B$3,"")</f>
        <v/>
      </c>
      <c r="S466" s="13">
        <f>IF(ISNUMBER(N466),ROUND(N466/(1-Settings!$B$2)/Settings!$B$3,0)*Settings!$B$3,"")</f>
        <v/>
      </c>
      <c r="T466" s="13">
        <f>IF(ISNUMBER(O466),ROUND(O466/(1-Settings!$B$2)/Settings!$B$3,0)*Settings!$B$3,"")</f>
        <v/>
      </c>
      <c r="U466" s="13">
        <f>IF(ISNUMBER(P466),ROUND(P466/(1-Settings!$B$2)/Settings!$B$3,0)*Settings!$B$3,"")</f>
        <v/>
      </c>
      <c r="V466" s="13">
        <f>IF(ISNUMBER(Q466),ROUND(Q466/(1-Settings!$B$2)/Settings!$B$3,0)*Settings!$B$3,"")</f>
        <v/>
      </c>
      <c r="W466" s="14" t="n">
        <v>6967</v>
      </c>
      <c r="X466" s="14" t="n">
        <v>9499</v>
      </c>
      <c r="Y466" s="11" t="inlineStr">
        <is>
          <t>2026</t>
        </is>
      </c>
      <c r="Z466" s="11" t="inlineStr">
        <is>
          <t>2026-06</t>
        </is>
      </c>
      <c r="AA466" s="8" t="inlineStr"/>
      <c r="AB466" s="8" t="inlineStr"/>
      <c r="AC466" s="11" t="inlineStr">
        <is>
          <t>Military - National Publication Inventory Master_June 2026.xlsx</t>
        </is>
      </c>
      <c r="AD466" s="11" t="inlineStr">
        <is>
          <t>FY26-27 ADVERTISING ASSETS_NRSE.xlsx</t>
        </is>
      </c>
      <c r="AE466" s="15" t="inlineStr">
        <is>
          <t>Open in Box</t>
        </is>
      </c>
      <c r="AF466" s="15" t="inlineStr">
        <is>
          <t>Open in Box</t>
        </is>
      </c>
    </row>
    <row r="467">
      <c r="A467" s="11" t="inlineStr">
        <is>
          <t>FL-KEYWESTN-001</t>
        </is>
      </c>
      <c r="B467" s="8" t="inlineStr">
        <is>
          <t>Key West NAS</t>
        </is>
      </c>
      <c r="C467" s="11" t="inlineStr"/>
      <c r="D467" s="11" t="inlineStr">
        <is>
          <t>FL</t>
        </is>
      </c>
      <c r="E467" s="11" t="inlineStr">
        <is>
          <t>Miami-Ft. Lauderdale</t>
        </is>
      </c>
      <c r="F467" s="11" t="inlineStr">
        <is>
          <t>33040</t>
        </is>
      </c>
      <c r="G467" s="11" t="inlineStr">
        <is>
          <t>Navy</t>
        </is>
      </c>
      <c r="H467" s="11" t="inlineStr">
        <is>
          <t>Digital</t>
        </is>
      </c>
      <c r="I467" s="8" t="inlineStr">
        <is>
          <t>Bowling Scoring Monitor</t>
        </is>
      </c>
      <c r="J467" s="11" t="inlineStr">
        <is>
          <t>1920pxW x 1080pxH</t>
        </is>
      </c>
      <c r="K467" s="8" t="inlineStr">
        <is>
          <t>Your ad will appear on 10 bowling scoring monitors.</t>
        </is>
      </c>
      <c r="L467" s="11" t="n">
        <v>1</v>
      </c>
      <c r="M467" s="12" t="n">
        <v>350</v>
      </c>
      <c r="N467" s="12" t="n">
        <v>1050</v>
      </c>
      <c r="O467" s="12" t="n">
        <v>2100</v>
      </c>
      <c r="P467" s="12" t="n">
        <v>4200</v>
      </c>
      <c r="Q467" s="12" t="n">
        <v>0</v>
      </c>
      <c r="R467" s="13">
        <f>IF(ISNUMBER(M467),ROUND(M467/(1-Settings!$B$2)/Settings!$B$3,0)*Settings!$B$3,"")</f>
        <v/>
      </c>
      <c r="S467" s="13">
        <f>IF(ISNUMBER(N467),ROUND(N467/(1-Settings!$B$2)/Settings!$B$3,0)*Settings!$B$3,"")</f>
        <v/>
      </c>
      <c r="T467" s="13">
        <f>IF(ISNUMBER(O467),ROUND(O467/(1-Settings!$B$2)/Settings!$B$3,0)*Settings!$B$3,"")</f>
        <v/>
      </c>
      <c r="U467" s="13">
        <f>IF(ISNUMBER(P467),ROUND(P467/(1-Settings!$B$2)/Settings!$B$3,0)*Settings!$B$3,"")</f>
        <v/>
      </c>
      <c r="V467" s="13">
        <f>IF(ISNUMBER(Q467),ROUND(Q467/(1-Settings!$B$2)/Settings!$B$3,0)*Settings!$B$3,"")</f>
        <v/>
      </c>
      <c r="W467" s="14" t="n">
        <v>797</v>
      </c>
      <c r="X467" s="14" t="n">
        <v>986</v>
      </c>
      <c r="Y467" s="11" t="inlineStr"/>
      <c r="Z467" s="11" t="inlineStr"/>
      <c r="AA467" s="8" t="inlineStr"/>
      <c r="AB467" s="8" t="inlineStr"/>
      <c r="AC467" s="11" t="inlineStr">
        <is>
          <t>MasterMilitaryOnBaseList 12.2.25 NS.xlsx</t>
        </is>
      </c>
      <c r="AD467" s="11" t="inlineStr">
        <is>
          <t>FY26-27 ADVERTISING ASSETS_NRSE.xlsx</t>
        </is>
      </c>
      <c r="AE467" s="15" t="inlineStr">
        <is>
          <t>Open in Box</t>
        </is>
      </c>
      <c r="AF467" s="15" t="inlineStr">
        <is>
          <t>Open in Box</t>
        </is>
      </c>
    </row>
    <row r="468">
      <c r="A468" s="11" t="inlineStr">
        <is>
          <t>FL-KEYWESTN-002</t>
        </is>
      </c>
      <c r="B468" s="8" t="inlineStr">
        <is>
          <t>Key West NAS</t>
        </is>
      </c>
      <c r="C468" s="11" t="inlineStr"/>
      <c r="D468" s="11" t="inlineStr">
        <is>
          <t>FL</t>
        </is>
      </c>
      <c r="E468" s="11" t="inlineStr">
        <is>
          <t>Miami-Ft. Lauderdale</t>
        </is>
      </c>
      <c r="F468" s="11" t="inlineStr">
        <is>
          <t>33040</t>
        </is>
      </c>
      <c r="G468" s="11" t="inlineStr">
        <is>
          <t>Navy</t>
        </is>
      </c>
      <c r="H468" s="11" t="inlineStr">
        <is>
          <t>Digital</t>
        </is>
      </c>
      <c r="I468" s="8" t="inlineStr">
        <is>
          <t>Bowling Sweepers</t>
        </is>
      </c>
      <c r="J468" s="11" t="inlineStr">
        <is>
          <t>46"W x 2.75"H</t>
        </is>
      </c>
      <c r="K468" s="8" t="inlineStr">
        <is>
          <t>Your ad will appear on 10 bowling pin sweepers.</t>
        </is>
      </c>
      <c r="L468" s="11" t="n">
        <v>1</v>
      </c>
      <c r="M468" s="12" t="n">
        <v>200</v>
      </c>
      <c r="N468" s="12" t="n">
        <v>600</v>
      </c>
      <c r="O468" s="12" t="n">
        <v>1200</v>
      </c>
      <c r="P468" s="12" t="n">
        <v>2400</v>
      </c>
      <c r="Q468" s="12" t="n"/>
      <c r="R468" s="13">
        <f>IF(ISNUMBER(M468),ROUND(M468/(1-Settings!$B$2)/Settings!$B$3,0)*Settings!$B$3,"")</f>
        <v/>
      </c>
      <c r="S468" s="13">
        <f>IF(ISNUMBER(N468),ROUND(N468/(1-Settings!$B$2)/Settings!$B$3,0)*Settings!$B$3,"")</f>
        <v/>
      </c>
      <c r="T468" s="13">
        <f>IF(ISNUMBER(O468),ROUND(O468/(1-Settings!$B$2)/Settings!$B$3,0)*Settings!$B$3,"")</f>
        <v/>
      </c>
      <c r="U468" s="13">
        <f>IF(ISNUMBER(P468),ROUND(P468/(1-Settings!$B$2)/Settings!$B$3,0)*Settings!$B$3,"")</f>
        <v/>
      </c>
      <c r="V468" s="13">
        <f>IF(ISNUMBER(Q468),ROUND(Q468/(1-Settings!$B$2)/Settings!$B$3,0)*Settings!$B$3,"")</f>
        <v/>
      </c>
      <c r="W468" s="14" t="n">
        <v>797</v>
      </c>
      <c r="X468" s="14" t="n">
        <v>986</v>
      </c>
      <c r="Y468" s="11" t="inlineStr"/>
      <c r="Z468" s="11" t="inlineStr"/>
      <c r="AA468" s="8" t="inlineStr"/>
      <c r="AB468" s="8" t="inlineStr"/>
      <c r="AC468" s="11" t="inlineStr">
        <is>
          <t>MasterMilitaryOnBaseList 12.2.25 NS.xlsx</t>
        </is>
      </c>
      <c r="AD468" s="11" t="inlineStr">
        <is>
          <t>FY26-27 ADVERTISING ASSETS_NRSE.xlsx</t>
        </is>
      </c>
      <c r="AE468" s="15" t="inlineStr">
        <is>
          <t>Open in Box</t>
        </is>
      </c>
      <c r="AF468" s="15" t="inlineStr">
        <is>
          <t>Open in Box</t>
        </is>
      </c>
    </row>
    <row r="469">
      <c r="A469" s="11" t="inlineStr">
        <is>
          <t>FL-KEYWESTN-003</t>
        </is>
      </c>
      <c r="B469" s="8" t="inlineStr">
        <is>
          <t>Key West NAS</t>
        </is>
      </c>
      <c r="C469" s="11" t="inlineStr"/>
      <c r="D469" s="11" t="inlineStr">
        <is>
          <t>FL</t>
        </is>
      </c>
      <c r="E469" s="11" t="inlineStr">
        <is>
          <t>Miami-Ft. Lauderdale</t>
        </is>
      </c>
      <c r="F469" s="11" t="inlineStr">
        <is>
          <t>33040</t>
        </is>
      </c>
      <c r="G469" s="11" t="inlineStr">
        <is>
          <t>Navy</t>
        </is>
      </c>
      <c r="H469" s="11" t="inlineStr">
        <is>
          <t>Digital</t>
        </is>
      </c>
      <c r="I469" s="8" t="inlineStr">
        <is>
          <t>Digital Monitor Network</t>
        </is>
      </c>
      <c r="J469" s="11" t="inlineStr">
        <is>
          <t>1920pxW x 1080pxH</t>
        </is>
      </c>
      <c r="K469" s="8" t="inlineStr">
        <is>
          <t>Your ad will appear on 8 digital monitors in approved installation facilities.</t>
        </is>
      </c>
      <c r="L469" s="11" t="n">
        <v>1</v>
      </c>
      <c r="M469" s="12" t="n">
        <v>470</v>
      </c>
      <c r="N469" s="12" t="n">
        <v>1410</v>
      </c>
      <c r="O469" s="12" t="n">
        <v>2820</v>
      </c>
      <c r="P469" s="12" t="n">
        <v>5640</v>
      </c>
      <c r="Q469" s="12" t="n">
        <v>0</v>
      </c>
      <c r="R469" s="13">
        <f>IF(ISNUMBER(M469),ROUND(M469/(1-Settings!$B$2)/Settings!$B$3,0)*Settings!$B$3,"")</f>
        <v/>
      </c>
      <c r="S469" s="13">
        <f>IF(ISNUMBER(N469),ROUND(N469/(1-Settings!$B$2)/Settings!$B$3,0)*Settings!$B$3,"")</f>
        <v/>
      </c>
      <c r="T469" s="13">
        <f>IF(ISNUMBER(O469),ROUND(O469/(1-Settings!$B$2)/Settings!$B$3,0)*Settings!$B$3,"")</f>
        <v/>
      </c>
      <c r="U469" s="13">
        <f>IF(ISNUMBER(P469),ROUND(P469/(1-Settings!$B$2)/Settings!$B$3,0)*Settings!$B$3,"")</f>
        <v/>
      </c>
      <c r="V469" s="13">
        <f>IF(ISNUMBER(Q469),ROUND(Q469/(1-Settings!$B$2)/Settings!$B$3,0)*Settings!$B$3,"")</f>
        <v/>
      </c>
      <c r="W469" s="14" t="n">
        <v>797</v>
      </c>
      <c r="X469" s="14" t="n">
        <v>986</v>
      </c>
      <c r="Y469" s="11" t="inlineStr"/>
      <c r="Z469" s="11" t="inlineStr"/>
      <c r="AA469" s="8" t="inlineStr"/>
      <c r="AB469" s="8" t="inlineStr"/>
      <c r="AC469" s="11" t="inlineStr">
        <is>
          <t>MasterMilitaryOnBaseList 12.2.25 NS.xlsx</t>
        </is>
      </c>
      <c r="AD469" s="11" t="inlineStr">
        <is>
          <t>FY26-27 ADVERTISING ASSETS_NRSE.xlsx</t>
        </is>
      </c>
      <c r="AE469" s="15" t="inlineStr">
        <is>
          <t>Open in Box</t>
        </is>
      </c>
      <c r="AF469" s="15" t="inlineStr">
        <is>
          <t>Open in Box</t>
        </is>
      </c>
    </row>
    <row r="470">
      <c r="A470" s="11" t="inlineStr">
        <is>
          <t>FL-KEYWESTN-007</t>
        </is>
      </c>
      <c r="B470" s="8" t="inlineStr">
        <is>
          <t>Key West NAS</t>
        </is>
      </c>
      <c r="C470" s="11" t="inlineStr"/>
      <c r="D470" s="11" t="inlineStr">
        <is>
          <t>FL</t>
        </is>
      </c>
      <c r="E470" s="11" t="inlineStr">
        <is>
          <t>Miami-Ft. Lauderdale</t>
        </is>
      </c>
      <c r="F470" s="11" t="inlineStr">
        <is>
          <t>33040</t>
        </is>
      </c>
      <c r="G470" s="11" t="inlineStr">
        <is>
          <t>Navy</t>
        </is>
      </c>
      <c r="H470" s="11" t="inlineStr">
        <is>
          <t>Large Format</t>
        </is>
      </c>
      <c r="I470" s="8" t="inlineStr">
        <is>
          <t>Poster Large</t>
        </is>
      </c>
      <c r="J470" s="11" t="inlineStr">
        <is>
          <t>22"W x 56"H</t>
        </is>
      </c>
      <c r="K470" s="8" t="inlineStr">
        <is>
          <t>Your ad will appear at an approved installation facility.</t>
        </is>
      </c>
      <c r="L470" s="11" t="n">
        <v>1</v>
      </c>
      <c r="M470" s="12" t="n">
        <v>250</v>
      </c>
      <c r="N470" s="12" t="n">
        <v>750</v>
      </c>
      <c r="O470" s="12" t="n">
        <v>1500</v>
      </c>
      <c r="P470" s="12" t="n">
        <v>3000</v>
      </c>
      <c r="Q470" s="12" t="n">
        <v>200</v>
      </c>
      <c r="R470" s="13">
        <f>IF(ISNUMBER(M470),ROUND(M470/(1-Settings!$B$2)/Settings!$B$3,0)*Settings!$B$3,"")</f>
        <v/>
      </c>
      <c r="S470" s="13">
        <f>IF(ISNUMBER(N470),ROUND(N470/(1-Settings!$B$2)/Settings!$B$3,0)*Settings!$B$3,"")</f>
        <v/>
      </c>
      <c r="T470" s="13">
        <f>IF(ISNUMBER(O470),ROUND(O470/(1-Settings!$B$2)/Settings!$B$3,0)*Settings!$B$3,"")</f>
        <v/>
      </c>
      <c r="U470" s="13">
        <f>IF(ISNUMBER(P470),ROUND(P470/(1-Settings!$B$2)/Settings!$B$3,0)*Settings!$B$3,"")</f>
        <v/>
      </c>
      <c r="V470" s="13">
        <f>IF(ISNUMBER(Q470),ROUND(Q470/(1-Settings!$B$2)/Settings!$B$3,0)*Settings!$B$3,"")</f>
        <v/>
      </c>
      <c r="W470" s="14" t="n">
        <v>797</v>
      </c>
      <c r="X470" s="14" t="n">
        <v>986</v>
      </c>
      <c r="Y470" s="11" t="inlineStr"/>
      <c r="Z470" s="11" t="inlineStr"/>
      <c r="AA470" s="8" t="inlineStr"/>
      <c r="AB470" s="8" t="inlineStr"/>
      <c r="AC470" s="11" t="inlineStr">
        <is>
          <t>MasterMilitaryOnBaseList 12.2.25 NS.xlsx</t>
        </is>
      </c>
      <c r="AD470" s="11" t="inlineStr">
        <is>
          <t>FY26-27 ADVERTISING ASSETS_NRSE.xlsx</t>
        </is>
      </c>
      <c r="AE470" s="15" t="inlineStr">
        <is>
          <t>Open in Box</t>
        </is>
      </c>
      <c r="AF470" s="15" t="inlineStr">
        <is>
          <t>Open in Box</t>
        </is>
      </c>
    </row>
    <row r="471">
      <c r="A471" s="11" t="inlineStr">
        <is>
          <t>FL-KEYWESTN-008</t>
        </is>
      </c>
      <c r="B471" s="8" t="inlineStr">
        <is>
          <t>Key West NAS</t>
        </is>
      </c>
      <c r="C471" s="11" t="inlineStr"/>
      <c r="D471" s="11" t="inlineStr">
        <is>
          <t>FL</t>
        </is>
      </c>
      <c r="E471" s="11" t="inlineStr">
        <is>
          <t>Miami-Ft. Lauderdale</t>
        </is>
      </c>
      <c r="F471" s="11" t="inlineStr">
        <is>
          <t>33040</t>
        </is>
      </c>
      <c r="G471" s="11" t="inlineStr">
        <is>
          <t>Navy</t>
        </is>
      </c>
      <c r="H471" s="11" t="inlineStr">
        <is>
          <t>Large Format</t>
        </is>
      </c>
      <c r="I471" s="8" t="inlineStr">
        <is>
          <t>Wall Cling</t>
        </is>
      </c>
      <c r="J471" s="11" t="inlineStr">
        <is>
          <t>Varies</t>
        </is>
      </c>
      <c r="K471" s="8" t="inlineStr">
        <is>
          <t>Your ad will appear at an approved installation facility.</t>
        </is>
      </c>
      <c r="L471" s="11" t="n">
        <v>1</v>
      </c>
      <c r="M471" s="12" t="n">
        <v>350</v>
      </c>
      <c r="N471" s="12" t="n">
        <v>1050</v>
      </c>
      <c r="O471" s="12" t="n">
        <v>2100</v>
      </c>
      <c r="P471" s="12" t="n">
        <v>4200</v>
      </c>
      <c r="Q471" s="12" t="n"/>
      <c r="R471" s="13">
        <f>IF(ISNUMBER(M471),ROUND(M471/(1-Settings!$B$2)/Settings!$B$3,0)*Settings!$B$3,"")</f>
        <v/>
      </c>
      <c r="S471" s="13">
        <f>IF(ISNUMBER(N471),ROUND(N471/(1-Settings!$B$2)/Settings!$B$3,0)*Settings!$B$3,"")</f>
        <v/>
      </c>
      <c r="T471" s="13">
        <f>IF(ISNUMBER(O471),ROUND(O471/(1-Settings!$B$2)/Settings!$B$3,0)*Settings!$B$3,"")</f>
        <v/>
      </c>
      <c r="U471" s="13">
        <f>IF(ISNUMBER(P471),ROUND(P471/(1-Settings!$B$2)/Settings!$B$3,0)*Settings!$B$3,"")</f>
        <v/>
      </c>
      <c r="V471" s="13">
        <f>IF(ISNUMBER(Q471),ROUND(Q471/(1-Settings!$B$2)/Settings!$B$3,0)*Settings!$B$3,"")</f>
        <v/>
      </c>
      <c r="W471" s="14" t="n">
        <v>797</v>
      </c>
      <c r="X471" s="14" t="n">
        <v>986</v>
      </c>
      <c r="Y471" s="11" t="inlineStr"/>
      <c r="Z471" s="11" t="inlineStr"/>
      <c r="AA471" s="8" t="inlineStr"/>
      <c r="AB471" s="8" t="inlineStr"/>
      <c r="AC471" s="11" t="inlineStr">
        <is>
          <t>MasterMilitaryOnBaseList 12.2.25 NS.xlsx</t>
        </is>
      </c>
      <c r="AD471" s="11" t="inlineStr">
        <is>
          <t>FY26-27 ADVERTISING ASSETS_NRSE.xlsx</t>
        </is>
      </c>
      <c r="AE471" s="15" t="inlineStr">
        <is>
          <t>Open in Box</t>
        </is>
      </c>
      <c r="AF471" s="15" t="inlineStr">
        <is>
          <t>Open in Box</t>
        </is>
      </c>
    </row>
    <row r="472">
      <c r="A472" s="11" t="inlineStr">
        <is>
          <t>FL-KEYWESTN-009</t>
        </is>
      </c>
      <c r="B472" s="8" t="inlineStr">
        <is>
          <t>Key West NAS</t>
        </is>
      </c>
      <c r="C472" s="11" t="inlineStr"/>
      <c r="D472" s="11" t="inlineStr">
        <is>
          <t>FL</t>
        </is>
      </c>
      <c r="E472" s="11" t="inlineStr">
        <is>
          <t>Miami-Ft. Lauderdale</t>
        </is>
      </c>
      <c r="F472" s="11" t="inlineStr">
        <is>
          <t>33040</t>
        </is>
      </c>
      <c r="G472" s="11" t="inlineStr">
        <is>
          <t>Navy</t>
        </is>
      </c>
      <c r="H472" s="11" t="inlineStr">
        <is>
          <t>Print &amp; Publications</t>
        </is>
      </c>
      <c r="I472" s="8" t="inlineStr">
        <is>
          <t>Brochures / Flyers</t>
        </is>
      </c>
      <c r="J472" s="11" t="inlineStr">
        <is>
          <t>8.5"W x 11"H</t>
        </is>
      </c>
      <c r="K472" s="8" t="inlineStr">
        <is>
          <t>Your ad will appear at 8 approved installation facilities.</t>
        </is>
      </c>
      <c r="L472" s="11" t="n">
        <v>1</v>
      </c>
      <c r="M472" s="12" t="n">
        <v>450</v>
      </c>
      <c r="N472" s="12" t="n">
        <v>1350</v>
      </c>
      <c r="O472" s="12" t="n">
        <v>2700</v>
      </c>
      <c r="P472" s="12" t="n">
        <v>5400</v>
      </c>
      <c r="Q472" s="12" t="n"/>
      <c r="R472" s="13">
        <f>IF(ISNUMBER(M472),ROUND(M472/(1-Settings!$B$2)/Settings!$B$3,0)*Settings!$B$3,"")</f>
        <v/>
      </c>
      <c r="S472" s="13">
        <f>IF(ISNUMBER(N472),ROUND(N472/(1-Settings!$B$2)/Settings!$B$3,0)*Settings!$B$3,"")</f>
        <v/>
      </c>
      <c r="T472" s="13">
        <f>IF(ISNUMBER(O472),ROUND(O472/(1-Settings!$B$2)/Settings!$B$3,0)*Settings!$B$3,"")</f>
        <v/>
      </c>
      <c r="U472" s="13">
        <f>IF(ISNUMBER(P472),ROUND(P472/(1-Settings!$B$2)/Settings!$B$3,0)*Settings!$B$3,"")</f>
        <v/>
      </c>
      <c r="V472" s="13">
        <f>IF(ISNUMBER(Q472),ROUND(Q472/(1-Settings!$B$2)/Settings!$B$3,0)*Settings!$B$3,"")</f>
        <v/>
      </c>
      <c r="W472" s="14" t="n">
        <v>797</v>
      </c>
      <c r="X472" s="14" t="n">
        <v>986</v>
      </c>
      <c r="Y472" s="11" t="inlineStr"/>
      <c r="Z472" s="11" t="inlineStr"/>
      <c r="AA472" s="8" t="inlineStr"/>
      <c r="AB472" s="8" t="inlineStr"/>
      <c r="AC472" s="11" t="inlineStr">
        <is>
          <t>MasterMilitaryOnBaseList 12.2.25 NS.xlsx</t>
        </is>
      </c>
      <c r="AD472" s="11" t="inlineStr">
        <is>
          <t>FY26-27 ADVERTISING ASSETS_NRSE.xlsx</t>
        </is>
      </c>
      <c r="AE472" s="15" t="inlineStr">
        <is>
          <t>Open in Box</t>
        </is>
      </c>
      <c r="AF472" s="15" t="inlineStr">
        <is>
          <t>Open in Box</t>
        </is>
      </c>
    </row>
    <row r="473">
      <c r="A473" s="11" t="inlineStr">
        <is>
          <t>FL-KEYWESTN-004</t>
        </is>
      </c>
      <c r="B473" s="8" t="inlineStr">
        <is>
          <t>Key West NAS</t>
        </is>
      </c>
      <c r="C473" s="11" t="inlineStr"/>
      <c r="D473" s="11" t="inlineStr">
        <is>
          <t>FL</t>
        </is>
      </c>
      <c r="E473" s="11" t="inlineStr">
        <is>
          <t>Miami-Ft. Lauderdale</t>
        </is>
      </c>
      <c r="F473" s="11" t="inlineStr">
        <is>
          <t>33040</t>
        </is>
      </c>
      <c r="G473" s="11" t="inlineStr">
        <is>
          <t>Navy</t>
        </is>
      </c>
      <c r="H473" s="11" t="inlineStr">
        <is>
          <t>Standard Media</t>
        </is>
      </c>
      <c r="I473" s="8" t="inlineStr">
        <is>
          <t>Banner</t>
        </is>
      </c>
      <c r="J473" s="11" t="inlineStr">
        <is>
          <t>8'W x 4'H</t>
        </is>
      </c>
      <c r="K473" s="8" t="inlineStr">
        <is>
          <t>Your ad will appear at an approved installation facility.</t>
        </is>
      </c>
      <c r="L473" s="11" t="n">
        <v>1</v>
      </c>
      <c r="M473" s="12" t="n">
        <v>200</v>
      </c>
      <c r="N473" s="12" t="n">
        <v>600</v>
      </c>
      <c r="O473" s="12" t="n">
        <v>1200</v>
      </c>
      <c r="P473" s="12" t="n">
        <v>2400</v>
      </c>
      <c r="Q473" s="12" t="n">
        <v>250</v>
      </c>
      <c r="R473" s="13">
        <f>IF(ISNUMBER(M473),ROUND(M473/(1-Settings!$B$2)/Settings!$B$3,0)*Settings!$B$3,"")</f>
        <v/>
      </c>
      <c r="S473" s="13">
        <f>IF(ISNUMBER(N473),ROUND(N473/(1-Settings!$B$2)/Settings!$B$3,0)*Settings!$B$3,"")</f>
        <v/>
      </c>
      <c r="T473" s="13">
        <f>IF(ISNUMBER(O473),ROUND(O473/(1-Settings!$B$2)/Settings!$B$3,0)*Settings!$B$3,"")</f>
        <v/>
      </c>
      <c r="U473" s="13">
        <f>IF(ISNUMBER(P473),ROUND(P473/(1-Settings!$B$2)/Settings!$B$3,0)*Settings!$B$3,"")</f>
        <v/>
      </c>
      <c r="V473" s="13">
        <f>IF(ISNUMBER(Q473),ROUND(Q473/(1-Settings!$B$2)/Settings!$B$3,0)*Settings!$B$3,"")</f>
        <v/>
      </c>
      <c r="W473" s="14" t="n">
        <v>797</v>
      </c>
      <c r="X473" s="14" t="n">
        <v>986</v>
      </c>
      <c r="Y473" s="11" t="inlineStr"/>
      <c r="Z473" s="11" t="inlineStr"/>
      <c r="AA473" s="8" t="inlineStr"/>
      <c r="AB473" s="8" t="inlineStr"/>
      <c r="AC473" s="11" t="inlineStr">
        <is>
          <t>MasterMilitaryOnBaseList 12.2.25 NS.xlsx</t>
        </is>
      </c>
      <c r="AD473" s="11" t="inlineStr">
        <is>
          <t>FY26-27 ADVERTISING ASSETS_NRSE.xlsx</t>
        </is>
      </c>
      <c r="AE473" s="15" t="inlineStr">
        <is>
          <t>Open in Box</t>
        </is>
      </c>
      <c r="AF473" s="15" t="inlineStr">
        <is>
          <t>Open in Box</t>
        </is>
      </c>
    </row>
    <row r="474">
      <c r="A474" s="11" t="inlineStr">
        <is>
          <t>FL-KEYWESTN-005</t>
        </is>
      </c>
      <c r="B474" s="8" t="inlineStr">
        <is>
          <t>Key West NAS</t>
        </is>
      </c>
      <c r="C474" s="11" t="inlineStr"/>
      <c r="D474" s="11" t="inlineStr">
        <is>
          <t>FL</t>
        </is>
      </c>
      <c r="E474" s="11" t="inlineStr">
        <is>
          <t>Miami-Ft. Lauderdale</t>
        </is>
      </c>
      <c r="F474" s="11" t="inlineStr">
        <is>
          <t>33040</t>
        </is>
      </c>
      <c r="G474" s="11" t="inlineStr">
        <is>
          <t>Navy</t>
        </is>
      </c>
      <c r="H474" s="11" t="inlineStr">
        <is>
          <t>Standard Media</t>
        </is>
      </c>
      <c r="I474" s="8" t="inlineStr">
        <is>
          <t>Poster</t>
        </is>
      </c>
      <c r="J474" s="11" t="inlineStr">
        <is>
          <t>22"W x 28"H</t>
        </is>
      </c>
      <c r="K474" s="8" t="inlineStr">
        <is>
          <t>Your ad will appear at an approved installation facility.</t>
        </is>
      </c>
      <c r="L474" s="11" t="n">
        <v>1</v>
      </c>
      <c r="M474" s="12" t="n">
        <v>200</v>
      </c>
      <c r="N474" s="12" t="n">
        <v>600</v>
      </c>
      <c r="O474" s="12" t="n">
        <v>1200</v>
      </c>
      <c r="P474" s="12" t="n">
        <v>2400</v>
      </c>
      <c r="Q474" s="12" t="n">
        <v>100</v>
      </c>
      <c r="R474" s="13">
        <f>IF(ISNUMBER(M474),ROUND(M474/(1-Settings!$B$2)/Settings!$B$3,0)*Settings!$B$3,"")</f>
        <v/>
      </c>
      <c r="S474" s="13">
        <f>IF(ISNUMBER(N474),ROUND(N474/(1-Settings!$B$2)/Settings!$B$3,0)*Settings!$B$3,"")</f>
        <v/>
      </c>
      <c r="T474" s="13">
        <f>IF(ISNUMBER(O474),ROUND(O474/(1-Settings!$B$2)/Settings!$B$3,0)*Settings!$B$3,"")</f>
        <v/>
      </c>
      <c r="U474" s="13">
        <f>IF(ISNUMBER(P474),ROUND(P474/(1-Settings!$B$2)/Settings!$B$3,0)*Settings!$B$3,"")</f>
        <v/>
      </c>
      <c r="V474" s="13">
        <f>IF(ISNUMBER(Q474),ROUND(Q474/(1-Settings!$B$2)/Settings!$B$3,0)*Settings!$B$3,"")</f>
        <v/>
      </c>
      <c r="W474" s="14" t="n">
        <v>797</v>
      </c>
      <c r="X474" s="14" t="n">
        <v>986</v>
      </c>
      <c r="Y474" s="11" t="inlineStr"/>
      <c r="Z474" s="11" t="inlineStr"/>
      <c r="AA474" s="8" t="inlineStr"/>
      <c r="AB474" s="8" t="inlineStr"/>
      <c r="AC474" s="11" t="inlineStr">
        <is>
          <t>MasterMilitaryOnBaseList 12.2.25 NS.xlsx</t>
        </is>
      </c>
      <c r="AD474" s="11" t="inlineStr">
        <is>
          <t>FY26-27 ADVERTISING ASSETS_NRSE.xlsx</t>
        </is>
      </c>
      <c r="AE474" s="15" t="inlineStr">
        <is>
          <t>Open in Box</t>
        </is>
      </c>
      <c r="AF474" s="15" t="inlineStr">
        <is>
          <t>Open in Box</t>
        </is>
      </c>
    </row>
    <row r="475">
      <c r="A475" s="11" t="inlineStr">
        <is>
          <t>FL-KEYWESTN-006</t>
        </is>
      </c>
      <c r="B475" s="8" t="inlineStr">
        <is>
          <t>Key West NAS</t>
        </is>
      </c>
      <c r="C475" s="11" t="inlineStr"/>
      <c r="D475" s="11" t="inlineStr">
        <is>
          <t>FL</t>
        </is>
      </c>
      <c r="E475" s="11" t="inlineStr">
        <is>
          <t>Miami-Ft. Lauderdale</t>
        </is>
      </c>
      <c r="F475" s="11" t="inlineStr">
        <is>
          <t>33040</t>
        </is>
      </c>
      <c r="G475" s="11" t="inlineStr">
        <is>
          <t>Navy</t>
        </is>
      </c>
      <c r="H475" s="11" t="inlineStr">
        <is>
          <t>Standard Media</t>
        </is>
      </c>
      <c r="I475" s="8" t="inlineStr">
        <is>
          <t>Table Tents</t>
        </is>
      </c>
      <c r="J475" s="11" t="inlineStr">
        <is>
          <t>4"W x 6"H</t>
        </is>
      </c>
      <c r="K475" s="8" t="inlineStr">
        <is>
          <t>Your ad will appear at approved facility tables.</t>
        </is>
      </c>
      <c r="L475" s="11" t="n">
        <v>1</v>
      </c>
      <c r="M475" s="12" t="n">
        <v>150</v>
      </c>
      <c r="N475" s="12" t="n">
        <v>450</v>
      </c>
      <c r="O475" s="12" t="n">
        <v>900</v>
      </c>
      <c r="P475" s="12" t="n">
        <v>1800</v>
      </c>
      <c r="Q475" s="12" t="n"/>
      <c r="R475" s="13">
        <f>IF(ISNUMBER(M475),ROUND(M475/(1-Settings!$B$2)/Settings!$B$3,0)*Settings!$B$3,"")</f>
        <v/>
      </c>
      <c r="S475" s="13">
        <f>IF(ISNUMBER(N475),ROUND(N475/(1-Settings!$B$2)/Settings!$B$3,0)*Settings!$B$3,"")</f>
        <v/>
      </c>
      <c r="T475" s="13">
        <f>IF(ISNUMBER(O475),ROUND(O475/(1-Settings!$B$2)/Settings!$B$3,0)*Settings!$B$3,"")</f>
        <v/>
      </c>
      <c r="U475" s="13">
        <f>IF(ISNUMBER(P475),ROUND(P475/(1-Settings!$B$2)/Settings!$B$3,0)*Settings!$B$3,"")</f>
        <v/>
      </c>
      <c r="V475" s="13">
        <f>IF(ISNUMBER(Q475),ROUND(Q475/(1-Settings!$B$2)/Settings!$B$3,0)*Settings!$B$3,"")</f>
        <v/>
      </c>
      <c r="W475" s="14" t="n">
        <v>797</v>
      </c>
      <c r="X475" s="14" t="n">
        <v>986</v>
      </c>
      <c r="Y475" s="11" t="inlineStr"/>
      <c r="Z475" s="11" t="inlineStr"/>
      <c r="AA475" s="8" t="inlineStr"/>
      <c r="AB475" s="8" t="inlineStr"/>
      <c r="AC475" s="11" t="inlineStr">
        <is>
          <t>MasterMilitaryOnBaseList 12.2.25 NS.xlsx</t>
        </is>
      </c>
      <c r="AD475" s="11" t="inlineStr">
        <is>
          <t>FY26-27 ADVERTISING ASSETS_NRSE.xlsx</t>
        </is>
      </c>
      <c r="AE475" s="15" t="inlineStr">
        <is>
          <t>Open in Box</t>
        </is>
      </c>
      <c r="AF475" s="15" t="inlineStr">
        <is>
          <t>Open in Box</t>
        </is>
      </c>
    </row>
    <row r="476">
      <c r="A476" s="11" t="inlineStr">
        <is>
          <t>FL-KEYWESTN-010</t>
        </is>
      </c>
      <c r="B476" s="8" t="inlineStr">
        <is>
          <t>Key West NAS</t>
        </is>
      </c>
      <c r="C476" s="11" t="inlineStr"/>
      <c r="D476" s="11" t="inlineStr">
        <is>
          <t>FL</t>
        </is>
      </c>
      <c r="E476" s="11" t="inlineStr">
        <is>
          <t>Miami-Ft. Lauderdale</t>
        </is>
      </c>
      <c r="F476" s="11" t="inlineStr"/>
      <c r="G476" s="11" t="inlineStr">
        <is>
          <t>Navy</t>
        </is>
      </c>
      <c r="H476" s="11" t="inlineStr">
        <is>
          <t>Web &amp; Email</t>
        </is>
      </c>
      <c r="I476" s="8" t="inlineStr">
        <is>
          <t>Monthly E-Newsletter Ad</t>
        </is>
      </c>
      <c r="J476" s="11" t="inlineStr"/>
      <c r="K476" s="8" t="inlineStr">
        <is>
          <t>Your ad will appear in the monthly e-newsletter emailed to the installation community.</t>
        </is>
      </c>
      <c r="L476" s="11" t="n">
        <v>1</v>
      </c>
      <c r="M476" s="12" t="n">
        <v>250</v>
      </c>
      <c r="N476" s="12" t="n"/>
      <c r="O476" s="12" t="n"/>
      <c r="P476" s="12" t="n"/>
      <c r="Q476" s="12" t="n"/>
      <c r="R476" s="13">
        <f>IF(ISNUMBER(M476),ROUND(M476/(1-Settings!$B$2)/Settings!$B$3,0)*Settings!$B$3,"")</f>
        <v/>
      </c>
      <c r="S476" s="13">
        <f>IF(ISNUMBER(N476),ROUND(N476/(1-Settings!$B$2)/Settings!$B$3,0)*Settings!$B$3,"")</f>
        <v/>
      </c>
      <c r="T476" s="13">
        <f>IF(ISNUMBER(O476),ROUND(O476/(1-Settings!$B$2)/Settings!$B$3,0)*Settings!$B$3,"")</f>
        <v/>
      </c>
      <c r="U476" s="13">
        <f>IF(ISNUMBER(P476),ROUND(P476/(1-Settings!$B$2)/Settings!$B$3,0)*Settings!$B$3,"")</f>
        <v/>
      </c>
      <c r="V476" s="13">
        <f>IF(ISNUMBER(Q476),ROUND(Q476/(1-Settings!$B$2)/Settings!$B$3,0)*Settings!$B$3,"")</f>
        <v/>
      </c>
      <c r="W476" s="14" t="n">
        <v>797</v>
      </c>
      <c r="X476" s="14" t="n">
        <v>986</v>
      </c>
      <c r="Y476" s="11" t="inlineStr">
        <is>
          <t>2026</t>
        </is>
      </c>
      <c r="Z476" s="11" t="inlineStr">
        <is>
          <t>2026-06</t>
        </is>
      </c>
      <c r="AA476" s="8" t="inlineStr"/>
      <c r="AB476" s="8" t="inlineStr"/>
      <c r="AC476" s="11" t="inlineStr">
        <is>
          <t>Military - National Publication Inventory Master_June 2026.xlsx</t>
        </is>
      </c>
      <c r="AD476" s="11" t="inlineStr">
        <is>
          <t>FY26-27 ADVERTISING ASSETS_NRSE.xlsx</t>
        </is>
      </c>
      <c r="AE476" s="15" t="inlineStr">
        <is>
          <t>Open in Box</t>
        </is>
      </c>
      <c r="AF476" s="15" t="inlineStr">
        <is>
          <t>Open in Box</t>
        </is>
      </c>
    </row>
    <row r="477">
      <c r="A477" s="11" t="inlineStr">
        <is>
          <t>FL-KEYWESTN-011</t>
        </is>
      </c>
      <c r="B477" s="8" t="inlineStr">
        <is>
          <t>Key West NAS</t>
        </is>
      </c>
      <c r="C477" s="11" t="inlineStr"/>
      <c r="D477" s="11" t="inlineStr">
        <is>
          <t>FL</t>
        </is>
      </c>
      <c r="E477" s="11" t="inlineStr">
        <is>
          <t>Miami-Ft. Lauderdale</t>
        </is>
      </c>
      <c r="F477" s="11" t="inlineStr"/>
      <c r="G477" s="11" t="inlineStr">
        <is>
          <t>Navy</t>
        </is>
      </c>
      <c r="H477" s="11" t="inlineStr">
        <is>
          <t>Web &amp; Email</t>
        </is>
      </c>
      <c r="I477" s="8" t="inlineStr">
        <is>
          <t>Web Ad</t>
        </is>
      </c>
      <c r="J477" s="11" t="inlineStr"/>
      <c r="K477" s="8" t="inlineStr">
        <is>
          <t>Your ad will appear on the installation MWR / FSS website.</t>
        </is>
      </c>
      <c r="L477" s="11" t="n">
        <v>1</v>
      </c>
      <c r="M477" s="12" t="n">
        <v>200</v>
      </c>
      <c r="N477" s="12" t="n"/>
      <c r="O477" s="12" t="n"/>
      <c r="P477" s="12" t="n"/>
      <c r="Q477" s="12" t="n"/>
      <c r="R477" s="13">
        <f>IF(ISNUMBER(M477),ROUND(M477/(1-Settings!$B$2)/Settings!$B$3,0)*Settings!$B$3,"")</f>
        <v/>
      </c>
      <c r="S477" s="13">
        <f>IF(ISNUMBER(N477),ROUND(N477/(1-Settings!$B$2)/Settings!$B$3,0)*Settings!$B$3,"")</f>
        <v/>
      </c>
      <c r="T477" s="13">
        <f>IF(ISNUMBER(O477),ROUND(O477/(1-Settings!$B$2)/Settings!$B$3,0)*Settings!$B$3,"")</f>
        <v/>
      </c>
      <c r="U477" s="13">
        <f>IF(ISNUMBER(P477),ROUND(P477/(1-Settings!$B$2)/Settings!$B$3,0)*Settings!$B$3,"")</f>
        <v/>
      </c>
      <c r="V477" s="13">
        <f>IF(ISNUMBER(Q477),ROUND(Q477/(1-Settings!$B$2)/Settings!$B$3,0)*Settings!$B$3,"")</f>
        <v/>
      </c>
      <c r="W477" s="14" t="n">
        <v>797</v>
      </c>
      <c r="X477" s="14" t="n">
        <v>986</v>
      </c>
      <c r="Y477" s="11" t="inlineStr">
        <is>
          <t>2026</t>
        </is>
      </c>
      <c r="Z477" s="11" t="inlineStr">
        <is>
          <t>2026-06</t>
        </is>
      </c>
      <c r="AA477" s="8" t="inlineStr"/>
      <c r="AB477" s="8" t="inlineStr"/>
      <c r="AC477" s="11" t="inlineStr">
        <is>
          <t>Military - National Publication Inventory Master_June 2026.xlsx</t>
        </is>
      </c>
      <c r="AD477" s="11" t="inlineStr">
        <is>
          <t>FY26-27 ADVERTISING ASSETS_NRSE.xlsx</t>
        </is>
      </c>
      <c r="AE477" s="15" t="inlineStr">
        <is>
          <t>Open in Box</t>
        </is>
      </c>
      <c r="AF477" s="15" t="inlineStr">
        <is>
          <t>Open in Box</t>
        </is>
      </c>
    </row>
    <row r="478">
      <c r="A478" s="11" t="inlineStr">
        <is>
          <t>FL-MACDILLA-001</t>
        </is>
      </c>
      <c r="B478" s="8" t="inlineStr">
        <is>
          <t>MacDill AFB</t>
        </is>
      </c>
      <c r="C478" s="11" t="inlineStr"/>
      <c r="D478" s="11" t="inlineStr">
        <is>
          <t>FL</t>
        </is>
      </c>
      <c r="E478" s="11" t="inlineStr">
        <is>
          <t>Tampa-St. Pete (Sarasota)</t>
        </is>
      </c>
      <c r="F478" s="11" t="inlineStr">
        <is>
          <t>33621</t>
        </is>
      </c>
      <c r="G478" s="11" t="inlineStr">
        <is>
          <t>Air Force</t>
        </is>
      </c>
      <c r="H478" s="11" t="inlineStr">
        <is>
          <t>Digital</t>
        </is>
      </c>
      <c r="I478" s="8" t="inlineStr">
        <is>
          <t>Bowling Scoreboard Screens</t>
        </is>
      </c>
      <c r="J478" s="11" t="inlineStr">
        <is>
          <t>2400px x 1350px (16" x 9") (JPG, PDF, MP4, MOV)</t>
        </is>
      </c>
      <c r="K478" s="8" t="inlineStr">
        <is>
          <t>Your ad will appear on all 12 screens in the bowling alley on the installation.</t>
        </is>
      </c>
      <c r="L478" s="11" t="n">
        <v>1</v>
      </c>
      <c r="M478" s="12" t="n">
        <v>720</v>
      </c>
      <c r="N478" s="12" t="n">
        <v>1944</v>
      </c>
      <c r="O478" s="12" t="n">
        <v>3888</v>
      </c>
      <c r="P478" s="12" t="n">
        <v>7344</v>
      </c>
      <c r="Q478" s="12" t="n">
        <v>0</v>
      </c>
      <c r="R478" s="13">
        <f>IF(ISNUMBER(M478),ROUND(M478/(1-Settings!$B$2)/Settings!$B$3,0)*Settings!$B$3,"")</f>
        <v/>
      </c>
      <c r="S478" s="13">
        <f>IF(ISNUMBER(N478),ROUND(N478/(1-Settings!$B$2)/Settings!$B$3,0)*Settings!$B$3,"")</f>
        <v/>
      </c>
      <c r="T478" s="13">
        <f>IF(ISNUMBER(O478),ROUND(O478/(1-Settings!$B$2)/Settings!$B$3,0)*Settings!$B$3,"")</f>
        <v/>
      </c>
      <c r="U478" s="13">
        <f>IF(ISNUMBER(P478),ROUND(P478/(1-Settings!$B$2)/Settings!$B$3,0)*Settings!$B$3,"")</f>
        <v/>
      </c>
      <c r="V478" s="13">
        <f>IF(ISNUMBER(Q478),ROUND(Q478/(1-Settings!$B$2)/Settings!$B$3,0)*Settings!$B$3,"")</f>
        <v/>
      </c>
      <c r="W478" s="14" t="n">
        <v>5705</v>
      </c>
      <c r="X478" s="14" t="n">
        <v>10061</v>
      </c>
      <c r="Y478" s="11" t="inlineStr"/>
      <c r="Z478" s="11" t="inlineStr"/>
      <c r="AA478" s="8" t="inlineStr"/>
      <c r="AB478" s="8" t="inlineStr"/>
      <c r="AC478" s="11" t="inlineStr">
        <is>
          <t>MasterMilitaryOnBaseList 12.2.25 NS.xlsx</t>
        </is>
      </c>
      <c r="AD478" s="11" t="inlineStr">
        <is>
          <t>Advertising Photos.pptx</t>
        </is>
      </c>
      <c r="AE478" s="15" t="inlineStr">
        <is>
          <t>Open in Box</t>
        </is>
      </c>
      <c r="AF478" s="15" t="inlineStr">
        <is>
          <t>Open in Box</t>
        </is>
      </c>
    </row>
    <row r="479">
      <c r="A479" s="11" t="inlineStr">
        <is>
          <t>FL-MACDILLA-002</t>
        </is>
      </c>
      <c r="B479" s="8" t="inlineStr">
        <is>
          <t>MacDill AFB</t>
        </is>
      </c>
      <c r="C479" s="11" t="inlineStr"/>
      <c r="D479" s="11" t="inlineStr">
        <is>
          <t>FL</t>
        </is>
      </c>
      <c r="E479" s="11" t="inlineStr">
        <is>
          <t>Tampa-St. Pete (Sarasota)</t>
        </is>
      </c>
      <c r="F479" s="11" t="inlineStr">
        <is>
          <t>33621</t>
        </is>
      </c>
      <c r="G479" s="11" t="inlineStr">
        <is>
          <t>Air Force</t>
        </is>
      </c>
      <c r="H479" s="11" t="inlineStr">
        <is>
          <t>Digital</t>
        </is>
      </c>
      <c r="I479" s="8" t="inlineStr">
        <is>
          <t>Digital Marquee</t>
        </is>
      </c>
      <c r="J479" s="11" t="inlineStr">
        <is>
          <t>8' x 16' (LCD 10 pitch high resolution)</t>
        </is>
      </c>
      <c r="K479" s="8" t="inlineStr">
        <is>
          <t>Your ad will appear on the digital marquee located on the outside wall the BCC, ITT office, and food court.</t>
        </is>
      </c>
      <c r="L479" s="11" t="n">
        <v>1</v>
      </c>
      <c r="M479" s="12" t="n">
        <v>500</v>
      </c>
      <c r="N479" s="12" t="n">
        <v>1500</v>
      </c>
      <c r="O479" s="12" t="n">
        <v>3000</v>
      </c>
      <c r="P479" s="12" t="n">
        <v>6000</v>
      </c>
      <c r="Q479" s="12" t="n">
        <v>0</v>
      </c>
      <c r="R479" s="13">
        <f>IF(ISNUMBER(M479),ROUND(M479/(1-Settings!$B$2)/Settings!$B$3,0)*Settings!$B$3,"")</f>
        <v/>
      </c>
      <c r="S479" s="13">
        <f>IF(ISNUMBER(N479),ROUND(N479/(1-Settings!$B$2)/Settings!$B$3,0)*Settings!$B$3,"")</f>
        <v/>
      </c>
      <c r="T479" s="13">
        <f>IF(ISNUMBER(O479),ROUND(O479/(1-Settings!$B$2)/Settings!$B$3,0)*Settings!$B$3,"")</f>
        <v/>
      </c>
      <c r="U479" s="13">
        <f>IF(ISNUMBER(P479),ROUND(P479/(1-Settings!$B$2)/Settings!$B$3,0)*Settings!$B$3,"")</f>
        <v/>
      </c>
      <c r="V479" s="13">
        <f>IF(ISNUMBER(Q479),ROUND(Q479/(1-Settings!$B$2)/Settings!$B$3,0)*Settings!$B$3,"")</f>
        <v/>
      </c>
      <c r="W479" s="14" t="n">
        <v>5705</v>
      </c>
      <c r="X479" s="14" t="n">
        <v>10061</v>
      </c>
      <c r="Y479" s="11" t="inlineStr"/>
      <c r="Z479" s="11" t="inlineStr"/>
      <c r="AA479" s="8" t="inlineStr">
        <is>
          <t>Inventory master 6/2026 lists Digital Monitor Network at $1,650 (1 mo)</t>
        </is>
      </c>
      <c r="AB479" s="8" t="inlineStr"/>
      <c r="AC479" s="11" t="inlineStr">
        <is>
          <t>MasterMilitaryOnBaseList 12.2.25 NS.xlsx</t>
        </is>
      </c>
      <c r="AD479" s="11" t="inlineStr">
        <is>
          <t>Advertising Photos.pptx</t>
        </is>
      </c>
      <c r="AE479" s="15" t="inlineStr">
        <is>
          <t>Open in Box</t>
        </is>
      </c>
      <c r="AF479" s="15" t="inlineStr">
        <is>
          <t>Open in Box</t>
        </is>
      </c>
    </row>
    <row r="480">
      <c r="A480" s="11" t="inlineStr">
        <is>
          <t>FL-MACDILLA-003</t>
        </is>
      </c>
      <c r="B480" s="8" t="inlineStr">
        <is>
          <t>MacDill AFB</t>
        </is>
      </c>
      <c r="C480" s="11" t="inlineStr"/>
      <c r="D480" s="11" t="inlineStr">
        <is>
          <t>FL</t>
        </is>
      </c>
      <c r="E480" s="11" t="inlineStr">
        <is>
          <t>Tampa-St. Pete (Sarasota)</t>
        </is>
      </c>
      <c r="F480" s="11" t="inlineStr">
        <is>
          <t>33621</t>
        </is>
      </c>
      <c r="G480" s="11" t="inlineStr">
        <is>
          <t>Air Force</t>
        </is>
      </c>
      <c r="H480" s="11" t="inlineStr">
        <is>
          <t>Digital</t>
        </is>
      </c>
      <c r="I480" s="8" t="inlineStr">
        <is>
          <t>Digital Monitors</t>
        </is>
      </c>
      <c r="J480" s="11" t="inlineStr">
        <is>
          <t>2400px x 1350px (16" x 9") (JPG, PDF, MP4, MOV)</t>
        </is>
      </c>
      <c r="K480" s="8" t="inlineStr">
        <is>
          <t>Your ad will appear on up to 11 monitors in approved facilities on the installation.</t>
        </is>
      </c>
      <c r="L480" s="11" t="n">
        <v>1</v>
      </c>
      <c r="M480" s="12" t="n">
        <v>150</v>
      </c>
      <c r="N480" s="12" t="n">
        <v>450</v>
      </c>
      <c r="O480" s="12" t="n">
        <v>900</v>
      </c>
      <c r="P480" s="12" t="n">
        <v>1800</v>
      </c>
      <c r="Q480" s="12" t="n">
        <v>0</v>
      </c>
      <c r="R480" s="13">
        <f>IF(ISNUMBER(M480),ROUND(M480/(1-Settings!$B$2)/Settings!$B$3,0)*Settings!$B$3,"")</f>
        <v/>
      </c>
      <c r="S480" s="13">
        <f>IF(ISNUMBER(N480),ROUND(N480/(1-Settings!$B$2)/Settings!$B$3,0)*Settings!$B$3,"")</f>
        <v/>
      </c>
      <c r="T480" s="13">
        <f>IF(ISNUMBER(O480),ROUND(O480/(1-Settings!$B$2)/Settings!$B$3,0)*Settings!$B$3,"")</f>
        <v/>
      </c>
      <c r="U480" s="13">
        <f>IF(ISNUMBER(P480),ROUND(P480/(1-Settings!$B$2)/Settings!$B$3,0)*Settings!$B$3,"")</f>
        <v/>
      </c>
      <c r="V480" s="13">
        <f>IF(ISNUMBER(Q480),ROUND(Q480/(1-Settings!$B$2)/Settings!$B$3,0)*Settings!$B$3,"")</f>
        <v/>
      </c>
      <c r="W480" s="14" t="n">
        <v>5705</v>
      </c>
      <c r="X480" s="14" t="n">
        <v>10061</v>
      </c>
      <c r="Y480" s="11" t="inlineStr"/>
      <c r="Z480" s="11" t="inlineStr"/>
      <c r="AA480" s="8" t="inlineStr">
        <is>
          <t>Inventory master 6/2026 lists Digital Monitor Network at $1,650 (1 mo)</t>
        </is>
      </c>
      <c r="AB480" s="8" t="inlineStr"/>
      <c r="AC480" s="11" t="inlineStr">
        <is>
          <t>MasterMilitaryOnBaseList 12.2.25 NS.xlsx</t>
        </is>
      </c>
      <c r="AD480" s="11" t="inlineStr">
        <is>
          <t>Advertising Photos.pptx</t>
        </is>
      </c>
      <c r="AE480" s="15" t="inlineStr">
        <is>
          <t>Open in Box</t>
        </is>
      </c>
      <c r="AF480" s="15" t="inlineStr">
        <is>
          <t>Open in Box</t>
        </is>
      </c>
    </row>
    <row r="481">
      <c r="A481" s="11" t="inlineStr">
        <is>
          <t>FL-MACDILLA-004</t>
        </is>
      </c>
      <c r="B481" s="8" t="inlineStr">
        <is>
          <t>MacDill AFB</t>
        </is>
      </c>
      <c r="C481" s="11" t="inlineStr"/>
      <c r="D481" s="11" t="inlineStr">
        <is>
          <t>FL</t>
        </is>
      </c>
      <c r="E481" s="11" t="inlineStr">
        <is>
          <t>Tampa-St. Pete (Sarasota)</t>
        </is>
      </c>
      <c r="F481" s="11" t="inlineStr">
        <is>
          <t>33621</t>
        </is>
      </c>
      <c r="G481" s="11" t="inlineStr">
        <is>
          <t>Air Force</t>
        </is>
      </c>
      <c r="H481" s="11" t="inlineStr">
        <is>
          <t>Standard Media</t>
        </is>
      </c>
      <c r="I481" s="8" t="inlineStr">
        <is>
          <t>Banner</t>
        </is>
      </c>
      <c r="J481" s="11" t="inlineStr">
        <is>
          <t>3' x 6'</t>
        </is>
      </c>
      <c r="K481" s="8" t="inlineStr">
        <is>
          <t>Your ad will appear in approved facilities on the installation.</t>
        </is>
      </c>
      <c r="L481" s="11" t="n">
        <v>1</v>
      </c>
      <c r="M481" s="12" t="n">
        <v>300</v>
      </c>
      <c r="N481" s="12" t="n">
        <v>900</v>
      </c>
      <c r="O481" s="12" t="n">
        <v>1800</v>
      </c>
      <c r="P481" s="12" t="n">
        <v>3300</v>
      </c>
      <c r="Q481" s="12" t="n">
        <v>200</v>
      </c>
      <c r="R481" s="13">
        <f>IF(ISNUMBER(M481),ROUND(M481/(1-Settings!$B$2)/Settings!$B$3,0)*Settings!$B$3,"")</f>
        <v/>
      </c>
      <c r="S481" s="13">
        <f>IF(ISNUMBER(N481),ROUND(N481/(1-Settings!$B$2)/Settings!$B$3,0)*Settings!$B$3,"")</f>
        <v/>
      </c>
      <c r="T481" s="13">
        <f>IF(ISNUMBER(O481),ROUND(O481/(1-Settings!$B$2)/Settings!$B$3,0)*Settings!$B$3,"")</f>
        <v/>
      </c>
      <c r="U481" s="13">
        <f>IF(ISNUMBER(P481),ROUND(P481/(1-Settings!$B$2)/Settings!$B$3,0)*Settings!$B$3,"")</f>
        <v/>
      </c>
      <c r="V481" s="13">
        <f>IF(ISNUMBER(Q481),ROUND(Q481/(1-Settings!$B$2)/Settings!$B$3,0)*Settings!$B$3,"")</f>
        <v/>
      </c>
      <c r="W481" s="14" t="n">
        <v>5705</v>
      </c>
      <c r="X481" s="14" t="n">
        <v>10061</v>
      </c>
      <c r="Y481" s="11" t="inlineStr"/>
      <c r="Z481" s="11" t="inlineStr"/>
      <c r="AA481" s="8" t="inlineStr"/>
      <c r="AB481" s="8" t="inlineStr"/>
      <c r="AC481" s="11" t="inlineStr">
        <is>
          <t>MasterMilitaryOnBaseList 12.2.25 NS.xlsx</t>
        </is>
      </c>
      <c r="AD481" s="11" t="inlineStr">
        <is>
          <t>Advertising Photos.pptx</t>
        </is>
      </c>
      <c r="AE481" s="15" t="inlineStr">
        <is>
          <t>Open in Box</t>
        </is>
      </c>
      <c r="AF481" s="15" t="inlineStr">
        <is>
          <t>Open in Box</t>
        </is>
      </c>
    </row>
    <row r="482">
      <c r="A482" s="11" t="inlineStr">
        <is>
          <t>FL-MACDILLA-005</t>
        </is>
      </c>
      <c r="B482" s="8" t="inlineStr">
        <is>
          <t>MacDill AFB</t>
        </is>
      </c>
      <c r="C482" s="11" t="inlineStr"/>
      <c r="D482" s="11" t="inlineStr">
        <is>
          <t>FL</t>
        </is>
      </c>
      <c r="E482" s="11" t="inlineStr">
        <is>
          <t>Tampa-St. Pete (Sarasota)</t>
        </is>
      </c>
      <c r="F482" s="11" t="inlineStr">
        <is>
          <t>33621</t>
        </is>
      </c>
      <c r="G482" s="11" t="inlineStr">
        <is>
          <t>Air Force</t>
        </is>
      </c>
      <c r="H482" s="11" t="inlineStr">
        <is>
          <t>Standard Media</t>
        </is>
      </c>
      <c r="I482" s="8" t="inlineStr">
        <is>
          <t>Posters</t>
        </is>
      </c>
      <c r="J482" s="11" t="inlineStr">
        <is>
          <t>22"W x 28"H</t>
        </is>
      </c>
      <c r="K482" s="8" t="inlineStr">
        <is>
          <t>Your posters will be placed in/on approved facilities on the installation.</t>
        </is>
      </c>
      <c r="L482" s="11" t="n">
        <v>1</v>
      </c>
      <c r="M482" s="12" t="n">
        <v>150</v>
      </c>
      <c r="N482" s="12" t="n">
        <v>450</v>
      </c>
      <c r="O482" s="12" t="n">
        <v>900</v>
      </c>
      <c r="P482" s="12" t="n">
        <v>1800</v>
      </c>
      <c r="Q482" s="12" t="n"/>
      <c r="R482" s="13">
        <f>IF(ISNUMBER(M482),ROUND(M482/(1-Settings!$B$2)/Settings!$B$3,0)*Settings!$B$3,"")</f>
        <v/>
      </c>
      <c r="S482" s="13">
        <f>IF(ISNUMBER(N482),ROUND(N482/(1-Settings!$B$2)/Settings!$B$3,0)*Settings!$B$3,"")</f>
        <v/>
      </c>
      <c r="T482" s="13">
        <f>IF(ISNUMBER(O482),ROUND(O482/(1-Settings!$B$2)/Settings!$B$3,0)*Settings!$B$3,"")</f>
        <v/>
      </c>
      <c r="U482" s="13">
        <f>IF(ISNUMBER(P482),ROUND(P482/(1-Settings!$B$2)/Settings!$B$3,0)*Settings!$B$3,"")</f>
        <v/>
      </c>
      <c r="V482" s="13">
        <f>IF(ISNUMBER(Q482),ROUND(Q482/(1-Settings!$B$2)/Settings!$B$3,0)*Settings!$B$3,"")</f>
        <v/>
      </c>
      <c r="W482" s="14" t="n">
        <v>5705</v>
      </c>
      <c r="X482" s="14" t="n">
        <v>10061</v>
      </c>
      <c r="Y482" s="11" t="inlineStr"/>
      <c r="Z482" s="11" t="inlineStr"/>
      <c r="AA482" s="8" t="inlineStr"/>
      <c r="AB482" s="8" t="inlineStr"/>
      <c r="AC482" s="11" t="inlineStr">
        <is>
          <t>MasterMilitaryOnBaseList 12.2.25 NS.xlsx</t>
        </is>
      </c>
      <c r="AD482" s="11" t="inlineStr">
        <is>
          <t>Advertising Photos.pptx</t>
        </is>
      </c>
      <c r="AE482" s="15" t="inlineStr">
        <is>
          <t>Open in Box</t>
        </is>
      </c>
      <c r="AF482" s="15" t="inlineStr">
        <is>
          <t>Open in Box</t>
        </is>
      </c>
    </row>
    <row r="483">
      <c r="A483" s="11" t="inlineStr">
        <is>
          <t>FL-MACDILLA-006</t>
        </is>
      </c>
      <c r="B483" s="8" t="inlineStr">
        <is>
          <t>MacDill AFB</t>
        </is>
      </c>
      <c r="C483" s="11" t="inlineStr"/>
      <c r="D483" s="11" t="inlineStr">
        <is>
          <t>FL</t>
        </is>
      </c>
      <c r="E483" s="11" t="inlineStr">
        <is>
          <t>Tampa-St. Pete (Sarasota)</t>
        </is>
      </c>
      <c r="F483" s="11" t="inlineStr"/>
      <c r="G483" s="11" t="inlineStr">
        <is>
          <t>Air Force</t>
        </is>
      </c>
      <c r="H483" s="11" t="inlineStr">
        <is>
          <t>Web &amp; Email</t>
        </is>
      </c>
      <c r="I483" s="8" t="inlineStr">
        <is>
          <t>Web Ad</t>
        </is>
      </c>
      <c r="J483" s="11" t="inlineStr"/>
      <c r="K483" s="8" t="inlineStr">
        <is>
          <t>Your ad will appear on the installation MWR / FSS website.</t>
        </is>
      </c>
      <c r="L483" s="11" t="n">
        <v>6</v>
      </c>
      <c r="M483" s="12" t="n"/>
      <c r="N483" s="12" t="n"/>
      <c r="O483" s="12" t="n">
        <v>1500</v>
      </c>
      <c r="P483" s="12" t="n"/>
      <c r="Q483" s="12" t="n"/>
      <c r="R483" s="13">
        <f>IF(ISNUMBER(M483),ROUND(M483/(1-Settings!$B$2)/Settings!$B$3,0)*Settings!$B$3,"")</f>
        <v/>
      </c>
      <c r="S483" s="13">
        <f>IF(ISNUMBER(N483),ROUND(N483/(1-Settings!$B$2)/Settings!$B$3,0)*Settings!$B$3,"")</f>
        <v/>
      </c>
      <c r="T483" s="13">
        <f>IF(ISNUMBER(O483),ROUND(O483/(1-Settings!$B$2)/Settings!$B$3,0)*Settings!$B$3,"")</f>
        <v/>
      </c>
      <c r="U483" s="13">
        <f>IF(ISNUMBER(P483),ROUND(P483/(1-Settings!$B$2)/Settings!$B$3,0)*Settings!$B$3,"")</f>
        <v/>
      </c>
      <c r="V483" s="13">
        <f>IF(ISNUMBER(Q483),ROUND(Q483/(1-Settings!$B$2)/Settings!$B$3,0)*Settings!$B$3,"")</f>
        <v/>
      </c>
      <c r="W483" s="14" t="n">
        <v>5705</v>
      </c>
      <c r="X483" s="14" t="n">
        <v>10061</v>
      </c>
      <c r="Y483" s="11" t="inlineStr">
        <is>
          <t>2026</t>
        </is>
      </c>
      <c r="Z483" s="11" t="inlineStr">
        <is>
          <t>2026-06</t>
        </is>
      </c>
      <c r="AA483" s="8" t="inlineStr">
        <is>
          <t>6-month commitment</t>
        </is>
      </c>
      <c r="AB483" s="8" t="inlineStr"/>
      <c r="AC483" s="11" t="inlineStr">
        <is>
          <t>Military - National Publication Inventory Master_June 2026.xlsx</t>
        </is>
      </c>
      <c r="AD483" s="11" t="inlineStr">
        <is>
          <t>Advertising Photos.pptx</t>
        </is>
      </c>
      <c r="AE483" s="15" t="inlineStr">
        <is>
          <t>Open in Box</t>
        </is>
      </c>
      <c r="AF483" s="15" t="inlineStr">
        <is>
          <t>Open in Box</t>
        </is>
      </c>
    </row>
    <row r="484">
      <c r="A484" s="11" t="inlineStr">
        <is>
          <t>FL-MAYPORTN-001</t>
        </is>
      </c>
      <c r="B484" s="8" t="inlineStr">
        <is>
          <t>Mayport NAVSTA</t>
        </is>
      </c>
      <c r="C484" s="11" t="inlineStr"/>
      <c r="D484" s="11" t="inlineStr">
        <is>
          <t>FL</t>
        </is>
      </c>
      <c r="E484" s="11" t="inlineStr">
        <is>
          <t>Jacksonville</t>
        </is>
      </c>
      <c r="F484" s="11" t="inlineStr">
        <is>
          <t>32228</t>
        </is>
      </c>
      <c r="G484" s="11" t="inlineStr">
        <is>
          <t>Navy</t>
        </is>
      </c>
      <c r="H484" s="11" t="inlineStr">
        <is>
          <t>Digital</t>
        </is>
      </c>
      <c r="I484" s="8" t="inlineStr">
        <is>
          <t>Bowling Scoring Monitors</t>
        </is>
      </c>
      <c r="J484" s="11" t="inlineStr">
        <is>
          <t>1920pxW x 1080pxH</t>
        </is>
      </c>
      <c r="K484" s="8" t="inlineStr">
        <is>
          <t>Your ad will appear on 24 bowling scoring monitors.</t>
        </is>
      </c>
      <c r="L484" s="11" t="n">
        <v>1</v>
      </c>
      <c r="M484" s="12" t="n">
        <v>350</v>
      </c>
      <c r="N484" s="12" t="n">
        <v>1050</v>
      </c>
      <c r="O484" s="12" t="n">
        <v>2100</v>
      </c>
      <c r="P484" s="12" t="n">
        <v>4200</v>
      </c>
      <c r="Q484" s="12" t="n">
        <v>0</v>
      </c>
      <c r="R484" s="13">
        <f>IF(ISNUMBER(M484),ROUND(M484/(1-Settings!$B$2)/Settings!$B$3,0)*Settings!$B$3,"")</f>
        <v/>
      </c>
      <c r="S484" s="13">
        <f>IF(ISNUMBER(N484),ROUND(N484/(1-Settings!$B$2)/Settings!$B$3,0)*Settings!$B$3,"")</f>
        <v/>
      </c>
      <c r="T484" s="13">
        <f>IF(ISNUMBER(O484),ROUND(O484/(1-Settings!$B$2)/Settings!$B$3,0)*Settings!$B$3,"")</f>
        <v/>
      </c>
      <c r="U484" s="13">
        <f>IF(ISNUMBER(P484),ROUND(P484/(1-Settings!$B$2)/Settings!$B$3,0)*Settings!$B$3,"")</f>
        <v/>
      </c>
      <c r="V484" s="13">
        <f>IF(ISNUMBER(Q484),ROUND(Q484/(1-Settings!$B$2)/Settings!$B$3,0)*Settings!$B$3,"")</f>
        <v/>
      </c>
      <c r="W484" s="14" t="n">
        <v>10442</v>
      </c>
      <c r="X484" s="14" t="n">
        <v>14571</v>
      </c>
      <c r="Y484" s="11" t="inlineStr"/>
      <c r="Z484" s="11" t="inlineStr"/>
      <c r="AA484" s="8" t="inlineStr"/>
      <c r="AB484" s="8" t="inlineStr"/>
      <c r="AC484" s="11" t="inlineStr">
        <is>
          <t>MasterMilitaryOnBaseList 12.2.25 NS.xlsx</t>
        </is>
      </c>
      <c r="AD484" s="11" t="inlineStr">
        <is>
          <t>FY26-27 ADVERTISING ASSETS_NRSE.xlsx</t>
        </is>
      </c>
      <c r="AE484" s="15" t="inlineStr">
        <is>
          <t>Open in Box</t>
        </is>
      </c>
      <c r="AF484" s="15" t="inlineStr">
        <is>
          <t>Open in Box</t>
        </is>
      </c>
    </row>
    <row r="485">
      <c r="A485" s="11" t="inlineStr">
        <is>
          <t>FL-MAYPORTN-002</t>
        </is>
      </c>
      <c r="B485" s="8" t="inlineStr">
        <is>
          <t>Mayport NAVSTA</t>
        </is>
      </c>
      <c r="C485" s="11" t="inlineStr"/>
      <c r="D485" s="11" t="inlineStr">
        <is>
          <t>FL</t>
        </is>
      </c>
      <c r="E485" s="11" t="inlineStr">
        <is>
          <t>Jacksonville</t>
        </is>
      </c>
      <c r="F485" s="11" t="inlineStr">
        <is>
          <t>32228</t>
        </is>
      </c>
      <c r="G485" s="11" t="inlineStr">
        <is>
          <t>Navy</t>
        </is>
      </c>
      <c r="H485" s="11" t="inlineStr">
        <is>
          <t>Digital</t>
        </is>
      </c>
      <c r="I485" s="8" t="inlineStr">
        <is>
          <t>Digital Golf Cart Signage</t>
        </is>
      </c>
      <c r="J485" s="11" t="inlineStr">
        <is>
          <t>1-24pxW x 600pxH</t>
        </is>
      </c>
      <c r="K485" s="8" t="inlineStr">
        <is>
          <t>Your ad will appear on digital golf cart screens.</t>
        </is>
      </c>
      <c r="L485" s="11" t="n">
        <v>1</v>
      </c>
      <c r="M485" s="12" t="n">
        <v>200</v>
      </c>
      <c r="N485" s="12" t="n">
        <v>600</v>
      </c>
      <c r="O485" s="12" t="n">
        <v>1200</v>
      </c>
      <c r="P485" s="12" t="n">
        <v>2400</v>
      </c>
      <c r="Q485" s="12" t="n">
        <v>0</v>
      </c>
      <c r="R485" s="13">
        <f>IF(ISNUMBER(M485),ROUND(M485/(1-Settings!$B$2)/Settings!$B$3,0)*Settings!$B$3,"")</f>
        <v/>
      </c>
      <c r="S485" s="13">
        <f>IF(ISNUMBER(N485),ROUND(N485/(1-Settings!$B$2)/Settings!$B$3,0)*Settings!$B$3,"")</f>
        <v/>
      </c>
      <c r="T485" s="13">
        <f>IF(ISNUMBER(O485),ROUND(O485/(1-Settings!$B$2)/Settings!$B$3,0)*Settings!$B$3,"")</f>
        <v/>
      </c>
      <c r="U485" s="13">
        <f>IF(ISNUMBER(P485),ROUND(P485/(1-Settings!$B$2)/Settings!$B$3,0)*Settings!$B$3,"")</f>
        <v/>
      </c>
      <c r="V485" s="13">
        <f>IF(ISNUMBER(Q485),ROUND(Q485/(1-Settings!$B$2)/Settings!$B$3,0)*Settings!$B$3,"")</f>
        <v/>
      </c>
      <c r="W485" s="14" t="n">
        <v>10442</v>
      </c>
      <c r="X485" s="14" t="n">
        <v>14571</v>
      </c>
      <c r="Y485" s="11" t="inlineStr"/>
      <c r="Z485" s="11" t="inlineStr"/>
      <c r="AA485" s="8" t="inlineStr"/>
      <c r="AB485" s="8" t="inlineStr"/>
      <c r="AC485" s="11" t="inlineStr">
        <is>
          <t>MasterMilitaryOnBaseList 12.2.25 NS.xlsx</t>
        </is>
      </c>
      <c r="AD485" s="11" t="inlineStr">
        <is>
          <t>FY26-27 ADVERTISING ASSETS_NRSE.xlsx</t>
        </is>
      </c>
      <c r="AE485" s="15" t="inlineStr">
        <is>
          <t>Open in Box</t>
        </is>
      </c>
      <c r="AF485" s="15" t="inlineStr">
        <is>
          <t>Open in Box</t>
        </is>
      </c>
    </row>
    <row r="486">
      <c r="A486" s="11" t="inlineStr">
        <is>
          <t>FL-MAYPORTN-003</t>
        </is>
      </c>
      <c r="B486" s="8" t="inlineStr">
        <is>
          <t>Mayport NAVSTA</t>
        </is>
      </c>
      <c r="C486" s="11" t="inlineStr"/>
      <c r="D486" s="11" t="inlineStr">
        <is>
          <t>FL</t>
        </is>
      </c>
      <c r="E486" s="11" t="inlineStr">
        <is>
          <t>Jacksonville</t>
        </is>
      </c>
      <c r="F486" s="11" t="inlineStr">
        <is>
          <t>32228</t>
        </is>
      </c>
      <c r="G486" s="11" t="inlineStr">
        <is>
          <t>Navy</t>
        </is>
      </c>
      <c r="H486" s="11" t="inlineStr">
        <is>
          <t>Digital</t>
        </is>
      </c>
      <c r="I486" s="8" t="inlineStr">
        <is>
          <t>Digital Monitor Network</t>
        </is>
      </c>
      <c r="J486" s="11" t="inlineStr">
        <is>
          <t>1920pxW x 1080pxH</t>
        </is>
      </c>
      <c r="K486" s="8" t="inlineStr">
        <is>
          <t>Your ad will appear on 22 digital monitors in approved installation facilities.</t>
        </is>
      </c>
      <c r="L486" s="11" t="n">
        <v>1</v>
      </c>
      <c r="M486" s="12" t="n">
        <v>600</v>
      </c>
      <c r="N486" s="12" t="n">
        <v>1800</v>
      </c>
      <c r="O486" s="12" t="n">
        <v>3600</v>
      </c>
      <c r="P486" s="12" t="n">
        <v>7200</v>
      </c>
      <c r="Q486" s="12" t="n">
        <v>0</v>
      </c>
      <c r="R486" s="13">
        <f>IF(ISNUMBER(M486),ROUND(M486/(1-Settings!$B$2)/Settings!$B$3,0)*Settings!$B$3,"")</f>
        <v/>
      </c>
      <c r="S486" s="13">
        <f>IF(ISNUMBER(N486),ROUND(N486/(1-Settings!$B$2)/Settings!$B$3,0)*Settings!$B$3,"")</f>
        <v/>
      </c>
      <c r="T486" s="13">
        <f>IF(ISNUMBER(O486),ROUND(O486/(1-Settings!$B$2)/Settings!$B$3,0)*Settings!$B$3,"")</f>
        <v/>
      </c>
      <c r="U486" s="13">
        <f>IF(ISNUMBER(P486),ROUND(P486/(1-Settings!$B$2)/Settings!$B$3,0)*Settings!$B$3,"")</f>
        <v/>
      </c>
      <c r="V486" s="13">
        <f>IF(ISNUMBER(Q486),ROUND(Q486/(1-Settings!$B$2)/Settings!$B$3,0)*Settings!$B$3,"")</f>
        <v/>
      </c>
      <c r="W486" s="14" t="n">
        <v>10442</v>
      </c>
      <c r="X486" s="14" t="n">
        <v>14571</v>
      </c>
      <c r="Y486" s="11" t="inlineStr"/>
      <c r="Z486" s="11" t="inlineStr"/>
      <c r="AA486" s="8" t="inlineStr"/>
      <c r="AB486" s="8" t="inlineStr"/>
      <c r="AC486" s="11" t="inlineStr">
        <is>
          <t>MasterMilitaryOnBaseList 12.2.25 NS.xlsx</t>
        </is>
      </c>
      <c r="AD486" s="11" t="inlineStr">
        <is>
          <t>FY26-27 ADVERTISING ASSETS_NRSE.xlsx</t>
        </is>
      </c>
      <c r="AE486" s="15" t="inlineStr">
        <is>
          <t>Open in Box</t>
        </is>
      </c>
      <c r="AF486" s="15" t="inlineStr">
        <is>
          <t>Open in Box</t>
        </is>
      </c>
    </row>
    <row r="487">
      <c r="A487" s="11" t="inlineStr">
        <is>
          <t>FL-MAYPORTN-007</t>
        </is>
      </c>
      <c r="B487" s="8" t="inlineStr">
        <is>
          <t>Mayport NAVSTA</t>
        </is>
      </c>
      <c r="C487" s="11" t="inlineStr"/>
      <c r="D487" s="11" t="inlineStr">
        <is>
          <t>FL</t>
        </is>
      </c>
      <c r="E487" s="11" t="inlineStr">
        <is>
          <t>Jacksonville</t>
        </is>
      </c>
      <c r="F487" s="11" t="inlineStr">
        <is>
          <t>32228</t>
        </is>
      </c>
      <c r="G487" s="11" t="inlineStr">
        <is>
          <t>Navy</t>
        </is>
      </c>
      <c r="H487" s="11" t="inlineStr">
        <is>
          <t>Large Format</t>
        </is>
      </c>
      <c r="I487" s="8" t="inlineStr">
        <is>
          <t>Counter Wrap</t>
        </is>
      </c>
      <c r="J487" s="11" t="inlineStr">
        <is>
          <t>Varies</t>
        </is>
      </c>
      <c r="K487" s="8" t="inlineStr">
        <is>
          <t>Your ad will appear at an approved installation facility.</t>
        </is>
      </c>
      <c r="L487" s="11" t="n">
        <v>1</v>
      </c>
      <c r="M487" s="12" t="n">
        <v>750</v>
      </c>
      <c r="N487" s="12" t="n">
        <v>2250</v>
      </c>
      <c r="O487" s="12" t="n">
        <v>4500</v>
      </c>
      <c r="P487" s="12" t="n">
        <v>9000</v>
      </c>
      <c r="Q487" s="12" t="n"/>
      <c r="R487" s="13">
        <f>IF(ISNUMBER(M487),ROUND(M487/(1-Settings!$B$2)/Settings!$B$3,0)*Settings!$B$3,"")</f>
        <v/>
      </c>
      <c r="S487" s="13">
        <f>IF(ISNUMBER(N487),ROUND(N487/(1-Settings!$B$2)/Settings!$B$3,0)*Settings!$B$3,"")</f>
        <v/>
      </c>
      <c r="T487" s="13">
        <f>IF(ISNUMBER(O487),ROUND(O487/(1-Settings!$B$2)/Settings!$B$3,0)*Settings!$B$3,"")</f>
        <v/>
      </c>
      <c r="U487" s="13">
        <f>IF(ISNUMBER(P487),ROUND(P487/(1-Settings!$B$2)/Settings!$B$3,0)*Settings!$B$3,"")</f>
        <v/>
      </c>
      <c r="V487" s="13">
        <f>IF(ISNUMBER(Q487),ROUND(Q487/(1-Settings!$B$2)/Settings!$B$3,0)*Settings!$B$3,"")</f>
        <v/>
      </c>
      <c r="W487" s="14" t="n">
        <v>10442</v>
      </c>
      <c r="X487" s="14" t="n">
        <v>14571</v>
      </c>
      <c r="Y487" s="11" t="inlineStr"/>
      <c r="Z487" s="11" t="inlineStr"/>
      <c r="AA487" s="8" t="inlineStr"/>
      <c r="AB487" s="8" t="inlineStr"/>
      <c r="AC487" s="11" t="inlineStr">
        <is>
          <t>MasterMilitaryOnBaseList 12.2.25 NS.xlsx</t>
        </is>
      </c>
      <c r="AD487" s="11" t="inlineStr">
        <is>
          <t>FY26-27 ADVERTISING ASSETS_NRSE.xlsx</t>
        </is>
      </c>
      <c r="AE487" s="15" t="inlineStr">
        <is>
          <t>Open in Box</t>
        </is>
      </c>
      <c r="AF487" s="15" t="inlineStr">
        <is>
          <t>Open in Box</t>
        </is>
      </c>
    </row>
    <row r="488">
      <c r="A488" s="11" t="inlineStr">
        <is>
          <t>FL-MAYPORTN-008</t>
        </is>
      </c>
      <c r="B488" s="8" t="inlineStr">
        <is>
          <t>Mayport NAVSTA</t>
        </is>
      </c>
      <c r="C488" s="11" t="inlineStr"/>
      <c r="D488" s="11" t="inlineStr">
        <is>
          <t>FL</t>
        </is>
      </c>
      <c r="E488" s="11" t="inlineStr">
        <is>
          <t>Jacksonville</t>
        </is>
      </c>
      <c r="F488" s="11" t="inlineStr">
        <is>
          <t>32228</t>
        </is>
      </c>
      <c r="G488" s="11" t="inlineStr">
        <is>
          <t>Navy</t>
        </is>
      </c>
      <c r="H488" s="11" t="inlineStr">
        <is>
          <t>Large Format</t>
        </is>
      </c>
      <c r="I488" s="8" t="inlineStr">
        <is>
          <t>Large Banner</t>
        </is>
      </c>
      <c r="J488" s="11" t="inlineStr">
        <is>
          <t>8'W x 8'H</t>
        </is>
      </c>
      <c r="K488" s="8" t="inlineStr">
        <is>
          <t>Your ad will appear at an approved installation facility.</t>
        </is>
      </c>
      <c r="L488" s="11" t="n">
        <v>1</v>
      </c>
      <c r="M488" s="12" t="n">
        <v>700</v>
      </c>
      <c r="N488" s="12" t="n">
        <v>2100</v>
      </c>
      <c r="O488" s="12" t="n">
        <v>4200</v>
      </c>
      <c r="P488" s="12" t="n">
        <v>8400</v>
      </c>
      <c r="Q488" s="12" t="n">
        <v>400</v>
      </c>
      <c r="R488" s="13">
        <f>IF(ISNUMBER(M488),ROUND(M488/(1-Settings!$B$2)/Settings!$B$3,0)*Settings!$B$3,"")</f>
        <v/>
      </c>
      <c r="S488" s="13">
        <f>IF(ISNUMBER(N488),ROUND(N488/(1-Settings!$B$2)/Settings!$B$3,0)*Settings!$B$3,"")</f>
        <v/>
      </c>
      <c r="T488" s="13">
        <f>IF(ISNUMBER(O488),ROUND(O488/(1-Settings!$B$2)/Settings!$B$3,0)*Settings!$B$3,"")</f>
        <v/>
      </c>
      <c r="U488" s="13">
        <f>IF(ISNUMBER(P488),ROUND(P488/(1-Settings!$B$2)/Settings!$B$3,0)*Settings!$B$3,"")</f>
        <v/>
      </c>
      <c r="V488" s="13">
        <f>IF(ISNUMBER(Q488),ROUND(Q488/(1-Settings!$B$2)/Settings!$B$3,0)*Settings!$B$3,"")</f>
        <v/>
      </c>
      <c r="W488" s="14" t="n">
        <v>10442</v>
      </c>
      <c r="X488" s="14" t="n">
        <v>14571</v>
      </c>
      <c r="Y488" s="11" t="inlineStr"/>
      <c r="Z488" s="11" t="inlineStr"/>
      <c r="AA488" s="8" t="inlineStr"/>
      <c r="AB488" s="8" t="inlineStr"/>
      <c r="AC488" s="11" t="inlineStr">
        <is>
          <t>MasterMilitaryOnBaseList 12.2.25 NS.xlsx</t>
        </is>
      </c>
      <c r="AD488" s="11" t="inlineStr">
        <is>
          <t>FY26-27 ADVERTISING ASSETS_NRSE.xlsx</t>
        </is>
      </c>
      <c r="AE488" s="15" t="inlineStr">
        <is>
          <t>Open in Box</t>
        </is>
      </c>
      <c r="AF488" s="15" t="inlineStr">
        <is>
          <t>Open in Box</t>
        </is>
      </c>
    </row>
    <row r="489">
      <c r="A489" s="11" t="inlineStr">
        <is>
          <t>FL-MAYPORTN-009</t>
        </is>
      </c>
      <c r="B489" s="8" t="inlineStr">
        <is>
          <t>Mayport NAVSTA</t>
        </is>
      </c>
      <c r="C489" s="11" t="inlineStr"/>
      <c r="D489" s="11" t="inlineStr">
        <is>
          <t>FL</t>
        </is>
      </c>
      <c r="E489" s="11" t="inlineStr">
        <is>
          <t>Jacksonville</t>
        </is>
      </c>
      <c r="F489" s="11" t="inlineStr">
        <is>
          <t>32228</t>
        </is>
      </c>
      <c r="G489" s="11" t="inlineStr">
        <is>
          <t>Navy</t>
        </is>
      </c>
      <c r="H489" s="11" t="inlineStr">
        <is>
          <t>Large Format</t>
        </is>
      </c>
      <c r="I489" s="8" t="inlineStr">
        <is>
          <t>Wall / Window Cling</t>
        </is>
      </c>
      <c r="J489" s="11" t="inlineStr">
        <is>
          <t>Varies</t>
        </is>
      </c>
      <c r="K489" s="8" t="inlineStr">
        <is>
          <t>Your ad will appear at an approved installation facility.</t>
        </is>
      </c>
      <c r="L489" s="11" t="n">
        <v>1</v>
      </c>
      <c r="M489" s="12" t="n">
        <v>700</v>
      </c>
      <c r="N489" s="12" t="n">
        <v>2100</v>
      </c>
      <c r="O489" s="12" t="n">
        <v>4200</v>
      </c>
      <c r="P489" s="12" t="n">
        <v>8400</v>
      </c>
      <c r="Q489" s="12" t="n"/>
      <c r="R489" s="13">
        <f>IF(ISNUMBER(M489),ROUND(M489/(1-Settings!$B$2)/Settings!$B$3,0)*Settings!$B$3,"")</f>
        <v/>
      </c>
      <c r="S489" s="13">
        <f>IF(ISNUMBER(N489),ROUND(N489/(1-Settings!$B$2)/Settings!$B$3,0)*Settings!$B$3,"")</f>
        <v/>
      </c>
      <c r="T489" s="13">
        <f>IF(ISNUMBER(O489),ROUND(O489/(1-Settings!$B$2)/Settings!$B$3,0)*Settings!$B$3,"")</f>
        <v/>
      </c>
      <c r="U489" s="13">
        <f>IF(ISNUMBER(P489),ROUND(P489/(1-Settings!$B$2)/Settings!$B$3,0)*Settings!$B$3,"")</f>
        <v/>
      </c>
      <c r="V489" s="13">
        <f>IF(ISNUMBER(Q489),ROUND(Q489/(1-Settings!$B$2)/Settings!$B$3,0)*Settings!$B$3,"")</f>
        <v/>
      </c>
      <c r="W489" s="14" t="n">
        <v>10442</v>
      </c>
      <c r="X489" s="14" t="n">
        <v>14571</v>
      </c>
      <c r="Y489" s="11" t="inlineStr"/>
      <c r="Z489" s="11" t="inlineStr"/>
      <c r="AA489" s="8" t="inlineStr"/>
      <c r="AB489" s="8" t="inlineStr"/>
      <c r="AC489" s="11" t="inlineStr">
        <is>
          <t>MasterMilitaryOnBaseList 12.2.25 NS.xlsx</t>
        </is>
      </c>
      <c r="AD489" s="11" t="inlineStr">
        <is>
          <t>FY26-27 ADVERTISING ASSETS_NRSE.xlsx</t>
        </is>
      </c>
      <c r="AE489" s="15" t="inlineStr">
        <is>
          <t>Open in Box</t>
        </is>
      </c>
      <c r="AF489" s="15" t="inlineStr">
        <is>
          <t>Open in Box</t>
        </is>
      </c>
    </row>
    <row r="490">
      <c r="A490" s="11" t="inlineStr">
        <is>
          <t>FL-MAYPORTN-010</t>
        </is>
      </c>
      <c r="B490" s="8" t="inlineStr">
        <is>
          <t>Mayport NAVSTA</t>
        </is>
      </c>
      <c r="C490" s="11" t="inlineStr"/>
      <c r="D490" s="11" t="inlineStr">
        <is>
          <t>FL</t>
        </is>
      </c>
      <c r="E490" s="11" t="inlineStr">
        <is>
          <t>Jacksonville</t>
        </is>
      </c>
      <c r="F490" s="11" t="inlineStr">
        <is>
          <t>32228</t>
        </is>
      </c>
      <c r="G490" s="11" t="inlineStr">
        <is>
          <t>Navy</t>
        </is>
      </c>
      <c r="H490" s="11" t="inlineStr">
        <is>
          <t>Large Format</t>
        </is>
      </c>
      <c r="I490" s="8" t="inlineStr">
        <is>
          <t>XL Banner</t>
        </is>
      </c>
      <c r="J490" s="11" t="inlineStr">
        <is>
          <t>20'W x 10'H</t>
        </is>
      </c>
      <c r="K490" s="8" t="inlineStr">
        <is>
          <t>Your ad will appear at an approved installation facility.</t>
        </is>
      </c>
      <c r="L490" s="11" t="n">
        <v>1</v>
      </c>
      <c r="M490" s="12" t="n">
        <v>800</v>
      </c>
      <c r="N490" s="12" t="n">
        <v>2400</v>
      </c>
      <c r="O490" s="12" t="n">
        <v>4800</v>
      </c>
      <c r="P490" s="12" t="n">
        <v>9600</v>
      </c>
      <c r="Q490" s="12" t="n"/>
      <c r="R490" s="13">
        <f>IF(ISNUMBER(M490),ROUND(M490/(1-Settings!$B$2)/Settings!$B$3,0)*Settings!$B$3,"")</f>
        <v/>
      </c>
      <c r="S490" s="13">
        <f>IF(ISNUMBER(N490),ROUND(N490/(1-Settings!$B$2)/Settings!$B$3,0)*Settings!$B$3,"")</f>
        <v/>
      </c>
      <c r="T490" s="13">
        <f>IF(ISNUMBER(O490),ROUND(O490/(1-Settings!$B$2)/Settings!$B$3,0)*Settings!$B$3,"")</f>
        <v/>
      </c>
      <c r="U490" s="13">
        <f>IF(ISNUMBER(P490),ROUND(P490/(1-Settings!$B$2)/Settings!$B$3,0)*Settings!$B$3,"")</f>
        <v/>
      </c>
      <c r="V490" s="13">
        <f>IF(ISNUMBER(Q490),ROUND(Q490/(1-Settings!$B$2)/Settings!$B$3,0)*Settings!$B$3,"")</f>
        <v/>
      </c>
      <c r="W490" s="14" t="n">
        <v>10442</v>
      </c>
      <c r="X490" s="14" t="n">
        <v>14571</v>
      </c>
      <c r="Y490" s="11" t="inlineStr"/>
      <c r="Z490" s="11" t="inlineStr"/>
      <c r="AA490" s="8" t="inlineStr"/>
      <c r="AB490" s="8" t="inlineStr"/>
      <c r="AC490" s="11" t="inlineStr">
        <is>
          <t>MasterMilitaryOnBaseList 12.2.25 NS.xlsx</t>
        </is>
      </c>
      <c r="AD490" s="11" t="inlineStr">
        <is>
          <t>FY26-27 ADVERTISING ASSETS_NRSE.xlsx</t>
        </is>
      </c>
      <c r="AE490" s="15" t="inlineStr">
        <is>
          <t>Open in Box</t>
        </is>
      </c>
      <c r="AF490" s="15" t="inlineStr">
        <is>
          <t>Open in Box</t>
        </is>
      </c>
    </row>
    <row r="491">
      <c r="A491" s="11" t="inlineStr">
        <is>
          <t>FL-MAYPORTN-011</t>
        </is>
      </c>
      <c r="B491" s="8" t="inlineStr">
        <is>
          <t>Mayport NAVSTA</t>
        </is>
      </c>
      <c r="C491" s="11" t="inlineStr"/>
      <c r="D491" s="11" t="inlineStr">
        <is>
          <t>FL</t>
        </is>
      </c>
      <c r="E491" s="11" t="inlineStr">
        <is>
          <t>Jacksonville</t>
        </is>
      </c>
      <c r="F491" s="11" t="inlineStr">
        <is>
          <t>32228</t>
        </is>
      </c>
      <c r="G491" s="11" t="inlineStr">
        <is>
          <t>Navy</t>
        </is>
      </c>
      <c r="H491" s="11" t="inlineStr">
        <is>
          <t>Print &amp; Publications</t>
        </is>
      </c>
      <c r="I491" s="8" t="inlineStr">
        <is>
          <t>Brochures / Flyers</t>
        </is>
      </c>
      <c r="J491" s="11" t="inlineStr">
        <is>
          <t>8.5"W x 11"H</t>
        </is>
      </c>
      <c r="K491" s="8" t="inlineStr">
        <is>
          <t>Your ad will appear at 15 approved installation facilities.</t>
        </is>
      </c>
      <c r="L491" s="11" t="n">
        <v>1</v>
      </c>
      <c r="M491" s="12" t="n">
        <v>844</v>
      </c>
      <c r="N491" s="12" t="n">
        <v>2532</v>
      </c>
      <c r="O491" s="12" t="n">
        <v>5064</v>
      </c>
      <c r="P491" s="12" t="n">
        <v>10128</v>
      </c>
      <c r="Q491" s="12" t="n"/>
      <c r="R491" s="13">
        <f>IF(ISNUMBER(M491),ROUND(M491/(1-Settings!$B$2)/Settings!$B$3,0)*Settings!$B$3,"")</f>
        <v/>
      </c>
      <c r="S491" s="13">
        <f>IF(ISNUMBER(N491),ROUND(N491/(1-Settings!$B$2)/Settings!$B$3,0)*Settings!$B$3,"")</f>
        <v/>
      </c>
      <c r="T491" s="13">
        <f>IF(ISNUMBER(O491),ROUND(O491/(1-Settings!$B$2)/Settings!$B$3,0)*Settings!$B$3,"")</f>
        <v/>
      </c>
      <c r="U491" s="13">
        <f>IF(ISNUMBER(P491),ROUND(P491/(1-Settings!$B$2)/Settings!$B$3,0)*Settings!$B$3,"")</f>
        <v/>
      </c>
      <c r="V491" s="13">
        <f>IF(ISNUMBER(Q491),ROUND(Q491/(1-Settings!$B$2)/Settings!$B$3,0)*Settings!$B$3,"")</f>
        <v/>
      </c>
      <c r="W491" s="14" t="n">
        <v>10442</v>
      </c>
      <c r="X491" s="14" t="n">
        <v>14571</v>
      </c>
      <c r="Y491" s="11" t="inlineStr"/>
      <c r="Z491" s="11" t="inlineStr"/>
      <c r="AA491" s="8" t="inlineStr"/>
      <c r="AB491" s="8" t="inlineStr"/>
      <c r="AC491" s="11" t="inlineStr">
        <is>
          <t>MasterMilitaryOnBaseList 12.2.25 NS.xlsx</t>
        </is>
      </c>
      <c r="AD491" s="11" t="inlineStr">
        <is>
          <t>FY26-27 ADVERTISING ASSETS_NRSE.xlsx</t>
        </is>
      </c>
      <c r="AE491" s="15" t="inlineStr">
        <is>
          <t>Open in Box</t>
        </is>
      </c>
      <c r="AF491" s="15" t="inlineStr">
        <is>
          <t>Open in Box</t>
        </is>
      </c>
    </row>
    <row r="492">
      <c r="A492" s="11" t="inlineStr">
        <is>
          <t>FL-MAYPORTN-015</t>
        </is>
      </c>
      <c r="B492" s="8" t="inlineStr">
        <is>
          <t>Mayport NAVSTA</t>
        </is>
      </c>
      <c r="C492" s="11" t="inlineStr"/>
      <c r="D492" s="11" t="inlineStr">
        <is>
          <t>FL</t>
        </is>
      </c>
      <c r="E492" s="11" t="inlineStr">
        <is>
          <t>Jacksonville</t>
        </is>
      </c>
      <c r="F492" s="11" t="inlineStr"/>
      <c r="G492" s="11" t="inlineStr">
        <is>
          <t>Navy</t>
        </is>
      </c>
      <c r="H492" s="11" t="inlineStr">
        <is>
          <t>Print &amp; Publications</t>
        </is>
      </c>
      <c r="I492" s="8" t="inlineStr">
        <is>
          <t>Calendar Ad</t>
        </is>
      </c>
      <c r="J492" s="11" t="inlineStr"/>
      <c r="K492" s="8" t="inlineStr">
        <is>
          <t>Your ad will appear in the installation events calendar.</t>
        </is>
      </c>
      <c r="L492" s="11" t="n">
        <v>1</v>
      </c>
      <c r="M492" s="12" t="n">
        <v>150</v>
      </c>
      <c r="N492" s="12" t="n"/>
      <c r="O492" s="12" t="n"/>
      <c r="P492" s="12" t="n"/>
      <c r="Q492" s="12" t="n"/>
      <c r="R492" s="13">
        <f>IF(ISNUMBER(M492),ROUND(M492/(1-Settings!$B$2)/Settings!$B$3,0)*Settings!$B$3,"")</f>
        <v/>
      </c>
      <c r="S492" s="13">
        <f>IF(ISNUMBER(N492),ROUND(N492/(1-Settings!$B$2)/Settings!$B$3,0)*Settings!$B$3,"")</f>
        <v/>
      </c>
      <c r="T492" s="13">
        <f>IF(ISNUMBER(O492),ROUND(O492/(1-Settings!$B$2)/Settings!$B$3,0)*Settings!$B$3,"")</f>
        <v/>
      </c>
      <c r="U492" s="13">
        <f>IF(ISNUMBER(P492),ROUND(P492/(1-Settings!$B$2)/Settings!$B$3,0)*Settings!$B$3,"")</f>
        <v/>
      </c>
      <c r="V492" s="13">
        <f>IF(ISNUMBER(Q492),ROUND(Q492/(1-Settings!$B$2)/Settings!$B$3,0)*Settings!$B$3,"")</f>
        <v/>
      </c>
      <c r="W492" s="14" t="n">
        <v>10442</v>
      </c>
      <c r="X492" s="14" t="n">
        <v>14571</v>
      </c>
      <c r="Y492" s="11" t="inlineStr">
        <is>
          <t>2026</t>
        </is>
      </c>
      <c r="Z492" s="11" t="inlineStr">
        <is>
          <t>2026-06</t>
        </is>
      </c>
      <c r="AA492" s="8" t="inlineStr"/>
      <c r="AB492" s="8" t="inlineStr"/>
      <c r="AC492" s="11" t="inlineStr">
        <is>
          <t>Military - National Publication Inventory Master_June 2026.xlsx</t>
        </is>
      </c>
      <c r="AD492" s="11" t="inlineStr">
        <is>
          <t>FY26-27 ADVERTISING ASSETS_NRSE.xlsx</t>
        </is>
      </c>
      <c r="AE492" s="15" t="inlineStr">
        <is>
          <t>Open in Box</t>
        </is>
      </c>
      <c r="AF492" s="15" t="inlineStr">
        <is>
          <t>Open in Box</t>
        </is>
      </c>
    </row>
    <row r="493">
      <c r="A493" s="11" t="inlineStr">
        <is>
          <t>FL-MAYPORTN-012</t>
        </is>
      </c>
      <c r="B493" s="8" t="inlineStr">
        <is>
          <t>Mayport NAVSTA</t>
        </is>
      </c>
      <c r="C493" s="11" t="inlineStr"/>
      <c r="D493" s="11" t="inlineStr">
        <is>
          <t>FL</t>
        </is>
      </c>
      <c r="E493" s="11" t="inlineStr">
        <is>
          <t>Jacksonville</t>
        </is>
      </c>
      <c r="F493" s="11" t="inlineStr">
        <is>
          <t>32228</t>
        </is>
      </c>
      <c r="G493" s="11" t="inlineStr">
        <is>
          <t>Navy</t>
        </is>
      </c>
      <c r="H493" s="11" t="inlineStr">
        <is>
          <t>Print &amp; Publications</t>
        </is>
      </c>
      <c r="I493" s="8" t="inlineStr">
        <is>
          <t>Golf Scorecards</t>
        </is>
      </c>
      <c r="J493" s="11" t="inlineStr">
        <is>
          <t>3"W x 2"H</t>
        </is>
      </c>
      <c r="K493" s="8" t="inlineStr">
        <is>
          <t>Your ad will appear on the golf scorecards.</t>
        </is>
      </c>
      <c r="L493" s="11" t="n">
        <v>12</v>
      </c>
      <c r="M493" s="12" t="n"/>
      <c r="N493" s="12" t="n"/>
      <c r="O493" s="12" t="n"/>
      <c r="P493" s="12" t="n">
        <v>3000</v>
      </c>
      <c r="Q493" s="12" t="n">
        <v>0</v>
      </c>
      <c r="R493" s="13">
        <f>IF(ISNUMBER(M493),ROUND(M493/(1-Settings!$B$2)/Settings!$B$3,0)*Settings!$B$3,"")</f>
        <v/>
      </c>
      <c r="S493" s="13">
        <f>IF(ISNUMBER(N493),ROUND(N493/(1-Settings!$B$2)/Settings!$B$3,0)*Settings!$B$3,"")</f>
        <v/>
      </c>
      <c r="T493" s="13">
        <f>IF(ISNUMBER(O493),ROUND(O493/(1-Settings!$B$2)/Settings!$B$3,0)*Settings!$B$3,"")</f>
        <v/>
      </c>
      <c r="U493" s="13">
        <f>IF(ISNUMBER(P493),ROUND(P493/(1-Settings!$B$2)/Settings!$B$3,0)*Settings!$B$3,"")</f>
        <v/>
      </c>
      <c r="V493" s="13">
        <f>IF(ISNUMBER(Q493),ROUND(Q493/(1-Settings!$B$2)/Settings!$B$3,0)*Settings!$B$3,"")</f>
        <v/>
      </c>
      <c r="W493" s="14" t="n">
        <v>10442</v>
      </c>
      <c r="X493" s="14" t="n">
        <v>14571</v>
      </c>
      <c r="Y493" s="11" t="inlineStr"/>
      <c r="Z493" s="11" t="inlineStr"/>
      <c r="AA493" s="8" t="inlineStr">
        <is>
          <t>Inventory master 6/2026 lists Golf Scorecard Ad at $3,000 (1 mo)</t>
        </is>
      </c>
      <c r="AB493" s="16" t="inlineStr">
        <is>
          <t>Source formula errors</t>
        </is>
      </c>
      <c r="AC493" s="11" t="inlineStr">
        <is>
          <t>MasterMilitaryOnBaseList 12.2.25 NS.xlsx</t>
        </is>
      </c>
      <c r="AD493" s="11" t="inlineStr">
        <is>
          <t>FY26-27 ADVERTISING ASSETS_NRSE.xlsx</t>
        </is>
      </c>
      <c r="AE493" s="15" t="inlineStr">
        <is>
          <t>Open in Box</t>
        </is>
      </c>
      <c r="AF493" s="15" t="inlineStr">
        <is>
          <t>Open in Box</t>
        </is>
      </c>
    </row>
    <row r="494">
      <c r="A494" s="11" t="inlineStr">
        <is>
          <t>FL-MAYPORTN-016</t>
        </is>
      </c>
      <c r="B494" s="8" t="inlineStr">
        <is>
          <t>Mayport NAVSTA</t>
        </is>
      </c>
      <c r="C494" s="11" t="inlineStr"/>
      <c r="D494" s="11" t="inlineStr">
        <is>
          <t>FL</t>
        </is>
      </c>
      <c r="E494" s="11" t="inlineStr">
        <is>
          <t>Jacksonville</t>
        </is>
      </c>
      <c r="F494" s="11" t="inlineStr"/>
      <c r="G494" s="11" t="inlineStr">
        <is>
          <t>Navy</t>
        </is>
      </c>
      <c r="H494" s="11" t="inlineStr">
        <is>
          <t>Print &amp; Publications</t>
        </is>
      </c>
      <c r="I494" s="8" t="inlineStr">
        <is>
          <t>Guide / Map Ad</t>
        </is>
      </c>
      <c r="J494" s="11" t="inlineStr"/>
      <c r="K494" s="8" t="inlineStr">
        <is>
          <t>Your ad will appear in the installation guide or map.</t>
        </is>
      </c>
      <c r="L494" s="11" t="n">
        <v>1</v>
      </c>
      <c r="M494" s="12" t="n">
        <v>250</v>
      </c>
      <c r="N494" s="12" t="n"/>
      <c r="O494" s="12" t="n"/>
      <c r="P494" s="12" t="n"/>
      <c r="Q494" s="12" t="n"/>
      <c r="R494" s="13">
        <f>IF(ISNUMBER(M494),ROUND(M494/(1-Settings!$B$2)/Settings!$B$3,0)*Settings!$B$3,"")</f>
        <v/>
      </c>
      <c r="S494" s="13">
        <f>IF(ISNUMBER(N494),ROUND(N494/(1-Settings!$B$2)/Settings!$B$3,0)*Settings!$B$3,"")</f>
        <v/>
      </c>
      <c r="T494" s="13">
        <f>IF(ISNUMBER(O494),ROUND(O494/(1-Settings!$B$2)/Settings!$B$3,0)*Settings!$B$3,"")</f>
        <v/>
      </c>
      <c r="U494" s="13">
        <f>IF(ISNUMBER(P494),ROUND(P494/(1-Settings!$B$2)/Settings!$B$3,0)*Settings!$B$3,"")</f>
        <v/>
      </c>
      <c r="V494" s="13">
        <f>IF(ISNUMBER(Q494),ROUND(Q494/(1-Settings!$B$2)/Settings!$B$3,0)*Settings!$B$3,"")</f>
        <v/>
      </c>
      <c r="W494" s="14" t="n">
        <v>10442</v>
      </c>
      <c r="X494" s="14" t="n">
        <v>14571</v>
      </c>
      <c r="Y494" s="11" t="inlineStr">
        <is>
          <t>2026</t>
        </is>
      </c>
      <c r="Z494" s="11" t="inlineStr">
        <is>
          <t>2026-06</t>
        </is>
      </c>
      <c r="AA494" s="8" t="inlineStr"/>
      <c r="AB494" s="8" t="inlineStr"/>
      <c r="AC494" s="11" t="inlineStr">
        <is>
          <t>Military - National Publication Inventory Master_June 2026.xlsx</t>
        </is>
      </c>
      <c r="AD494" s="11" t="inlineStr">
        <is>
          <t>FY26-27 ADVERTISING ASSETS_NRSE.xlsx</t>
        </is>
      </c>
      <c r="AE494" s="15" t="inlineStr">
        <is>
          <t>Open in Box</t>
        </is>
      </c>
      <c r="AF494" s="15" t="inlineStr">
        <is>
          <t>Open in Box</t>
        </is>
      </c>
    </row>
    <row r="495">
      <c r="A495" s="11" t="inlineStr">
        <is>
          <t>FL-MAYPORTN-004</t>
        </is>
      </c>
      <c r="B495" s="8" t="inlineStr">
        <is>
          <t>Mayport NAVSTA</t>
        </is>
      </c>
      <c r="C495" s="11" t="inlineStr"/>
      <c r="D495" s="11" t="inlineStr">
        <is>
          <t>FL</t>
        </is>
      </c>
      <c r="E495" s="11" t="inlineStr">
        <is>
          <t>Jacksonville</t>
        </is>
      </c>
      <c r="F495" s="11" t="inlineStr">
        <is>
          <t>32228</t>
        </is>
      </c>
      <c r="G495" s="11" t="inlineStr">
        <is>
          <t>Navy</t>
        </is>
      </c>
      <c r="H495" s="11" t="inlineStr">
        <is>
          <t>Standard Media</t>
        </is>
      </c>
      <c r="I495" s="8" t="inlineStr">
        <is>
          <t>Banner</t>
        </is>
      </c>
      <c r="J495" s="11" t="inlineStr">
        <is>
          <t>8'W x 4"H</t>
        </is>
      </c>
      <c r="K495" s="8" t="inlineStr">
        <is>
          <t>Your ad will appear at an approved installation facility.</t>
        </is>
      </c>
      <c r="L495" s="11" t="n">
        <v>1</v>
      </c>
      <c r="M495" s="12" t="n">
        <v>400</v>
      </c>
      <c r="N495" s="12" t="n">
        <v>1200</v>
      </c>
      <c r="O495" s="12" t="n">
        <v>2400</v>
      </c>
      <c r="P495" s="12" t="n">
        <v>4800</v>
      </c>
      <c r="Q495" s="12" t="n">
        <v>200</v>
      </c>
      <c r="R495" s="13">
        <f>IF(ISNUMBER(M495),ROUND(M495/(1-Settings!$B$2)/Settings!$B$3,0)*Settings!$B$3,"")</f>
        <v/>
      </c>
      <c r="S495" s="13">
        <f>IF(ISNUMBER(N495),ROUND(N495/(1-Settings!$B$2)/Settings!$B$3,0)*Settings!$B$3,"")</f>
        <v/>
      </c>
      <c r="T495" s="13">
        <f>IF(ISNUMBER(O495),ROUND(O495/(1-Settings!$B$2)/Settings!$B$3,0)*Settings!$B$3,"")</f>
        <v/>
      </c>
      <c r="U495" s="13">
        <f>IF(ISNUMBER(P495),ROUND(P495/(1-Settings!$B$2)/Settings!$B$3,0)*Settings!$B$3,"")</f>
        <v/>
      </c>
      <c r="V495" s="13">
        <f>IF(ISNUMBER(Q495),ROUND(Q495/(1-Settings!$B$2)/Settings!$B$3,0)*Settings!$B$3,"")</f>
        <v/>
      </c>
      <c r="W495" s="14" t="n">
        <v>10442</v>
      </c>
      <c r="X495" s="14" t="n">
        <v>14571</v>
      </c>
      <c r="Y495" s="11" t="inlineStr"/>
      <c r="Z495" s="11" t="inlineStr"/>
      <c r="AA495" s="8" t="inlineStr"/>
      <c r="AB495" s="8" t="inlineStr"/>
      <c r="AC495" s="11" t="inlineStr">
        <is>
          <t>MasterMilitaryOnBaseList 12.2.25 NS.xlsx</t>
        </is>
      </c>
      <c r="AD495" s="11" t="inlineStr">
        <is>
          <t>FY26-27 ADVERTISING ASSETS_NRSE.xlsx</t>
        </is>
      </c>
      <c r="AE495" s="15" t="inlineStr">
        <is>
          <t>Open in Box</t>
        </is>
      </c>
      <c r="AF495" s="15" t="inlineStr">
        <is>
          <t>Open in Box</t>
        </is>
      </c>
    </row>
    <row r="496">
      <c r="A496" s="11" t="inlineStr">
        <is>
          <t>FL-MAYPORTN-005</t>
        </is>
      </c>
      <c r="B496" s="8" t="inlineStr">
        <is>
          <t>Mayport NAVSTA</t>
        </is>
      </c>
      <c r="C496" s="11" t="inlineStr"/>
      <c r="D496" s="11" t="inlineStr">
        <is>
          <t>FL</t>
        </is>
      </c>
      <c r="E496" s="11" t="inlineStr">
        <is>
          <t>Jacksonville</t>
        </is>
      </c>
      <c r="F496" s="11" t="inlineStr">
        <is>
          <t>32228</t>
        </is>
      </c>
      <c r="G496" s="11" t="inlineStr">
        <is>
          <t>Navy</t>
        </is>
      </c>
      <c r="H496" s="11" t="inlineStr">
        <is>
          <t>Standard Media</t>
        </is>
      </c>
      <c r="I496" s="8" t="inlineStr">
        <is>
          <t>Poster</t>
        </is>
      </c>
      <c r="J496" s="11" t="inlineStr">
        <is>
          <t>Varies</t>
        </is>
      </c>
      <c r="K496" s="8" t="inlineStr">
        <is>
          <t>Your ad will appear at an approved installation facility.</t>
        </is>
      </c>
      <c r="L496" s="11" t="n">
        <v>1</v>
      </c>
      <c r="M496" s="12" t="n">
        <v>250</v>
      </c>
      <c r="N496" s="12" t="n">
        <v>750</v>
      </c>
      <c r="O496" s="12" t="n">
        <v>1500</v>
      </c>
      <c r="P496" s="12" t="n">
        <v>3000</v>
      </c>
      <c r="Q496" s="12" t="n"/>
      <c r="R496" s="13">
        <f>IF(ISNUMBER(M496),ROUND(M496/(1-Settings!$B$2)/Settings!$B$3,0)*Settings!$B$3,"")</f>
        <v/>
      </c>
      <c r="S496" s="13">
        <f>IF(ISNUMBER(N496),ROUND(N496/(1-Settings!$B$2)/Settings!$B$3,0)*Settings!$B$3,"")</f>
        <v/>
      </c>
      <c r="T496" s="13">
        <f>IF(ISNUMBER(O496),ROUND(O496/(1-Settings!$B$2)/Settings!$B$3,0)*Settings!$B$3,"")</f>
        <v/>
      </c>
      <c r="U496" s="13">
        <f>IF(ISNUMBER(P496),ROUND(P496/(1-Settings!$B$2)/Settings!$B$3,0)*Settings!$B$3,"")</f>
        <v/>
      </c>
      <c r="V496" s="13">
        <f>IF(ISNUMBER(Q496),ROUND(Q496/(1-Settings!$B$2)/Settings!$B$3,0)*Settings!$B$3,"")</f>
        <v/>
      </c>
      <c r="W496" s="14" t="n">
        <v>10442</v>
      </c>
      <c r="X496" s="14" t="n">
        <v>14571</v>
      </c>
      <c r="Y496" s="11" t="inlineStr"/>
      <c r="Z496" s="11" t="inlineStr"/>
      <c r="AA496" s="8" t="inlineStr"/>
      <c r="AB496" s="8" t="inlineStr"/>
      <c r="AC496" s="11" t="inlineStr">
        <is>
          <t>MasterMilitaryOnBaseList 12.2.25 NS.xlsx</t>
        </is>
      </c>
      <c r="AD496" s="11" t="inlineStr">
        <is>
          <t>FY26-27 ADVERTISING ASSETS_NRSE.xlsx</t>
        </is>
      </c>
      <c r="AE496" s="15" t="inlineStr">
        <is>
          <t>Open in Box</t>
        </is>
      </c>
      <c r="AF496" s="15" t="inlineStr">
        <is>
          <t>Open in Box</t>
        </is>
      </c>
    </row>
    <row r="497">
      <c r="A497" s="11" t="inlineStr">
        <is>
          <t>FL-MAYPORTN-006</t>
        </is>
      </c>
      <c r="B497" s="8" t="inlineStr">
        <is>
          <t>Mayport NAVSTA</t>
        </is>
      </c>
      <c r="C497" s="11" t="inlineStr"/>
      <c r="D497" s="11" t="inlineStr">
        <is>
          <t>FL</t>
        </is>
      </c>
      <c r="E497" s="11" t="inlineStr">
        <is>
          <t>Jacksonville</t>
        </is>
      </c>
      <c r="F497" s="11" t="inlineStr">
        <is>
          <t>32228</t>
        </is>
      </c>
      <c r="G497" s="11" t="inlineStr">
        <is>
          <t>Navy</t>
        </is>
      </c>
      <c r="H497" s="11" t="inlineStr">
        <is>
          <t>Standard Media</t>
        </is>
      </c>
      <c r="I497" s="8" t="inlineStr">
        <is>
          <t>Table Tents</t>
        </is>
      </c>
      <c r="J497" s="11" t="inlineStr">
        <is>
          <t>4"W x 6"H</t>
        </is>
      </c>
      <c r="K497" s="8" t="inlineStr">
        <is>
          <t>Your ad will appear on tables at an approved installation facility.</t>
        </is>
      </c>
      <c r="L497" s="11" t="n">
        <v>1</v>
      </c>
      <c r="M497" s="12" t="n">
        <v>150</v>
      </c>
      <c r="N497" s="12" t="n">
        <v>450</v>
      </c>
      <c r="O497" s="12" t="n">
        <v>900</v>
      </c>
      <c r="P497" s="12" t="n">
        <v>1800</v>
      </c>
      <c r="Q497" s="12" t="n"/>
      <c r="R497" s="13">
        <f>IF(ISNUMBER(M497),ROUND(M497/(1-Settings!$B$2)/Settings!$B$3,0)*Settings!$B$3,"")</f>
        <v/>
      </c>
      <c r="S497" s="13">
        <f>IF(ISNUMBER(N497),ROUND(N497/(1-Settings!$B$2)/Settings!$B$3,0)*Settings!$B$3,"")</f>
        <v/>
      </c>
      <c r="T497" s="13">
        <f>IF(ISNUMBER(O497),ROUND(O497/(1-Settings!$B$2)/Settings!$B$3,0)*Settings!$B$3,"")</f>
        <v/>
      </c>
      <c r="U497" s="13">
        <f>IF(ISNUMBER(P497),ROUND(P497/(1-Settings!$B$2)/Settings!$B$3,0)*Settings!$B$3,"")</f>
        <v/>
      </c>
      <c r="V497" s="13">
        <f>IF(ISNUMBER(Q497),ROUND(Q497/(1-Settings!$B$2)/Settings!$B$3,0)*Settings!$B$3,"")</f>
        <v/>
      </c>
      <c r="W497" s="14" t="n">
        <v>10442</v>
      </c>
      <c r="X497" s="14" t="n">
        <v>14571</v>
      </c>
      <c r="Y497" s="11" t="inlineStr"/>
      <c r="Z497" s="11" t="inlineStr"/>
      <c r="AA497" s="8" t="inlineStr"/>
      <c r="AB497" s="8" t="inlineStr"/>
      <c r="AC497" s="11" t="inlineStr">
        <is>
          <t>MasterMilitaryOnBaseList 12.2.25 NS.xlsx</t>
        </is>
      </c>
      <c r="AD497" s="11" t="inlineStr">
        <is>
          <t>FY26-27 ADVERTISING ASSETS_NRSE.xlsx</t>
        </is>
      </c>
      <c r="AE497" s="15" t="inlineStr">
        <is>
          <t>Open in Box</t>
        </is>
      </c>
      <c r="AF497" s="15" t="inlineStr">
        <is>
          <t>Open in Box</t>
        </is>
      </c>
    </row>
    <row r="498">
      <c r="A498" s="11" t="inlineStr">
        <is>
          <t>FL-MAYPORTN-013</t>
        </is>
      </c>
      <c r="B498" s="8" t="inlineStr">
        <is>
          <t>Mayport NAVSTA</t>
        </is>
      </c>
      <c r="C498" s="11" t="inlineStr"/>
      <c r="D498" s="11" t="inlineStr">
        <is>
          <t>FL</t>
        </is>
      </c>
      <c r="E498" s="11" t="inlineStr">
        <is>
          <t>Jacksonville</t>
        </is>
      </c>
      <c r="F498" s="11" t="inlineStr"/>
      <c r="G498" s="11" t="inlineStr">
        <is>
          <t>Navy</t>
        </is>
      </c>
      <c r="H498" s="11" t="inlineStr">
        <is>
          <t>Web &amp; Email</t>
        </is>
      </c>
      <c r="I498" s="8" t="inlineStr">
        <is>
          <t>Monthly E-Newsletter Ad</t>
        </is>
      </c>
      <c r="J498" s="11" t="inlineStr"/>
      <c r="K498" s="8" t="inlineStr">
        <is>
          <t>Your ad will appear in the monthly e-newsletter emailed to the installation community.</t>
        </is>
      </c>
      <c r="L498" s="11" t="n">
        <v>1</v>
      </c>
      <c r="M498" s="12" t="n">
        <v>250</v>
      </c>
      <c r="N498" s="12" t="n"/>
      <c r="O498" s="12" t="n"/>
      <c r="P498" s="12" t="n"/>
      <c r="Q498" s="12" t="n"/>
      <c r="R498" s="13">
        <f>IF(ISNUMBER(M498),ROUND(M498/(1-Settings!$B$2)/Settings!$B$3,0)*Settings!$B$3,"")</f>
        <v/>
      </c>
      <c r="S498" s="13">
        <f>IF(ISNUMBER(N498),ROUND(N498/(1-Settings!$B$2)/Settings!$B$3,0)*Settings!$B$3,"")</f>
        <v/>
      </c>
      <c r="T498" s="13">
        <f>IF(ISNUMBER(O498),ROUND(O498/(1-Settings!$B$2)/Settings!$B$3,0)*Settings!$B$3,"")</f>
        <v/>
      </c>
      <c r="U498" s="13">
        <f>IF(ISNUMBER(P498),ROUND(P498/(1-Settings!$B$2)/Settings!$B$3,0)*Settings!$B$3,"")</f>
        <v/>
      </c>
      <c r="V498" s="13">
        <f>IF(ISNUMBER(Q498),ROUND(Q498/(1-Settings!$B$2)/Settings!$B$3,0)*Settings!$B$3,"")</f>
        <v/>
      </c>
      <c r="W498" s="14" t="n">
        <v>10442</v>
      </c>
      <c r="X498" s="14" t="n">
        <v>14571</v>
      </c>
      <c r="Y498" s="11" t="inlineStr">
        <is>
          <t>2026</t>
        </is>
      </c>
      <c r="Z498" s="11" t="inlineStr">
        <is>
          <t>2026-06</t>
        </is>
      </c>
      <c r="AA498" s="8" t="inlineStr"/>
      <c r="AB498" s="8" t="inlineStr"/>
      <c r="AC498" s="11" t="inlineStr">
        <is>
          <t>Military - National Publication Inventory Master_June 2026.xlsx</t>
        </is>
      </c>
      <c r="AD498" s="11" t="inlineStr">
        <is>
          <t>FY26-27 ADVERTISING ASSETS_NRSE.xlsx</t>
        </is>
      </c>
      <c r="AE498" s="15" t="inlineStr">
        <is>
          <t>Open in Box</t>
        </is>
      </c>
      <c r="AF498" s="15" t="inlineStr">
        <is>
          <t>Open in Box</t>
        </is>
      </c>
    </row>
    <row r="499">
      <c r="A499" s="11" t="inlineStr">
        <is>
          <t>FL-MAYPORTN-014</t>
        </is>
      </c>
      <c r="B499" s="8" t="inlineStr">
        <is>
          <t>Mayport NAVSTA</t>
        </is>
      </c>
      <c r="C499" s="11" t="inlineStr"/>
      <c r="D499" s="11" t="inlineStr">
        <is>
          <t>FL</t>
        </is>
      </c>
      <c r="E499" s="11" t="inlineStr">
        <is>
          <t>Jacksonville</t>
        </is>
      </c>
      <c r="F499" s="11" t="inlineStr"/>
      <c r="G499" s="11" t="inlineStr">
        <is>
          <t>Navy</t>
        </is>
      </c>
      <c r="H499" s="11" t="inlineStr">
        <is>
          <t>Web &amp; Email</t>
        </is>
      </c>
      <c r="I499" s="8" t="inlineStr">
        <is>
          <t>Web Ad</t>
        </is>
      </c>
      <c r="J499" s="11" t="inlineStr"/>
      <c r="K499" s="8" t="inlineStr">
        <is>
          <t>Your ad will appear on the installation MWR / FSS website.</t>
        </is>
      </c>
      <c r="L499" s="11" t="n">
        <v>1</v>
      </c>
      <c r="M499" s="12" t="n">
        <v>500</v>
      </c>
      <c r="N499" s="12" t="n"/>
      <c r="O499" s="12" t="n"/>
      <c r="P499" s="12" t="n"/>
      <c r="Q499" s="12" t="n"/>
      <c r="R499" s="13">
        <f>IF(ISNUMBER(M499),ROUND(M499/(1-Settings!$B$2)/Settings!$B$3,0)*Settings!$B$3,"")</f>
        <v/>
      </c>
      <c r="S499" s="13">
        <f>IF(ISNUMBER(N499),ROUND(N499/(1-Settings!$B$2)/Settings!$B$3,0)*Settings!$B$3,"")</f>
        <v/>
      </c>
      <c r="T499" s="13">
        <f>IF(ISNUMBER(O499),ROUND(O499/(1-Settings!$B$2)/Settings!$B$3,0)*Settings!$B$3,"")</f>
        <v/>
      </c>
      <c r="U499" s="13">
        <f>IF(ISNUMBER(P499),ROUND(P499/(1-Settings!$B$2)/Settings!$B$3,0)*Settings!$B$3,"")</f>
        <v/>
      </c>
      <c r="V499" s="13">
        <f>IF(ISNUMBER(Q499),ROUND(Q499/(1-Settings!$B$2)/Settings!$B$3,0)*Settings!$B$3,"")</f>
        <v/>
      </c>
      <c r="W499" s="14" t="n">
        <v>10442</v>
      </c>
      <c r="X499" s="14" t="n">
        <v>14571</v>
      </c>
      <c r="Y499" s="11" t="inlineStr">
        <is>
          <t>2026</t>
        </is>
      </c>
      <c r="Z499" s="11" t="inlineStr">
        <is>
          <t>2026-06</t>
        </is>
      </c>
      <c r="AA499" s="8" t="inlineStr"/>
      <c r="AB499" s="8" t="inlineStr"/>
      <c r="AC499" s="11" t="inlineStr">
        <is>
          <t>Military - National Publication Inventory Master_June 2026.xlsx</t>
        </is>
      </c>
      <c r="AD499" s="11" t="inlineStr">
        <is>
          <t>FY26-27 ADVERTISING ASSETS_NRSE.xlsx</t>
        </is>
      </c>
      <c r="AE499" s="15" t="inlineStr">
        <is>
          <t>Open in Box</t>
        </is>
      </c>
      <c r="AF499" s="15" t="inlineStr">
        <is>
          <t>Open in Box</t>
        </is>
      </c>
    </row>
    <row r="500">
      <c r="A500" s="11" t="inlineStr">
        <is>
          <t>FL-NOTUCAPE-001</t>
        </is>
      </c>
      <c r="B500" s="8" t="inlineStr">
        <is>
          <t>NOTU Cape Cape Canaveral</t>
        </is>
      </c>
      <c r="C500" s="11" t="inlineStr">
        <is>
          <t>NOTU Cape Canaveral</t>
        </is>
      </c>
      <c r="D500" s="11" t="inlineStr">
        <is>
          <t>FL</t>
        </is>
      </c>
      <c r="E500" s="11" t="inlineStr">
        <is>
          <t>Orlando-Daytona Bch-Melbrn</t>
        </is>
      </c>
      <c r="F500" s="11" t="inlineStr">
        <is>
          <t>32920</t>
        </is>
      </c>
      <c r="G500" s="11" t="inlineStr">
        <is>
          <t>Navy</t>
        </is>
      </c>
      <c r="H500" s="11" t="inlineStr">
        <is>
          <t>Digital</t>
        </is>
      </c>
      <c r="I500" s="8" t="inlineStr">
        <is>
          <t>Digital Monitor Network</t>
        </is>
      </c>
      <c r="J500" s="11" t="inlineStr">
        <is>
          <t>1920pxW x 1080pxH</t>
        </is>
      </c>
      <c r="K500" s="8" t="inlineStr">
        <is>
          <t>Your ad will appear on 2 digital monitors in approved installation facilities.</t>
        </is>
      </c>
      <c r="L500" s="11" t="n">
        <v>1</v>
      </c>
      <c r="M500" s="12" t="n">
        <v>100</v>
      </c>
      <c r="N500" s="12" t="n">
        <v>300</v>
      </c>
      <c r="O500" s="12" t="n">
        <v>600</v>
      </c>
      <c r="P500" s="12" t="n">
        <v>1200</v>
      </c>
      <c r="Q500" s="12" t="n">
        <v>0</v>
      </c>
      <c r="R500" s="13">
        <f>IF(ISNUMBER(M500),ROUND(M500/(1-Settings!$B$2)/Settings!$B$3,0)*Settings!$B$3,"")</f>
        <v/>
      </c>
      <c r="S500" s="13">
        <f>IF(ISNUMBER(N500),ROUND(N500/(1-Settings!$B$2)/Settings!$B$3,0)*Settings!$B$3,"")</f>
        <v/>
      </c>
      <c r="T500" s="13">
        <f>IF(ISNUMBER(O500),ROUND(O500/(1-Settings!$B$2)/Settings!$B$3,0)*Settings!$B$3,"")</f>
        <v/>
      </c>
      <c r="U500" s="13">
        <f>IF(ISNUMBER(P500),ROUND(P500/(1-Settings!$B$2)/Settings!$B$3,0)*Settings!$B$3,"")</f>
        <v/>
      </c>
      <c r="V500" s="13">
        <f>IF(ISNUMBER(Q500),ROUND(Q500/(1-Settings!$B$2)/Settings!$B$3,0)*Settings!$B$3,"")</f>
        <v/>
      </c>
      <c r="W500" s="14" t="n">
        <v>163</v>
      </c>
      <c r="X500" s="14" t="n">
        <v>340</v>
      </c>
      <c r="Y500" s="11" t="inlineStr"/>
      <c r="Z500" s="11" t="inlineStr"/>
      <c r="AA500" s="8" t="inlineStr"/>
      <c r="AB500" s="8" t="inlineStr"/>
      <c r="AC500" s="11" t="inlineStr">
        <is>
          <t>MasterMilitaryOnBaseList 12.2.25 NS.xlsx</t>
        </is>
      </c>
      <c r="AD500" s="11" t="inlineStr">
        <is>
          <t>FY26-27 ADVERTISING ASSETS_NRSE.xlsx</t>
        </is>
      </c>
      <c r="AE500" s="15" t="inlineStr">
        <is>
          <t>Open in Box</t>
        </is>
      </c>
      <c r="AF500" s="15" t="inlineStr">
        <is>
          <t>Open in Box</t>
        </is>
      </c>
    </row>
    <row r="501">
      <c r="A501" s="11" t="inlineStr">
        <is>
          <t>FL-NOTUCAPE-004</t>
        </is>
      </c>
      <c r="B501" s="8" t="inlineStr">
        <is>
          <t>NOTU Cape Cape Canaveral</t>
        </is>
      </c>
      <c r="C501" s="11" t="inlineStr">
        <is>
          <t>NOTU Cape Canaveral</t>
        </is>
      </c>
      <c r="D501" s="11" t="inlineStr">
        <is>
          <t>FL</t>
        </is>
      </c>
      <c r="E501" s="11" t="inlineStr">
        <is>
          <t>Orlando-Daytona Bch-Melbrn</t>
        </is>
      </c>
      <c r="F501" s="11" t="inlineStr">
        <is>
          <t>32920</t>
        </is>
      </c>
      <c r="G501" s="11" t="inlineStr">
        <is>
          <t>Navy</t>
        </is>
      </c>
      <c r="H501" s="11" t="inlineStr">
        <is>
          <t>Large Format</t>
        </is>
      </c>
      <c r="I501" s="8" t="inlineStr">
        <is>
          <t>Large Poster</t>
        </is>
      </c>
      <c r="J501" s="11" t="inlineStr">
        <is>
          <t>22"W x 56"H</t>
        </is>
      </c>
      <c r="K501" s="8" t="inlineStr">
        <is>
          <t>Your ad will appear in approved installation facilities.</t>
        </is>
      </c>
      <c r="L501" s="11" t="n">
        <v>1</v>
      </c>
      <c r="M501" s="12" t="n">
        <v>250</v>
      </c>
      <c r="N501" s="12" t="n">
        <v>750</v>
      </c>
      <c r="O501" s="12" t="n">
        <v>1500</v>
      </c>
      <c r="P501" s="12" t="n">
        <v>3000</v>
      </c>
      <c r="Q501" s="12" t="n">
        <v>200</v>
      </c>
      <c r="R501" s="13">
        <f>IF(ISNUMBER(M501),ROUND(M501/(1-Settings!$B$2)/Settings!$B$3,0)*Settings!$B$3,"")</f>
        <v/>
      </c>
      <c r="S501" s="13">
        <f>IF(ISNUMBER(N501),ROUND(N501/(1-Settings!$B$2)/Settings!$B$3,0)*Settings!$B$3,"")</f>
        <v/>
      </c>
      <c r="T501" s="13">
        <f>IF(ISNUMBER(O501),ROUND(O501/(1-Settings!$B$2)/Settings!$B$3,0)*Settings!$B$3,"")</f>
        <v/>
      </c>
      <c r="U501" s="13">
        <f>IF(ISNUMBER(P501),ROUND(P501/(1-Settings!$B$2)/Settings!$B$3,0)*Settings!$B$3,"")</f>
        <v/>
      </c>
      <c r="V501" s="13">
        <f>IF(ISNUMBER(Q501),ROUND(Q501/(1-Settings!$B$2)/Settings!$B$3,0)*Settings!$B$3,"")</f>
        <v/>
      </c>
      <c r="W501" s="14" t="n">
        <v>163</v>
      </c>
      <c r="X501" s="14" t="n">
        <v>340</v>
      </c>
      <c r="Y501" s="11" t="inlineStr"/>
      <c r="Z501" s="11" t="inlineStr"/>
      <c r="AA501" s="8" t="inlineStr"/>
      <c r="AB501" s="8" t="inlineStr"/>
      <c r="AC501" s="11" t="inlineStr">
        <is>
          <t>MasterMilitaryOnBaseList 12.2.25 NS.xlsx</t>
        </is>
      </c>
      <c r="AD501" s="11" t="inlineStr">
        <is>
          <t>FY26-27 ADVERTISING ASSETS_NRSE.xlsx</t>
        </is>
      </c>
      <c r="AE501" s="15" t="inlineStr">
        <is>
          <t>Open in Box</t>
        </is>
      </c>
      <c r="AF501" s="15" t="inlineStr">
        <is>
          <t>Open in Box</t>
        </is>
      </c>
    </row>
    <row r="502">
      <c r="A502" s="11" t="inlineStr">
        <is>
          <t>FL-NOTUCAPE-005</t>
        </is>
      </c>
      <c r="B502" s="8" t="inlineStr">
        <is>
          <t>NOTU Cape Cape Canaveral</t>
        </is>
      </c>
      <c r="C502" s="11" t="inlineStr">
        <is>
          <t>NOTU Cape Canaveral</t>
        </is>
      </c>
      <c r="D502" s="11" t="inlineStr">
        <is>
          <t>FL</t>
        </is>
      </c>
      <c r="E502" s="11" t="inlineStr">
        <is>
          <t>Orlando-Daytona Bch-Melbrn</t>
        </is>
      </c>
      <c r="F502" s="11" t="inlineStr">
        <is>
          <t>32920</t>
        </is>
      </c>
      <c r="G502" s="11" t="inlineStr">
        <is>
          <t>Navy</t>
        </is>
      </c>
      <c r="H502" s="11" t="inlineStr">
        <is>
          <t>Large Format</t>
        </is>
      </c>
      <c r="I502" s="8" t="inlineStr">
        <is>
          <t>Wall Cling</t>
        </is>
      </c>
      <c r="J502" s="11" t="inlineStr">
        <is>
          <t>4'W x 3'H</t>
        </is>
      </c>
      <c r="K502" s="8" t="inlineStr">
        <is>
          <t>Your ad will appear in approved installation facilities.</t>
        </is>
      </c>
      <c r="L502" s="11" t="n">
        <v>1</v>
      </c>
      <c r="M502" s="12" t="n">
        <v>250</v>
      </c>
      <c r="N502" s="12" t="n">
        <v>750</v>
      </c>
      <c r="O502" s="12" t="n">
        <v>1500</v>
      </c>
      <c r="P502" s="12" t="n">
        <v>3000</v>
      </c>
      <c r="Q502" s="12" t="n"/>
      <c r="R502" s="13">
        <f>IF(ISNUMBER(M502),ROUND(M502/(1-Settings!$B$2)/Settings!$B$3,0)*Settings!$B$3,"")</f>
        <v/>
      </c>
      <c r="S502" s="13">
        <f>IF(ISNUMBER(N502),ROUND(N502/(1-Settings!$B$2)/Settings!$B$3,0)*Settings!$B$3,"")</f>
        <v/>
      </c>
      <c r="T502" s="13">
        <f>IF(ISNUMBER(O502),ROUND(O502/(1-Settings!$B$2)/Settings!$B$3,0)*Settings!$B$3,"")</f>
        <v/>
      </c>
      <c r="U502" s="13">
        <f>IF(ISNUMBER(P502),ROUND(P502/(1-Settings!$B$2)/Settings!$B$3,0)*Settings!$B$3,"")</f>
        <v/>
      </c>
      <c r="V502" s="13">
        <f>IF(ISNUMBER(Q502),ROUND(Q502/(1-Settings!$B$2)/Settings!$B$3,0)*Settings!$B$3,"")</f>
        <v/>
      </c>
      <c r="W502" s="14" t="n">
        <v>163</v>
      </c>
      <c r="X502" s="14" t="n">
        <v>340</v>
      </c>
      <c r="Y502" s="11" t="inlineStr"/>
      <c r="Z502" s="11" t="inlineStr"/>
      <c r="AA502" s="8" t="inlineStr"/>
      <c r="AB502" s="8" t="inlineStr"/>
      <c r="AC502" s="11" t="inlineStr">
        <is>
          <t>MasterMilitaryOnBaseList 12.2.25 NS.xlsx</t>
        </is>
      </c>
      <c r="AD502" s="11" t="inlineStr">
        <is>
          <t>FY26-27 ADVERTISING ASSETS_NRSE.xlsx</t>
        </is>
      </c>
      <c r="AE502" s="15" t="inlineStr">
        <is>
          <t>Open in Box</t>
        </is>
      </c>
      <c r="AF502" s="15" t="inlineStr">
        <is>
          <t>Open in Box</t>
        </is>
      </c>
    </row>
    <row r="503">
      <c r="A503" s="11" t="inlineStr">
        <is>
          <t>FL-NOTUCAPE-006</t>
        </is>
      </c>
      <c r="B503" s="8" t="inlineStr">
        <is>
          <t>NOTU Cape Cape Canaveral</t>
        </is>
      </c>
      <c r="C503" s="11" t="inlineStr">
        <is>
          <t>NOTU Cape Canaveral</t>
        </is>
      </c>
      <c r="D503" s="11" t="inlineStr">
        <is>
          <t>FL</t>
        </is>
      </c>
      <c r="E503" s="11" t="inlineStr">
        <is>
          <t>Orlando-Daytona Bch-Melbrn</t>
        </is>
      </c>
      <c r="F503" s="11" t="inlineStr">
        <is>
          <t>32920</t>
        </is>
      </c>
      <c r="G503" s="11" t="inlineStr">
        <is>
          <t>Navy</t>
        </is>
      </c>
      <c r="H503" s="11" t="inlineStr">
        <is>
          <t>Print &amp; Publications</t>
        </is>
      </c>
      <c r="I503" s="8" t="inlineStr">
        <is>
          <t>Flyers and Brochures</t>
        </is>
      </c>
      <c r="J503" s="11" t="inlineStr">
        <is>
          <t>8.5"W x 11"H</t>
        </is>
      </c>
      <c r="K503" s="8" t="inlineStr">
        <is>
          <t>Your ad will appear in approved installation facilities.</t>
        </is>
      </c>
      <c r="L503" s="11" t="n">
        <v>1</v>
      </c>
      <c r="M503" s="12" t="n">
        <v>133</v>
      </c>
      <c r="N503" s="12" t="n">
        <v>399</v>
      </c>
      <c r="O503" s="12" t="n">
        <v>798</v>
      </c>
      <c r="P503" s="12" t="n">
        <v>1596</v>
      </c>
      <c r="Q503" s="12" t="n"/>
      <c r="R503" s="13">
        <f>IF(ISNUMBER(M503),ROUND(M503/(1-Settings!$B$2)/Settings!$B$3,0)*Settings!$B$3,"")</f>
        <v/>
      </c>
      <c r="S503" s="13">
        <f>IF(ISNUMBER(N503),ROUND(N503/(1-Settings!$B$2)/Settings!$B$3,0)*Settings!$B$3,"")</f>
        <v/>
      </c>
      <c r="T503" s="13">
        <f>IF(ISNUMBER(O503),ROUND(O503/(1-Settings!$B$2)/Settings!$B$3,0)*Settings!$B$3,"")</f>
        <v/>
      </c>
      <c r="U503" s="13">
        <f>IF(ISNUMBER(P503),ROUND(P503/(1-Settings!$B$2)/Settings!$B$3,0)*Settings!$B$3,"")</f>
        <v/>
      </c>
      <c r="V503" s="13">
        <f>IF(ISNUMBER(Q503),ROUND(Q503/(1-Settings!$B$2)/Settings!$B$3,0)*Settings!$B$3,"")</f>
        <v/>
      </c>
      <c r="W503" s="14" t="n">
        <v>163</v>
      </c>
      <c r="X503" s="14" t="n">
        <v>340</v>
      </c>
      <c r="Y503" s="11" t="inlineStr"/>
      <c r="Z503" s="11" t="inlineStr"/>
      <c r="AA503" s="8" t="inlineStr"/>
      <c r="AB503" s="8" t="inlineStr"/>
      <c r="AC503" s="11" t="inlineStr">
        <is>
          <t>MasterMilitaryOnBaseList 12.2.25 NS.xlsx</t>
        </is>
      </c>
      <c r="AD503" s="11" t="inlineStr">
        <is>
          <t>FY26-27 ADVERTISING ASSETS_NRSE.xlsx</t>
        </is>
      </c>
      <c r="AE503" s="15" t="inlineStr">
        <is>
          <t>Open in Box</t>
        </is>
      </c>
      <c r="AF503" s="15" t="inlineStr">
        <is>
          <t>Open in Box</t>
        </is>
      </c>
    </row>
    <row r="504">
      <c r="A504" s="11" t="inlineStr">
        <is>
          <t>FL-NOTUCAPE-002</t>
        </is>
      </c>
      <c r="B504" s="8" t="inlineStr">
        <is>
          <t>NOTU Cape Cape Canaveral</t>
        </is>
      </c>
      <c r="C504" s="11" t="inlineStr">
        <is>
          <t>NOTU Cape Canaveral</t>
        </is>
      </c>
      <c r="D504" s="11" t="inlineStr">
        <is>
          <t>FL</t>
        </is>
      </c>
      <c r="E504" s="11" t="inlineStr">
        <is>
          <t>Orlando-Daytona Bch-Melbrn</t>
        </is>
      </c>
      <c r="F504" s="11" t="inlineStr">
        <is>
          <t>32920</t>
        </is>
      </c>
      <c r="G504" s="11" t="inlineStr">
        <is>
          <t>Navy</t>
        </is>
      </c>
      <c r="H504" s="11" t="inlineStr">
        <is>
          <t>Standard Media</t>
        </is>
      </c>
      <c r="I504" s="8" t="inlineStr">
        <is>
          <t>Poster</t>
        </is>
      </c>
      <c r="J504" s="11" t="inlineStr">
        <is>
          <t>22"W x 22"H</t>
        </is>
      </c>
      <c r="K504" s="8" t="inlineStr">
        <is>
          <t>Your ad will appear in approved installation facilities.</t>
        </is>
      </c>
      <c r="L504" s="11" t="n">
        <v>1</v>
      </c>
      <c r="M504" s="12" t="n">
        <v>150</v>
      </c>
      <c r="N504" s="12" t="n">
        <v>450</v>
      </c>
      <c r="O504" s="12" t="n">
        <v>900</v>
      </c>
      <c r="P504" s="12" t="n">
        <v>1800</v>
      </c>
      <c r="Q504" s="12" t="n">
        <v>100</v>
      </c>
      <c r="R504" s="13">
        <f>IF(ISNUMBER(M504),ROUND(M504/(1-Settings!$B$2)/Settings!$B$3,0)*Settings!$B$3,"")</f>
        <v/>
      </c>
      <c r="S504" s="13">
        <f>IF(ISNUMBER(N504),ROUND(N504/(1-Settings!$B$2)/Settings!$B$3,0)*Settings!$B$3,"")</f>
        <v/>
      </c>
      <c r="T504" s="13">
        <f>IF(ISNUMBER(O504),ROUND(O504/(1-Settings!$B$2)/Settings!$B$3,0)*Settings!$B$3,"")</f>
        <v/>
      </c>
      <c r="U504" s="13">
        <f>IF(ISNUMBER(P504),ROUND(P504/(1-Settings!$B$2)/Settings!$B$3,0)*Settings!$B$3,"")</f>
        <v/>
      </c>
      <c r="V504" s="13">
        <f>IF(ISNUMBER(Q504),ROUND(Q504/(1-Settings!$B$2)/Settings!$B$3,0)*Settings!$B$3,"")</f>
        <v/>
      </c>
      <c r="W504" s="14" t="n">
        <v>163</v>
      </c>
      <c r="X504" s="14" t="n">
        <v>340</v>
      </c>
      <c r="Y504" s="11" t="inlineStr"/>
      <c r="Z504" s="11" t="inlineStr"/>
      <c r="AA504" s="8" t="inlineStr"/>
      <c r="AB504" s="8" t="inlineStr"/>
      <c r="AC504" s="11" t="inlineStr">
        <is>
          <t>MasterMilitaryOnBaseList 12.2.25 NS.xlsx</t>
        </is>
      </c>
      <c r="AD504" s="11" t="inlineStr">
        <is>
          <t>FY26-27 ADVERTISING ASSETS_NRSE.xlsx</t>
        </is>
      </c>
      <c r="AE504" s="15" t="inlineStr">
        <is>
          <t>Open in Box</t>
        </is>
      </c>
      <c r="AF504" s="15" t="inlineStr">
        <is>
          <t>Open in Box</t>
        </is>
      </c>
    </row>
    <row r="505">
      <c r="A505" s="11" t="inlineStr">
        <is>
          <t>FL-NOTUCAPE-003</t>
        </is>
      </c>
      <c r="B505" s="8" t="inlineStr">
        <is>
          <t>NOTU Cape Cape Canaveral</t>
        </is>
      </c>
      <c r="C505" s="11" t="inlineStr">
        <is>
          <t>NOTU Cape Canaveral</t>
        </is>
      </c>
      <c r="D505" s="11" t="inlineStr">
        <is>
          <t>FL</t>
        </is>
      </c>
      <c r="E505" s="11" t="inlineStr">
        <is>
          <t>Orlando-Daytona Bch-Melbrn</t>
        </is>
      </c>
      <c r="F505" s="11" t="inlineStr">
        <is>
          <t>32920</t>
        </is>
      </c>
      <c r="G505" s="11" t="inlineStr">
        <is>
          <t>Navy</t>
        </is>
      </c>
      <c r="H505" s="11" t="inlineStr">
        <is>
          <t>Standard Media</t>
        </is>
      </c>
      <c r="I505" s="8" t="inlineStr">
        <is>
          <t>Table Tents</t>
        </is>
      </c>
      <c r="J505" s="11" t="inlineStr">
        <is>
          <t>4"W x 6"H</t>
        </is>
      </c>
      <c r="K505" s="8" t="inlineStr">
        <is>
          <t>Your ad will appear in approved installation facilities.</t>
        </is>
      </c>
      <c r="L505" s="11" t="n">
        <v>1</v>
      </c>
      <c r="M505" s="12" t="n">
        <v>125</v>
      </c>
      <c r="N505" s="12" t="n">
        <v>375</v>
      </c>
      <c r="O505" s="12" t="n">
        <v>750</v>
      </c>
      <c r="P505" s="12" t="n">
        <v>1500</v>
      </c>
      <c r="Q505" s="12" t="n"/>
      <c r="R505" s="13">
        <f>IF(ISNUMBER(M505),ROUND(M505/(1-Settings!$B$2)/Settings!$B$3,0)*Settings!$B$3,"")</f>
        <v/>
      </c>
      <c r="S505" s="13">
        <f>IF(ISNUMBER(N505),ROUND(N505/(1-Settings!$B$2)/Settings!$B$3,0)*Settings!$B$3,"")</f>
        <v/>
      </c>
      <c r="T505" s="13">
        <f>IF(ISNUMBER(O505),ROUND(O505/(1-Settings!$B$2)/Settings!$B$3,0)*Settings!$B$3,"")</f>
        <v/>
      </c>
      <c r="U505" s="13">
        <f>IF(ISNUMBER(P505),ROUND(P505/(1-Settings!$B$2)/Settings!$B$3,0)*Settings!$B$3,"")</f>
        <v/>
      </c>
      <c r="V505" s="13">
        <f>IF(ISNUMBER(Q505),ROUND(Q505/(1-Settings!$B$2)/Settings!$B$3,0)*Settings!$B$3,"")</f>
        <v/>
      </c>
      <c r="W505" s="14" t="n">
        <v>163</v>
      </c>
      <c r="X505" s="14" t="n">
        <v>340</v>
      </c>
      <c r="Y505" s="11" t="inlineStr"/>
      <c r="Z505" s="11" t="inlineStr"/>
      <c r="AA505" s="8" t="inlineStr"/>
      <c r="AB505" s="8" t="inlineStr"/>
      <c r="AC505" s="11" t="inlineStr">
        <is>
          <t>MasterMilitaryOnBaseList 12.2.25 NS.xlsx</t>
        </is>
      </c>
      <c r="AD505" s="11" t="inlineStr">
        <is>
          <t>FY26-27 ADVERTISING ASSETS_NRSE.xlsx</t>
        </is>
      </c>
      <c r="AE505" s="15" t="inlineStr">
        <is>
          <t>Open in Box</t>
        </is>
      </c>
      <c r="AF505" s="15" t="inlineStr">
        <is>
          <t>Open in Box</t>
        </is>
      </c>
    </row>
    <row r="506">
      <c r="A506" s="11" t="inlineStr">
        <is>
          <t>FL-NOTUCAPE-007</t>
        </is>
      </c>
      <c r="B506" s="8" t="inlineStr">
        <is>
          <t>NOTU Cape Cape Canaveral</t>
        </is>
      </c>
      <c r="C506" s="11" t="inlineStr"/>
      <c r="D506" s="11" t="inlineStr">
        <is>
          <t>FL</t>
        </is>
      </c>
      <c r="E506" s="11" t="inlineStr">
        <is>
          <t>Orlando-Daytona Bch-Melbrn</t>
        </is>
      </c>
      <c r="F506" s="11" t="inlineStr"/>
      <c r="G506" s="11" t="inlineStr">
        <is>
          <t>Navy</t>
        </is>
      </c>
      <c r="H506" s="11" t="inlineStr">
        <is>
          <t>Web &amp; Email</t>
        </is>
      </c>
      <c r="I506" s="8" t="inlineStr">
        <is>
          <t>Monthly E-Newsletter Ad</t>
        </is>
      </c>
      <c r="J506" s="11" t="inlineStr"/>
      <c r="K506" s="8" t="inlineStr">
        <is>
          <t>Your ad will appear in the monthly e-newsletter emailed to the installation community.</t>
        </is>
      </c>
      <c r="L506" s="11" t="n">
        <v>1</v>
      </c>
      <c r="M506" s="12" t="n">
        <v>150</v>
      </c>
      <c r="N506" s="12" t="n"/>
      <c r="O506" s="12" t="n"/>
      <c r="P506" s="12" t="n"/>
      <c r="Q506" s="12" t="n"/>
      <c r="R506" s="13">
        <f>IF(ISNUMBER(M506),ROUND(M506/(1-Settings!$B$2)/Settings!$B$3,0)*Settings!$B$3,"")</f>
        <v/>
      </c>
      <c r="S506" s="13">
        <f>IF(ISNUMBER(N506),ROUND(N506/(1-Settings!$B$2)/Settings!$B$3,0)*Settings!$B$3,"")</f>
        <v/>
      </c>
      <c r="T506" s="13">
        <f>IF(ISNUMBER(O506),ROUND(O506/(1-Settings!$B$2)/Settings!$B$3,0)*Settings!$B$3,"")</f>
        <v/>
      </c>
      <c r="U506" s="13">
        <f>IF(ISNUMBER(P506),ROUND(P506/(1-Settings!$B$2)/Settings!$B$3,0)*Settings!$B$3,"")</f>
        <v/>
      </c>
      <c r="V506" s="13">
        <f>IF(ISNUMBER(Q506),ROUND(Q506/(1-Settings!$B$2)/Settings!$B$3,0)*Settings!$B$3,"")</f>
        <v/>
      </c>
      <c r="W506" s="14" t="n">
        <v>163</v>
      </c>
      <c r="X506" s="14" t="n">
        <v>340</v>
      </c>
      <c r="Y506" s="11" t="inlineStr">
        <is>
          <t>2026</t>
        </is>
      </c>
      <c r="Z506" s="11" t="inlineStr">
        <is>
          <t>2026-06</t>
        </is>
      </c>
      <c r="AA506" s="8" t="inlineStr"/>
      <c r="AB506" s="8" t="inlineStr"/>
      <c r="AC506" s="11" t="inlineStr">
        <is>
          <t>Military - National Publication Inventory Master_June 2026.xlsx</t>
        </is>
      </c>
      <c r="AD506" s="11" t="inlineStr">
        <is>
          <t>FY26-27 ADVERTISING ASSETS_NRSE.xlsx</t>
        </is>
      </c>
      <c r="AE506" s="15" t="inlineStr">
        <is>
          <t>Open in Box</t>
        </is>
      </c>
      <c r="AF506" s="15" t="inlineStr">
        <is>
          <t>Open in Box</t>
        </is>
      </c>
    </row>
    <row r="507">
      <c r="A507" s="11" t="inlineStr">
        <is>
          <t>FL-NOTUCAPE-008</t>
        </is>
      </c>
      <c r="B507" s="8" t="inlineStr">
        <is>
          <t>NOTU Cape Cape Canaveral</t>
        </is>
      </c>
      <c r="C507" s="11" t="inlineStr"/>
      <c r="D507" s="11" t="inlineStr">
        <is>
          <t>FL</t>
        </is>
      </c>
      <c r="E507" s="11" t="inlineStr">
        <is>
          <t>Orlando-Daytona Bch-Melbrn</t>
        </is>
      </c>
      <c r="F507" s="11" t="inlineStr"/>
      <c r="G507" s="11" t="inlineStr">
        <is>
          <t>Navy</t>
        </is>
      </c>
      <c r="H507" s="11" t="inlineStr">
        <is>
          <t>Web &amp; Email</t>
        </is>
      </c>
      <c r="I507" s="8" t="inlineStr">
        <is>
          <t>Web Ad</t>
        </is>
      </c>
      <c r="J507" s="11" t="inlineStr"/>
      <c r="K507" s="8" t="inlineStr">
        <is>
          <t>Your ad will appear on the installation MWR / FSS website.</t>
        </is>
      </c>
      <c r="L507" s="11" t="n">
        <v>1</v>
      </c>
      <c r="M507" s="12" t="n">
        <v>300</v>
      </c>
      <c r="N507" s="12" t="n"/>
      <c r="O507" s="12" t="n"/>
      <c r="P507" s="12" t="n"/>
      <c r="Q507" s="12" t="n"/>
      <c r="R507" s="13">
        <f>IF(ISNUMBER(M507),ROUND(M507/(1-Settings!$B$2)/Settings!$B$3,0)*Settings!$B$3,"")</f>
        <v/>
      </c>
      <c r="S507" s="13">
        <f>IF(ISNUMBER(N507),ROUND(N507/(1-Settings!$B$2)/Settings!$B$3,0)*Settings!$B$3,"")</f>
        <v/>
      </c>
      <c r="T507" s="13">
        <f>IF(ISNUMBER(O507),ROUND(O507/(1-Settings!$B$2)/Settings!$B$3,0)*Settings!$B$3,"")</f>
        <v/>
      </c>
      <c r="U507" s="13">
        <f>IF(ISNUMBER(P507),ROUND(P507/(1-Settings!$B$2)/Settings!$B$3,0)*Settings!$B$3,"")</f>
        <v/>
      </c>
      <c r="V507" s="13">
        <f>IF(ISNUMBER(Q507),ROUND(Q507/(1-Settings!$B$2)/Settings!$B$3,0)*Settings!$B$3,"")</f>
        <v/>
      </c>
      <c r="W507" s="14" t="n">
        <v>163</v>
      </c>
      <c r="X507" s="14" t="n">
        <v>340</v>
      </c>
      <c r="Y507" s="11" t="inlineStr">
        <is>
          <t>2026</t>
        </is>
      </c>
      <c r="Z507" s="11" t="inlineStr">
        <is>
          <t>2026-06</t>
        </is>
      </c>
      <c r="AA507" s="8" t="inlineStr"/>
      <c r="AB507" s="8" t="inlineStr"/>
      <c r="AC507" s="11" t="inlineStr">
        <is>
          <t>Military - National Publication Inventory Master_June 2026.xlsx</t>
        </is>
      </c>
      <c r="AD507" s="11" t="inlineStr">
        <is>
          <t>FY26-27 ADVERTISING ASSETS_NRSE.xlsx</t>
        </is>
      </c>
      <c r="AE507" s="15" t="inlineStr">
        <is>
          <t>Open in Box</t>
        </is>
      </c>
      <c r="AF507" s="15" t="inlineStr">
        <is>
          <t>Open in Box</t>
        </is>
      </c>
    </row>
    <row r="508">
      <c r="A508" s="11" t="inlineStr">
        <is>
          <t>FL-NAVCOAST-001</t>
        </is>
      </c>
      <c r="B508" s="8" t="inlineStr">
        <is>
          <t>Nav Coastal Systems Ctr Panama City NSA</t>
        </is>
      </c>
      <c r="C508" s="11" t="inlineStr">
        <is>
          <t>NSA Panama City</t>
        </is>
      </c>
      <c r="D508" s="11" t="inlineStr">
        <is>
          <t>FL</t>
        </is>
      </c>
      <c r="E508" s="11" t="inlineStr">
        <is>
          <t>Panama City</t>
        </is>
      </c>
      <c r="F508" s="11" t="inlineStr">
        <is>
          <t>32407</t>
        </is>
      </c>
      <c r="G508" s="11" t="inlineStr">
        <is>
          <t>Navy</t>
        </is>
      </c>
      <c r="H508" s="11" t="inlineStr">
        <is>
          <t>Digital</t>
        </is>
      </c>
      <c r="I508" s="8" t="inlineStr">
        <is>
          <t>Digital Monitor Network</t>
        </is>
      </c>
      <c r="J508" s="11" t="inlineStr">
        <is>
          <t>1920pxW x 1080pxH</t>
        </is>
      </c>
      <c r="K508" s="8" t="inlineStr">
        <is>
          <t>Your ad will appear on 6 digital monitors in approved installation facilities.</t>
        </is>
      </c>
      <c r="L508" s="11" t="n">
        <v>1</v>
      </c>
      <c r="M508" s="12" t="n">
        <v>320</v>
      </c>
      <c r="N508" s="12" t="n">
        <v>960</v>
      </c>
      <c r="O508" s="12" t="n">
        <v>1920</v>
      </c>
      <c r="P508" s="12" t="n">
        <v>3840</v>
      </c>
      <c r="Q508" s="12" t="n">
        <v>0</v>
      </c>
      <c r="R508" s="13">
        <f>IF(ISNUMBER(M508),ROUND(M508/(1-Settings!$B$2)/Settings!$B$3,0)*Settings!$B$3,"")</f>
        <v/>
      </c>
      <c r="S508" s="13">
        <f>IF(ISNUMBER(N508),ROUND(N508/(1-Settings!$B$2)/Settings!$B$3,0)*Settings!$B$3,"")</f>
        <v/>
      </c>
      <c r="T508" s="13">
        <f>IF(ISNUMBER(O508),ROUND(O508/(1-Settings!$B$2)/Settings!$B$3,0)*Settings!$B$3,"")</f>
        <v/>
      </c>
      <c r="U508" s="13">
        <f>IF(ISNUMBER(P508),ROUND(P508/(1-Settings!$B$2)/Settings!$B$3,0)*Settings!$B$3,"")</f>
        <v/>
      </c>
      <c r="V508" s="13">
        <f>IF(ISNUMBER(Q508),ROUND(Q508/(1-Settings!$B$2)/Settings!$B$3,0)*Settings!$B$3,"")</f>
        <v/>
      </c>
      <c r="W508" s="14" t="n">
        <v>615</v>
      </c>
      <c r="X508" s="14" t="n">
        <v>615</v>
      </c>
      <c r="Y508" s="11" t="inlineStr"/>
      <c r="Z508" s="11" t="inlineStr"/>
      <c r="AA508" s="8" t="inlineStr"/>
      <c r="AB508" s="8" t="inlineStr"/>
      <c r="AC508" s="11" t="inlineStr">
        <is>
          <t>MasterMilitaryOnBaseList 12.2.25 NS.xlsx</t>
        </is>
      </c>
      <c r="AD508" s="11" t="inlineStr">
        <is>
          <t>FY26-27 ADVERTISING ASSETS_NRSE.xlsx</t>
        </is>
      </c>
      <c r="AE508" s="15" t="inlineStr">
        <is>
          <t>Open in Box</t>
        </is>
      </c>
      <c r="AF508" s="15" t="inlineStr">
        <is>
          <t>Open in Box</t>
        </is>
      </c>
    </row>
    <row r="509">
      <c r="A509" s="11" t="inlineStr">
        <is>
          <t>FL-NAVCOAST-005</t>
        </is>
      </c>
      <c r="B509" s="8" t="inlineStr">
        <is>
          <t>Nav Coastal Systems Ctr Panama City NSA</t>
        </is>
      </c>
      <c r="C509" s="11" t="inlineStr">
        <is>
          <t>NSA Panama City</t>
        </is>
      </c>
      <c r="D509" s="11" t="inlineStr">
        <is>
          <t>FL</t>
        </is>
      </c>
      <c r="E509" s="11" t="inlineStr">
        <is>
          <t>Panama City</t>
        </is>
      </c>
      <c r="F509" s="11" t="inlineStr">
        <is>
          <t>32407</t>
        </is>
      </c>
      <c r="G509" s="11" t="inlineStr">
        <is>
          <t>Navy</t>
        </is>
      </c>
      <c r="H509" s="11" t="inlineStr">
        <is>
          <t>Large Format</t>
        </is>
      </c>
      <c r="I509" s="8" t="inlineStr">
        <is>
          <t>Counter Wrap</t>
        </is>
      </c>
      <c r="J509" s="11" t="inlineStr">
        <is>
          <t>28'W x 30"H</t>
        </is>
      </c>
      <c r="K509" s="8" t="inlineStr">
        <is>
          <t>Your ad will appear at the fitness center.</t>
        </is>
      </c>
      <c r="L509" s="11" t="n">
        <v>1</v>
      </c>
      <c r="M509" s="12" t="n">
        <v>450</v>
      </c>
      <c r="N509" s="12" t="n">
        <v>1350</v>
      </c>
      <c r="O509" s="12" t="n">
        <v>2700</v>
      </c>
      <c r="P509" s="12" t="n">
        <v>5400</v>
      </c>
      <c r="Q509" s="12" t="n"/>
      <c r="R509" s="13">
        <f>IF(ISNUMBER(M509),ROUND(M509/(1-Settings!$B$2)/Settings!$B$3,0)*Settings!$B$3,"")</f>
        <v/>
      </c>
      <c r="S509" s="13">
        <f>IF(ISNUMBER(N509),ROUND(N509/(1-Settings!$B$2)/Settings!$B$3,0)*Settings!$B$3,"")</f>
        <v/>
      </c>
      <c r="T509" s="13">
        <f>IF(ISNUMBER(O509),ROUND(O509/(1-Settings!$B$2)/Settings!$B$3,0)*Settings!$B$3,"")</f>
        <v/>
      </c>
      <c r="U509" s="13">
        <f>IF(ISNUMBER(P509),ROUND(P509/(1-Settings!$B$2)/Settings!$B$3,0)*Settings!$B$3,"")</f>
        <v/>
      </c>
      <c r="V509" s="13">
        <f>IF(ISNUMBER(Q509),ROUND(Q509/(1-Settings!$B$2)/Settings!$B$3,0)*Settings!$B$3,"")</f>
        <v/>
      </c>
      <c r="W509" s="14" t="n">
        <v>615</v>
      </c>
      <c r="X509" s="14" t="n">
        <v>615</v>
      </c>
      <c r="Y509" s="11" t="inlineStr"/>
      <c r="Z509" s="11" t="inlineStr"/>
      <c r="AA509" s="8" t="inlineStr"/>
      <c r="AB509" s="8" t="inlineStr"/>
      <c r="AC509" s="11" t="inlineStr">
        <is>
          <t>MasterMilitaryOnBaseList 12.2.25 NS.xlsx</t>
        </is>
      </c>
      <c r="AD509" s="11" t="inlineStr">
        <is>
          <t>FY26-27 ADVERTISING ASSETS_NRSE.xlsx</t>
        </is>
      </c>
      <c r="AE509" s="15" t="inlineStr">
        <is>
          <t>Open in Box</t>
        </is>
      </c>
      <c r="AF509" s="15" t="inlineStr">
        <is>
          <t>Open in Box</t>
        </is>
      </c>
    </row>
    <row r="510">
      <c r="A510" s="11" t="inlineStr">
        <is>
          <t>FL-NAVCOAST-006</t>
        </is>
      </c>
      <c r="B510" s="8" t="inlineStr">
        <is>
          <t>Nav Coastal Systems Ctr Panama City NSA</t>
        </is>
      </c>
      <c r="C510" s="11" t="inlineStr">
        <is>
          <t>NSA Panama City</t>
        </is>
      </c>
      <c r="D510" s="11" t="inlineStr">
        <is>
          <t>FL</t>
        </is>
      </c>
      <c r="E510" s="11" t="inlineStr">
        <is>
          <t>Panama City</t>
        </is>
      </c>
      <c r="F510" s="11" t="inlineStr">
        <is>
          <t>32407</t>
        </is>
      </c>
      <c r="G510" s="11" t="inlineStr">
        <is>
          <t>Navy</t>
        </is>
      </c>
      <c r="H510" s="11" t="inlineStr">
        <is>
          <t>Large Format</t>
        </is>
      </c>
      <c r="I510" s="8" t="inlineStr">
        <is>
          <t>Large Poster</t>
        </is>
      </c>
      <c r="J510" s="11" t="inlineStr">
        <is>
          <t>22"W x 56"H</t>
        </is>
      </c>
      <c r="K510" s="8" t="inlineStr">
        <is>
          <t>Your ad will appear at an approved installation facility.</t>
        </is>
      </c>
      <c r="L510" s="11" t="n">
        <v>1</v>
      </c>
      <c r="M510" s="12" t="n">
        <v>350</v>
      </c>
      <c r="N510" s="12" t="n">
        <v>1050</v>
      </c>
      <c r="O510" s="12" t="n">
        <v>2100</v>
      </c>
      <c r="P510" s="12" t="n">
        <v>4200</v>
      </c>
      <c r="Q510" s="12" t="n">
        <v>200</v>
      </c>
      <c r="R510" s="13">
        <f>IF(ISNUMBER(M510),ROUND(M510/(1-Settings!$B$2)/Settings!$B$3,0)*Settings!$B$3,"")</f>
        <v/>
      </c>
      <c r="S510" s="13">
        <f>IF(ISNUMBER(N510),ROUND(N510/(1-Settings!$B$2)/Settings!$B$3,0)*Settings!$B$3,"")</f>
        <v/>
      </c>
      <c r="T510" s="13">
        <f>IF(ISNUMBER(O510),ROUND(O510/(1-Settings!$B$2)/Settings!$B$3,0)*Settings!$B$3,"")</f>
        <v/>
      </c>
      <c r="U510" s="13">
        <f>IF(ISNUMBER(P510),ROUND(P510/(1-Settings!$B$2)/Settings!$B$3,0)*Settings!$B$3,"")</f>
        <v/>
      </c>
      <c r="V510" s="13">
        <f>IF(ISNUMBER(Q510),ROUND(Q510/(1-Settings!$B$2)/Settings!$B$3,0)*Settings!$B$3,"")</f>
        <v/>
      </c>
      <c r="W510" s="14" t="n">
        <v>615</v>
      </c>
      <c r="X510" s="14" t="n">
        <v>615</v>
      </c>
      <c r="Y510" s="11" t="inlineStr"/>
      <c r="Z510" s="11" t="inlineStr"/>
      <c r="AA510" s="8" t="inlineStr"/>
      <c r="AB510" s="8" t="inlineStr"/>
      <c r="AC510" s="11" t="inlineStr">
        <is>
          <t>MasterMilitaryOnBaseList 12.2.25 NS.xlsx</t>
        </is>
      </c>
      <c r="AD510" s="11" t="inlineStr">
        <is>
          <t>FY26-27 ADVERTISING ASSETS_NRSE.xlsx</t>
        </is>
      </c>
      <c r="AE510" s="15" t="inlineStr">
        <is>
          <t>Open in Box</t>
        </is>
      </c>
      <c r="AF510" s="15" t="inlineStr">
        <is>
          <t>Open in Box</t>
        </is>
      </c>
    </row>
    <row r="511">
      <c r="A511" s="11" t="inlineStr">
        <is>
          <t>FL-NAVCOAST-007</t>
        </is>
      </c>
      <c r="B511" s="8" t="inlineStr">
        <is>
          <t>Nav Coastal Systems Ctr Panama City NSA</t>
        </is>
      </c>
      <c r="C511" s="11" t="inlineStr">
        <is>
          <t>NSA Panama City</t>
        </is>
      </c>
      <c r="D511" s="11" t="inlineStr">
        <is>
          <t>FL</t>
        </is>
      </c>
      <c r="E511" s="11" t="inlineStr">
        <is>
          <t>Panama City</t>
        </is>
      </c>
      <c r="F511" s="11" t="inlineStr">
        <is>
          <t>32407</t>
        </is>
      </c>
      <c r="G511" s="11" t="inlineStr">
        <is>
          <t>Navy</t>
        </is>
      </c>
      <c r="H511" s="11" t="inlineStr">
        <is>
          <t>Large Format</t>
        </is>
      </c>
      <c r="I511" s="8" t="inlineStr">
        <is>
          <t>Window Cling</t>
        </is>
      </c>
      <c r="J511" s="11" t="inlineStr">
        <is>
          <t>22"W x 42"H</t>
        </is>
      </c>
      <c r="K511" s="8" t="inlineStr">
        <is>
          <t>Your ad will appear at an approved installation facility.</t>
        </is>
      </c>
      <c r="L511" s="11" t="n">
        <v>1</v>
      </c>
      <c r="M511" s="12" t="n">
        <v>200</v>
      </c>
      <c r="N511" s="12" t="n">
        <v>600</v>
      </c>
      <c r="O511" s="12" t="n">
        <v>1200</v>
      </c>
      <c r="P511" s="12" t="n">
        <v>2400</v>
      </c>
      <c r="Q511" s="12" t="n"/>
      <c r="R511" s="13">
        <f>IF(ISNUMBER(M511),ROUND(M511/(1-Settings!$B$2)/Settings!$B$3,0)*Settings!$B$3,"")</f>
        <v/>
      </c>
      <c r="S511" s="13">
        <f>IF(ISNUMBER(N511),ROUND(N511/(1-Settings!$B$2)/Settings!$B$3,0)*Settings!$B$3,"")</f>
        <v/>
      </c>
      <c r="T511" s="13">
        <f>IF(ISNUMBER(O511),ROUND(O511/(1-Settings!$B$2)/Settings!$B$3,0)*Settings!$B$3,"")</f>
        <v/>
      </c>
      <c r="U511" s="13">
        <f>IF(ISNUMBER(P511),ROUND(P511/(1-Settings!$B$2)/Settings!$B$3,0)*Settings!$B$3,"")</f>
        <v/>
      </c>
      <c r="V511" s="13">
        <f>IF(ISNUMBER(Q511),ROUND(Q511/(1-Settings!$B$2)/Settings!$B$3,0)*Settings!$B$3,"")</f>
        <v/>
      </c>
      <c r="W511" s="14" t="n">
        <v>615</v>
      </c>
      <c r="X511" s="14" t="n">
        <v>615</v>
      </c>
      <c r="Y511" s="11" t="inlineStr"/>
      <c r="Z511" s="11" t="inlineStr"/>
      <c r="AA511" s="8" t="inlineStr"/>
      <c r="AB511" s="8" t="inlineStr"/>
      <c r="AC511" s="11" t="inlineStr">
        <is>
          <t>MasterMilitaryOnBaseList 12.2.25 NS.xlsx</t>
        </is>
      </c>
      <c r="AD511" s="11" t="inlineStr">
        <is>
          <t>FY26-27 ADVERTISING ASSETS_NRSE.xlsx</t>
        </is>
      </c>
      <c r="AE511" s="15" t="inlineStr">
        <is>
          <t>Open in Box</t>
        </is>
      </c>
      <c r="AF511" s="15" t="inlineStr">
        <is>
          <t>Open in Box</t>
        </is>
      </c>
    </row>
    <row r="512">
      <c r="A512" s="11" t="inlineStr">
        <is>
          <t>FL-NAVCOAST-008</t>
        </is>
      </c>
      <c r="B512" s="8" t="inlineStr">
        <is>
          <t>Nav Coastal Systems Ctr Panama City NSA</t>
        </is>
      </c>
      <c r="C512" s="11" t="inlineStr">
        <is>
          <t>NSA Panama City</t>
        </is>
      </c>
      <c r="D512" s="11" t="inlineStr">
        <is>
          <t>FL</t>
        </is>
      </c>
      <c r="E512" s="11" t="inlineStr">
        <is>
          <t>Panama City</t>
        </is>
      </c>
      <c r="F512" s="11" t="inlineStr">
        <is>
          <t>32407</t>
        </is>
      </c>
      <c r="G512" s="11" t="inlineStr">
        <is>
          <t>Navy</t>
        </is>
      </c>
      <c r="H512" s="11" t="inlineStr">
        <is>
          <t>Print &amp; Publications</t>
        </is>
      </c>
      <c r="I512" s="8" t="inlineStr">
        <is>
          <t>Brochures / Flyers</t>
        </is>
      </c>
      <c r="J512" s="11" t="inlineStr">
        <is>
          <t>8.5"W x 11"H</t>
        </is>
      </c>
      <c r="K512" s="8" t="inlineStr">
        <is>
          <t>Your ad will appear in 8 approved installation facilities.</t>
        </is>
      </c>
      <c r="L512" s="11" t="n">
        <v>1</v>
      </c>
      <c r="M512" s="12" t="n">
        <v>450</v>
      </c>
      <c r="N512" s="12" t="n">
        <v>1350</v>
      </c>
      <c r="O512" s="12" t="n">
        <v>2700</v>
      </c>
      <c r="P512" s="12" t="n">
        <v>5400</v>
      </c>
      <c r="Q512" s="12" t="n"/>
      <c r="R512" s="13">
        <f>IF(ISNUMBER(M512),ROUND(M512/(1-Settings!$B$2)/Settings!$B$3,0)*Settings!$B$3,"")</f>
        <v/>
      </c>
      <c r="S512" s="13">
        <f>IF(ISNUMBER(N512),ROUND(N512/(1-Settings!$B$2)/Settings!$B$3,0)*Settings!$B$3,"")</f>
        <v/>
      </c>
      <c r="T512" s="13">
        <f>IF(ISNUMBER(O512),ROUND(O512/(1-Settings!$B$2)/Settings!$B$3,0)*Settings!$B$3,"")</f>
        <v/>
      </c>
      <c r="U512" s="13">
        <f>IF(ISNUMBER(P512),ROUND(P512/(1-Settings!$B$2)/Settings!$B$3,0)*Settings!$B$3,"")</f>
        <v/>
      </c>
      <c r="V512" s="13">
        <f>IF(ISNUMBER(Q512),ROUND(Q512/(1-Settings!$B$2)/Settings!$B$3,0)*Settings!$B$3,"")</f>
        <v/>
      </c>
      <c r="W512" s="14" t="n">
        <v>615</v>
      </c>
      <c r="X512" s="14" t="n">
        <v>615</v>
      </c>
      <c r="Y512" s="11" t="inlineStr"/>
      <c r="Z512" s="11" t="inlineStr"/>
      <c r="AA512" s="8" t="inlineStr"/>
      <c r="AB512" s="8" t="inlineStr"/>
      <c r="AC512" s="11" t="inlineStr">
        <is>
          <t>MasterMilitaryOnBaseList 12.2.25 NS.xlsx</t>
        </is>
      </c>
      <c r="AD512" s="11" t="inlineStr">
        <is>
          <t>FY26-27 ADVERTISING ASSETS_NRSE.xlsx</t>
        </is>
      </c>
      <c r="AE512" s="15" t="inlineStr">
        <is>
          <t>Open in Box</t>
        </is>
      </c>
      <c r="AF512" s="15" t="inlineStr">
        <is>
          <t>Open in Box</t>
        </is>
      </c>
    </row>
    <row r="513">
      <c r="A513" s="11" t="inlineStr">
        <is>
          <t>FL-NAVCOAST-009</t>
        </is>
      </c>
      <c r="B513" s="8" t="inlineStr">
        <is>
          <t>Nav Coastal Systems Ctr Panama City NSA</t>
        </is>
      </c>
      <c r="C513" s="11" t="inlineStr">
        <is>
          <t>NSA Panama City</t>
        </is>
      </c>
      <c r="D513" s="11" t="inlineStr">
        <is>
          <t>FL</t>
        </is>
      </c>
      <c r="E513" s="11" t="inlineStr">
        <is>
          <t>Panama City</t>
        </is>
      </c>
      <c r="F513" s="11" t="inlineStr">
        <is>
          <t>32407</t>
        </is>
      </c>
      <c r="G513" s="11" t="inlineStr">
        <is>
          <t>Navy</t>
        </is>
      </c>
      <c r="H513" s="11" t="inlineStr">
        <is>
          <t>Print &amp; Publications</t>
        </is>
      </c>
      <c r="I513" s="8" t="inlineStr">
        <is>
          <t>Newsletter</t>
        </is>
      </c>
      <c r="J513" s="11" t="inlineStr">
        <is>
          <t>7.5"W x 10"H</t>
        </is>
      </c>
      <c r="K513" s="8" t="inlineStr">
        <is>
          <t>Your ad will appear as a full page in the monthly newsletter.</t>
        </is>
      </c>
      <c r="L513" s="11" t="n">
        <v>1</v>
      </c>
      <c r="M513" s="12" t="n">
        <v>132</v>
      </c>
      <c r="N513" s="12" t="n">
        <v>399</v>
      </c>
      <c r="O513" s="12" t="n">
        <v>798</v>
      </c>
      <c r="P513" s="12" t="n">
        <v>1596</v>
      </c>
      <c r="Q513" s="12" t="n">
        <v>0</v>
      </c>
      <c r="R513" s="13">
        <f>IF(ISNUMBER(M513),ROUND(M513/(1-Settings!$B$2)/Settings!$B$3,0)*Settings!$B$3,"")</f>
        <v/>
      </c>
      <c r="S513" s="13">
        <f>IF(ISNUMBER(N513),ROUND(N513/(1-Settings!$B$2)/Settings!$B$3,0)*Settings!$B$3,"")</f>
        <v/>
      </c>
      <c r="T513" s="13">
        <f>IF(ISNUMBER(O513),ROUND(O513/(1-Settings!$B$2)/Settings!$B$3,0)*Settings!$B$3,"")</f>
        <v/>
      </c>
      <c r="U513" s="13">
        <f>IF(ISNUMBER(P513),ROUND(P513/(1-Settings!$B$2)/Settings!$B$3,0)*Settings!$B$3,"")</f>
        <v/>
      </c>
      <c r="V513" s="13">
        <f>IF(ISNUMBER(Q513),ROUND(Q513/(1-Settings!$B$2)/Settings!$B$3,0)*Settings!$B$3,"")</f>
        <v/>
      </c>
      <c r="W513" s="14" t="n">
        <v>615</v>
      </c>
      <c r="X513" s="14" t="n">
        <v>615</v>
      </c>
      <c r="Y513" s="11" t="inlineStr"/>
      <c r="Z513" s="11" t="inlineStr"/>
      <c r="AA513" s="8" t="inlineStr">
        <is>
          <t>Inventory master 6/2026 lists Monthly E-Newsletter Ad at $200 (1 mo)</t>
        </is>
      </c>
      <c r="AB513" s="8" t="inlineStr"/>
      <c r="AC513" s="11" t="inlineStr">
        <is>
          <t>MasterMilitaryOnBaseList 12.2.25 NS.xlsx</t>
        </is>
      </c>
      <c r="AD513" s="11" t="inlineStr">
        <is>
          <t>FY26-27 ADVERTISING ASSETS_NRSE.xlsx</t>
        </is>
      </c>
      <c r="AE513" s="15" t="inlineStr">
        <is>
          <t>Open in Box</t>
        </is>
      </c>
      <c r="AF513" s="15" t="inlineStr">
        <is>
          <t>Open in Box</t>
        </is>
      </c>
    </row>
    <row r="514">
      <c r="A514" s="11" t="inlineStr">
        <is>
          <t>FL-NAVCOAST-002</t>
        </is>
      </c>
      <c r="B514" s="8" t="inlineStr">
        <is>
          <t>Nav Coastal Systems Ctr Panama City NSA</t>
        </is>
      </c>
      <c r="C514" s="11" t="inlineStr">
        <is>
          <t>NSA Panama City</t>
        </is>
      </c>
      <c r="D514" s="11" t="inlineStr">
        <is>
          <t>FL</t>
        </is>
      </c>
      <c r="E514" s="11" t="inlineStr">
        <is>
          <t>Panama City</t>
        </is>
      </c>
      <c r="F514" s="11" t="inlineStr">
        <is>
          <t>32407</t>
        </is>
      </c>
      <c r="G514" s="11" t="inlineStr">
        <is>
          <t>Navy</t>
        </is>
      </c>
      <c r="H514" s="11" t="inlineStr">
        <is>
          <t>Standard Media</t>
        </is>
      </c>
      <c r="I514" s="8" t="inlineStr">
        <is>
          <t>Banner</t>
        </is>
      </c>
      <c r="J514" s="11" t="inlineStr">
        <is>
          <t>Varies</t>
        </is>
      </c>
      <c r="K514" s="8" t="inlineStr">
        <is>
          <t>Your ad will appear at an approved installation facility.</t>
        </is>
      </c>
      <c r="L514" s="11" t="n">
        <v>1</v>
      </c>
      <c r="M514" s="12" t="n">
        <v>200</v>
      </c>
      <c r="N514" s="12" t="n">
        <v>600</v>
      </c>
      <c r="O514" s="12" t="n">
        <v>1200</v>
      </c>
      <c r="P514" s="12" t="n">
        <v>2400</v>
      </c>
      <c r="Q514" s="12" t="n"/>
      <c r="R514" s="13">
        <f>IF(ISNUMBER(M514),ROUND(M514/(1-Settings!$B$2)/Settings!$B$3,0)*Settings!$B$3,"")</f>
        <v/>
      </c>
      <c r="S514" s="13">
        <f>IF(ISNUMBER(N514),ROUND(N514/(1-Settings!$B$2)/Settings!$B$3,0)*Settings!$B$3,"")</f>
        <v/>
      </c>
      <c r="T514" s="13">
        <f>IF(ISNUMBER(O514),ROUND(O514/(1-Settings!$B$2)/Settings!$B$3,0)*Settings!$B$3,"")</f>
        <v/>
      </c>
      <c r="U514" s="13">
        <f>IF(ISNUMBER(P514),ROUND(P514/(1-Settings!$B$2)/Settings!$B$3,0)*Settings!$B$3,"")</f>
        <v/>
      </c>
      <c r="V514" s="13">
        <f>IF(ISNUMBER(Q514),ROUND(Q514/(1-Settings!$B$2)/Settings!$B$3,0)*Settings!$B$3,"")</f>
        <v/>
      </c>
      <c r="W514" s="14" t="n">
        <v>615</v>
      </c>
      <c r="X514" s="14" t="n">
        <v>615</v>
      </c>
      <c r="Y514" s="11" t="inlineStr"/>
      <c r="Z514" s="11" t="inlineStr"/>
      <c r="AA514" s="8" t="inlineStr"/>
      <c r="AB514" s="8" t="inlineStr"/>
      <c r="AC514" s="11" t="inlineStr">
        <is>
          <t>MasterMilitaryOnBaseList 12.2.25 NS.xlsx</t>
        </is>
      </c>
      <c r="AD514" s="11" t="inlineStr">
        <is>
          <t>FY26-27 ADVERTISING ASSETS_NRSE.xlsx</t>
        </is>
      </c>
      <c r="AE514" s="15" t="inlineStr">
        <is>
          <t>Open in Box</t>
        </is>
      </c>
      <c r="AF514" s="15" t="inlineStr">
        <is>
          <t>Open in Box</t>
        </is>
      </c>
    </row>
    <row r="515">
      <c r="A515" s="11" t="inlineStr">
        <is>
          <t>FL-NAVCOAST-003</t>
        </is>
      </c>
      <c r="B515" s="8" t="inlineStr">
        <is>
          <t>Nav Coastal Systems Ctr Panama City NSA</t>
        </is>
      </c>
      <c r="C515" s="11" t="inlineStr">
        <is>
          <t>NSA Panama City</t>
        </is>
      </c>
      <c r="D515" s="11" t="inlineStr">
        <is>
          <t>FL</t>
        </is>
      </c>
      <c r="E515" s="11" t="inlineStr">
        <is>
          <t>Panama City</t>
        </is>
      </c>
      <c r="F515" s="11" t="inlineStr">
        <is>
          <t>32407</t>
        </is>
      </c>
      <c r="G515" s="11" t="inlineStr">
        <is>
          <t>Navy</t>
        </is>
      </c>
      <c r="H515" s="11" t="inlineStr">
        <is>
          <t>Standard Media</t>
        </is>
      </c>
      <c r="I515" s="8" t="inlineStr">
        <is>
          <t>Poster</t>
        </is>
      </c>
      <c r="J515" s="11" t="inlineStr">
        <is>
          <t>22"W x 28"H</t>
        </is>
      </c>
      <c r="K515" s="8" t="inlineStr">
        <is>
          <t>Your ad will appear in an approved installation facility.</t>
        </is>
      </c>
      <c r="L515" s="11" t="n">
        <v>1</v>
      </c>
      <c r="M515" s="12" t="n">
        <v>200</v>
      </c>
      <c r="N515" s="12" t="n">
        <v>600</v>
      </c>
      <c r="O515" s="12" t="n">
        <v>1200</v>
      </c>
      <c r="P515" s="12" t="n">
        <v>2400</v>
      </c>
      <c r="Q515" s="12" t="n">
        <v>100</v>
      </c>
      <c r="R515" s="13">
        <f>IF(ISNUMBER(M515),ROUND(M515/(1-Settings!$B$2)/Settings!$B$3,0)*Settings!$B$3,"")</f>
        <v/>
      </c>
      <c r="S515" s="13">
        <f>IF(ISNUMBER(N515),ROUND(N515/(1-Settings!$B$2)/Settings!$B$3,0)*Settings!$B$3,"")</f>
        <v/>
      </c>
      <c r="T515" s="13">
        <f>IF(ISNUMBER(O515),ROUND(O515/(1-Settings!$B$2)/Settings!$B$3,0)*Settings!$B$3,"")</f>
        <v/>
      </c>
      <c r="U515" s="13">
        <f>IF(ISNUMBER(P515),ROUND(P515/(1-Settings!$B$2)/Settings!$B$3,0)*Settings!$B$3,"")</f>
        <v/>
      </c>
      <c r="V515" s="13">
        <f>IF(ISNUMBER(Q515),ROUND(Q515/(1-Settings!$B$2)/Settings!$B$3,0)*Settings!$B$3,"")</f>
        <v/>
      </c>
      <c r="W515" s="14" t="n">
        <v>615</v>
      </c>
      <c r="X515" s="14" t="n">
        <v>615</v>
      </c>
      <c r="Y515" s="11" t="inlineStr"/>
      <c r="Z515" s="11" t="inlineStr"/>
      <c r="AA515" s="8" t="inlineStr"/>
      <c r="AB515" s="8" t="inlineStr"/>
      <c r="AC515" s="11" t="inlineStr">
        <is>
          <t>MasterMilitaryOnBaseList 12.2.25 NS.xlsx</t>
        </is>
      </c>
      <c r="AD515" s="11" t="inlineStr">
        <is>
          <t>FY26-27 ADVERTISING ASSETS_NRSE.xlsx</t>
        </is>
      </c>
      <c r="AE515" s="15" t="inlineStr">
        <is>
          <t>Open in Box</t>
        </is>
      </c>
      <c r="AF515" s="15" t="inlineStr">
        <is>
          <t>Open in Box</t>
        </is>
      </c>
    </row>
    <row r="516">
      <c r="A516" s="11" t="inlineStr">
        <is>
          <t>FL-NAVCOAST-004</t>
        </is>
      </c>
      <c r="B516" s="8" t="inlineStr">
        <is>
          <t>Nav Coastal Systems Ctr Panama City NSA</t>
        </is>
      </c>
      <c r="C516" s="11" t="inlineStr">
        <is>
          <t>NSA Panama City</t>
        </is>
      </c>
      <c r="D516" s="11" t="inlineStr">
        <is>
          <t>FL</t>
        </is>
      </c>
      <c r="E516" s="11" t="inlineStr">
        <is>
          <t>Panama City</t>
        </is>
      </c>
      <c r="F516" s="11" t="inlineStr">
        <is>
          <t>32407</t>
        </is>
      </c>
      <c r="G516" s="11" t="inlineStr">
        <is>
          <t>Navy</t>
        </is>
      </c>
      <c r="H516" s="11" t="inlineStr">
        <is>
          <t>Standard Media</t>
        </is>
      </c>
      <c r="I516" s="8" t="inlineStr">
        <is>
          <t>Table Tents</t>
        </is>
      </c>
      <c r="J516" s="11" t="inlineStr">
        <is>
          <t>4"W x 6"H</t>
        </is>
      </c>
      <c r="K516" s="8" t="inlineStr">
        <is>
          <t>Your ad will appear on tables at an approved facility.</t>
        </is>
      </c>
      <c r="L516" s="11" t="n">
        <v>1</v>
      </c>
      <c r="M516" s="12" t="n">
        <v>125</v>
      </c>
      <c r="N516" s="12" t="n">
        <v>375</v>
      </c>
      <c r="O516" s="12" t="n">
        <v>750</v>
      </c>
      <c r="P516" s="12" t="n">
        <v>1500</v>
      </c>
      <c r="Q516" s="12" t="n"/>
      <c r="R516" s="13">
        <f>IF(ISNUMBER(M516),ROUND(M516/(1-Settings!$B$2)/Settings!$B$3,0)*Settings!$B$3,"")</f>
        <v/>
      </c>
      <c r="S516" s="13">
        <f>IF(ISNUMBER(N516),ROUND(N516/(1-Settings!$B$2)/Settings!$B$3,0)*Settings!$B$3,"")</f>
        <v/>
      </c>
      <c r="T516" s="13">
        <f>IF(ISNUMBER(O516),ROUND(O516/(1-Settings!$B$2)/Settings!$B$3,0)*Settings!$B$3,"")</f>
        <v/>
      </c>
      <c r="U516" s="13">
        <f>IF(ISNUMBER(P516),ROUND(P516/(1-Settings!$B$2)/Settings!$B$3,0)*Settings!$B$3,"")</f>
        <v/>
      </c>
      <c r="V516" s="13">
        <f>IF(ISNUMBER(Q516),ROUND(Q516/(1-Settings!$B$2)/Settings!$B$3,0)*Settings!$B$3,"")</f>
        <v/>
      </c>
      <c r="W516" s="14" t="n">
        <v>615</v>
      </c>
      <c r="X516" s="14" t="n">
        <v>615</v>
      </c>
      <c r="Y516" s="11" t="inlineStr"/>
      <c r="Z516" s="11" t="inlineStr"/>
      <c r="AA516" s="8" t="inlineStr"/>
      <c r="AB516" s="8" t="inlineStr"/>
      <c r="AC516" s="11" t="inlineStr">
        <is>
          <t>MasterMilitaryOnBaseList 12.2.25 NS.xlsx</t>
        </is>
      </c>
      <c r="AD516" s="11" t="inlineStr">
        <is>
          <t>FY26-27 ADVERTISING ASSETS_NRSE.xlsx</t>
        </is>
      </c>
      <c r="AE516" s="15" t="inlineStr">
        <is>
          <t>Open in Box</t>
        </is>
      </c>
      <c r="AF516" s="15" t="inlineStr">
        <is>
          <t>Open in Box</t>
        </is>
      </c>
    </row>
    <row r="517">
      <c r="A517" s="11" t="inlineStr">
        <is>
          <t>FL-NAVCOAST-010</t>
        </is>
      </c>
      <c r="B517" s="8" t="inlineStr">
        <is>
          <t>Nav Coastal Systems Ctr Panama City NSA</t>
        </is>
      </c>
      <c r="C517" s="11" t="inlineStr"/>
      <c r="D517" s="11" t="inlineStr">
        <is>
          <t>FL</t>
        </is>
      </c>
      <c r="E517" s="11" t="inlineStr">
        <is>
          <t>Panama City</t>
        </is>
      </c>
      <c r="F517" s="11" t="inlineStr"/>
      <c r="G517" s="11" t="inlineStr">
        <is>
          <t>Navy</t>
        </is>
      </c>
      <c r="H517" s="11" t="inlineStr">
        <is>
          <t>Web &amp; Email</t>
        </is>
      </c>
      <c r="I517" s="8" t="inlineStr">
        <is>
          <t>Web Ad</t>
        </is>
      </c>
      <c r="J517" s="11" t="inlineStr"/>
      <c r="K517" s="8" t="inlineStr">
        <is>
          <t>Your ad will appear on the installation MWR / FSS website.</t>
        </is>
      </c>
      <c r="L517" s="11" t="n">
        <v>1</v>
      </c>
      <c r="M517" s="12" t="n">
        <v>400</v>
      </c>
      <c r="N517" s="12" t="n"/>
      <c r="O517" s="12" t="n"/>
      <c r="P517" s="12" t="n"/>
      <c r="Q517" s="12" t="n"/>
      <c r="R517" s="13">
        <f>IF(ISNUMBER(M517),ROUND(M517/(1-Settings!$B$2)/Settings!$B$3,0)*Settings!$B$3,"")</f>
        <v/>
      </c>
      <c r="S517" s="13">
        <f>IF(ISNUMBER(N517),ROUND(N517/(1-Settings!$B$2)/Settings!$B$3,0)*Settings!$B$3,"")</f>
        <v/>
      </c>
      <c r="T517" s="13">
        <f>IF(ISNUMBER(O517),ROUND(O517/(1-Settings!$B$2)/Settings!$B$3,0)*Settings!$B$3,"")</f>
        <v/>
      </c>
      <c r="U517" s="13">
        <f>IF(ISNUMBER(P517),ROUND(P517/(1-Settings!$B$2)/Settings!$B$3,0)*Settings!$B$3,"")</f>
        <v/>
      </c>
      <c r="V517" s="13">
        <f>IF(ISNUMBER(Q517),ROUND(Q517/(1-Settings!$B$2)/Settings!$B$3,0)*Settings!$B$3,"")</f>
        <v/>
      </c>
      <c r="W517" s="14" t="n">
        <v>615</v>
      </c>
      <c r="X517" s="14" t="n">
        <v>615</v>
      </c>
      <c r="Y517" s="11" t="inlineStr">
        <is>
          <t>2026</t>
        </is>
      </c>
      <c r="Z517" s="11" t="inlineStr">
        <is>
          <t>2026-06</t>
        </is>
      </c>
      <c r="AA517" s="8" t="inlineStr"/>
      <c r="AB517" s="8" t="inlineStr"/>
      <c r="AC517" s="11" t="inlineStr">
        <is>
          <t>Military - National Publication Inventory Master_June 2026.xlsx</t>
        </is>
      </c>
      <c r="AD517" s="11" t="inlineStr">
        <is>
          <t>FY26-27 ADVERTISING ASSETS_NRSE.xlsx</t>
        </is>
      </c>
      <c r="AE517" s="15" t="inlineStr">
        <is>
          <t>Open in Box</t>
        </is>
      </c>
      <c r="AF517" s="15" t="inlineStr">
        <is>
          <t>Open in Box</t>
        </is>
      </c>
    </row>
    <row r="518">
      <c r="A518" s="11" t="inlineStr">
        <is>
          <t>FL-PATRICKA-001</t>
        </is>
      </c>
      <c r="B518" s="8" t="inlineStr">
        <is>
          <t>Patrick AFB</t>
        </is>
      </c>
      <c r="C518" s="11" t="inlineStr"/>
      <c r="D518" s="11" t="inlineStr">
        <is>
          <t>FL</t>
        </is>
      </c>
      <c r="E518" s="11" t="inlineStr">
        <is>
          <t>Orlando-Daytona Bch-Melbrn</t>
        </is>
      </c>
      <c r="F518" s="11" t="inlineStr">
        <is>
          <t>32925</t>
        </is>
      </c>
      <c r="G518" s="11" t="inlineStr">
        <is>
          <t>Air Force</t>
        </is>
      </c>
      <c r="H518" s="11" t="inlineStr">
        <is>
          <t>Digital</t>
        </is>
      </c>
      <c r="I518" s="8" t="inlineStr">
        <is>
          <t>Digital Monitors</t>
        </is>
      </c>
      <c r="J518" s="11" t="inlineStr">
        <is>
          <t>TBD</t>
        </is>
      </c>
      <c r="K518" s="8" t="inlineStr">
        <is>
          <t>Your ad will appear on approved monitors on the installation.</t>
        </is>
      </c>
      <c r="L518" s="11" t="n">
        <v>1</v>
      </c>
      <c r="M518" s="12" t="n">
        <v>400</v>
      </c>
      <c r="N518" s="12" t="n">
        <v>1200</v>
      </c>
      <c r="O518" s="12" t="n">
        <v>2400</v>
      </c>
      <c r="P518" s="12" t="n">
        <v>4800</v>
      </c>
      <c r="Q518" s="12" t="n">
        <v>0</v>
      </c>
      <c r="R518" s="13">
        <f>IF(ISNUMBER(M518),ROUND(M518/(1-Settings!$B$2)/Settings!$B$3,0)*Settings!$B$3,"")</f>
        <v/>
      </c>
      <c r="S518" s="13">
        <f>IF(ISNUMBER(N518),ROUND(N518/(1-Settings!$B$2)/Settings!$B$3,0)*Settings!$B$3,"")</f>
        <v/>
      </c>
      <c r="T518" s="13">
        <f>IF(ISNUMBER(O518),ROUND(O518/(1-Settings!$B$2)/Settings!$B$3,0)*Settings!$B$3,"")</f>
        <v/>
      </c>
      <c r="U518" s="13">
        <f>IF(ISNUMBER(P518),ROUND(P518/(1-Settings!$B$2)/Settings!$B$3,0)*Settings!$B$3,"")</f>
        <v/>
      </c>
      <c r="V518" s="13">
        <f>IF(ISNUMBER(Q518),ROUND(Q518/(1-Settings!$B$2)/Settings!$B$3,0)*Settings!$B$3,"")</f>
        <v/>
      </c>
      <c r="W518" s="14" t="n">
        <v>1733</v>
      </c>
      <c r="X518" s="14" t="n">
        <v>2550</v>
      </c>
      <c r="Y518" s="11" t="inlineStr"/>
      <c r="Z518" s="11" t="inlineStr"/>
      <c r="AA518" s="8" t="inlineStr"/>
      <c r="AB518" s="8" t="inlineStr"/>
      <c r="AC518" s="11" t="inlineStr">
        <is>
          <t>MasterMilitaryOnBaseList 12.2.25 NS.xlsx</t>
        </is>
      </c>
      <c r="AD518" s="11" t="inlineStr">
        <is>
          <t>sponsorshipbrochure.pdf</t>
        </is>
      </c>
      <c r="AE518" s="15" t="inlineStr">
        <is>
          <t>Open in Box</t>
        </is>
      </c>
      <c r="AF518" s="15" t="inlineStr">
        <is>
          <t>Open in Box</t>
        </is>
      </c>
    </row>
    <row r="519">
      <c r="A519" s="11" t="inlineStr">
        <is>
          <t>FL-PATRICKA-005</t>
        </is>
      </c>
      <c r="B519" s="8" t="inlineStr">
        <is>
          <t>Patrick AFB</t>
        </is>
      </c>
      <c r="C519" s="11" t="inlineStr"/>
      <c r="D519" s="11" t="inlineStr">
        <is>
          <t>FL</t>
        </is>
      </c>
      <c r="E519" s="11" t="inlineStr">
        <is>
          <t>Orlando-Daytona Bch-Melbrn</t>
        </is>
      </c>
      <c r="F519" s="11" t="inlineStr">
        <is>
          <t>32925</t>
        </is>
      </c>
      <c r="G519" s="11" t="inlineStr">
        <is>
          <t>Air Force</t>
        </is>
      </c>
      <c r="H519" s="11" t="inlineStr">
        <is>
          <t>Large Format</t>
        </is>
      </c>
      <c r="I519" s="8" t="inlineStr">
        <is>
          <t>Window/Door Clings</t>
        </is>
      </c>
      <c r="J519" s="11" t="inlineStr">
        <is>
          <t>*Sizing varies</t>
        </is>
      </c>
      <c r="K519" s="8" t="inlineStr">
        <is>
          <t>Your ad will appear in approved facilities on the installation. Price depends on sizing, but starts at $90/month/</t>
        </is>
      </c>
      <c r="L519" s="11" t="n">
        <v>1</v>
      </c>
      <c r="M519" s="12" t="n">
        <v>45</v>
      </c>
      <c r="N519" s="12" t="n">
        <v>90</v>
      </c>
      <c r="O519" s="12" t="n">
        <v>180</v>
      </c>
      <c r="P519" s="12" t="n">
        <v>380</v>
      </c>
      <c r="Q519" s="12" t="n">
        <v>0</v>
      </c>
      <c r="R519" s="13">
        <f>IF(ISNUMBER(M519),ROUND(M519/(1-Settings!$B$2)/Settings!$B$3,0)*Settings!$B$3,"")</f>
        <v/>
      </c>
      <c r="S519" s="13">
        <f>IF(ISNUMBER(N519),ROUND(N519/(1-Settings!$B$2)/Settings!$B$3,0)*Settings!$B$3,"")</f>
        <v/>
      </c>
      <c r="T519" s="13">
        <f>IF(ISNUMBER(O519),ROUND(O519/(1-Settings!$B$2)/Settings!$B$3,0)*Settings!$B$3,"")</f>
        <v/>
      </c>
      <c r="U519" s="13">
        <f>IF(ISNUMBER(P519),ROUND(P519/(1-Settings!$B$2)/Settings!$B$3,0)*Settings!$B$3,"")</f>
        <v/>
      </c>
      <c r="V519" s="13">
        <f>IF(ISNUMBER(Q519),ROUND(Q519/(1-Settings!$B$2)/Settings!$B$3,0)*Settings!$B$3,"")</f>
        <v/>
      </c>
      <c r="W519" s="14" t="n">
        <v>1733</v>
      </c>
      <c r="X519" s="14" t="n">
        <v>2550</v>
      </c>
      <c r="Y519" s="11" t="inlineStr"/>
      <c r="Z519" s="11" t="inlineStr"/>
      <c r="AA519" s="8" t="inlineStr"/>
      <c r="AB519" s="8" t="inlineStr"/>
      <c r="AC519" s="11" t="inlineStr">
        <is>
          <t>MasterMilitaryOnBaseList 12.2.25 NS.xlsx</t>
        </is>
      </c>
      <c r="AD519" s="11" t="inlineStr">
        <is>
          <t>sponsorshipbrochure.pdf</t>
        </is>
      </c>
      <c r="AE519" s="15" t="inlineStr">
        <is>
          <t>Open in Box</t>
        </is>
      </c>
      <c r="AF519" s="15" t="inlineStr">
        <is>
          <t>Open in Box</t>
        </is>
      </c>
    </row>
    <row r="520">
      <c r="A520" s="11" t="inlineStr">
        <is>
          <t>FL-PATRICKA-006</t>
        </is>
      </c>
      <c r="B520" s="8" t="inlineStr">
        <is>
          <t>Patrick AFB</t>
        </is>
      </c>
      <c r="C520" s="11" t="inlineStr"/>
      <c r="D520" s="11" t="inlineStr">
        <is>
          <t>FL</t>
        </is>
      </c>
      <c r="E520" s="11" t="inlineStr">
        <is>
          <t>Orlando-Daytona Bch-Melbrn</t>
        </is>
      </c>
      <c r="F520" s="11" t="inlineStr">
        <is>
          <t>32925</t>
        </is>
      </c>
      <c r="G520" s="11" t="inlineStr">
        <is>
          <t>Air Force</t>
        </is>
      </c>
      <c r="H520" s="11" t="inlineStr">
        <is>
          <t>Print &amp; Publications</t>
        </is>
      </c>
      <c r="I520" s="8" t="inlineStr">
        <is>
          <t>Flyers</t>
        </is>
      </c>
      <c r="J520" s="11" t="inlineStr">
        <is>
          <t>8.5" x 11"</t>
        </is>
      </c>
      <c r="K520" s="8" t="inlineStr">
        <is>
          <t>Your flyers will be placed in/on approved facilities on the installation.</t>
        </is>
      </c>
      <c r="L520" s="11" t="n">
        <v>1</v>
      </c>
      <c r="M520" s="12" t="n">
        <v>45</v>
      </c>
      <c r="N520" s="12" t="n">
        <v>135</v>
      </c>
      <c r="O520" s="12" t="n">
        <v>270</v>
      </c>
      <c r="P520" s="12" t="n">
        <v>540</v>
      </c>
      <c r="Q520" s="12" t="n">
        <v>0</v>
      </c>
      <c r="R520" s="13">
        <f>IF(ISNUMBER(M520),ROUND(M520/(1-Settings!$B$2)/Settings!$B$3,0)*Settings!$B$3,"")</f>
        <v/>
      </c>
      <c r="S520" s="13">
        <f>IF(ISNUMBER(N520),ROUND(N520/(1-Settings!$B$2)/Settings!$B$3,0)*Settings!$B$3,"")</f>
        <v/>
      </c>
      <c r="T520" s="13">
        <f>IF(ISNUMBER(O520),ROUND(O520/(1-Settings!$B$2)/Settings!$B$3,0)*Settings!$B$3,"")</f>
        <v/>
      </c>
      <c r="U520" s="13">
        <f>IF(ISNUMBER(P520),ROUND(P520/(1-Settings!$B$2)/Settings!$B$3,0)*Settings!$B$3,"")</f>
        <v/>
      </c>
      <c r="V520" s="13">
        <f>IF(ISNUMBER(Q520),ROUND(Q520/(1-Settings!$B$2)/Settings!$B$3,0)*Settings!$B$3,"")</f>
        <v/>
      </c>
      <c r="W520" s="14" t="n">
        <v>1733</v>
      </c>
      <c r="X520" s="14" t="n">
        <v>2550</v>
      </c>
      <c r="Y520" s="11" t="inlineStr"/>
      <c r="Z520" s="11" t="inlineStr"/>
      <c r="AA520" s="8" t="inlineStr"/>
      <c r="AB520" s="8" t="inlineStr"/>
      <c r="AC520" s="11" t="inlineStr">
        <is>
          <t>MasterMilitaryOnBaseList 12.2.25 NS.xlsx</t>
        </is>
      </c>
      <c r="AD520" s="11" t="inlineStr">
        <is>
          <t>sponsorshipbrochure.pdf</t>
        </is>
      </c>
      <c r="AE520" s="15" t="inlineStr">
        <is>
          <t>Open in Box</t>
        </is>
      </c>
      <c r="AF520" s="15" t="inlineStr">
        <is>
          <t>Open in Box</t>
        </is>
      </c>
    </row>
    <row r="521">
      <c r="A521" s="11" t="inlineStr">
        <is>
          <t>FL-PATRICKA-011</t>
        </is>
      </c>
      <c r="B521" s="8" t="inlineStr">
        <is>
          <t>Patrick AFB</t>
        </is>
      </c>
      <c r="C521" s="11" t="inlineStr"/>
      <c r="D521" s="11" t="inlineStr">
        <is>
          <t>FL</t>
        </is>
      </c>
      <c r="E521" s="11" t="inlineStr">
        <is>
          <t>Orlando-Daytona Bch-Melbrn</t>
        </is>
      </c>
      <c r="F521" s="11" t="inlineStr"/>
      <c r="G521" s="11" t="inlineStr">
        <is>
          <t>Air Force</t>
        </is>
      </c>
      <c r="H521" s="11" t="inlineStr">
        <is>
          <t>Print &amp; Publications</t>
        </is>
      </c>
      <c r="I521" s="8" t="inlineStr">
        <is>
          <t>Golf Scorecard Ad</t>
        </is>
      </c>
      <c r="J521" s="11" t="inlineStr"/>
      <c r="K521" s="8" t="inlineStr">
        <is>
          <t>Your ad will appear on the golf course scorecard.</t>
        </is>
      </c>
      <c r="L521" s="11" t="n">
        <v>1</v>
      </c>
      <c r="M521" s="12" t="n">
        <v>130</v>
      </c>
      <c r="N521" s="12" t="n"/>
      <c r="O521" s="12" t="n"/>
      <c r="P521" s="12" t="n"/>
      <c r="Q521" s="12" t="n"/>
      <c r="R521" s="13">
        <f>IF(ISNUMBER(M521),ROUND(M521/(1-Settings!$B$2)/Settings!$B$3,0)*Settings!$B$3,"")</f>
        <v/>
      </c>
      <c r="S521" s="13">
        <f>IF(ISNUMBER(N521),ROUND(N521/(1-Settings!$B$2)/Settings!$B$3,0)*Settings!$B$3,"")</f>
        <v/>
      </c>
      <c r="T521" s="13">
        <f>IF(ISNUMBER(O521),ROUND(O521/(1-Settings!$B$2)/Settings!$B$3,0)*Settings!$B$3,"")</f>
        <v/>
      </c>
      <c r="U521" s="13">
        <f>IF(ISNUMBER(P521),ROUND(P521/(1-Settings!$B$2)/Settings!$B$3,0)*Settings!$B$3,"")</f>
        <v/>
      </c>
      <c r="V521" s="13">
        <f>IF(ISNUMBER(Q521),ROUND(Q521/(1-Settings!$B$2)/Settings!$B$3,0)*Settings!$B$3,"")</f>
        <v/>
      </c>
      <c r="W521" s="14" t="n">
        <v>1733</v>
      </c>
      <c r="X521" s="14" t="n">
        <v>2550</v>
      </c>
      <c r="Y521" s="11" t="inlineStr">
        <is>
          <t>2026</t>
        </is>
      </c>
      <c r="Z521" s="11" t="inlineStr">
        <is>
          <t>2026-06</t>
        </is>
      </c>
      <c r="AA521" s="8" t="inlineStr">
        <is>
          <t>Magazine printed quarterly</t>
        </is>
      </c>
      <c r="AB521" s="8" t="inlineStr"/>
      <c r="AC521" s="11" t="inlineStr">
        <is>
          <t>Military - National Publication Inventory Master_June 2026.xlsx</t>
        </is>
      </c>
      <c r="AD521" s="11" t="inlineStr">
        <is>
          <t>sponsorshipbrochure.pdf</t>
        </is>
      </c>
      <c r="AE521" s="15" t="inlineStr">
        <is>
          <t>Open in Box</t>
        </is>
      </c>
      <c r="AF521" s="15" t="inlineStr">
        <is>
          <t>Open in Box</t>
        </is>
      </c>
    </row>
    <row r="522">
      <c r="A522" s="11" t="inlineStr">
        <is>
          <t>FL-PATRICKA-007</t>
        </is>
      </c>
      <c r="B522" s="8" t="inlineStr">
        <is>
          <t>Patrick AFB</t>
        </is>
      </c>
      <c r="C522" s="11" t="inlineStr"/>
      <c r="D522" s="11" t="inlineStr">
        <is>
          <t>FL</t>
        </is>
      </c>
      <c r="E522" s="11" t="inlineStr">
        <is>
          <t>Orlando-Daytona Bch-Melbrn</t>
        </is>
      </c>
      <c r="F522" s="11" t="inlineStr">
        <is>
          <t>32925</t>
        </is>
      </c>
      <c r="G522" s="11" t="inlineStr">
        <is>
          <t>Air Force</t>
        </is>
      </c>
      <c r="H522" s="11" t="inlineStr">
        <is>
          <t>Print &amp; Publications</t>
        </is>
      </c>
      <c r="I522" s="8" t="inlineStr">
        <is>
          <t>Magazine Ad - Full Page</t>
        </is>
      </c>
      <c r="J522" s="11" t="inlineStr">
        <is>
          <t>7.5" x 10"</t>
        </is>
      </c>
      <c r="K522" s="8" t="inlineStr">
        <is>
          <t>Your ad will appear in the Fun Services quarterly magazine.</t>
        </is>
      </c>
      <c r="L522" s="11" t="n">
        <v>3</v>
      </c>
      <c r="M522" s="12" t="n"/>
      <c r="N522" s="12" t="n">
        <v>1000</v>
      </c>
      <c r="O522" s="12" t="n">
        <v>2000</v>
      </c>
      <c r="P522" s="12" t="n">
        <v>4000</v>
      </c>
      <c r="Q522" s="12" t="n">
        <v>0</v>
      </c>
      <c r="R522" s="13">
        <f>IF(ISNUMBER(M522),ROUND(M522/(1-Settings!$B$2)/Settings!$B$3,0)*Settings!$B$3,"")</f>
        <v/>
      </c>
      <c r="S522" s="13">
        <f>IF(ISNUMBER(N522),ROUND(N522/(1-Settings!$B$2)/Settings!$B$3,0)*Settings!$B$3,"")</f>
        <v/>
      </c>
      <c r="T522" s="13">
        <f>IF(ISNUMBER(O522),ROUND(O522/(1-Settings!$B$2)/Settings!$B$3,0)*Settings!$B$3,"")</f>
        <v/>
      </c>
      <c r="U522" s="13">
        <f>IF(ISNUMBER(P522),ROUND(P522/(1-Settings!$B$2)/Settings!$B$3,0)*Settings!$B$3,"")</f>
        <v/>
      </c>
      <c r="V522" s="13">
        <f>IF(ISNUMBER(Q522),ROUND(Q522/(1-Settings!$B$2)/Settings!$B$3,0)*Settings!$B$3,"")</f>
        <v/>
      </c>
      <c r="W522" s="14" t="n">
        <v>1733</v>
      </c>
      <c r="X522" s="14" t="n">
        <v>2550</v>
      </c>
      <c r="Y522" s="11" t="inlineStr"/>
      <c r="Z522" s="11" t="inlineStr"/>
      <c r="AA522" s="8" t="inlineStr">
        <is>
          <t>Inventory master 6/2026 lists Magazine Ad at $800 (1 mo)</t>
        </is>
      </c>
      <c r="AB522" s="8" t="inlineStr"/>
      <c r="AC522" s="11" t="inlineStr">
        <is>
          <t>MasterMilitaryOnBaseList 12.2.25 NS.xlsx</t>
        </is>
      </c>
      <c r="AD522" s="11" t="inlineStr">
        <is>
          <t>sponsorshipbrochure.pdf</t>
        </is>
      </c>
      <c r="AE522" s="15" t="inlineStr">
        <is>
          <t>Open in Box</t>
        </is>
      </c>
      <c r="AF522" s="15" t="inlineStr">
        <is>
          <t>Open in Box</t>
        </is>
      </c>
    </row>
    <row r="523">
      <c r="A523" s="11" t="inlineStr">
        <is>
          <t>FL-PATRICKA-008</t>
        </is>
      </c>
      <c r="B523" s="8" t="inlineStr">
        <is>
          <t>Patrick AFB</t>
        </is>
      </c>
      <c r="C523" s="11" t="inlineStr"/>
      <c r="D523" s="11" t="inlineStr">
        <is>
          <t>FL</t>
        </is>
      </c>
      <c r="E523" s="11" t="inlineStr">
        <is>
          <t>Orlando-Daytona Bch-Melbrn</t>
        </is>
      </c>
      <c r="F523" s="11" t="inlineStr">
        <is>
          <t>32925</t>
        </is>
      </c>
      <c r="G523" s="11" t="inlineStr">
        <is>
          <t>Air Force</t>
        </is>
      </c>
      <c r="H523" s="11" t="inlineStr">
        <is>
          <t>Print &amp; Publications</t>
        </is>
      </c>
      <c r="I523" s="8" t="inlineStr">
        <is>
          <t>Magazine Ad - Full Page</t>
        </is>
      </c>
      <c r="J523" s="11" t="inlineStr">
        <is>
          <t>4" x 5"</t>
        </is>
      </c>
      <c r="K523" s="8" t="inlineStr">
        <is>
          <t>Your ad will appear in the Fun Services quarterly magazine.</t>
        </is>
      </c>
      <c r="L523" s="11" t="n">
        <v>3</v>
      </c>
      <c r="M523" s="12" t="n"/>
      <c r="N523" s="12" t="n">
        <v>295</v>
      </c>
      <c r="O523" s="12" t="n">
        <v>590</v>
      </c>
      <c r="P523" s="12" t="n">
        <v>1180</v>
      </c>
      <c r="Q523" s="12" t="n">
        <v>0</v>
      </c>
      <c r="R523" s="13">
        <f>IF(ISNUMBER(M523),ROUND(M523/(1-Settings!$B$2)/Settings!$B$3,0)*Settings!$B$3,"")</f>
        <v/>
      </c>
      <c r="S523" s="13">
        <f>IF(ISNUMBER(N523),ROUND(N523/(1-Settings!$B$2)/Settings!$B$3,0)*Settings!$B$3,"")</f>
        <v/>
      </c>
      <c r="T523" s="13">
        <f>IF(ISNUMBER(O523),ROUND(O523/(1-Settings!$B$2)/Settings!$B$3,0)*Settings!$B$3,"")</f>
        <v/>
      </c>
      <c r="U523" s="13">
        <f>IF(ISNUMBER(P523),ROUND(P523/(1-Settings!$B$2)/Settings!$B$3,0)*Settings!$B$3,"")</f>
        <v/>
      </c>
      <c r="V523" s="13">
        <f>IF(ISNUMBER(Q523),ROUND(Q523/(1-Settings!$B$2)/Settings!$B$3,0)*Settings!$B$3,"")</f>
        <v/>
      </c>
      <c r="W523" s="14" t="n">
        <v>1733</v>
      </c>
      <c r="X523" s="14" t="n">
        <v>2550</v>
      </c>
      <c r="Y523" s="11" t="inlineStr"/>
      <c r="Z523" s="11" t="inlineStr"/>
      <c r="AA523" s="8" t="inlineStr">
        <is>
          <t>Inventory master 6/2026 lists Magazine Ad at $800 (1 mo)</t>
        </is>
      </c>
      <c r="AB523" s="8" t="inlineStr"/>
      <c r="AC523" s="11" t="inlineStr">
        <is>
          <t>MasterMilitaryOnBaseList 12.2.25 NS.xlsx</t>
        </is>
      </c>
      <c r="AD523" s="11" t="inlineStr">
        <is>
          <t>sponsorshipbrochure.pdf</t>
        </is>
      </c>
      <c r="AE523" s="15" t="inlineStr">
        <is>
          <t>Open in Box</t>
        </is>
      </c>
      <c r="AF523" s="15" t="inlineStr">
        <is>
          <t>Open in Box</t>
        </is>
      </c>
    </row>
    <row r="524">
      <c r="A524" s="11" t="inlineStr">
        <is>
          <t>FL-PATRICKA-009</t>
        </is>
      </c>
      <c r="B524" s="8" t="inlineStr">
        <is>
          <t>Patrick AFB</t>
        </is>
      </c>
      <c r="C524" s="11" t="inlineStr"/>
      <c r="D524" s="11" t="inlineStr">
        <is>
          <t>FL</t>
        </is>
      </c>
      <c r="E524" s="11" t="inlineStr">
        <is>
          <t>Orlando-Daytona Bch-Melbrn</t>
        </is>
      </c>
      <c r="F524" s="11" t="inlineStr">
        <is>
          <t>32925</t>
        </is>
      </c>
      <c r="G524" s="11" t="inlineStr">
        <is>
          <t>Air Force</t>
        </is>
      </c>
      <c r="H524" s="11" t="inlineStr">
        <is>
          <t>Print &amp; Publications</t>
        </is>
      </c>
      <c r="I524" s="8" t="inlineStr">
        <is>
          <t>Magazine Ad - Half Page</t>
        </is>
      </c>
      <c r="J524" s="11" t="inlineStr">
        <is>
          <t>7.5" x 5"</t>
        </is>
      </c>
      <c r="K524" s="8" t="inlineStr">
        <is>
          <t>Your ad will appear in the Fun Services quarterly magazine.</t>
        </is>
      </c>
      <c r="L524" s="11" t="n">
        <v>3</v>
      </c>
      <c r="M524" s="12" t="n"/>
      <c r="N524" s="12" t="n">
        <v>475</v>
      </c>
      <c r="O524" s="12" t="n">
        <v>950</v>
      </c>
      <c r="P524" s="12" t="n">
        <v>1900</v>
      </c>
      <c r="Q524" s="12" t="n">
        <v>0</v>
      </c>
      <c r="R524" s="13">
        <f>IF(ISNUMBER(M524),ROUND(M524/(1-Settings!$B$2)/Settings!$B$3,0)*Settings!$B$3,"")</f>
        <v/>
      </c>
      <c r="S524" s="13">
        <f>IF(ISNUMBER(N524),ROUND(N524/(1-Settings!$B$2)/Settings!$B$3,0)*Settings!$B$3,"")</f>
        <v/>
      </c>
      <c r="T524" s="13">
        <f>IF(ISNUMBER(O524),ROUND(O524/(1-Settings!$B$2)/Settings!$B$3,0)*Settings!$B$3,"")</f>
        <v/>
      </c>
      <c r="U524" s="13">
        <f>IF(ISNUMBER(P524),ROUND(P524/(1-Settings!$B$2)/Settings!$B$3,0)*Settings!$B$3,"")</f>
        <v/>
      </c>
      <c r="V524" s="13">
        <f>IF(ISNUMBER(Q524),ROUND(Q524/(1-Settings!$B$2)/Settings!$B$3,0)*Settings!$B$3,"")</f>
        <v/>
      </c>
      <c r="W524" s="14" t="n">
        <v>1733</v>
      </c>
      <c r="X524" s="14" t="n">
        <v>2550</v>
      </c>
      <c r="Y524" s="11" t="inlineStr"/>
      <c r="Z524" s="11" t="inlineStr"/>
      <c r="AA524" s="8" t="inlineStr">
        <is>
          <t>Inventory master 6/2026 lists Magazine Ad at $800 (1 mo)</t>
        </is>
      </c>
      <c r="AB524" s="8" t="inlineStr"/>
      <c r="AC524" s="11" t="inlineStr">
        <is>
          <t>MasterMilitaryOnBaseList 12.2.25 NS.xlsx</t>
        </is>
      </c>
      <c r="AD524" s="11" t="inlineStr">
        <is>
          <t>sponsorshipbrochure.pdf</t>
        </is>
      </c>
      <c r="AE524" s="15" t="inlineStr">
        <is>
          <t>Open in Box</t>
        </is>
      </c>
      <c r="AF524" s="15" t="inlineStr">
        <is>
          <t>Open in Box</t>
        </is>
      </c>
    </row>
    <row r="525">
      <c r="A525" s="11" t="inlineStr">
        <is>
          <t>FL-PATRICKA-002</t>
        </is>
      </c>
      <c r="B525" s="8" t="inlineStr">
        <is>
          <t>Patrick AFB</t>
        </is>
      </c>
      <c r="C525" s="11" t="inlineStr"/>
      <c r="D525" s="11" t="inlineStr">
        <is>
          <t>FL</t>
        </is>
      </c>
      <c r="E525" s="11" t="inlineStr">
        <is>
          <t>Orlando-Daytona Bch-Melbrn</t>
        </is>
      </c>
      <c r="F525" s="11" t="inlineStr">
        <is>
          <t>32925</t>
        </is>
      </c>
      <c r="G525" s="11" t="inlineStr">
        <is>
          <t>Air Force</t>
        </is>
      </c>
      <c r="H525" s="11" t="inlineStr">
        <is>
          <t>Standard Media</t>
        </is>
      </c>
      <c r="I525" s="8" t="inlineStr">
        <is>
          <t>Banners</t>
        </is>
      </c>
      <c r="J525" s="11" t="inlineStr">
        <is>
          <t>10' x 3'</t>
        </is>
      </c>
      <c r="K525" s="8" t="inlineStr">
        <is>
          <t>Your ad will appear in approved facilities on the installation.</t>
        </is>
      </c>
      <c r="L525" s="11" t="n">
        <v>1</v>
      </c>
      <c r="M525" s="12" t="n">
        <v>180</v>
      </c>
      <c r="N525" s="12" t="n">
        <v>540</v>
      </c>
      <c r="O525" s="12" t="n">
        <v>1080</v>
      </c>
      <c r="P525" s="12" t="n">
        <v>2160</v>
      </c>
      <c r="Q525" s="12" t="n">
        <v>200</v>
      </c>
      <c r="R525" s="13">
        <f>IF(ISNUMBER(M525),ROUND(M525/(1-Settings!$B$2)/Settings!$B$3,0)*Settings!$B$3,"")</f>
        <v/>
      </c>
      <c r="S525" s="13">
        <f>IF(ISNUMBER(N525),ROUND(N525/(1-Settings!$B$2)/Settings!$B$3,0)*Settings!$B$3,"")</f>
        <v/>
      </c>
      <c r="T525" s="13">
        <f>IF(ISNUMBER(O525),ROUND(O525/(1-Settings!$B$2)/Settings!$B$3,0)*Settings!$B$3,"")</f>
        <v/>
      </c>
      <c r="U525" s="13">
        <f>IF(ISNUMBER(P525),ROUND(P525/(1-Settings!$B$2)/Settings!$B$3,0)*Settings!$B$3,"")</f>
        <v/>
      </c>
      <c r="V525" s="13">
        <f>IF(ISNUMBER(Q525),ROUND(Q525/(1-Settings!$B$2)/Settings!$B$3,0)*Settings!$B$3,"")</f>
        <v/>
      </c>
      <c r="W525" s="14" t="n">
        <v>1733</v>
      </c>
      <c r="X525" s="14" t="n">
        <v>2550</v>
      </c>
      <c r="Y525" s="11" t="inlineStr"/>
      <c r="Z525" s="11" t="inlineStr"/>
      <c r="AA525" s="8" t="inlineStr"/>
      <c r="AB525" s="8" t="inlineStr"/>
      <c r="AC525" s="11" t="inlineStr">
        <is>
          <t>MasterMilitaryOnBaseList 12.2.25 NS.xlsx</t>
        </is>
      </c>
      <c r="AD525" s="11" t="inlineStr">
        <is>
          <t>sponsorshipbrochure.pdf</t>
        </is>
      </c>
      <c r="AE525" s="15" t="inlineStr">
        <is>
          <t>Open in Box</t>
        </is>
      </c>
      <c r="AF525" s="15" t="inlineStr">
        <is>
          <t>Open in Box</t>
        </is>
      </c>
    </row>
    <row r="526">
      <c r="A526" s="11" t="inlineStr">
        <is>
          <t>FL-PATRICKA-003</t>
        </is>
      </c>
      <c r="B526" s="8" t="inlineStr">
        <is>
          <t>Patrick AFB</t>
        </is>
      </c>
      <c r="C526" s="11" t="inlineStr"/>
      <c r="D526" s="11" t="inlineStr">
        <is>
          <t>FL</t>
        </is>
      </c>
      <c r="E526" s="11" t="inlineStr">
        <is>
          <t>Orlando-Daytona Bch-Melbrn</t>
        </is>
      </c>
      <c r="F526" s="11" t="inlineStr">
        <is>
          <t>32925</t>
        </is>
      </c>
      <c r="G526" s="11" t="inlineStr">
        <is>
          <t>Air Force</t>
        </is>
      </c>
      <c r="H526" s="11" t="inlineStr">
        <is>
          <t>Standard Media</t>
        </is>
      </c>
      <c r="I526" s="8" t="inlineStr">
        <is>
          <t>Golf Cards</t>
        </is>
      </c>
      <c r="J526" s="11" t="inlineStr">
        <is>
          <t>1" x 5"</t>
        </is>
      </c>
      <c r="K526" s="8" t="inlineStr">
        <is>
          <t>Your ad will be placed on the Manatee Cove Gold Course score cards.</t>
        </is>
      </c>
      <c r="L526" s="11" t="n">
        <v>1</v>
      </c>
      <c r="M526" s="12" t="n">
        <v>130</v>
      </c>
      <c r="N526" s="12" t="n">
        <v>390</v>
      </c>
      <c r="O526" s="12" t="n">
        <v>780</v>
      </c>
      <c r="P526" s="12" t="n">
        <v>1560</v>
      </c>
      <c r="Q526" s="12" t="n">
        <v>0</v>
      </c>
      <c r="R526" s="13">
        <f>IF(ISNUMBER(M526),ROUND(M526/(1-Settings!$B$2)/Settings!$B$3,0)*Settings!$B$3,"")</f>
        <v/>
      </c>
      <c r="S526" s="13">
        <f>IF(ISNUMBER(N526),ROUND(N526/(1-Settings!$B$2)/Settings!$B$3,0)*Settings!$B$3,"")</f>
        <v/>
      </c>
      <c r="T526" s="13">
        <f>IF(ISNUMBER(O526),ROUND(O526/(1-Settings!$B$2)/Settings!$B$3,0)*Settings!$B$3,"")</f>
        <v/>
      </c>
      <c r="U526" s="13">
        <f>IF(ISNUMBER(P526),ROUND(P526/(1-Settings!$B$2)/Settings!$B$3,0)*Settings!$B$3,"")</f>
        <v/>
      </c>
      <c r="V526" s="13">
        <f>IF(ISNUMBER(Q526),ROUND(Q526/(1-Settings!$B$2)/Settings!$B$3,0)*Settings!$B$3,"")</f>
        <v/>
      </c>
      <c r="W526" s="14" t="n">
        <v>1733</v>
      </c>
      <c r="X526" s="14" t="n">
        <v>2550</v>
      </c>
      <c r="Y526" s="11" t="inlineStr"/>
      <c r="Z526" s="11" t="inlineStr"/>
      <c r="AA526" s="8" t="inlineStr"/>
      <c r="AB526" s="8" t="inlineStr"/>
      <c r="AC526" s="11" t="inlineStr">
        <is>
          <t>MasterMilitaryOnBaseList 12.2.25 NS.xlsx</t>
        </is>
      </c>
      <c r="AD526" s="11" t="inlineStr">
        <is>
          <t>sponsorshipbrochure.pdf</t>
        </is>
      </c>
      <c r="AE526" s="15" t="inlineStr">
        <is>
          <t>Open in Box</t>
        </is>
      </c>
      <c r="AF526" s="15" t="inlineStr">
        <is>
          <t>Open in Box</t>
        </is>
      </c>
    </row>
    <row r="527">
      <c r="A527" s="11" t="inlineStr">
        <is>
          <t>FL-PATRICKA-004</t>
        </is>
      </c>
      <c r="B527" s="8" t="inlineStr">
        <is>
          <t>Patrick AFB</t>
        </is>
      </c>
      <c r="C527" s="11" t="inlineStr"/>
      <c r="D527" s="11" t="inlineStr">
        <is>
          <t>FL</t>
        </is>
      </c>
      <c r="E527" s="11" t="inlineStr">
        <is>
          <t>Orlando-Daytona Bch-Melbrn</t>
        </is>
      </c>
      <c r="F527" s="11" t="inlineStr">
        <is>
          <t>32925</t>
        </is>
      </c>
      <c r="G527" s="11" t="inlineStr">
        <is>
          <t>Air Force</t>
        </is>
      </c>
      <c r="H527" s="11" t="inlineStr">
        <is>
          <t>Standard Media</t>
        </is>
      </c>
      <c r="I527" s="8" t="inlineStr">
        <is>
          <t>Posters</t>
        </is>
      </c>
      <c r="J527" s="11" t="inlineStr">
        <is>
          <t>22" x 28"</t>
        </is>
      </c>
      <c r="K527" s="8" t="inlineStr">
        <is>
          <t>Your posters will be placed in/on approved facilities on the installation.</t>
        </is>
      </c>
      <c r="L527" s="11" t="n">
        <v>1</v>
      </c>
      <c r="M527" s="12" t="n">
        <v>80</v>
      </c>
      <c r="N527" s="12" t="n">
        <v>240</v>
      </c>
      <c r="O527" s="12" t="n">
        <v>480</v>
      </c>
      <c r="P527" s="12" t="n">
        <v>960</v>
      </c>
      <c r="Q527" s="12" t="n">
        <v>100</v>
      </c>
      <c r="R527" s="13">
        <f>IF(ISNUMBER(M527),ROUND(M527/(1-Settings!$B$2)/Settings!$B$3,0)*Settings!$B$3,"")</f>
        <v/>
      </c>
      <c r="S527" s="13">
        <f>IF(ISNUMBER(N527),ROUND(N527/(1-Settings!$B$2)/Settings!$B$3,0)*Settings!$B$3,"")</f>
        <v/>
      </c>
      <c r="T527" s="13">
        <f>IF(ISNUMBER(O527),ROUND(O527/(1-Settings!$B$2)/Settings!$B$3,0)*Settings!$B$3,"")</f>
        <v/>
      </c>
      <c r="U527" s="13">
        <f>IF(ISNUMBER(P527),ROUND(P527/(1-Settings!$B$2)/Settings!$B$3,0)*Settings!$B$3,"")</f>
        <v/>
      </c>
      <c r="V527" s="13">
        <f>IF(ISNUMBER(Q527),ROUND(Q527/(1-Settings!$B$2)/Settings!$B$3,0)*Settings!$B$3,"")</f>
        <v/>
      </c>
      <c r="W527" s="14" t="n">
        <v>1733</v>
      </c>
      <c r="X527" s="14" t="n">
        <v>2550</v>
      </c>
      <c r="Y527" s="11" t="inlineStr"/>
      <c r="Z527" s="11" t="inlineStr"/>
      <c r="AA527" s="8" t="inlineStr"/>
      <c r="AB527" s="8" t="inlineStr"/>
      <c r="AC527" s="11" t="inlineStr">
        <is>
          <t>MasterMilitaryOnBaseList 12.2.25 NS.xlsx</t>
        </is>
      </c>
      <c r="AD527" s="11" t="inlineStr">
        <is>
          <t>sponsorshipbrochure.pdf</t>
        </is>
      </c>
      <c r="AE527" s="15" t="inlineStr">
        <is>
          <t>Open in Box</t>
        </is>
      </c>
      <c r="AF527" s="15" t="inlineStr">
        <is>
          <t>Open in Box</t>
        </is>
      </c>
    </row>
    <row r="528">
      <c r="A528" s="11" t="inlineStr">
        <is>
          <t>FL-PATRICKA-010</t>
        </is>
      </c>
      <c r="B528" s="8" t="inlineStr">
        <is>
          <t>Patrick AFB</t>
        </is>
      </c>
      <c r="C528" s="11" t="inlineStr"/>
      <c r="D528" s="11" t="inlineStr">
        <is>
          <t>FL</t>
        </is>
      </c>
      <c r="E528" s="11" t="inlineStr">
        <is>
          <t>Orlando-Daytona Bch-Melbrn</t>
        </is>
      </c>
      <c r="F528" s="11" t="inlineStr"/>
      <c r="G528" s="11" t="inlineStr">
        <is>
          <t>Air Force</t>
        </is>
      </c>
      <c r="H528" s="11" t="inlineStr">
        <is>
          <t>Web &amp; Email</t>
        </is>
      </c>
      <c r="I528" s="8" t="inlineStr">
        <is>
          <t>Web Ad</t>
        </is>
      </c>
      <c r="J528" s="11" t="inlineStr"/>
      <c r="K528" s="8" t="inlineStr">
        <is>
          <t>Your ad will appear on the installation MWR / FSS website.</t>
        </is>
      </c>
      <c r="L528" s="11" t="n">
        <v>1</v>
      </c>
      <c r="M528" s="12" t="n">
        <v>70</v>
      </c>
      <c r="N528" s="12" t="n"/>
      <c r="O528" s="12" t="n"/>
      <c r="P528" s="12" t="n"/>
      <c r="Q528" s="12" t="n"/>
      <c r="R528" s="13">
        <f>IF(ISNUMBER(M528),ROUND(M528/(1-Settings!$B$2)/Settings!$B$3,0)*Settings!$B$3,"")</f>
        <v/>
      </c>
      <c r="S528" s="13">
        <f>IF(ISNUMBER(N528),ROUND(N528/(1-Settings!$B$2)/Settings!$B$3,0)*Settings!$B$3,"")</f>
        <v/>
      </c>
      <c r="T528" s="13">
        <f>IF(ISNUMBER(O528),ROUND(O528/(1-Settings!$B$2)/Settings!$B$3,0)*Settings!$B$3,"")</f>
        <v/>
      </c>
      <c r="U528" s="13">
        <f>IF(ISNUMBER(P528),ROUND(P528/(1-Settings!$B$2)/Settings!$B$3,0)*Settings!$B$3,"")</f>
        <v/>
      </c>
      <c r="V528" s="13">
        <f>IF(ISNUMBER(Q528),ROUND(Q528/(1-Settings!$B$2)/Settings!$B$3,0)*Settings!$B$3,"")</f>
        <v/>
      </c>
      <c r="W528" s="14" t="n">
        <v>1733</v>
      </c>
      <c r="X528" s="14" t="n">
        <v>2550</v>
      </c>
      <c r="Y528" s="11" t="inlineStr">
        <is>
          <t>2026</t>
        </is>
      </c>
      <c r="Z528" s="11" t="inlineStr">
        <is>
          <t>2026-06</t>
        </is>
      </c>
      <c r="AA528" s="8" t="inlineStr">
        <is>
          <t>Magazine printed quarterly</t>
        </is>
      </c>
      <c r="AB528" s="8" t="inlineStr"/>
      <c r="AC528" s="11" t="inlineStr">
        <is>
          <t>Military - National Publication Inventory Master_June 2026.xlsx</t>
        </is>
      </c>
      <c r="AD528" s="11" t="inlineStr">
        <is>
          <t>sponsorshipbrochure.pdf</t>
        </is>
      </c>
      <c r="AE528" s="15" t="inlineStr">
        <is>
          <t>Open in Box</t>
        </is>
      </c>
      <c r="AF528" s="15" t="inlineStr">
        <is>
          <t>Open in Box</t>
        </is>
      </c>
    </row>
    <row r="529">
      <c r="A529" s="11" t="inlineStr">
        <is>
          <t>FL-PENSACOL-001</t>
        </is>
      </c>
      <c r="B529" s="8" t="inlineStr">
        <is>
          <t>Pensacola NAS</t>
        </is>
      </c>
      <c r="C529" s="11" t="inlineStr"/>
      <c r="D529" s="11" t="inlineStr">
        <is>
          <t>FL</t>
        </is>
      </c>
      <c r="E529" s="11" t="inlineStr">
        <is>
          <t>Mobile-Pensacola (Ft Walton)</t>
        </is>
      </c>
      <c r="F529" s="11" t="inlineStr">
        <is>
          <t>32508</t>
        </is>
      </c>
      <c r="G529" s="11" t="inlineStr">
        <is>
          <t>Navy</t>
        </is>
      </c>
      <c r="H529" s="11" t="inlineStr">
        <is>
          <t>Digital</t>
        </is>
      </c>
      <c r="I529" s="8" t="inlineStr">
        <is>
          <t>Bowling Scoring Monitors</t>
        </is>
      </c>
      <c r="J529" s="11" t="inlineStr">
        <is>
          <t>1920pxW x 1080pxH</t>
        </is>
      </c>
      <c r="K529" s="8" t="inlineStr">
        <is>
          <t>Your ad will appear on 16 bowling scoring monitors</t>
        </is>
      </c>
      <c r="L529" s="11" t="n">
        <v>1</v>
      </c>
      <c r="M529" s="12" t="n">
        <v>300</v>
      </c>
      <c r="N529" s="12" t="n">
        <v>900</v>
      </c>
      <c r="O529" s="12" t="n">
        <v>1800</v>
      </c>
      <c r="P529" s="12" t="n">
        <v>3600</v>
      </c>
      <c r="Q529" s="12" t="n">
        <v>0</v>
      </c>
      <c r="R529" s="13">
        <f>IF(ISNUMBER(M529),ROUND(M529/(1-Settings!$B$2)/Settings!$B$3,0)*Settings!$B$3,"")</f>
        <v/>
      </c>
      <c r="S529" s="13">
        <f>IF(ISNUMBER(N529),ROUND(N529/(1-Settings!$B$2)/Settings!$B$3,0)*Settings!$B$3,"")</f>
        <v/>
      </c>
      <c r="T529" s="13">
        <f>IF(ISNUMBER(O529),ROUND(O529/(1-Settings!$B$2)/Settings!$B$3,0)*Settings!$B$3,"")</f>
        <v/>
      </c>
      <c r="U529" s="13">
        <f>IF(ISNUMBER(P529),ROUND(P529/(1-Settings!$B$2)/Settings!$B$3,0)*Settings!$B$3,"")</f>
        <v/>
      </c>
      <c r="V529" s="13">
        <f>IF(ISNUMBER(Q529),ROUND(Q529/(1-Settings!$B$2)/Settings!$B$3,0)*Settings!$B$3,"")</f>
        <v/>
      </c>
      <c r="W529" s="14" t="n">
        <v>8595</v>
      </c>
      <c r="X529" s="14" t="n">
        <v>6512</v>
      </c>
      <c r="Y529" s="11" t="inlineStr"/>
      <c r="Z529" s="11" t="inlineStr"/>
      <c r="AA529" s="8" t="inlineStr"/>
      <c r="AB529" s="8" t="inlineStr"/>
      <c r="AC529" s="11" t="inlineStr">
        <is>
          <t>MasterMilitaryOnBaseList 12.2.25 NS.xlsx</t>
        </is>
      </c>
      <c r="AD529" s="11" t="inlineStr">
        <is>
          <t>FY26-27 ADVERTISING ASSETS_NRSE.xlsx</t>
        </is>
      </c>
      <c r="AE529" s="15" t="inlineStr">
        <is>
          <t>Open in Box</t>
        </is>
      </c>
      <c r="AF529" s="15" t="inlineStr">
        <is>
          <t>Open in Box</t>
        </is>
      </c>
    </row>
    <row r="530">
      <c r="A530" s="11" t="inlineStr">
        <is>
          <t>FL-PENSACOL-002</t>
        </is>
      </c>
      <c r="B530" s="8" t="inlineStr">
        <is>
          <t>Pensacola NAS</t>
        </is>
      </c>
      <c r="C530" s="11" t="inlineStr"/>
      <c r="D530" s="11" t="inlineStr">
        <is>
          <t>FL</t>
        </is>
      </c>
      <c r="E530" s="11" t="inlineStr">
        <is>
          <t>Mobile-Pensacola (Ft Walton)</t>
        </is>
      </c>
      <c r="F530" s="11" t="inlineStr">
        <is>
          <t>32508</t>
        </is>
      </c>
      <c r="G530" s="11" t="inlineStr">
        <is>
          <t>Navy</t>
        </is>
      </c>
      <c r="H530" s="11" t="inlineStr">
        <is>
          <t>Digital</t>
        </is>
      </c>
      <c r="I530" s="8" t="inlineStr">
        <is>
          <t>Bowling Sweepers</t>
        </is>
      </c>
      <c r="J530" s="11" t="inlineStr">
        <is>
          <t>4'W x 3"H</t>
        </is>
      </c>
      <c r="K530" s="8" t="inlineStr">
        <is>
          <t>Your ad will appear on 16 bowling ping sweepers.</t>
        </is>
      </c>
      <c r="L530" s="11" t="n">
        <v>1</v>
      </c>
      <c r="M530" s="12" t="n">
        <v>200</v>
      </c>
      <c r="N530" s="12" t="n">
        <v>600</v>
      </c>
      <c r="O530" s="12" t="n">
        <v>1200</v>
      </c>
      <c r="P530" s="12" t="n">
        <v>2400</v>
      </c>
      <c r="Q530" s="12" t="n"/>
      <c r="R530" s="13">
        <f>IF(ISNUMBER(M530),ROUND(M530/(1-Settings!$B$2)/Settings!$B$3,0)*Settings!$B$3,"")</f>
        <v/>
      </c>
      <c r="S530" s="13">
        <f>IF(ISNUMBER(N530),ROUND(N530/(1-Settings!$B$2)/Settings!$B$3,0)*Settings!$B$3,"")</f>
        <v/>
      </c>
      <c r="T530" s="13">
        <f>IF(ISNUMBER(O530),ROUND(O530/(1-Settings!$B$2)/Settings!$B$3,0)*Settings!$B$3,"")</f>
        <v/>
      </c>
      <c r="U530" s="13">
        <f>IF(ISNUMBER(P530),ROUND(P530/(1-Settings!$B$2)/Settings!$B$3,0)*Settings!$B$3,"")</f>
        <v/>
      </c>
      <c r="V530" s="13">
        <f>IF(ISNUMBER(Q530),ROUND(Q530/(1-Settings!$B$2)/Settings!$B$3,0)*Settings!$B$3,"")</f>
        <v/>
      </c>
      <c r="W530" s="14" t="n">
        <v>8595</v>
      </c>
      <c r="X530" s="14" t="n">
        <v>6512</v>
      </c>
      <c r="Y530" s="11" t="inlineStr"/>
      <c r="Z530" s="11" t="inlineStr"/>
      <c r="AA530" s="8" t="inlineStr"/>
      <c r="AB530" s="8" t="inlineStr"/>
      <c r="AC530" s="11" t="inlineStr">
        <is>
          <t>MasterMilitaryOnBaseList 12.2.25 NS.xlsx</t>
        </is>
      </c>
      <c r="AD530" s="11" t="inlineStr">
        <is>
          <t>FY26-27 ADVERTISING ASSETS_NRSE.xlsx</t>
        </is>
      </c>
      <c r="AE530" s="15" t="inlineStr">
        <is>
          <t>Open in Box</t>
        </is>
      </c>
      <c r="AF530" s="15" t="inlineStr">
        <is>
          <t>Open in Box</t>
        </is>
      </c>
    </row>
    <row r="531">
      <c r="A531" s="11" t="inlineStr">
        <is>
          <t>FL-PENSACOL-003</t>
        </is>
      </c>
      <c r="B531" s="8" t="inlineStr">
        <is>
          <t>Pensacola NAS</t>
        </is>
      </c>
      <c r="C531" s="11" t="inlineStr"/>
      <c r="D531" s="11" t="inlineStr">
        <is>
          <t>FL</t>
        </is>
      </c>
      <c r="E531" s="11" t="inlineStr">
        <is>
          <t>Mobile-Pensacola (Ft Walton)</t>
        </is>
      </c>
      <c r="F531" s="11" t="inlineStr">
        <is>
          <t>32508</t>
        </is>
      </c>
      <c r="G531" s="11" t="inlineStr">
        <is>
          <t>Navy</t>
        </is>
      </c>
      <c r="H531" s="11" t="inlineStr">
        <is>
          <t>Digital</t>
        </is>
      </c>
      <c r="I531" s="8" t="inlineStr">
        <is>
          <t>Digital Monitor Network</t>
        </is>
      </c>
      <c r="J531" s="11" t="inlineStr">
        <is>
          <t>1920pxW x 1080pxH</t>
        </is>
      </c>
      <c r="K531" s="8" t="inlineStr">
        <is>
          <t>Your ad will appear on 15 digital monitors in approved installation facilities.</t>
        </is>
      </c>
      <c r="L531" s="11" t="n">
        <v>1</v>
      </c>
      <c r="M531" s="12" t="n">
        <v>1480</v>
      </c>
      <c r="N531" s="12" t="n">
        <v>4440</v>
      </c>
      <c r="O531" s="12" t="n">
        <v>11040</v>
      </c>
      <c r="P531" s="12" t="n">
        <v>22080</v>
      </c>
      <c r="Q531" s="12" t="n">
        <v>0</v>
      </c>
      <c r="R531" s="13">
        <f>IF(ISNUMBER(M531),ROUND(M531/(1-Settings!$B$2)/Settings!$B$3,0)*Settings!$B$3,"")</f>
        <v/>
      </c>
      <c r="S531" s="13">
        <f>IF(ISNUMBER(N531),ROUND(N531/(1-Settings!$B$2)/Settings!$B$3,0)*Settings!$B$3,"")</f>
        <v/>
      </c>
      <c r="T531" s="13">
        <f>IF(ISNUMBER(O531),ROUND(O531/(1-Settings!$B$2)/Settings!$B$3,0)*Settings!$B$3,"")</f>
        <v/>
      </c>
      <c r="U531" s="13">
        <f>IF(ISNUMBER(P531),ROUND(P531/(1-Settings!$B$2)/Settings!$B$3,0)*Settings!$B$3,"")</f>
        <v/>
      </c>
      <c r="V531" s="13">
        <f>IF(ISNUMBER(Q531),ROUND(Q531/(1-Settings!$B$2)/Settings!$B$3,0)*Settings!$B$3,"")</f>
        <v/>
      </c>
      <c r="W531" s="14" t="n">
        <v>8595</v>
      </c>
      <c r="X531" s="14" t="n">
        <v>6512</v>
      </c>
      <c r="Y531" s="11" t="inlineStr"/>
      <c r="Z531" s="11" t="inlineStr"/>
      <c r="AA531" s="8" t="inlineStr">
        <is>
          <t>Inventory master 6/2026 lists Digital Monitor Network at $1,429 (1 mo)</t>
        </is>
      </c>
      <c r="AB531" s="8" t="inlineStr"/>
      <c r="AC531" s="11" t="inlineStr">
        <is>
          <t>MasterMilitaryOnBaseList 12.2.25 NS.xlsx</t>
        </is>
      </c>
      <c r="AD531" s="11" t="inlineStr">
        <is>
          <t>FY26-27 ADVERTISING ASSETS_NRSE.xlsx</t>
        </is>
      </c>
      <c r="AE531" s="15" t="inlineStr">
        <is>
          <t>Open in Box</t>
        </is>
      </c>
      <c r="AF531" s="15" t="inlineStr">
        <is>
          <t>Open in Box</t>
        </is>
      </c>
    </row>
    <row r="532">
      <c r="A532" s="11" t="inlineStr">
        <is>
          <t>FL-PENSACOL-004</t>
        </is>
      </c>
      <c r="B532" s="8" t="inlineStr">
        <is>
          <t>Pensacola NAS</t>
        </is>
      </c>
      <c r="C532" s="11" t="inlineStr"/>
      <c r="D532" s="11" t="inlineStr">
        <is>
          <t>FL</t>
        </is>
      </c>
      <c r="E532" s="11" t="inlineStr">
        <is>
          <t>Mobile-Pensacola (Ft Walton)</t>
        </is>
      </c>
      <c r="F532" s="11" t="inlineStr">
        <is>
          <t>32508</t>
        </is>
      </c>
      <c r="G532" s="11" t="inlineStr">
        <is>
          <t>Navy</t>
        </is>
      </c>
      <c r="H532" s="11" t="inlineStr">
        <is>
          <t>Digital</t>
        </is>
      </c>
      <c r="I532" s="8" t="inlineStr">
        <is>
          <t>Theatre Commercial</t>
        </is>
      </c>
      <c r="J532" s="11" t="inlineStr">
        <is>
          <t>TBD</t>
        </is>
      </c>
      <c r="K532" s="8" t="inlineStr">
        <is>
          <t>Your ad will appear before a movie.</t>
        </is>
      </c>
      <c r="L532" s="11" t="n">
        <v>1</v>
      </c>
      <c r="M532" s="12" t="n">
        <v>500</v>
      </c>
      <c r="N532" s="12" t="n">
        <v>1500</v>
      </c>
      <c r="O532" s="12" t="n">
        <v>3000</v>
      </c>
      <c r="P532" s="12" t="n">
        <v>6000</v>
      </c>
      <c r="Q532" s="12" t="n">
        <v>0</v>
      </c>
      <c r="R532" s="13">
        <f>IF(ISNUMBER(M532),ROUND(M532/(1-Settings!$B$2)/Settings!$B$3,0)*Settings!$B$3,"")</f>
        <v/>
      </c>
      <c r="S532" s="13">
        <f>IF(ISNUMBER(N532),ROUND(N532/(1-Settings!$B$2)/Settings!$B$3,0)*Settings!$B$3,"")</f>
        <v/>
      </c>
      <c r="T532" s="13">
        <f>IF(ISNUMBER(O532),ROUND(O532/(1-Settings!$B$2)/Settings!$B$3,0)*Settings!$B$3,"")</f>
        <v/>
      </c>
      <c r="U532" s="13">
        <f>IF(ISNUMBER(P532),ROUND(P532/(1-Settings!$B$2)/Settings!$B$3,0)*Settings!$B$3,"")</f>
        <v/>
      </c>
      <c r="V532" s="13">
        <f>IF(ISNUMBER(Q532),ROUND(Q532/(1-Settings!$B$2)/Settings!$B$3,0)*Settings!$B$3,"")</f>
        <v/>
      </c>
      <c r="W532" s="14" t="n">
        <v>8595</v>
      </c>
      <c r="X532" s="14" t="n">
        <v>6512</v>
      </c>
      <c r="Y532" s="11" t="inlineStr"/>
      <c r="Z532" s="11" t="inlineStr"/>
      <c r="AA532" s="8" t="inlineStr">
        <is>
          <t>Inventory master 6/2026 lists Movie Theater Ad at $900 (1 mo)</t>
        </is>
      </c>
      <c r="AB532" s="8" t="inlineStr"/>
      <c r="AC532" s="11" t="inlineStr">
        <is>
          <t>MasterMilitaryOnBaseList 12.2.25 NS.xlsx</t>
        </is>
      </c>
      <c r="AD532" s="11" t="inlineStr">
        <is>
          <t>FY26-27 ADVERTISING ASSETS_NRSE.xlsx</t>
        </is>
      </c>
      <c r="AE532" s="15" t="inlineStr">
        <is>
          <t>Open in Box</t>
        </is>
      </c>
      <c r="AF532" s="15" t="inlineStr">
        <is>
          <t>Open in Box</t>
        </is>
      </c>
    </row>
    <row r="533">
      <c r="A533" s="11" t="inlineStr">
        <is>
          <t>FL-PENSACOL-005</t>
        </is>
      </c>
      <c r="B533" s="8" t="inlineStr">
        <is>
          <t>Pensacola NAS</t>
        </is>
      </c>
      <c r="C533" s="11" t="inlineStr"/>
      <c r="D533" s="11" t="inlineStr">
        <is>
          <t>FL</t>
        </is>
      </c>
      <c r="E533" s="11" t="inlineStr">
        <is>
          <t>Mobile-Pensacola (Ft Walton)</t>
        </is>
      </c>
      <c r="F533" s="11" t="inlineStr">
        <is>
          <t>32508</t>
        </is>
      </c>
      <c r="G533" s="11" t="inlineStr">
        <is>
          <t>Navy</t>
        </is>
      </c>
      <c r="H533" s="11" t="inlineStr">
        <is>
          <t>Digital</t>
        </is>
      </c>
      <c r="I533" s="8" t="inlineStr">
        <is>
          <t>Theatre Static</t>
        </is>
      </c>
      <c r="J533" s="11" t="inlineStr">
        <is>
          <t>TBD</t>
        </is>
      </c>
      <c r="K533" s="8" t="inlineStr">
        <is>
          <t>Your ad will appear before a movie.</t>
        </is>
      </c>
      <c r="L533" s="11" t="n">
        <v>1</v>
      </c>
      <c r="M533" s="12" t="n">
        <v>350</v>
      </c>
      <c r="N533" s="12" t="n">
        <v>1050</v>
      </c>
      <c r="O533" s="12" t="n">
        <v>2100</v>
      </c>
      <c r="P533" s="12" t="n">
        <v>4200</v>
      </c>
      <c r="Q533" s="12" t="n">
        <v>0</v>
      </c>
      <c r="R533" s="13">
        <f>IF(ISNUMBER(M533),ROUND(M533/(1-Settings!$B$2)/Settings!$B$3,0)*Settings!$B$3,"")</f>
        <v/>
      </c>
      <c r="S533" s="13">
        <f>IF(ISNUMBER(N533),ROUND(N533/(1-Settings!$B$2)/Settings!$B$3,0)*Settings!$B$3,"")</f>
        <v/>
      </c>
      <c r="T533" s="13">
        <f>IF(ISNUMBER(O533),ROUND(O533/(1-Settings!$B$2)/Settings!$B$3,0)*Settings!$B$3,"")</f>
        <v/>
      </c>
      <c r="U533" s="13">
        <f>IF(ISNUMBER(P533),ROUND(P533/(1-Settings!$B$2)/Settings!$B$3,0)*Settings!$B$3,"")</f>
        <v/>
      </c>
      <c r="V533" s="13">
        <f>IF(ISNUMBER(Q533),ROUND(Q533/(1-Settings!$B$2)/Settings!$B$3,0)*Settings!$B$3,"")</f>
        <v/>
      </c>
      <c r="W533" s="14" t="n">
        <v>8595</v>
      </c>
      <c r="X533" s="14" t="n">
        <v>6512</v>
      </c>
      <c r="Y533" s="11" t="inlineStr"/>
      <c r="Z533" s="11" t="inlineStr"/>
      <c r="AA533" s="8" t="inlineStr">
        <is>
          <t>Inventory master 6/2026 lists Movie Theater Ad at $900 (1 mo)</t>
        </is>
      </c>
      <c r="AB533" s="8" t="inlineStr"/>
      <c r="AC533" s="11" t="inlineStr">
        <is>
          <t>MasterMilitaryOnBaseList 12.2.25 NS.xlsx</t>
        </is>
      </c>
      <c r="AD533" s="11" t="inlineStr">
        <is>
          <t>FY26-27 ADVERTISING ASSETS_NRSE.xlsx</t>
        </is>
      </c>
      <c r="AE533" s="15" t="inlineStr">
        <is>
          <t>Open in Box</t>
        </is>
      </c>
      <c r="AF533" s="15" t="inlineStr">
        <is>
          <t>Open in Box</t>
        </is>
      </c>
    </row>
    <row r="534">
      <c r="A534" s="11" t="inlineStr">
        <is>
          <t>FL-PENSACOL-011</t>
        </is>
      </c>
      <c r="B534" s="8" t="inlineStr">
        <is>
          <t>Pensacola NAS</t>
        </is>
      </c>
      <c r="C534" s="11" t="inlineStr"/>
      <c r="D534" s="11" t="inlineStr">
        <is>
          <t>FL</t>
        </is>
      </c>
      <c r="E534" s="11" t="inlineStr">
        <is>
          <t>Mobile-Pensacola (Ft Walton)</t>
        </is>
      </c>
      <c r="F534" s="11" t="inlineStr">
        <is>
          <t>32508</t>
        </is>
      </c>
      <c r="G534" s="11" t="inlineStr">
        <is>
          <t>Navy</t>
        </is>
      </c>
      <c r="H534" s="11" t="inlineStr">
        <is>
          <t>Large Format</t>
        </is>
      </c>
      <c r="I534" s="8" t="inlineStr">
        <is>
          <t>Counter Wrap</t>
        </is>
      </c>
      <c r="J534" s="11" t="inlineStr">
        <is>
          <t>Varies</t>
        </is>
      </c>
      <c r="K534" s="8" t="inlineStr">
        <is>
          <t>Your ad will appear at an approved installation facility.</t>
        </is>
      </c>
      <c r="L534" s="11" t="n">
        <v>1</v>
      </c>
      <c r="M534" s="12" t="n">
        <v>750</v>
      </c>
      <c r="N534" s="12" t="n">
        <v>2250</v>
      </c>
      <c r="O534" s="12" t="n">
        <v>4500</v>
      </c>
      <c r="P534" s="12" t="n">
        <v>9000</v>
      </c>
      <c r="Q534" s="12" t="n"/>
      <c r="R534" s="13">
        <f>IF(ISNUMBER(M534),ROUND(M534/(1-Settings!$B$2)/Settings!$B$3,0)*Settings!$B$3,"")</f>
        <v/>
      </c>
      <c r="S534" s="13">
        <f>IF(ISNUMBER(N534),ROUND(N534/(1-Settings!$B$2)/Settings!$B$3,0)*Settings!$B$3,"")</f>
        <v/>
      </c>
      <c r="T534" s="13">
        <f>IF(ISNUMBER(O534),ROUND(O534/(1-Settings!$B$2)/Settings!$B$3,0)*Settings!$B$3,"")</f>
        <v/>
      </c>
      <c r="U534" s="13">
        <f>IF(ISNUMBER(P534),ROUND(P534/(1-Settings!$B$2)/Settings!$B$3,0)*Settings!$B$3,"")</f>
        <v/>
      </c>
      <c r="V534" s="13">
        <f>IF(ISNUMBER(Q534),ROUND(Q534/(1-Settings!$B$2)/Settings!$B$3,0)*Settings!$B$3,"")</f>
        <v/>
      </c>
      <c r="W534" s="14" t="n">
        <v>8595</v>
      </c>
      <c r="X534" s="14" t="n">
        <v>6512</v>
      </c>
      <c r="Y534" s="11" t="inlineStr"/>
      <c r="Z534" s="11" t="inlineStr"/>
      <c r="AA534" s="8" t="inlineStr"/>
      <c r="AB534" s="8" t="inlineStr"/>
      <c r="AC534" s="11" t="inlineStr">
        <is>
          <t>MasterMilitaryOnBaseList 12.2.25 NS.xlsx</t>
        </is>
      </c>
      <c r="AD534" s="11" t="inlineStr">
        <is>
          <t>FY26-27 ADVERTISING ASSETS_NRSE.xlsx</t>
        </is>
      </c>
      <c r="AE534" s="15" t="inlineStr">
        <is>
          <t>Open in Box</t>
        </is>
      </c>
      <c r="AF534" s="15" t="inlineStr">
        <is>
          <t>Open in Box</t>
        </is>
      </c>
    </row>
    <row r="535">
      <c r="A535" s="11" t="inlineStr">
        <is>
          <t>FL-PENSACOL-012</t>
        </is>
      </c>
      <c r="B535" s="8" t="inlineStr">
        <is>
          <t>Pensacola NAS</t>
        </is>
      </c>
      <c r="C535" s="11" t="inlineStr"/>
      <c r="D535" s="11" t="inlineStr">
        <is>
          <t>FL</t>
        </is>
      </c>
      <c r="E535" s="11" t="inlineStr">
        <is>
          <t>Mobile-Pensacola (Ft Walton)</t>
        </is>
      </c>
      <c r="F535" s="11" t="inlineStr">
        <is>
          <t>32508</t>
        </is>
      </c>
      <c r="G535" s="11" t="inlineStr">
        <is>
          <t>Navy</t>
        </is>
      </c>
      <c r="H535" s="11" t="inlineStr">
        <is>
          <t>Large Format</t>
        </is>
      </c>
      <c r="I535" s="8" t="inlineStr">
        <is>
          <t>Wall / Windor Cling</t>
        </is>
      </c>
      <c r="J535" s="11" t="inlineStr">
        <is>
          <t>Varies</t>
        </is>
      </c>
      <c r="K535" s="8" t="inlineStr">
        <is>
          <t>Your ad will appear at an approved installation facility.</t>
        </is>
      </c>
      <c r="L535" s="11" t="n">
        <v>1</v>
      </c>
      <c r="M535" s="12" t="n">
        <v>400</v>
      </c>
      <c r="N535" s="12" t="n">
        <v>1200</v>
      </c>
      <c r="O535" s="12" t="n">
        <v>2400</v>
      </c>
      <c r="P535" s="12" t="n">
        <v>4800</v>
      </c>
      <c r="Q535" s="12" t="n"/>
      <c r="R535" s="13">
        <f>IF(ISNUMBER(M535),ROUND(M535/(1-Settings!$B$2)/Settings!$B$3,0)*Settings!$B$3,"")</f>
        <v/>
      </c>
      <c r="S535" s="13">
        <f>IF(ISNUMBER(N535),ROUND(N535/(1-Settings!$B$2)/Settings!$B$3,0)*Settings!$B$3,"")</f>
        <v/>
      </c>
      <c r="T535" s="13">
        <f>IF(ISNUMBER(O535),ROUND(O535/(1-Settings!$B$2)/Settings!$B$3,0)*Settings!$B$3,"")</f>
        <v/>
      </c>
      <c r="U535" s="13">
        <f>IF(ISNUMBER(P535),ROUND(P535/(1-Settings!$B$2)/Settings!$B$3,0)*Settings!$B$3,"")</f>
        <v/>
      </c>
      <c r="V535" s="13">
        <f>IF(ISNUMBER(Q535),ROUND(Q535/(1-Settings!$B$2)/Settings!$B$3,0)*Settings!$B$3,"")</f>
        <v/>
      </c>
      <c r="W535" s="14" t="n">
        <v>8595</v>
      </c>
      <c r="X535" s="14" t="n">
        <v>6512</v>
      </c>
      <c r="Y535" s="11" t="inlineStr"/>
      <c r="Z535" s="11" t="inlineStr"/>
      <c r="AA535" s="8" t="inlineStr"/>
      <c r="AB535" s="8" t="inlineStr"/>
      <c r="AC535" s="11" t="inlineStr">
        <is>
          <t>MasterMilitaryOnBaseList 12.2.25 NS.xlsx</t>
        </is>
      </c>
      <c r="AD535" s="11" t="inlineStr">
        <is>
          <t>FY26-27 ADVERTISING ASSETS_NRSE.xlsx</t>
        </is>
      </c>
      <c r="AE535" s="15" t="inlineStr">
        <is>
          <t>Open in Box</t>
        </is>
      </c>
      <c r="AF535" s="15" t="inlineStr">
        <is>
          <t>Open in Box</t>
        </is>
      </c>
    </row>
    <row r="536">
      <c r="A536" s="11" t="inlineStr">
        <is>
          <t>FL-PENSACOL-013</t>
        </is>
      </c>
      <c r="B536" s="8" t="inlineStr">
        <is>
          <t>Pensacola NAS</t>
        </is>
      </c>
      <c r="C536" s="11" t="inlineStr"/>
      <c r="D536" s="11" t="inlineStr">
        <is>
          <t>FL</t>
        </is>
      </c>
      <c r="E536" s="11" t="inlineStr">
        <is>
          <t>Mobile-Pensacola (Ft Walton)</t>
        </is>
      </c>
      <c r="F536" s="11" t="inlineStr">
        <is>
          <t>32508</t>
        </is>
      </c>
      <c r="G536" s="11" t="inlineStr">
        <is>
          <t>Navy</t>
        </is>
      </c>
      <c r="H536" s="11" t="inlineStr">
        <is>
          <t>Print &amp; Publications</t>
        </is>
      </c>
      <c r="I536" s="8" t="inlineStr">
        <is>
          <t>Brochures / Flyers</t>
        </is>
      </c>
      <c r="J536" s="11" t="inlineStr">
        <is>
          <t>8.5"W x 11"H</t>
        </is>
      </c>
      <c r="K536" s="8" t="inlineStr">
        <is>
          <t>Your ad will appear at 7 approved installation facilities.</t>
        </is>
      </c>
      <c r="L536" s="11" t="n">
        <v>1</v>
      </c>
      <c r="M536" s="12" t="n">
        <v>394</v>
      </c>
      <c r="N536" s="12" t="n">
        <v>1182</v>
      </c>
      <c r="O536" s="12" t="n">
        <v>2364</v>
      </c>
      <c r="P536" s="12" t="n">
        <v>4728</v>
      </c>
      <c r="Q536" s="12" t="n"/>
      <c r="R536" s="13">
        <f>IF(ISNUMBER(M536),ROUND(M536/(1-Settings!$B$2)/Settings!$B$3,0)*Settings!$B$3,"")</f>
        <v/>
      </c>
      <c r="S536" s="13">
        <f>IF(ISNUMBER(N536),ROUND(N536/(1-Settings!$B$2)/Settings!$B$3,0)*Settings!$B$3,"")</f>
        <v/>
      </c>
      <c r="T536" s="13">
        <f>IF(ISNUMBER(O536),ROUND(O536/(1-Settings!$B$2)/Settings!$B$3,0)*Settings!$B$3,"")</f>
        <v/>
      </c>
      <c r="U536" s="13">
        <f>IF(ISNUMBER(P536),ROUND(P536/(1-Settings!$B$2)/Settings!$B$3,0)*Settings!$B$3,"")</f>
        <v/>
      </c>
      <c r="V536" s="13">
        <f>IF(ISNUMBER(Q536),ROUND(Q536/(1-Settings!$B$2)/Settings!$B$3,0)*Settings!$B$3,"")</f>
        <v/>
      </c>
      <c r="W536" s="14" t="n">
        <v>8595</v>
      </c>
      <c r="X536" s="14" t="n">
        <v>6512</v>
      </c>
      <c r="Y536" s="11" t="inlineStr"/>
      <c r="Z536" s="11" t="inlineStr"/>
      <c r="AA536" s="8" t="inlineStr"/>
      <c r="AB536" s="8" t="inlineStr"/>
      <c r="AC536" s="11" t="inlineStr">
        <is>
          <t>MasterMilitaryOnBaseList 12.2.25 NS.xlsx</t>
        </is>
      </c>
      <c r="AD536" s="11" t="inlineStr">
        <is>
          <t>FY26-27 ADVERTISING ASSETS_NRSE.xlsx</t>
        </is>
      </c>
      <c r="AE536" s="15" t="inlineStr">
        <is>
          <t>Open in Box</t>
        </is>
      </c>
      <c r="AF536" s="15" t="inlineStr">
        <is>
          <t>Open in Box</t>
        </is>
      </c>
    </row>
    <row r="537">
      <c r="A537" s="11" t="inlineStr">
        <is>
          <t>FL-PENSACOL-006</t>
        </is>
      </c>
      <c r="B537" s="8" t="inlineStr">
        <is>
          <t>Pensacola NAS</t>
        </is>
      </c>
      <c r="C537" s="11" t="inlineStr"/>
      <c r="D537" s="11" t="inlineStr">
        <is>
          <t>FL</t>
        </is>
      </c>
      <c r="E537" s="11" t="inlineStr">
        <is>
          <t>Mobile-Pensacola (Ft Walton)</t>
        </is>
      </c>
      <c r="F537" s="11" t="inlineStr">
        <is>
          <t>32508</t>
        </is>
      </c>
      <c r="G537" s="11" t="inlineStr">
        <is>
          <t>Navy</t>
        </is>
      </c>
      <c r="H537" s="11" t="inlineStr">
        <is>
          <t>Standard Media</t>
        </is>
      </c>
      <c r="I537" s="8" t="inlineStr">
        <is>
          <t>Banner</t>
        </is>
      </c>
      <c r="J537" s="11" t="inlineStr">
        <is>
          <t>8'W x 4'H</t>
        </is>
      </c>
      <c r="K537" s="8" t="inlineStr">
        <is>
          <t>Your ad will appear at an approved installation facility.</t>
        </is>
      </c>
      <c r="L537" s="11" t="n">
        <v>1</v>
      </c>
      <c r="M537" s="12" t="n">
        <v>650</v>
      </c>
      <c r="N537" s="12" t="n">
        <v>1950</v>
      </c>
      <c r="O537" s="12" t="n">
        <v>3900</v>
      </c>
      <c r="P537" s="12" t="n">
        <v>7800</v>
      </c>
      <c r="Q537" s="12" t="n">
        <v>250</v>
      </c>
      <c r="R537" s="13">
        <f>IF(ISNUMBER(M537),ROUND(M537/(1-Settings!$B$2)/Settings!$B$3,0)*Settings!$B$3,"")</f>
        <v/>
      </c>
      <c r="S537" s="13">
        <f>IF(ISNUMBER(N537),ROUND(N537/(1-Settings!$B$2)/Settings!$B$3,0)*Settings!$B$3,"")</f>
        <v/>
      </c>
      <c r="T537" s="13">
        <f>IF(ISNUMBER(O537),ROUND(O537/(1-Settings!$B$2)/Settings!$B$3,0)*Settings!$B$3,"")</f>
        <v/>
      </c>
      <c r="U537" s="13">
        <f>IF(ISNUMBER(P537),ROUND(P537/(1-Settings!$B$2)/Settings!$B$3,0)*Settings!$B$3,"")</f>
        <v/>
      </c>
      <c r="V537" s="13">
        <f>IF(ISNUMBER(Q537),ROUND(Q537/(1-Settings!$B$2)/Settings!$B$3,0)*Settings!$B$3,"")</f>
        <v/>
      </c>
      <c r="W537" s="14" t="n">
        <v>8595</v>
      </c>
      <c r="X537" s="14" t="n">
        <v>6512</v>
      </c>
      <c r="Y537" s="11" t="inlineStr"/>
      <c r="Z537" s="11" t="inlineStr"/>
      <c r="AA537" s="8" t="inlineStr"/>
      <c r="AB537" s="8" t="inlineStr"/>
      <c r="AC537" s="11" t="inlineStr">
        <is>
          <t>MasterMilitaryOnBaseList 12.2.25 NS.xlsx</t>
        </is>
      </c>
      <c r="AD537" s="11" t="inlineStr">
        <is>
          <t>FY26-27 ADVERTISING ASSETS_NRSE.xlsx</t>
        </is>
      </c>
      <c r="AE537" s="15" t="inlineStr">
        <is>
          <t>Open in Box</t>
        </is>
      </c>
      <c r="AF537" s="15" t="inlineStr">
        <is>
          <t>Open in Box</t>
        </is>
      </c>
    </row>
    <row r="538">
      <c r="A538" s="11" t="inlineStr">
        <is>
          <t>FL-PENSACOL-007</t>
        </is>
      </c>
      <c r="B538" s="8" t="inlineStr">
        <is>
          <t>Pensacola NAS</t>
        </is>
      </c>
      <c r="C538" s="11" t="inlineStr"/>
      <c r="D538" s="11" t="inlineStr">
        <is>
          <t>FL</t>
        </is>
      </c>
      <c r="E538" s="11" t="inlineStr">
        <is>
          <t>Mobile-Pensacola (Ft Walton)</t>
        </is>
      </c>
      <c r="F538" s="11" t="inlineStr">
        <is>
          <t>32508</t>
        </is>
      </c>
      <c r="G538" s="11" t="inlineStr">
        <is>
          <t>Navy</t>
        </is>
      </c>
      <c r="H538" s="11" t="inlineStr">
        <is>
          <t>Standard Media</t>
        </is>
      </c>
      <c r="I538" s="8" t="inlineStr">
        <is>
          <t>Illuminated Poster</t>
        </is>
      </c>
      <c r="J538" s="11" t="inlineStr">
        <is>
          <t>Varies</t>
        </is>
      </c>
      <c r="K538" s="8" t="inlineStr">
        <is>
          <t>Your ad will appear at an approved installation facility.</t>
        </is>
      </c>
      <c r="L538" s="11" t="n">
        <v>1</v>
      </c>
      <c r="M538" s="12" t="n">
        <v>750</v>
      </c>
      <c r="N538" s="12" t="n">
        <v>2250</v>
      </c>
      <c r="O538" s="12" t="n">
        <v>4500</v>
      </c>
      <c r="P538" s="12" t="n">
        <v>9000</v>
      </c>
      <c r="Q538" s="12" t="n"/>
      <c r="R538" s="13">
        <f>IF(ISNUMBER(M538),ROUND(M538/(1-Settings!$B$2)/Settings!$B$3,0)*Settings!$B$3,"")</f>
        <v/>
      </c>
      <c r="S538" s="13">
        <f>IF(ISNUMBER(N538),ROUND(N538/(1-Settings!$B$2)/Settings!$B$3,0)*Settings!$B$3,"")</f>
        <v/>
      </c>
      <c r="T538" s="13">
        <f>IF(ISNUMBER(O538),ROUND(O538/(1-Settings!$B$2)/Settings!$B$3,0)*Settings!$B$3,"")</f>
        <v/>
      </c>
      <c r="U538" s="13">
        <f>IF(ISNUMBER(P538),ROUND(P538/(1-Settings!$B$2)/Settings!$B$3,0)*Settings!$B$3,"")</f>
        <v/>
      </c>
      <c r="V538" s="13">
        <f>IF(ISNUMBER(Q538),ROUND(Q538/(1-Settings!$B$2)/Settings!$B$3,0)*Settings!$B$3,"")</f>
        <v/>
      </c>
      <c r="W538" s="14" t="n">
        <v>8595</v>
      </c>
      <c r="X538" s="14" t="n">
        <v>6512</v>
      </c>
      <c r="Y538" s="11" t="inlineStr"/>
      <c r="Z538" s="11" t="inlineStr"/>
      <c r="AA538" s="8" t="inlineStr"/>
      <c r="AB538" s="8" t="inlineStr"/>
      <c r="AC538" s="11" t="inlineStr">
        <is>
          <t>MasterMilitaryOnBaseList 12.2.25 NS.xlsx</t>
        </is>
      </c>
      <c r="AD538" s="11" t="inlineStr">
        <is>
          <t>FY26-27 ADVERTISING ASSETS_NRSE.xlsx</t>
        </is>
      </c>
      <c r="AE538" s="15" t="inlineStr">
        <is>
          <t>Open in Box</t>
        </is>
      </c>
      <c r="AF538" s="15" t="inlineStr">
        <is>
          <t>Open in Box</t>
        </is>
      </c>
    </row>
    <row r="539">
      <c r="A539" s="11" t="inlineStr">
        <is>
          <t>FL-PENSACOL-008</t>
        </is>
      </c>
      <c r="B539" s="8" t="inlineStr">
        <is>
          <t>Pensacola NAS</t>
        </is>
      </c>
      <c r="C539" s="11" t="inlineStr"/>
      <c r="D539" s="11" t="inlineStr">
        <is>
          <t>FL</t>
        </is>
      </c>
      <c r="E539" s="11" t="inlineStr">
        <is>
          <t>Mobile-Pensacola (Ft Walton)</t>
        </is>
      </c>
      <c r="F539" s="11" t="inlineStr">
        <is>
          <t>32508</t>
        </is>
      </c>
      <c r="G539" s="11" t="inlineStr">
        <is>
          <t>Navy</t>
        </is>
      </c>
      <c r="H539" s="11" t="inlineStr">
        <is>
          <t>Standard Media</t>
        </is>
      </c>
      <c r="I539" s="8" t="inlineStr">
        <is>
          <t>Mouse Pads</t>
        </is>
      </c>
      <c r="J539" s="11" t="inlineStr">
        <is>
          <t>Varies</t>
        </is>
      </c>
      <c r="K539" s="8" t="inlineStr">
        <is>
          <t>Your ad will appear on mouse pads in an approved installation facility.</t>
        </is>
      </c>
      <c r="L539" s="11" t="n">
        <v>1</v>
      </c>
      <c r="M539" s="12" t="n">
        <v>100</v>
      </c>
      <c r="N539" s="12" t="n">
        <v>300</v>
      </c>
      <c r="O539" s="12" t="n">
        <v>600</v>
      </c>
      <c r="P539" s="12" t="n">
        <v>100</v>
      </c>
      <c r="Q539" s="12" t="n"/>
      <c r="R539" s="13">
        <f>IF(ISNUMBER(M539),ROUND(M539/(1-Settings!$B$2)/Settings!$B$3,0)*Settings!$B$3,"")</f>
        <v/>
      </c>
      <c r="S539" s="13">
        <f>IF(ISNUMBER(N539),ROUND(N539/(1-Settings!$B$2)/Settings!$B$3,0)*Settings!$B$3,"")</f>
        <v/>
      </c>
      <c r="T539" s="13">
        <f>IF(ISNUMBER(O539),ROUND(O539/(1-Settings!$B$2)/Settings!$B$3,0)*Settings!$B$3,"")</f>
        <v/>
      </c>
      <c r="U539" s="13">
        <f>IF(ISNUMBER(P539),ROUND(P539/(1-Settings!$B$2)/Settings!$B$3,0)*Settings!$B$3,"")</f>
        <v/>
      </c>
      <c r="V539" s="13">
        <f>IF(ISNUMBER(Q539),ROUND(Q539/(1-Settings!$B$2)/Settings!$B$3,0)*Settings!$B$3,"")</f>
        <v/>
      </c>
      <c r="W539" s="14" t="n">
        <v>8595</v>
      </c>
      <c r="X539" s="14" t="n">
        <v>6512</v>
      </c>
      <c r="Y539" s="11" t="inlineStr"/>
      <c r="Z539" s="11" t="inlineStr"/>
      <c r="AA539" s="8" t="inlineStr"/>
      <c r="AB539" s="8" t="inlineStr"/>
      <c r="AC539" s="11" t="inlineStr">
        <is>
          <t>MasterMilitaryOnBaseList 12.2.25 NS.xlsx</t>
        </is>
      </c>
      <c r="AD539" s="11" t="inlineStr">
        <is>
          <t>FY26-27 ADVERTISING ASSETS_NRSE.xlsx</t>
        </is>
      </c>
      <c r="AE539" s="15" t="inlineStr">
        <is>
          <t>Open in Box</t>
        </is>
      </c>
      <c r="AF539" s="15" t="inlineStr">
        <is>
          <t>Open in Box</t>
        </is>
      </c>
    </row>
    <row r="540">
      <c r="A540" s="11" t="inlineStr">
        <is>
          <t>FL-PENSACOL-009</t>
        </is>
      </c>
      <c r="B540" s="8" t="inlineStr">
        <is>
          <t>Pensacola NAS</t>
        </is>
      </c>
      <c r="C540" s="11" t="inlineStr"/>
      <c r="D540" s="11" t="inlineStr">
        <is>
          <t>FL</t>
        </is>
      </c>
      <c r="E540" s="11" t="inlineStr">
        <is>
          <t>Mobile-Pensacola (Ft Walton)</t>
        </is>
      </c>
      <c r="F540" s="11" t="inlineStr">
        <is>
          <t>32508</t>
        </is>
      </c>
      <c r="G540" s="11" t="inlineStr">
        <is>
          <t>Navy</t>
        </is>
      </c>
      <c r="H540" s="11" t="inlineStr">
        <is>
          <t>Standard Media</t>
        </is>
      </c>
      <c r="I540" s="8" t="inlineStr">
        <is>
          <t>Poster</t>
        </is>
      </c>
      <c r="J540" s="11" t="inlineStr">
        <is>
          <t>22"W x 28"H</t>
        </is>
      </c>
      <c r="K540" s="8" t="inlineStr">
        <is>
          <t>Your ad will appear at an approved installation facility.</t>
        </is>
      </c>
      <c r="L540" s="11" t="n">
        <v>1</v>
      </c>
      <c r="M540" s="12" t="n">
        <v>250</v>
      </c>
      <c r="N540" s="12" t="n">
        <v>750</v>
      </c>
      <c r="O540" s="12" t="n">
        <v>1500</v>
      </c>
      <c r="P540" s="12" t="n">
        <v>3000</v>
      </c>
      <c r="Q540" s="12" t="n">
        <v>100</v>
      </c>
      <c r="R540" s="13">
        <f>IF(ISNUMBER(M540),ROUND(M540/(1-Settings!$B$2)/Settings!$B$3,0)*Settings!$B$3,"")</f>
        <v/>
      </c>
      <c r="S540" s="13">
        <f>IF(ISNUMBER(N540),ROUND(N540/(1-Settings!$B$2)/Settings!$B$3,0)*Settings!$B$3,"")</f>
        <v/>
      </c>
      <c r="T540" s="13">
        <f>IF(ISNUMBER(O540),ROUND(O540/(1-Settings!$B$2)/Settings!$B$3,0)*Settings!$B$3,"")</f>
        <v/>
      </c>
      <c r="U540" s="13">
        <f>IF(ISNUMBER(P540),ROUND(P540/(1-Settings!$B$2)/Settings!$B$3,0)*Settings!$B$3,"")</f>
        <v/>
      </c>
      <c r="V540" s="13">
        <f>IF(ISNUMBER(Q540),ROUND(Q540/(1-Settings!$B$2)/Settings!$B$3,0)*Settings!$B$3,"")</f>
        <v/>
      </c>
      <c r="W540" s="14" t="n">
        <v>8595</v>
      </c>
      <c r="X540" s="14" t="n">
        <v>6512</v>
      </c>
      <c r="Y540" s="11" t="inlineStr"/>
      <c r="Z540" s="11" t="inlineStr"/>
      <c r="AA540" s="8" t="inlineStr"/>
      <c r="AB540" s="8" t="inlineStr"/>
      <c r="AC540" s="11" t="inlineStr">
        <is>
          <t>MasterMilitaryOnBaseList 12.2.25 NS.xlsx</t>
        </is>
      </c>
      <c r="AD540" s="11" t="inlineStr">
        <is>
          <t>FY26-27 ADVERTISING ASSETS_NRSE.xlsx</t>
        </is>
      </c>
      <c r="AE540" s="15" t="inlineStr">
        <is>
          <t>Open in Box</t>
        </is>
      </c>
      <c r="AF540" s="15" t="inlineStr">
        <is>
          <t>Open in Box</t>
        </is>
      </c>
    </row>
    <row r="541">
      <c r="A541" s="11" t="inlineStr">
        <is>
          <t>FL-PENSACOL-010</t>
        </is>
      </c>
      <c r="B541" s="8" t="inlineStr">
        <is>
          <t>Pensacola NAS</t>
        </is>
      </c>
      <c r="C541" s="11" t="inlineStr"/>
      <c r="D541" s="11" t="inlineStr">
        <is>
          <t>FL</t>
        </is>
      </c>
      <c r="E541" s="11" t="inlineStr">
        <is>
          <t>Mobile-Pensacola (Ft Walton)</t>
        </is>
      </c>
      <c r="F541" s="11" t="inlineStr">
        <is>
          <t>32508</t>
        </is>
      </c>
      <c r="G541" s="11" t="inlineStr">
        <is>
          <t>Navy</t>
        </is>
      </c>
      <c r="H541" s="11" t="inlineStr">
        <is>
          <t>Standard Media</t>
        </is>
      </c>
      <c r="I541" s="8" t="inlineStr">
        <is>
          <t>Table Tents</t>
        </is>
      </c>
      <c r="J541" s="11" t="inlineStr">
        <is>
          <t>4"W x 6"H</t>
        </is>
      </c>
      <c r="K541" s="8" t="inlineStr">
        <is>
          <t>Your ad will appear at an approved installation facility.</t>
        </is>
      </c>
      <c r="L541" s="11" t="n">
        <v>1</v>
      </c>
      <c r="M541" s="12" t="n">
        <v>225</v>
      </c>
      <c r="N541" s="12" t="n">
        <v>675</v>
      </c>
      <c r="O541" s="12" t="n">
        <v>1350</v>
      </c>
      <c r="P541" s="12" t="n">
        <v>2700</v>
      </c>
      <c r="Q541" s="12" t="n"/>
      <c r="R541" s="13">
        <f>IF(ISNUMBER(M541),ROUND(M541/(1-Settings!$B$2)/Settings!$B$3,0)*Settings!$B$3,"")</f>
        <v/>
      </c>
      <c r="S541" s="13">
        <f>IF(ISNUMBER(N541),ROUND(N541/(1-Settings!$B$2)/Settings!$B$3,0)*Settings!$B$3,"")</f>
        <v/>
      </c>
      <c r="T541" s="13">
        <f>IF(ISNUMBER(O541),ROUND(O541/(1-Settings!$B$2)/Settings!$B$3,0)*Settings!$B$3,"")</f>
        <v/>
      </c>
      <c r="U541" s="13">
        <f>IF(ISNUMBER(P541),ROUND(P541/(1-Settings!$B$2)/Settings!$B$3,0)*Settings!$B$3,"")</f>
        <v/>
      </c>
      <c r="V541" s="13">
        <f>IF(ISNUMBER(Q541),ROUND(Q541/(1-Settings!$B$2)/Settings!$B$3,0)*Settings!$B$3,"")</f>
        <v/>
      </c>
      <c r="W541" s="14" t="n">
        <v>8595</v>
      </c>
      <c r="X541" s="14" t="n">
        <v>6512</v>
      </c>
      <c r="Y541" s="11" t="inlineStr"/>
      <c r="Z541" s="11" t="inlineStr"/>
      <c r="AA541" s="8" t="inlineStr"/>
      <c r="AB541" s="8" t="inlineStr"/>
      <c r="AC541" s="11" t="inlineStr">
        <is>
          <t>MasterMilitaryOnBaseList 12.2.25 NS.xlsx</t>
        </is>
      </c>
      <c r="AD541" s="11" t="inlineStr">
        <is>
          <t>FY26-27 ADVERTISING ASSETS_NRSE.xlsx</t>
        </is>
      </c>
      <c r="AE541" s="15" t="inlineStr">
        <is>
          <t>Open in Box</t>
        </is>
      </c>
      <c r="AF541" s="15" t="inlineStr">
        <is>
          <t>Open in Box</t>
        </is>
      </c>
    </row>
    <row r="542">
      <c r="A542" s="11" t="inlineStr">
        <is>
          <t>FL-PENSACOL-014</t>
        </is>
      </c>
      <c r="B542" s="8" t="inlineStr">
        <is>
          <t>Pensacola NAS</t>
        </is>
      </c>
      <c r="C542" s="11" t="inlineStr"/>
      <c r="D542" s="11" t="inlineStr">
        <is>
          <t>FL</t>
        </is>
      </c>
      <c r="E542" s="11" t="inlineStr">
        <is>
          <t>Mobile-Pensacola (Ft Walton)</t>
        </is>
      </c>
      <c r="F542" s="11" t="inlineStr"/>
      <c r="G542" s="11" t="inlineStr">
        <is>
          <t>Navy</t>
        </is>
      </c>
      <c r="H542" s="11" t="inlineStr">
        <is>
          <t>Web &amp; Email</t>
        </is>
      </c>
      <c r="I542" s="8" t="inlineStr">
        <is>
          <t>Monthly E-Newsletter Ad</t>
        </is>
      </c>
      <c r="J542" s="11" t="inlineStr"/>
      <c r="K542" s="8" t="inlineStr">
        <is>
          <t>Your ad will appear in the monthly e-newsletter emailed to the installation community.</t>
        </is>
      </c>
      <c r="L542" s="11" t="n">
        <v>1</v>
      </c>
      <c r="M542" s="12" t="n">
        <v>250</v>
      </c>
      <c r="N542" s="12" t="n"/>
      <c r="O542" s="12" t="n"/>
      <c r="P542" s="12" t="n"/>
      <c r="Q542" s="12" t="n"/>
      <c r="R542" s="13">
        <f>IF(ISNUMBER(M542),ROUND(M542/(1-Settings!$B$2)/Settings!$B$3,0)*Settings!$B$3,"")</f>
        <v/>
      </c>
      <c r="S542" s="13">
        <f>IF(ISNUMBER(N542),ROUND(N542/(1-Settings!$B$2)/Settings!$B$3,0)*Settings!$B$3,"")</f>
        <v/>
      </c>
      <c r="T542" s="13">
        <f>IF(ISNUMBER(O542),ROUND(O542/(1-Settings!$B$2)/Settings!$B$3,0)*Settings!$B$3,"")</f>
        <v/>
      </c>
      <c r="U542" s="13">
        <f>IF(ISNUMBER(P542),ROUND(P542/(1-Settings!$B$2)/Settings!$B$3,0)*Settings!$B$3,"")</f>
        <v/>
      </c>
      <c r="V542" s="13">
        <f>IF(ISNUMBER(Q542),ROUND(Q542/(1-Settings!$B$2)/Settings!$B$3,0)*Settings!$B$3,"")</f>
        <v/>
      </c>
      <c r="W542" s="14" t="n">
        <v>8595</v>
      </c>
      <c r="X542" s="14" t="n">
        <v>6512</v>
      </c>
      <c r="Y542" s="11" t="inlineStr">
        <is>
          <t>2026</t>
        </is>
      </c>
      <c r="Z542" s="11" t="inlineStr">
        <is>
          <t>2026-06</t>
        </is>
      </c>
      <c r="AA542" s="8" t="inlineStr"/>
      <c r="AB542" s="8" t="inlineStr"/>
      <c r="AC542" s="11" t="inlineStr">
        <is>
          <t>Military - National Publication Inventory Master_June 2026.xlsx</t>
        </is>
      </c>
      <c r="AD542" s="11" t="inlineStr">
        <is>
          <t>FY26-27 ADVERTISING ASSETS_NRSE.xlsx</t>
        </is>
      </c>
      <c r="AE542" s="15" t="inlineStr">
        <is>
          <t>Open in Box</t>
        </is>
      </c>
      <c r="AF542" s="15" t="inlineStr">
        <is>
          <t>Open in Box</t>
        </is>
      </c>
    </row>
    <row r="543">
      <c r="A543" s="11" t="inlineStr">
        <is>
          <t>FL-PENSACOL-015</t>
        </is>
      </c>
      <c r="B543" s="8" t="inlineStr">
        <is>
          <t>Pensacola NAS</t>
        </is>
      </c>
      <c r="C543" s="11" t="inlineStr"/>
      <c r="D543" s="11" t="inlineStr">
        <is>
          <t>FL</t>
        </is>
      </c>
      <c r="E543" s="11" t="inlineStr">
        <is>
          <t>Mobile-Pensacola (Ft Walton)</t>
        </is>
      </c>
      <c r="F543" s="11" t="inlineStr"/>
      <c r="G543" s="11" t="inlineStr">
        <is>
          <t>Navy</t>
        </is>
      </c>
      <c r="H543" s="11" t="inlineStr">
        <is>
          <t>Web &amp; Email</t>
        </is>
      </c>
      <c r="I543" s="8" t="inlineStr">
        <is>
          <t>Web Ad</t>
        </is>
      </c>
      <c r="J543" s="11" t="inlineStr"/>
      <c r="K543" s="8" t="inlineStr">
        <is>
          <t>Your ad will appear on the installation MWR / FSS website.</t>
        </is>
      </c>
      <c r="L543" s="11" t="n">
        <v>1</v>
      </c>
      <c r="M543" s="12" t="n">
        <v>500</v>
      </c>
      <c r="N543" s="12" t="n"/>
      <c r="O543" s="12" t="n"/>
      <c r="P543" s="12" t="n"/>
      <c r="Q543" s="12" t="n"/>
      <c r="R543" s="13">
        <f>IF(ISNUMBER(M543),ROUND(M543/(1-Settings!$B$2)/Settings!$B$3,0)*Settings!$B$3,"")</f>
        <v/>
      </c>
      <c r="S543" s="13">
        <f>IF(ISNUMBER(N543),ROUND(N543/(1-Settings!$B$2)/Settings!$B$3,0)*Settings!$B$3,"")</f>
        <v/>
      </c>
      <c r="T543" s="13">
        <f>IF(ISNUMBER(O543),ROUND(O543/(1-Settings!$B$2)/Settings!$B$3,0)*Settings!$B$3,"")</f>
        <v/>
      </c>
      <c r="U543" s="13">
        <f>IF(ISNUMBER(P543),ROUND(P543/(1-Settings!$B$2)/Settings!$B$3,0)*Settings!$B$3,"")</f>
        <v/>
      </c>
      <c r="V543" s="13">
        <f>IF(ISNUMBER(Q543),ROUND(Q543/(1-Settings!$B$2)/Settings!$B$3,0)*Settings!$B$3,"")</f>
        <v/>
      </c>
      <c r="W543" s="14" t="n">
        <v>8595</v>
      </c>
      <c r="X543" s="14" t="n">
        <v>6512</v>
      </c>
      <c r="Y543" s="11" t="inlineStr">
        <is>
          <t>2026</t>
        </is>
      </c>
      <c r="Z543" s="11" t="inlineStr">
        <is>
          <t>2026-06</t>
        </is>
      </c>
      <c r="AA543" s="8" t="inlineStr"/>
      <c r="AB543" s="8" t="inlineStr"/>
      <c r="AC543" s="11" t="inlineStr">
        <is>
          <t>Military - National Publication Inventory Master_June 2026.xlsx</t>
        </is>
      </c>
      <c r="AD543" s="11" t="inlineStr">
        <is>
          <t>FY26-27 ADVERTISING ASSETS_NRSE.xlsx</t>
        </is>
      </c>
      <c r="AE543" s="15" t="inlineStr">
        <is>
          <t>Open in Box</t>
        </is>
      </c>
      <c r="AF543" s="15" t="inlineStr">
        <is>
          <t>Open in Box</t>
        </is>
      </c>
    </row>
    <row r="544">
      <c r="A544" s="11" t="inlineStr">
        <is>
          <t>FL-TYNDALLA-001</t>
        </is>
      </c>
      <c r="B544" s="8" t="inlineStr">
        <is>
          <t>Tyndall AFB</t>
        </is>
      </c>
      <c r="C544" s="11" t="inlineStr"/>
      <c r="D544" s="11" t="inlineStr">
        <is>
          <t>FL</t>
        </is>
      </c>
      <c r="E544" s="11" t="inlineStr">
        <is>
          <t>Panama City</t>
        </is>
      </c>
      <c r="F544" s="11" t="inlineStr">
        <is>
          <t>32403</t>
        </is>
      </c>
      <c r="G544" s="11" t="inlineStr">
        <is>
          <t>Air Force</t>
        </is>
      </c>
      <c r="H544" s="11" t="inlineStr">
        <is>
          <t>Digital</t>
        </is>
      </c>
      <c r="I544" s="8" t="inlineStr">
        <is>
          <t>Digital Monitors</t>
        </is>
      </c>
      <c r="J544" s="11" t="inlineStr">
        <is>
          <t>TBD</t>
        </is>
      </c>
      <c r="K544" s="8" t="inlineStr">
        <is>
          <t>Your ad will appear on approved monitors on the installation.</t>
        </is>
      </c>
      <c r="L544" s="11" t="n">
        <v>3</v>
      </c>
      <c r="M544" s="12" t="n"/>
      <c r="N544" s="12" t="n">
        <v>750</v>
      </c>
      <c r="O544" s="12" t="n">
        <v>1500</v>
      </c>
      <c r="P544" s="12" t="n">
        <v>3000</v>
      </c>
      <c r="Q544" s="12" t="n">
        <v>0</v>
      </c>
      <c r="R544" s="13">
        <f>IF(ISNUMBER(M544),ROUND(M544/(1-Settings!$B$2)/Settings!$B$3,0)*Settings!$B$3,"")</f>
        <v/>
      </c>
      <c r="S544" s="13">
        <f>IF(ISNUMBER(N544),ROUND(N544/(1-Settings!$B$2)/Settings!$B$3,0)*Settings!$B$3,"")</f>
        <v/>
      </c>
      <c r="T544" s="13">
        <f>IF(ISNUMBER(O544),ROUND(O544/(1-Settings!$B$2)/Settings!$B$3,0)*Settings!$B$3,"")</f>
        <v/>
      </c>
      <c r="U544" s="13">
        <f>IF(ISNUMBER(P544),ROUND(P544/(1-Settings!$B$2)/Settings!$B$3,0)*Settings!$B$3,"")</f>
        <v/>
      </c>
      <c r="V544" s="13">
        <f>IF(ISNUMBER(Q544),ROUND(Q544/(1-Settings!$B$2)/Settings!$B$3,0)*Settings!$B$3,"")</f>
        <v/>
      </c>
      <c r="W544" s="14" t="n">
        <v>1633</v>
      </c>
      <c r="X544" s="14" t="n">
        <v>2089</v>
      </c>
      <c r="Y544" s="11" t="inlineStr"/>
      <c r="Z544" s="11" t="inlineStr"/>
      <c r="AA544" s="8" t="inlineStr"/>
      <c r="AB544" s="8" t="inlineStr"/>
      <c r="AC544" s="11" t="inlineStr">
        <is>
          <t>MasterMilitaryOnBaseList 12.2.25 NS.xlsx</t>
        </is>
      </c>
      <c r="AD544" s="11" t="inlineStr">
        <is>
          <t>2026 Sponsorship_Advertising Rates.pdf</t>
        </is>
      </c>
      <c r="AE544" s="15" t="inlineStr">
        <is>
          <t>Open in Box</t>
        </is>
      </c>
      <c r="AF544" s="15" t="inlineStr">
        <is>
          <t>Open in Box</t>
        </is>
      </c>
    </row>
    <row r="545">
      <c r="A545" s="11" t="inlineStr">
        <is>
          <t>FL-TYNDALLA-002</t>
        </is>
      </c>
      <c r="B545" s="8" t="inlineStr">
        <is>
          <t>Tyndall AFB</t>
        </is>
      </c>
      <c r="C545" s="11" t="inlineStr"/>
      <c r="D545" s="11" t="inlineStr">
        <is>
          <t>FL</t>
        </is>
      </c>
      <c r="E545" s="11" t="inlineStr">
        <is>
          <t>Panama City</t>
        </is>
      </c>
      <c r="F545" s="11" t="inlineStr">
        <is>
          <t>32403</t>
        </is>
      </c>
      <c r="G545" s="11" t="inlineStr">
        <is>
          <t>Air Force</t>
        </is>
      </c>
      <c r="H545" s="11" t="inlineStr">
        <is>
          <t>Standard Media</t>
        </is>
      </c>
      <c r="I545" s="8" t="inlineStr">
        <is>
          <t>Banners</t>
        </is>
      </c>
      <c r="J545" s="11" t="inlineStr">
        <is>
          <t>TBD</t>
        </is>
      </c>
      <c r="K545" s="8" t="inlineStr">
        <is>
          <t>Your ad will appear in approved facilities on the installation.</t>
        </is>
      </c>
      <c r="L545" s="11" t="n">
        <v>3</v>
      </c>
      <c r="M545" s="12" t="n"/>
      <c r="N545" s="12" t="n">
        <v>500</v>
      </c>
      <c r="O545" s="12" t="n">
        <v>1000</v>
      </c>
      <c r="P545" s="12" t="n">
        <v>2000</v>
      </c>
      <c r="Q545" s="12" t="n">
        <v>200</v>
      </c>
      <c r="R545" s="13">
        <f>IF(ISNUMBER(M545),ROUND(M545/(1-Settings!$B$2)/Settings!$B$3,0)*Settings!$B$3,"")</f>
        <v/>
      </c>
      <c r="S545" s="13">
        <f>IF(ISNUMBER(N545),ROUND(N545/(1-Settings!$B$2)/Settings!$B$3,0)*Settings!$B$3,"")</f>
        <v/>
      </c>
      <c r="T545" s="13">
        <f>IF(ISNUMBER(O545),ROUND(O545/(1-Settings!$B$2)/Settings!$B$3,0)*Settings!$B$3,"")</f>
        <v/>
      </c>
      <c r="U545" s="13">
        <f>IF(ISNUMBER(P545),ROUND(P545/(1-Settings!$B$2)/Settings!$B$3,0)*Settings!$B$3,"")</f>
        <v/>
      </c>
      <c r="V545" s="13">
        <f>IF(ISNUMBER(Q545),ROUND(Q545/(1-Settings!$B$2)/Settings!$B$3,0)*Settings!$B$3,"")</f>
        <v/>
      </c>
      <c r="W545" s="14" t="n">
        <v>1633</v>
      </c>
      <c r="X545" s="14" t="n">
        <v>2089</v>
      </c>
      <c r="Y545" s="11" t="inlineStr"/>
      <c r="Z545" s="11" t="inlineStr"/>
      <c r="AA545" s="8" t="inlineStr"/>
      <c r="AB545" s="8" t="inlineStr"/>
      <c r="AC545" s="11" t="inlineStr">
        <is>
          <t>MasterMilitaryOnBaseList 12.2.25 NS.xlsx</t>
        </is>
      </c>
      <c r="AD545" s="11" t="inlineStr">
        <is>
          <t>2026 Sponsorship_Advertising Rates.pdf</t>
        </is>
      </c>
      <c r="AE545" s="15" t="inlineStr">
        <is>
          <t>Open in Box</t>
        </is>
      </c>
      <c r="AF545" s="15" t="inlineStr">
        <is>
          <t>Open in Box</t>
        </is>
      </c>
    </row>
    <row r="546">
      <c r="A546" s="11" t="inlineStr">
        <is>
          <t>FL-TYNDALLA-003</t>
        </is>
      </c>
      <c r="B546" s="8" t="inlineStr">
        <is>
          <t>Tyndall AFB</t>
        </is>
      </c>
      <c r="C546" s="11" t="inlineStr"/>
      <c r="D546" s="11" t="inlineStr">
        <is>
          <t>FL</t>
        </is>
      </c>
      <c r="E546" s="11" t="inlineStr">
        <is>
          <t>Panama City</t>
        </is>
      </c>
      <c r="F546" s="11" t="inlineStr">
        <is>
          <t>32403</t>
        </is>
      </c>
      <c r="G546" s="11" t="inlineStr">
        <is>
          <t>Air Force</t>
        </is>
      </c>
      <c r="H546" s="11" t="inlineStr">
        <is>
          <t>Standard Media</t>
        </is>
      </c>
      <c r="I546" s="8" t="inlineStr">
        <is>
          <t>Posters</t>
        </is>
      </c>
      <c r="J546" s="11" t="inlineStr">
        <is>
          <t>TBD</t>
        </is>
      </c>
      <c r="K546" s="8" t="inlineStr">
        <is>
          <t>Your posters will be placed in/on approved facilities on the installation.</t>
        </is>
      </c>
      <c r="L546" s="11" t="n">
        <v>3</v>
      </c>
      <c r="M546" s="12" t="n"/>
      <c r="N546" s="12" t="n">
        <v>250</v>
      </c>
      <c r="O546" s="12" t="n">
        <v>500</v>
      </c>
      <c r="P546" s="12" t="n">
        <v>1000</v>
      </c>
      <c r="Q546" s="12" t="n">
        <v>100</v>
      </c>
      <c r="R546" s="13">
        <f>IF(ISNUMBER(M546),ROUND(M546/(1-Settings!$B$2)/Settings!$B$3,0)*Settings!$B$3,"")</f>
        <v/>
      </c>
      <c r="S546" s="13">
        <f>IF(ISNUMBER(N546),ROUND(N546/(1-Settings!$B$2)/Settings!$B$3,0)*Settings!$B$3,"")</f>
        <v/>
      </c>
      <c r="T546" s="13">
        <f>IF(ISNUMBER(O546),ROUND(O546/(1-Settings!$B$2)/Settings!$B$3,0)*Settings!$B$3,"")</f>
        <v/>
      </c>
      <c r="U546" s="13">
        <f>IF(ISNUMBER(P546),ROUND(P546/(1-Settings!$B$2)/Settings!$B$3,0)*Settings!$B$3,"")</f>
        <v/>
      </c>
      <c r="V546" s="13">
        <f>IF(ISNUMBER(Q546),ROUND(Q546/(1-Settings!$B$2)/Settings!$B$3,0)*Settings!$B$3,"")</f>
        <v/>
      </c>
      <c r="W546" s="14" t="n">
        <v>1633</v>
      </c>
      <c r="X546" s="14" t="n">
        <v>2089</v>
      </c>
      <c r="Y546" s="11" t="inlineStr"/>
      <c r="Z546" s="11" t="inlineStr"/>
      <c r="AA546" s="8" t="inlineStr"/>
      <c r="AB546" s="8" t="inlineStr"/>
      <c r="AC546" s="11" t="inlineStr">
        <is>
          <t>MasterMilitaryOnBaseList 12.2.25 NS.xlsx</t>
        </is>
      </c>
      <c r="AD546" s="11" t="inlineStr">
        <is>
          <t>2026 Sponsorship_Advertising Rates.pdf</t>
        </is>
      </c>
      <c r="AE546" s="15" t="inlineStr">
        <is>
          <t>Open in Box</t>
        </is>
      </c>
      <c r="AF546" s="15" t="inlineStr">
        <is>
          <t>Open in Box</t>
        </is>
      </c>
    </row>
    <row r="547">
      <c r="A547" s="11" t="inlineStr">
        <is>
          <t>FL-TYNDALLA-004</t>
        </is>
      </c>
      <c r="B547" s="8" t="inlineStr">
        <is>
          <t>Tyndall AFB</t>
        </is>
      </c>
      <c r="C547" s="11" t="inlineStr"/>
      <c r="D547" s="11" t="inlineStr">
        <is>
          <t>FL</t>
        </is>
      </c>
      <c r="E547" s="11" t="inlineStr">
        <is>
          <t>Panama City</t>
        </is>
      </c>
      <c r="F547" s="11" t="inlineStr">
        <is>
          <t>32403</t>
        </is>
      </c>
      <c r="G547" s="11" t="inlineStr">
        <is>
          <t>Air Force</t>
        </is>
      </c>
      <c r="H547" s="11" t="inlineStr">
        <is>
          <t>Standard Media</t>
        </is>
      </c>
      <c r="I547" s="8" t="inlineStr">
        <is>
          <t>Product Placement</t>
        </is>
      </c>
      <c r="J547" s="11" t="inlineStr">
        <is>
          <t>TBD</t>
        </is>
      </c>
      <c r="K547" s="8" t="inlineStr">
        <is>
          <t>Your product will be displayed at an approved installation facility.</t>
        </is>
      </c>
      <c r="L547" s="11" t="n">
        <v>1</v>
      </c>
      <c r="M547" s="12" t="n">
        <v>150</v>
      </c>
      <c r="N547" s="12" t="n">
        <v>450</v>
      </c>
      <c r="O547" s="12" t="n">
        <v>900</v>
      </c>
      <c r="P547" s="12" t="n">
        <v>1800</v>
      </c>
      <c r="Q547" s="12" t="n">
        <v>0</v>
      </c>
      <c r="R547" s="13">
        <f>IF(ISNUMBER(M547),ROUND(M547/(1-Settings!$B$2)/Settings!$B$3,0)*Settings!$B$3,"")</f>
        <v/>
      </c>
      <c r="S547" s="13">
        <f>IF(ISNUMBER(N547),ROUND(N547/(1-Settings!$B$2)/Settings!$B$3,0)*Settings!$B$3,"")</f>
        <v/>
      </c>
      <c r="T547" s="13">
        <f>IF(ISNUMBER(O547),ROUND(O547/(1-Settings!$B$2)/Settings!$B$3,0)*Settings!$B$3,"")</f>
        <v/>
      </c>
      <c r="U547" s="13">
        <f>IF(ISNUMBER(P547),ROUND(P547/(1-Settings!$B$2)/Settings!$B$3,0)*Settings!$B$3,"")</f>
        <v/>
      </c>
      <c r="V547" s="13">
        <f>IF(ISNUMBER(Q547),ROUND(Q547/(1-Settings!$B$2)/Settings!$B$3,0)*Settings!$B$3,"")</f>
        <v/>
      </c>
      <c r="W547" s="14" t="n">
        <v>1633</v>
      </c>
      <c r="X547" s="14" t="n">
        <v>2089</v>
      </c>
      <c r="Y547" s="11" t="inlineStr"/>
      <c r="Z547" s="11" t="inlineStr"/>
      <c r="AA547" s="8" t="inlineStr"/>
      <c r="AB547" s="8" t="inlineStr"/>
      <c r="AC547" s="11" t="inlineStr">
        <is>
          <t>MasterMilitaryOnBaseList 12.2.25 NS.xlsx</t>
        </is>
      </c>
      <c r="AD547" s="11" t="inlineStr">
        <is>
          <t>2026 Sponsorship_Advertising Rates.pdf</t>
        </is>
      </c>
      <c r="AE547" s="15" t="inlineStr">
        <is>
          <t>Open in Box</t>
        </is>
      </c>
      <c r="AF547" s="15" t="inlineStr">
        <is>
          <t>Open in Box</t>
        </is>
      </c>
    </row>
    <row r="548">
      <c r="A548" s="11" t="inlineStr">
        <is>
          <t>FL-USARMYGA-002</t>
        </is>
      </c>
      <c r="B548" s="8" t="inlineStr">
        <is>
          <t>US Army Garrison Miami Southern Command</t>
        </is>
      </c>
      <c r="C548" s="11" t="inlineStr"/>
      <c r="D548" s="11" t="inlineStr">
        <is>
          <t>FL</t>
        </is>
      </c>
      <c r="E548" s="11" t="inlineStr">
        <is>
          <t>Miami-Ft. Lauderdale</t>
        </is>
      </c>
      <c r="F548" s="11" t="inlineStr"/>
      <c r="G548" s="11" t="inlineStr">
        <is>
          <t>Air Force</t>
        </is>
      </c>
      <c r="H548" s="11" t="inlineStr">
        <is>
          <t>Web &amp; Email</t>
        </is>
      </c>
      <c r="I548" s="8" t="inlineStr">
        <is>
          <t>Web Ad</t>
        </is>
      </c>
      <c r="J548" s="11" t="inlineStr"/>
      <c r="K548" s="8" t="inlineStr">
        <is>
          <t>Your ad will appear on the installation MWR / FSS website.</t>
        </is>
      </c>
      <c r="L548" s="11" t="n">
        <v>1</v>
      </c>
      <c r="M548" s="12" t="n">
        <v>100</v>
      </c>
      <c r="N548" s="12" t="n"/>
      <c r="O548" s="12" t="n"/>
      <c r="P548" s="12" t="n"/>
      <c r="Q548" s="12" t="n"/>
      <c r="R548" s="13">
        <f>IF(ISNUMBER(M548),ROUND(M548/(1-Settings!$B$2)/Settings!$B$3,0)*Settings!$B$3,"")</f>
        <v/>
      </c>
      <c r="S548" s="13">
        <f>IF(ISNUMBER(N548),ROUND(N548/(1-Settings!$B$2)/Settings!$B$3,0)*Settings!$B$3,"")</f>
        <v/>
      </c>
      <c r="T548" s="13">
        <f>IF(ISNUMBER(O548),ROUND(O548/(1-Settings!$B$2)/Settings!$B$3,0)*Settings!$B$3,"")</f>
        <v/>
      </c>
      <c r="U548" s="13">
        <f>IF(ISNUMBER(P548),ROUND(P548/(1-Settings!$B$2)/Settings!$B$3,0)*Settings!$B$3,"")</f>
        <v/>
      </c>
      <c r="V548" s="13">
        <f>IF(ISNUMBER(Q548),ROUND(Q548/(1-Settings!$B$2)/Settings!$B$3,0)*Settings!$B$3,"")</f>
        <v/>
      </c>
      <c r="W548" s="14" t="n">
        <v>1370</v>
      </c>
      <c r="X548" s="14" t="n">
        <v>2226</v>
      </c>
      <c r="Y548" s="11" t="inlineStr">
        <is>
          <t>2022</t>
        </is>
      </c>
      <c r="Z548" s="11" t="inlineStr">
        <is>
          <t>2026-06</t>
        </is>
      </c>
      <c r="AA548" s="8" t="inlineStr">
        <is>
          <t>2022 rates</t>
        </is>
      </c>
      <c r="AB548" s="8" t="inlineStr"/>
      <c r="AC548" s="11" t="inlineStr">
        <is>
          <t>Military - National Publication Inventory Master_June 2026.xlsx</t>
        </is>
      </c>
      <c r="AD548" s="11" t="inlineStr">
        <is>
          <t>USAG Miami_Banner Pricing_ Aug 2026.pdf</t>
        </is>
      </c>
      <c r="AE548" s="15" t="inlineStr">
        <is>
          <t>Open in Box</t>
        </is>
      </c>
      <c r="AF548" s="15" t="inlineStr">
        <is>
          <t>Open in Box</t>
        </is>
      </c>
    </row>
    <row r="549">
      <c r="A549" s="11" t="inlineStr">
        <is>
          <t>FL-USARMYGA-001</t>
        </is>
      </c>
      <c r="B549" s="8" t="inlineStr">
        <is>
          <t>US Army Garrison Miami Southern Command</t>
        </is>
      </c>
      <c r="C549" s="11" t="inlineStr"/>
      <c r="D549" s="11" t="inlineStr">
        <is>
          <t>FL</t>
        </is>
      </c>
      <c r="E549" s="11" t="inlineStr">
        <is>
          <t>Miami-Ft. Lauderdale</t>
        </is>
      </c>
      <c r="F549" s="11" t="inlineStr"/>
      <c r="G549" s="11" t="inlineStr">
        <is>
          <t>Air Force</t>
        </is>
      </c>
      <c r="H549" s="11" t="inlineStr">
        <is>
          <t>Web &amp; Email</t>
        </is>
      </c>
      <c r="I549" s="8" t="inlineStr">
        <is>
          <t>Weekly E-Newsletter Ad</t>
        </is>
      </c>
      <c r="J549" s="11" t="inlineStr"/>
      <c r="K549" s="8" t="inlineStr">
        <is>
          <t>Your ad will appear in the weekly e-newsletter emailed to the installation community.</t>
        </is>
      </c>
      <c r="L549" s="11" t="n">
        <v>1</v>
      </c>
      <c r="M549" s="12" t="n">
        <v>75</v>
      </c>
      <c r="N549" s="12" t="n"/>
      <c r="O549" s="12" t="n"/>
      <c r="P549" s="12" t="n"/>
      <c r="Q549" s="12" t="n"/>
      <c r="R549" s="13">
        <f>IF(ISNUMBER(M549),ROUND(M549/(1-Settings!$B$2)/Settings!$B$3,0)*Settings!$B$3,"")</f>
        <v/>
      </c>
      <c r="S549" s="13">
        <f>IF(ISNUMBER(N549),ROUND(N549/(1-Settings!$B$2)/Settings!$B$3,0)*Settings!$B$3,"")</f>
        <v/>
      </c>
      <c r="T549" s="13">
        <f>IF(ISNUMBER(O549),ROUND(O549/(1-Settings!$B$2)/Settings!$B$3,0)*Settings!$B$3,"")</f>
        <v/>
      </c>
      <c r="U549" s="13">
        <f>IF(ISNUMBER(P549),ROUND(P549/(1-Settings!$B$2)/Settings!$B$3,0)*Settings!$B$3,"")</f>
        <v/>
      </c>
      <c r="V549" s="13">
        <f>IF(ISNUMBER(Q549),ROUND(Q549/(1-Settings!$B$2)/Settings!$B$3,0)*Settings!$B$3,"")</f>
        <v/>
      </c>
      <c r="W549" s="14" t="n">
        <v>1370</v>
      </c>
      <c r="X549" s="14" t="n">
        <v>2226</v>
      </c>
      <c r="Y549" s="11" t="inlineStr">
        <is>
          <t>2022</t>
        </is>
      </c>
      <c r="Z549" s="11" t="inlineStr">
        <is>
          <t>2026-06</t>
        </is>
      </c>
      <c r="AA549" s="8" t="inlineStr">
        <is>
          <t>2022 rates</t>
        </is>
      </c>
      <c r="AB549" s="8" t="inlineStr"/>
      <c r="AC549" s="11" t="inlineStr">
        <is>
          <t>Military - National Publication Inventory Master_June 2026.xlsx</t>
        </is>
      </c>
      <c r="AD549" s="11" t="inlineStr">
        <is>
          <t>USAG Miami_Banner Pricing_ Aug 2026.pdf</t>
        </is>
      </c>
      <c r="AE549" s="15" t="inlineStr">
        <is>
          <t>Open in Box</t>
        </is>
      </c>
      <c r="AF549" s="15" t="inlineStr">
        <is>
          <t>Open in Box</t>
        </is>
      </c>
    </row>
    <row r="550">
      <c r="A550" s="11" t="inlineStr">
        <is>
          <t>FL-WHITINGF-001</t>
        </is>
      </c>
      <c r="B550" s="8" t="inlineStr">
        <is>
          <t>Whiting Field NAS</t>
        </is>
      </c>
      <c r="C550" s="11" t="inlineStr"/>
      <c r="D550" s="11" t="inlineStr">
        <is>
          <t>FL</t>
        </is>
      </c>
      <c r="E550" s="11" t="inlineStr">
        <is>
          <t>Mobile-Pensacola (Ft Walt)</t>
        </is>
      </c>
      <c r="F550" s="11" t="inlineStr">
        <is>
          <t>32570</t>
        </is>
      </c>
      <c r="G550" s="11" t="inlineStr">
        <is>
          <t>Navy</t>
        </is>
      </c>
      <c r="H550" s="11" t="inlineStr">
        <is>
          <t>Digital</t>
        </is>
      </c>
      <c r="I550" s="8" t="inlineStr">
        <is>
          <t>Digital Monitor Network</t>
        </is>
      </c>
      <c r="J550" s="11" t="inlineStr">
        <is>
          <t>1920pxW x 1080pxH</t>
        </is>
      </c>
      <c r="K550" s="8" t="inlineStr">
        <is>
          <t>Your ad will appear on 5 digital monitors in approved installation facilities.</t>
        </is>
      </c>
      <c r="L550" s="11" t="n">
        <v>1</v>
      </c>
      <c r="M550" s="12" t="n">
        <v>220</v>
      </c>
      <c r="N550" s="12" t="n">
        <v>660</v>
      </c>
      <c r="O550" s="12" t="n">
        <v>1320</v>
      </c>
      <c r="P550" s="12" t="n">
        <v>2400</v>
      </c>
      <c r="Q550" s="12" t="n">
        <v>0</v>
      </c>
      <c r="R550" s="13">
        <f>IF(ISNUMBER(M550),ROUND(M550/(1-Settings!$B$2)/Settings!$B$3,0)*Settings!$B$3,"")</f>
        <v/>
      </c>
      <c r="S550" s="13">
        <f>IF(ISNUMBER(N550),ROUND(N550/(1-Settings!$B$2)/Settings!$B$3,0)*Settings!$B$3,"")</f>
        <v/>
      </c>
      <c r="T550" s="13">
        <f>IF(ISNUMBER(O550),ROUND(O550/(1-Settings!$B$2)/Settings!$B$3,0)*Settings!$B$3,"")</f>
        <v/>
      </c>
      <c r="U550" s="13">
        <f>IF(ISNUMBER(P550),ROUND(P550/(1-Settings!$B$2)/Settings!$B$3,0)*Settings!$B$3,"")</f>
        <v/>
      </c>
      <c r="V550" s="13">
        <f>IF(ISNUMBER(Q550),ROUND(Q550/(1-Settings!$B$2)/Settings!$B$3,0)*Settings!$B$3,"")</f>
        <v/>
      </c>
      <c r="W550" s="14" t="n">
        <v>1145</v>
      </c>
      <c r="X550" s="14" t="n">
        <v>1022</v>
      </c>
      <c r="Y550" s="11" t="inlineStr"/>
      <c r="Z550" s="11" t="inlineStr"/>
      <c r="AA550" s="8" t="inlineStr">
        <is>
          <t>Inventory master 6/2026 lists Digital Monitor Network at $242 (1 mo)</t>
        </is>
      </c>
      <c r="AB550" s="8" t="inlineStr"/>
      <c r="AC550" s="11" t="inlineStr">
        <is>
          <t>MasterMilitaryOnBaseList 12.2.25 NS.xlsx</t>
        </is>
      </c>
      <c r="AD550" s="11" t="inlineStr">
        <is>
          <t>FY26-27 ADVERTISING ASSETS_NRSE.xlsx</t>
        </is>
      </c>
      <c r="AE550" s="15" t="inlineStr">
        <is>
          <t>Open in Box</t>
        </is>
      </c>
      <c r="AF550" s="15" t="inlineStr">
        <is>
          <t>Open in Box</t>
        </is>
      </c>
    </row>
    <row r="551">
      <c r="A551" s="11" t="inlineStr">
        <is>
          <t>FL-WHITINGF-005</t>
        </is>
      </c>
      <c r="B551" s="8" t="inlineStr">
        <is>
          <t>Whiting Field NAS</t>
        </is>
      </c>
      <c r="C551" s="11" t="inlineStr"/>
      <c r="D551" s="11" t="inlineStr">
        <is>
          <t>FL</t>
        </is>
      </c>
      <c r="E551" s="11" t="inlineStr">
        <is>
          <t>Mobile-Pensacola (Ft Walt)</t>
        </is>
      </c>
      <c r="F551" s="11" t="inlineStr">
        <is>
          <t>32570</t>
        </is>
      </c>
      <c r="G551" s="11" t="inlineStr">
        <is>
          <t>Navy</t>
        </is>
      </c>
      <c r="H551" s="11" t="inlineStr">
        <is>
          <t>Large Format</t>
        </is>
      </c>
      <c r="I551" s="8" t="inlineStr">
        <is>
          <t>Counter Wrap</t>
        </is>
      </c>
      <c r="J551" s="11" t="inlineStr">
        <is>
          <t>Varies</t>
        </is>
      </c>
      <c r="K551" s="8" t="inlineStr">
        <is>
          <t>Your ad will appear at an approved installation facility.</t>
        </is>
      </c>
      <c r="L551" s="11" t="n">
        <v>1</v>
      </c>
      <c r="M551" s="12" t="n">
        <v>450</v>
      </c>
      <c r="N551" s="12" t="n">
        <v>1350</v>
      </c>
      <c r="O551" s="12" t="n">
        <v>2700</v>
      </c>
      <c r="P551" s="12" t="n">
        <v>5400</v>
      </c>
      <c r="Q551" s="12" t="n"/>
      <c r="R551" s="13">
        <f>IF(ISNUMBER(M551),ROUND(M551/(1-Settings!$B$2)/Settings!$B$3,0)*Settings!$B$3,"")</f>
        <v/>
      </c>
      <c r="S551" s="13">
        <f>IF(ISNUMBER(N551),ROUND(N551/(1-Settings!$B$2)/Settings!$B$3,0)*Settings!$B$3,"")</f>
        <v/>
      </c>
      <c r="T551" s="13">
        <f>IF(ISNUMBER(O551),ROUND(O551/(1-Settings!$B$2)/Settings!$B$3,0)*Settings!$B$3,"")</f>
        <v/>
      </c>
      <c r="U551" s="13">
        <f>IF(ISNUMBER(P551),ROUND(P551/(1-Settings!$B$2)/Settings!$B$3,0)*Settings!$B$3,"")</f>
        <v/>
      </c>
      <c r="V551" s="13">
        <f>IF(ISNUMBER(Q551),ROUND(Q551/(1-Settings!$B$2)/Settings!$B$3,0)*Settings!$B$3,"")</f>
        <v/>
      </c>
      <c r="W551" s="14" t="n">
        <v>1145</v>
      </c>
      <c r="X551" s="14" t="n">
        <v>1022</v>
      </c>
      <c r="Y551" s="11" t="inlineStr"/>
      <c r="Z551" s="11" t="inlineStr"/>
      <c r="AA551" s="8" t="inlineStr"/>
      <c r="AB551" s="8" t="inlineStr"/>
      <c r="AC551" s="11" t="inlineStr">
        <is>
          <t>MasterMilitaryOnBaseList 12.2.25 NS.xlsx</t>
        </is>
      </c>
      <c r="AD551" s="11" t="inlineStr">
        <is>
          <t>FY26-27 ADVERTISING ASSETS_NRSE.xlsx</t>
        </is>
      </c>
      <c r="AE551" s="15" t="inlineStr">
        <is>
          <t>Open in Box</t>
        </is>
      </c>
      <c r="AF551" s="15" t="inlineStr">
        <is>
          <t>Open in Box</t>
        </is>
      </c>
    </row>
    <row r="552">
      <c r="A552" s="11" t="inlineStr">
        <is>
          <t>FL-WHITINGF-006</t>
        </is>
      </c>
      <c r="B552" s="8" t="inlineStr">
        <is>
          <t>Whiting Field NAS</t>
        </is>
      </c>
      <c r="C552" s="11" t="inlineStr"/>
      <c r="D552" s="11" t="inlineStr">
        <is>
          <t>FL</t>
        </is>
      </c>
      <c r="E552" s="11" t="inlineStr">
        <is>
          <t>Mobile-Pensacola (Ft Walt)</t>
        </is>
      </c>
      <c r="F552" s="11" t="inlineStr">
        <is>
          <t>32570</t>
        </is>
      </c>
      <c r="G552" s="11" t="inlineStr">
        <is>
          <t>Navy</t>
        </is>
      </c>
      <c r="H552" s="11" t="inlineStr">
        <is>
          <t>Large Format</t>
        </is>
      </c>
      <c r="I552" s="8" t="inlineStr">
        <is>
          <t>Large Poster</t>
        </is>
      </c>
      <c r="J552" s="11" t="inlineStr">
        <is>
          <t>22"W x 56"H</t>
        </is>
      </c>
      <c r="K552" s="8" t="inlineStr">
        <is>
          <t>Your ad will appear at an approved installation facility.</t>
        </is>
      </c>
      <c r="L552" s="11" t="n">
        <v>1</v>
      </c>
      <c r="M552" s="12" t="n">
        <v>350</v>
      </c>
      <c r="N552" s="12" t="n">
        <v>1050</v>
      </c>
      <c r="O552" s="12" t="n">
        <v>2100</v>
      </c>
      <c r="P552" s="12" t="n">
        <v>4200</v>
      </c>
      <c r="Q552" s="12" t="n">
        <v>200</v>
      </c>
      <c r="R552" s="13">
        <f>IF(ISNUMBER(M552),ROUND(M552/(1-Settings!$B$2)/Settings!$B$3,0)*Settings!$B$3,"")</f>
        <v/>
      </c>
      <c r="S552" s="13">
        <f>IF(ISNUMBER(N552),ROUND(N552/(1-Settings!$B$2)/Settings!$B$3,0)*Settings!$B$3,"")</f>
        <v/>
      </c>
      <c r="T552" s="13">
        <f>IF(ISNUMBER(O552),ROUND(O552/(1-Settings!$B$2)/Settings!$B$3,0)*Settings!$B$3,"")</f>
        <v/>
      </c>
      <c r="U552" s="13">
        <f>IF(ISNUMBER(P552),ROUND(P552/(1-Settings!$B$2)/Settings!$B$3,0)*Settings!$B$3,"")</f>
        <v/>
      </c>
      <c r="V552" s="13">
        <f>IF(ISNUMBER(Q552),ROUND(Q552/(1-Settings!$B$2)/Settings!$B$3,0)*Settings!$B$3,"")</f>
        <v/>
      </c>
      <c r="W552" s="14" t="n">
        <v>1145</v>
      </c>
      <c r="X552" s="14" t="n">
        <v>1022</v>
      </c>
      <c r="Y552" s="11" t="inlineStr"/>
      <c r="Z552" s="11" t="inlineStr"/>
      <c r="AA552" s="8" t="inlineStr"/>
      <c r="AB552" s="8" t="inlineStr"/>
      <c r="AC552" s="11" t="inlineStr">
        <is>
          <t>MasterMilitaryOnBaseList 12.2.25 NS.xlsx</t>
        </is>
      </c>
      <c r="AD552" s="11" t="inlineStr">
        <is>
          <t>FY26-27 ADVERTISING ASSETS_NRSE.xlsx</t>
        </is>
      </c>
      <c r="AE552" s="15" t="inlineStr">
        <is>
          <t>Open in Box</t>
        </is>
      </c>
      <c r="AF552" s="15" t="inlineStr">
        <is>
          <t>Open in Box</t>
        </is>
      </c>
    </row>
    <row r="553">
      <c r="A553" s="11" t="inlineStr">
        <is>
          <t>FL-WHITINGF-007</t>
        </is>
      </c>
      <c r="B553" s="8" t="inlineStr">
        <is>
          <t>Whiting Field NAS</t>
        </is>
      </c>
      <c r="C553" s="11" t="inlineStr"/>
      <c r="D553" s="11" t="inlineStr">
        <is>
          <t>FL</t>
        </is>
      </c>
      <c r="E553" s="11" t="inlineStr">
        <is>
          <t>Mobile-Pensacola (Ft Walt)</t>
        </is>
      </c>
      <c r="F553" s="11" t="inlineStr">
        <is>
          <t>32570</t>
        </is>
      </c>
      <c r="G553" s="11" t="inlineStr">
        <is>
          <t>Navy</t>
        </is>
      </c>
      <c r="H553" s="11" t="inlineStr">
        <is>
          <t>Large Format</t>
        </is>
      </c>
      <c r="I553" s="8" t="inlineStr">
        <is>
          <t>Window Cling</t>
        </is>
      </c>
      <c r="J553" s="11" t="inlineStr">
        <is>
          <t>Varies</t>
        </is>
      </c>
      <c r="K553" s="8" t="inlineStr">
        <is>
          <t>Your ad will appear at an approved installation facility.</t>
        </is>
      </c>
      <c r="L553" s="11" t="n">
        <v>1</v>
      </c>
      <c r="M553" s="12" t="n">
        <v>200</v>
      </c>
      <c r="N553" s="12" t="n">
        <v>600</v>
      </c>
      <c r="O553" s="12" t="n">
        <v>1200</v>
      </c>
      <c r="P553" s="12" t="n">
        <v>2400</v>
      </c>
      <c r="Q553" s="12" t="n"/>
      <c r="R553" s="13">
        <f>IF(ISNUMBER(M553),ROUND(M553/(1-Settings!$B$2)/Settings!$B$3,0)*Settings!$B$3,"")</f>
        <v/>
      </c>
      <c r="S553" s="13">
        <f>IF(ISNUMBER(N553),ROUND(N553/(1-Settings!$B$2)/Settings!$B$3,0)*Settings!$B$3,"")</f>
        <v/>
      </c>
      <c r="T553" s="13">
        <f>IF(ISNUMBER(O553),ROUND(O553/(1-Settings!$B$2)/Settings!$B$3,0)*Settings!$B$3,"")</f>
        <v/>
      </c>
      <c r="U553" s="13">
        <f>IF(ISNUMBER(P553),ROUND(P553/(1-Settings!$B$2)/Settings!$B$3,0)*Settings!$B$3,"")</f>
        <v/>
      </c>
      <c r="V553" s="13">
        <f>IF(ISNUMBER(Q553),ROUND(Q553/(1-Settings!$B$2)/Settings!$B$3,0)*Settings!$B$3,"")</f>
        <v/>
      </c>
      <c r="W553" s="14" t="n">
        <v>1145</v>
      </c>
      <c r="X553" s="14" t="n">
        <v>1022</v>
      </c>
      <c r="Y553" s="11" t="inlineStr"/>
      <c r="Z553" s="11" t="inlineStr"/>
      <c r="AA553" s="8" t="inlineStr"/>
      <c r="AB553" s="8" t="inlineStr"/>
      <c r="AC553" s="11" t="inlineStr">
        <is>
          <t>MasterMilitaryOnBaseList 12.2.25 NS.xlsx</t>
        </is>
      </c>
      <c r="AD553" s="11" t="inlineStr">
        <is>
          <t>FY26-27 ADVERTISING ASSETS_NRSE.xlsx</t>
        </is>
      </c>
      <c r="AE553" s="15" t="inlineStr">
        <is>
          <t>Open in Box</t>
        </is>
      </c>
      <c r="AF553" s="15" t="inlineStr">
        <is>
          <t>Open in Box</t>
        </is>
      </c>
    </row>
    <row r="554">
      <c r="A554" s="11" t="inlineStr">
        <is>
          <t>FL-WHITINGF-008</t>
        </is>
      </c>
      <c r="B554" s="8" t="inlineStr">
        <is>
          <t>Whiting Field NAS</t>
        </is>
      </c>
      <c r="C554" s="11" t="inlineStr"/>
      <c r="D554" s="11" t="inlineStr">
        <is>
          <t>FL</t>
        </is>
      </c>
      <c r="E554" s="11" t="inlineStr">
        <is>
          <t>Mobile-Pensacola (Ft Walt)</t>
        </is>
      </c>
      <c r="F554" s="11" t="inlineStr">
        <is>
          <t>32570</t>
        </is>
      </c>
      <c r="G554" s="11" t="inlineStr">
        <is>
          <t>Navy</t>
        </is>
      </c>
      <c r="H554" s="11" t="inlineStr">
        <is>
          <t>Print &amp; Publications</t>
        </is>
      </c>
      <c r="I554" s="8" t="inlineStr">
        <is>
          <t>Brochures / Flyers</t>
        </is>
      </c>
      <c r="J554" s="11" t="inlineStr">
        <is>
          <t>8.5W x 11"H</t>
        </is>
      </c>
      <c r="K554" s="8" t="inlineStr">
        <is>
          <t>Your ad will appear at 5 approved installation facilities.</t>
        </is>
      </c>
      <c r="L554" s="11" t="n">
        <v>1</v>
      </c>
      <c r="M554" s="12" t="n">
        <v>281</v>
      </c>
      <c r="N554" s="12" t="n">
        <v>843</v>
      </c>
      <c r="O554" s="12" t="n">
        <v>1686</v>
      </c>
      <c r="P554" s="12" t="n">
        <v>3372</v>
      </c>
      <c r="Q554" s="12" t="n"/>
      <c r="R554" s="13">
        <f>IF(ISNUMBER(M554),ROUND(M554/(1-Settings!$B$2)/Settings!$B$3,0)*Settings!$B$3,"")</f>
        <v/>
      </c>
      <c r="S554" s="13">
        <f>IF(ISNUMBER(N554),ROUND(N554/(1-Settings!$B$2)/Settings!$B$3,0)*Settings!$B$3,"")</f>
        <v/>
      </c>
      <c r="T554" s="13">
        <f>IF(ISNUMBER(O554),ROUND(O554/(1-Settings!$B$2)/Settings!$B$3,0)*Settings!$B$3,"")</f>
        <v/>
      </c>
      <c r="U554" s="13">
        <f>IF(ISNUMBER(P554),ROUND(P554/(1-Settings!$B$2)/Settings!$B$3,0)*Settings!$B$3,"")</f>
        <v/>
      </c>
      <c r="V554" s="13">
        <f>IF(ISNUMBER(Q554),ROUND(Q554/(1-Settings!$B$2)/Settings!$B$3,0)*Settings!$B$3,"")</f>
        <v/>
      </c>
      <c r="W554" s="14" t="n">
        <v>1145</v>
      </c>
      <c r="X554" s="14" t="n">
        <v>1022</v>
      </c>
      <c r="Y554" s="11" t="inlineStr"/>
      <c r="Z554" s="11" t="inlineStr"/>
      <c r="AA554" s="8" t="inlineStr"/>
      <c r="AB554" s="8" t="inlineStr"/>
      <c r="AC554" s="11" t="inlineStr">
        <is>
          <t>MasterMilitaryOnBaseList 12.2.25 NS.xlsx</t>
        </is>
      </c>
      <c r="AD554" s="11" t="inlineStr">
        <is>
          <t>FY26-27 ADVERTISING ASSETS_NRSE.xlsx</t>
        </is>
      </c>
      <c r="AE554" s="15" t="inlineStr">
        <is>
          <t>Open in Box</t>
        </is>
      </c>
      <c r="AF554" s="15" t="inlineStr">
        <is>
          <t>Open in Box</t>
        </is>
      </c>
    </row>
    <row r="555">
      <c r="A555" s="11" t="inlineStr">
        <is>
          <t>FL-WHITINGF-009</t>
        </is>
      </c>
      <c r="B555" s="8" t="inlineStr">
        <is>
          <t>Whiting Field NAS</t>
        </is>
      </c>
      <c r="C555" s="11" t="inlineStr"/>
      <c r="D555" s="11" t="inlineStr">
        <is>
          <t>FL</t>
        </is>
      </c>
      <c r="E555" s="11" t="inlineStr">
        <is>
          <t>Mobile-Pensacola (Ft Walt)</t>
        </is>
      </c>
      <c r="F555" s="11" t="inlineStr">
        <is>
          <t>32570</t>
        </is>
      </c>
      <c r="G555" s="11" t="inlineStr">
        <is>
          <t>Navy</t>
        </is>
      </c>
      <c r="H555" s="11" t="inlineStr">
        <is>
          <t>Print &amp; Publications</t>
        </is>
      </c>
      <c r="I555" s="8" t="inlineStr">
        <is>
          <t>Newsletter</t>
        </is>
      </c>
      <c r="J555" s="11" t="inlineStr">
        <is>
          <t>TBD</t>
        </is>
      </c>
      <c r="K555" s="8" t="inlineStr">
        <is>
          <t>Your full page ad will appear in the monthly newsletter.</t>
        </is>
      </c>
      <c r="L555" s="11" t="n">
        <v>1</v>
      </c>
      <c r="M555" s="12" t="n">
        <v>300</v>
      </c>
      <c r="N555" s="12" t="n">
        <v>900</v>
      </c>
      <c r="O555" s="12" t="n">
        <v>1800</v>
      </c>
      <c r="P555" s="12" t="n">
        <v>3600</v>
      </c>
      <c r="Q555" s="12" t="n">
        <v>0</v>
      </c>
      <c r="R555" s="13">
        <f>IF(ISNUMBER(M555),ROUND(M555/(1-Settings!$B$2)/Settings!$B$3,0)*Settings!$B$3,"")</f>
        <v/>
      </c>
      <c r="S555" s="13">
        <f>IF(ISNUMBER(N555),ROUND(N555/(1-Settings!$B$2)/Settings!$B$3,0)*Settings!$B$3,"")</f>
        <v/>
      </c>
      <c r="T555" s="13">
        <f>IF(ISNUMBER(O555),ROUND(O555/(1-Settings!$B$2)/Settings!$B$3,0)*Settings!$B$3,"")</f>
        <v/>
      </c>
      <c r="U555" s="13">
        <f>IF(ISNUMBER(P555),ROUND(P555/(1-Settings!$B$2)/Settings!$B$3,0)*Settings!$B$3,"")</f>
        <v/>
      </c>
      <c r="V555" s="13">
        <f>IF(ISNUMBER(Q555),ROUND(Q555/(1-Settings!$B$2)/Settings!$B$3,0)*Settings!$B$3,"")</f>
        <v/>
      </c>
      <c r="W555" s="14" t="n">
        <v>1145</v>
      </c>
      <c r="X555" s="14" t="n">
        <v>1022</v>
      </c>
      <c r="Y555" s="11" t="inlineStr"/>
      <c r="Z555" s="11" t="inlineStr"/>
      <c r="AA555" s="8" t="inlineStr">
        <is>
          <t>Inventory master 6/2026 lists Monthly E-Newsletter Ad at $200 (1 mo)</t>
        </is>
      </c>
      <c r="AB555" s="8" t="inlineStr"/>
      <c r="AC555" s="11" t="inlineStr">
        <is>
          <t>MasterMilitaryOnBaseList 12.2.25 NS.xlsx</t>
        </is>
      </c>
      <c r="AD555" s="11" t="inlineStr">
        <is>
          <t>FY26-27 ADVERTISING ASSETS_NRSE.xlsx</t>
        </is>
      </c>
      <c r="AE555" s="15" t="inlineStr">
        <is>
          <t>Open in Box</t>
        </is>
      </c>
      <c r="AF555" s="15" t="inlineStr">
        <is>
          <t>Open in Box</t>
        </is>
      </c>
    </row>
    <row r="556">
      <c r="A556" s="11" t="inlineStr">
        <is>
          <t>FL-WHITINGF-002</t>
        </is>
      </c>
      <c r="B556" s="8" t="inlineStr">
        <is>
          <t>Whiting Field NAS</t>
        </is>
      </c>
      <c r="C556" s="11" t="inlineStr"/>
      <c r="D556" s="11" t="inlineStr">
        <is>
          <t>FL</t>
        </is>
      </c>
      <c r="E556" s="11" t="inlineStr">
        <is>
          <t>Mobile-Pensacola (Ft Walt)</t>
        </is>
      </c>
      <c r="F556" s="11" t="inlineStr">
        <is>
          <t>32570</t>
        </is>
      </c>
      <c r="G556" s="11" t="inlineStr">
        <is>
          <t>Navy</t>
        </is>
      </c>
      <c r="H556" s="11" t="inlineStr">
        <is>
          <t>Standard Media</t>
        </is>
      </c>
      <c r="I556" s="8" t="inlineStr">
        <is>
          <t>Banner</t>
        </is>
      </c>
      <c r="J556" s="11" t="inlineStr">
        <is>
          <t>8'W x 4'H</t>
        </is>
      </c>
      <c r="K556" s="8" t="inlineStr">
        <is>
          <t>Your ad will appear at an approved installation facility.</t>
        </is>
      </c>
      <c r="L556" s="11" t="n">
        <v>1</v>
      </c>
      <c r="M556" s="12" t="n">
        <v>200</v>
      </c>
      <c r="N556" s="12" t="n">
        <v>600</v>
      </c>
      <c r="O556" s="12" t="n">
        <v>1200</v>
      </c>
      <c r="P556" s="12" t="n">
        <v>2400</v>
      </c>
      <c r="Q556" s="12" t="n">
        <v>250</v>
      </c>
      <c r="R556" s="13">
        <f>IF(ISNUMBER(M556),ROUND(M556/(1-Settings!$B$2)/Settings!$B$3,0)*Settings!$B$3,"")</f>
        <v/>
      </c>
      <c r="S556" s="13">
        <f>IF(ISNUMBER(N556),ROUND(N556/(1-Settings!$B$2)/Settings!$B$3,0)*Settings!$B$3,"")</f>
        <v/>
      </c>
      <c r="T556" s="13">
        <f>IF(ISNUMBER(O556),ROUND(O556/(1-Settings!$B$2)/Settings!$B$3,0)*Settings!$B$3,"")</f>
        <v/>
      </c>
      <c r="U556" s="13">
        <f>IF(ISNUMBER(P556),ROUND(P556/(1-Settings!$B$2)/Settings!$B$3,0)*Settings!$B$3,"")</f>
        <v/>
      </c>
      <c r="V556" s="13">
        <f>IF(ISNUMBER(Q556),ROUND(Q556/(1-Settings!$B$2)/Settings!$B$3,0)*Settings!$B$3,"")</f>
        <v/>
      </c>
      <c r="W556" s="14" t="n">
        <v>1145</v>
      </c>
      <c r="X556" s="14" t="n">
        <v>1022</v>
      </c>
      <c r="Y556" s="11" t="inlineStr"/>
      <c r="Z556" s="11" t="inlineStr"/>
      <c r="AA556" s="8" t="inlineStr"/>
      <c r="AB556" s="8" t="inlineStr"/>
      <c r="AC556" s="11" t="inlineStr">
        <is>
          <t>MasterMilitaryOnBaseList 12.2.25 NS.xlsx</t>
        </is>
      </c>
      <c r="AD556" s="11" t="inlineStr">
        <is>
          <t>FY26-27 ADVERTISING ASSETS_NRSE.xlsx</t>
        </is>
      </c>
      <c r="AE556" s="15" t="inlineStr">
        <is>
          <t>Open in Box</t>
        </is>
      </c>
      <c r="AF556" s="15" t="inlineStr">
        <is>
          <t>Open in Box</t>
        </is>
      </c>
    </row>
    <row r="557">
      <c r="A557" s="11" t="inlineStr">
        <is>
          <t>FL-WHITINGF-003</t>
        </is>
      </c>
      <c r="B557" s="8" t="inlineStr">
        <is>
          <t>Whiting Field NAS</t>
        </is>
      </c>
      <c r="C557" s="11" t="inlineStr"/>
      <c r="D557" s="11" t="inlineStr">
        <is>
          <t>FL</t>
        </is>
      </c>
      <c r="E557" s="11" t="inlineStr">
        <is>
          <t>Mobile-Pensacola (Ft Walt)</t>
        </is>
      </c>
      <c r="F557" s="11" t="inlineStr">
        <is>
          <t>32570</t>
        </is>
      </c>
      <c r="G557" s="11" t="inlineStr">
        <is>
          <t>Navy</t>
        </is>
      </c>
      <c r="H557" s="11" t="inlineStr">
        <is>
          <t>Standard Media</t>
        </is>
      </c>
      <c r="I557" s="8" t="inlineStr">
        <is>
          <t>Poster</t>
        </is>
      </c>
      <c r="J557" s="11" t="inlineStr">
        <is>
          <t>22"W x 28"H</t>
        </is>
      </c>
      <c r="K557" s="8" t="inlineStr">
        <is>
          <t>Your ad will appear at an approved installation facility.</t>
        </is>
      </c>
      <c r="L557" s="11" t="n">
        <v>1</v>
      </c>
      <c r="M557" s="12" t="n">
        <v>150</v>
      </c>
      <c r="N557" s="12" t="n">
        <v>450</v>
      </c>
      <c r="O557" s="12" t="n">
        <v>900</v>
      </c>
      <c r="P557" s="12" t="n">
        <v>1800</v>
      </c>
      <c r="Q557" s="12" t="n">
        <v>100</v>
      </c>
      <c r="R557" s="13">
        <f>IF(ISNUMBER(M557),ROUND(M557/(1-Settings!$B$2)/Settings!$B$3,0)*Settings!$B$3,"")</f>
        <v/>
      </c>
      <c r="S557" s="13">
        <f>IF(ISNUMBER(N557),ROUND(N557/(1-Settings!$B$2)/Settings!$B$3,0)*Settings!$B$3,"")</f>
        <v/>
      </c>
      <c r="T557" s="13">
        <f>IF(ISNUMBER(O557),ROUND(O557/(1-Settings!$B$2)/Settings!$B$3,0)*Settings!$B$3,"")</f>
        <v/>
      </c>
      <c r="U557" s="13">
        <f>IF(ISNUMBER(P557),ROUND(P557/(1-Settings!$B$2)/Settings!$B$3,0)*Settings!$B$3,"")</f>
        <v/>
      </c>
      <c r="V557" s="13">
        <f>IF(ISNUMBER(Q557),ROUND(Q557/(1-Settings!$B$2)/Settings!$B$3,0)*Settings!$B$3,"")</f>
        <v/>
      </c>
      <c r="W557" s="14" t="n">
        <v>1145</v>
      </c>
      <c r="X557" s="14" t="n">
        <v>1022</v>
      </c>
      <c r="Y557" s="11" t="inlineStr"/>
      <c r="Z557" s="11" t="inlineStr"/>
      <c r="AA557" s="8" t="inlineStr"/>
      <c r="AB557" s="8" t="inlineStr"/>
      <c r="AC557" s="11" t="inlineStr">
        <is>
          <t>MasterMilitaryOnBaseList 12.2.25 NS.xlsx</t>
        </is>
      </c>
      <c r="AD557" s="11" t="inlineStr">
        <is>
          <t>FY26-27 ADVERTISING ASSETS_NRSE.xlsx</t>
        </is>
      </c>
      <c r="AE557" s="15" t="inlineStr">
        <is>
          <t>Open in Box</t>
        </is>
      </c>
      <c r="AF557" s="15" t="inlineStr">
        <is>
          <t>Open in Box</t>
        </is>
      </c>
    </row>
    <row r="558">
      <c r="A558" s="11" t="inlineStr">
        <is>
          <t>FL-WHITINGF-004</t>
        </is>
      </c>
      <c r="B558" s="8" t="inlineStr">
        <is>
          <t>Whiting Field NAS</t>
        </is>
      </c>
      <c r="C558" s="11" t="inlineStr"/>
      <c r="D558" s="11" t="inlineStr">
        <is>
          <t>FL</t>
        </is>
      </c>
      <c r="E558" s="11" t="inlineStr">
        <is>
          <t>Mobile-Pensacola (Ft Walt)</t>
        </is>
      </c>
      <c r="F558" s="11" t="inlineStr">
        <is>
          <t>32570</t>
        </is>
      </c>
      <c r="G558" s="11" t="inlineStr">
        <is>
          <t>Navy</t>
        </is>
      </c>
      <c r="H558" s="11" t="inlineStr">
        <is>
          <t>Standard Media</t>
        </is>
      </c>
      <c r="I558" s="8" t="inlineStr">
        <is>
          <t>Table Tents</t>
        </is>
      </c>
      <c r="J558" s="11" t="inlineStr">
        <is>
          <t>4"W x 6"H</t>
        </is>
      </c>
      <c r="K558" s="8" t="inlineStr">
        <is>
          <t>Your ad will appear on tables at an approved facility.</t>
        </is>
      </c>
      <c r="L558" s="11" t="n">
        <v>1</v>
      </c>
      <c r="M558" s="12" t="n">
        <v>150</v>
      </c>
      <c r="N558" s="12" t="n">
        <v>450</v>
      </c>
      <c r="O558" s="12" t="n">
        <v>900</v>
      </c>
      <c r="P558" s="12" t="n">
        <v>1800</v>
      </c>
      <c r="Q558" s="12" t="n"/>
      <c r="R558" s="13">
        <f>IF(ISNUMBER(M558),ROUND(M558/(1-Settings!$B$2)/Settings!$B$3,0)*Settings!$B$3,"")</f>
        <v/>
      </c>
      <c r="S558" s="13">
        <f>IF(ISNUMBER(N558),ROUND(N558/(1-Settings!$B$2)/Settings!$B$3,0)*Settings!$B$3,"")</f>
        <v/>
      </c>
      <c r="T558" s="13">
        <f>IF(ISNUMBER(O558),ROUND(O558/(1-Settings!$B$2)/Settings!$B$3,0)*Settings!$B$3,"")</f>
        <v/>
      </c>
      <c r="U558" s="13">
        <f>IF(ISNUMBER(P558),ROUND(P558/(1-Settings!$B$2)/Settings!$B$3,0)*Settings!$B$3,"")</f>
        <v/>
      </c>
      <c r="V558" s="13">
        <f>IF(ISNUMBER(Q558),ROUND(Q558/(1-Settings!$B$2)/Settings!$B$3,0)*Settings!$B$3,"")</f>
        <v/>
      </c>
      <c r="W558" s="14" t="n">
        <v>1145</v>
      </c>
      <c r="X558" s="14" t="n">
        <v>1022</v>
      </c>
      <c r="Y558" s="11" t="inlineStr"/>
      <c r="Z558" s="11" t="inlineStr"/>
      <c r="AA558" s="8" t="inlineStr"/>
      <c r="AB558" s="8" t="inlineStr"/>
      <c r="AC558" s="11" t="inlineStr">
        <is>
          <t>MasterMilitaryOnBaseList 12.2.25 NS.xlsx</t>
        </is>
      </c>
      <c r="AD558" s="11" t="inlineStr">
        <is>
          <t>FY26-27 ADVERTISING ASSETS_NRSE.xlsx</t>
        </is>
      </c>
      <c r="AE558" s="15" t="inlineStr">
        <is>
          <t>Open in Box</t>
        </is>
      </c>
      <c r="AF558" s="15" t="inlineStr">
        <is>
          <t>Open in Box</t>
        </is>
      </c>
    </row>
    <row r="559">
      <c r="A559" s="11" t="inlineStr">
        <is>
          <t>FL-WHITINGF-010</t>
        </is>
      </c>
      <c r="B559" s="8" t="inlineStr">
        <is>
          <t>Whiting Field NAS</t>
        </is>
      </c>
      <c r="C559" s="11" t="inlineStr"/>
      <c r="D559" s="11" t="inlineStr">
        <is>
          <t>FL</t>
        </is>
      </c>
      <c r="E559" s="11" t="inlineStr">
        <is>
          <t>Mobile-Pensacola (Ft Walt)</t>
        </is>
      </c>
      <c r="F559" s="11" t="inlineStr"/>
      <c r="G559" s="11" t="inlineStr">
        <is>
          <t>Navy</t>
        </is>
      </c>
      <c r="H559" s="11" t="inlineStr">
        <is>
          <t>Web &amp; Email</t>
        </is>
      </c>
      <c r="I559" s="8" t="inlineStr">
        <is>
          <t>Web Ad</t>
        </is>
      </c>
      <c r="J559" s="11" t="inlineStr"/>
      <c r="K559" s="8" t="inlineStr">
        <is>
          <t>Your ad will appear on the installation MWR / FSS website.</t>
        </is>
      </c>
      <c r="L559" s="11" t="n">
        <v>1</v>
      </c>
      <c r="M559" s="12" t="n">
        <v>400</v>
      </c>
      <c r="N559" s="12" t="n"/>
      <c r="O559" s="12" t="n"/>
      <c r="P559" s="12" t="n"/>
      <c r="Q559" s="12" t="n"/>
      <c r="R559" s="13">
        <f>IF(ISNUMBER(M559),ROUND(M559/(1-Settings!$B$2)/Settings!$B$3,0)*Settings!$B$3,"")</f>
        <v/>
      </c>
      <c r="S559" s="13">
        <f>IF(ISNUMBER(N559),ROUND(N559/(1-Settings!$B$2)/Settings!$B$3,0)*Settings!$B$3,"")</f>
        <v/>
      </c>
      <c r="T559" s="13">
        <f>IF(ISNUMBER(O559),ROUND(O559/(1-Settings!$B$2)/Settings!$B$3,0)*Settings!$B$3,"")</f>
        <v/>
      </c>
      <c r="U559" s="13">
        <f>IF(ISNUMBER(P559),ROUND(P559/(1-Settings!$B$2)/Settings!$B$3,0)*Settings!$B$3,"")</f>
        <v/>
      </c>
      <c r="V559" s="13">
        <f>IF(ISNUMBER(Q559),ROUND(Q559/(1-Settings!$B$2)/Settings!$B$3,0)*Settings!$B$3,"")</f>
        <v/>
      </c>
      <c r="W559" s="14" t="n">
        <v>1145</v>
      </c>
      <c r="X559" s="14" t="n">
        <v>1022</v>
      </c>
      <c r="Y559" s="11" t="inlineStr">
        <is>
          <t>2026</t>
        </is>
      </c>
      <c r="Z559" s="11" t="inlineStr">
        <is>
          <t>2026-06</t>
        </is>
      </c>
      <c r="AA559" s="8" t="inlineStr"/>
      <c r="AB559" s="8" t="inlineStr"/>
      <c r="AC559" s="11" t="inlineStr">
        <is>
          <t>Military - National Publication Inventory Master_June 2026.xlsx</t>
        </is>
      </c>
      <c r="AD559" s="11" t="inlineStr">
        <is>
          <t>FY26-27 ADVERTISING ASSETS_NRSE.xlsx</t>
        </is>
      </c>
      <c r="AE559" s="15" t="inlineStr">
        <is>
          <t>Open in Box</t>
        </is>
      </c>
      <c r="AF559" s="15" t="inlineStr">
        <is>
          <t>Open in Box</t>
        </is>
      </c>
    </row>
    <row r="560">
      <c r="A560" s="11" t="inlineStr">
        <is>
          <t>GA-ALBANYMC-002</t>
        </is>
      </c>
      <c r="B560" s="8" t="inlineStr">
        <is>
          <t>Albany MCLB</t>
        </is>
      </c>
      <c r="C560" s="11" t="inlineStr"/>
      <c r="D560" s="11" t="inlineStr">
        <is>
          <t>GA</t>
        </is>
      </c>
      <c r="E560" s="11" t="inlineStr">
        <is>
          <t>Albany, GA</t>
        </is>
      </c>
      <c r="F560" s="11" t="inlineStr"/>
      <c r="G560" s="11" t="inlineStr">
        <is>
          <t>Marine Corps</t>
        </is>
      </c>
      <c r="H560" s="11" t="inlineStr">
        <is>
          <t>Digital</t>
        </is>
      </c>
      <c r="I560" s="8" t="inlineStr">
        <is>
          <t>Digital Marquee</t>
        </is>
      </c>
      <c r="J560" s="11" t="inlineStr">
        <is>
          <t>3 screens</t>
        </is>
      </c>
      <c r="K560" s="8" t="inlineStr">
        <is>
          <t>Your ad will appear on the 3-screen digital marquee(s) on the installation.</t>
        </is>
      </c>
      <c r="L560" s="11" t="n">
        <v>1</v>
      </c>
      <c r="M560" s="12" t="n">
        <v>325</v>
      </c>
      <c r="N560" s="12" t="n"/>
      <c r="O560" s="12" t="n"/>
      <c r="P560" s="12" t="n"/>
      <c r="Q560" s="12" t="n"/>
      <c r="R560" s="13">
        <f>IF(ISNUMBER(M560),ROUND(M560/(1-Settings!$B$2)/Settings!$B$3,0)*Settings!$B$3,"")</f>
        <v/>
      </c>
      <c r="S560" s="13">
        <f>IF(ISNUMBER(N560),ROUND(N560/(1-Settings!$B$2)/Settings!$B$3,0)*Settings!$B$3,"")</f>
        <v/>
      </c>
      <c r="T560" s="13">
        <f>IF(ISNUMBER(O560),ROUND(O560/(1-Settings!$B$2)/Settings!$B$3,0)*Settings!$B$3,"")</f>
        <v/>
      </c>
      <c r="U560" s="13">
        <f>IF(ISNUMBER(P560),ROUND(P560/(1-Settings!$B$2)/Settings!$B$3,0)*Settings!$B$3,"")</f>
        <v/>
      </c>
      <c r="V560" s="13">
        <f>IF(ISNUMBER(Q560),ROUND(Q560/(1-Settings!$B$2)/Settings!$B$3,0)*Settings!$B$3,"")</f>
        <v/>
      </c>
      <c r="W560" s="14" t="n">
        <v>318</v>
      </c>
      <c r="X560" s="14" t="n">
        <v>571</v>
      </c>
      <c r="Y560" s="11" t="inlineStr">
        <is>
          <t>2026</t>
        </is>
      </c>
      <c r="Z560" s="11" t="inlineStr">
        <is>
          <t>2026-06</t>
        </is>
      </c>
      <c r="AA560" s="8" t="inlineStr"/>
      <c r="AB560" s="8" t="inlineStr"/>
      <c r="AC560" s="11" t="inlineStr">
        <is>
          <t>Military - National Digital Inventory Master 6.3.26.xlsx</t>
        </is>
      </c>
      <c r="AD560" s="11" t="inlineStr">
        <is>
          <t>Albany MCCS Sponsorship &amp; Advertising Opportunities - 2026.pdf</t>
        </is>
      </c>
      <c r="AE560" s="15" t="inlineStr">
        <is>
          <t>Open in Box</t>
        </is>
      </c>
      <c r="AF560" s="15" t="inlineStr">
        <is>
          <t>Open in Box</t>
        </is>
      </c>
    </row>
    <row r="561">
      <c r="A561" s="11" t="inlineStr">
        <is>
          <t>GA-ALBANYMC-001</t>
        </is>
      </c>
      <c r="B561" s="8" t="inlineStr">
        <is>
          <t>Albany MCLB</t>
        </is>
      </c>
      <c r="C561" s="11" t="inlineStr"/>
      <c r="D561" s="11" t="inlineStr">
        <is>
          <t>GA</t>
        </is>
      </c>
      <c r="E561" s="11" t="inlineStr">
        <is>
          <t>Albany, GA</t>
        </is>
      </c>
      <c r="F561" s="11" t="inlineStr"/>
      <c r="G561" s="11" t="inlineStr">
        <is>
          <t>Marine Corps</t>
        </is>
      </c>
      <c r="H561" s="11" t="inlineStr">
        <is>
          <t>Digital</t>
        </is>
      </c>
      <c r="I561" s="8" t="inlineStr">
        <is>
          <t>Digital Monitor Network</t>
        </is>
      </c>
      <c r="J561" s="11" t="inlineStr">
        <is>
          <t>7 screens</t>
        </is>
      </c>
      <c r="K561" s="8" t="inlineStr">
        <is>
          <t>Your ad will appear on the 7-screen digital monitor network in approved installation facilities.</t>
        </is>
      </c>
      <c r="L561" s="11" t="n">
        <v>1</v>
      </c>
      <c r="M561" s="12" t="n">
        <v>300</v>
      </c>
      <c r="N561" s="12" t="n"/>
      <c r="O561" s="12" t="n"/>
      <c r="P561" s="12" t="n"/>
      <c r="Q561" s="12" t="n"/>
      <c r="R561" s="13">
        <f>IF(ISNUMBER(M561),ROUND(M561/(1-Settings!$B$2)/Settings!$B$3,0)*Settings!$B$3,"")</f>
        <v/>
      </c>
      <c r="S561" s="13">
        <f>IF(ISNUMBER(N561),ROUND(N561/(1-Settings!$B$2)/Settings!$B$3,0)*Settings!$B$3,"")</f>
        <v/>
      </c>
      <c r="T561" s="13">
        <f>IF(ISNUMBER(O561),ROUND(O561/(1-Settings!$B$2)/Settings!$B$3,0)*Settings!$B$3,"")</f>
        <v/>
      </c>
      <c r="U561" s="13">
        <f>IF(ISNUMBER(P561),ROUND(P561/(1-Settings!$B$2)/Settings!$B$3,0)*Settings!$B$3,"")</f>
        <v/>
      </c>
      <c r="V561" s="13">
        <f>IF(ISNUMBER(Q561),ROUND(Q561/(1-Settings!$B$2)/Settings!$B$3,0)*Settings!$B$3,"")</f>
        <v/>
      </c>
      <c r="W561" s="14" t="n">
        <v>318</v>
      </c>
      <c r="X561" s="14" t="n">
        <v>571</v>
      </c>
      <c r="Y561" s="11" t="inlineStr">
        <is>
          <t>2026</t>
        </is>
      </c>
      <c r="Z561" s="11" t="inlineStr">
        <is>
          <t>2026-06</t>
        </is>
      </c>
      <c r="AA561" s="8" t="inlineStr"/>
      <c r="AB561" s="8" t="inlineStr"/>
      <c r="AC561" s="11" t="inlineStr">
        <is>
          <t>Military - National Digital Inventory Master 6.3.26.xlsx</t>
        </is>
      </c>
      <c r="AD561" s="11" t="inlineStr">
        <is>
          <t>Albany MCCS Sponsorship &amp; Advertising Opportunities - 2026.pdf</t>
        </is>
      </c>
      <c r="AE561" s="15" t="inlineStr">
        <is>
          <t>Open in Box</t>
        </is>
      </c>
      <c r="AF561" s="15" t="inlineStr">
        <is>
          <t>Open in Box</t>
        </is>
      </c>
    </row>
    <row r="562">
      <c r="A562" s="11" t="inlineStr">
        <is>
          <t>GA-ALBANYMC-003</t>
        </is>
      </c>
      <c r="B562" s="8" t="inlineStr">
        <is>
          <t>Albany MCLB</t>
        </is>
      </c>
      <c r="C562" s="11" t="inlineStr"/>
      <c r="D562" s="11" t="inlineStr">
        <is>
          <t>GA</t>
        </is>
      </c>
      <c r="E562" s="11" t="inlineStr">
        <is>
          <t>Albany, GA</t>
        </is>
      </c>
      <c r="F562" s="11" t="inlineStr"/>
      <c r="G562" s="11" t="inlineStr">
        <is>
          <t>Marine Corps</t>
        </is>
      </c>
      <c r="H562" s="11" t="inlineStr">
        <is>
          <t>Web &amp; Email</t>
        </is>
      </c>
      <c r="I562" s="8" t="inlineStr">
        <is>
          <t>Web Ad</t>
        </is>
      </c>
      <c r="J562" s="11" t="inlineStr"/>
      <c r="K562" s="8" t="inlineStr">
        <is>
          <t>Your ad will appear on the installation MWR / FSS website.</t>
        </is>
      </c>
      <c r="L562" s="11" t="n">
        <v>1</v>
      </c>
      <c r="M562" s="12" t="n">
        <v>225</v>
      </c>
      <c r="N562" s="12" t="n"/>
      <c r="O562" s="12" t="n"/>
      <c r="P562" s="12" t="n"/>
      <c r="Q562" s="12" t="n"/>
      <c r="R562" s="13">
        <f>IF(ISNUMBER(M562),ROUND(M562/(1-Settings!$B$2)/Settings!$B$3,0)*Settings!$B$3,"")</f>
        <v/>
      </c>
      <c r="S562" s="13">
        <f>IF(ISNUMBER(N562),ROUND(N562/(1-Settings!$B$2)/Settings!$B$3,0)*Settings!$B$3,"")</f>
        <v/>
      </c>
      <c r="T562" s="13">
        <f>IF(ISNUMBER(O562),ROUND(O562/(1-Settings!$B$2)/Settings!$B$3,0)*Settings!$B$3,"")</f>
        <v/>
      </c>
      <c r="U562" s="13">
        <f>IF(ISNUMBER(P562),ROUND(P562/(1-Settings!$B$2)/Settings!$B$3,0)*Settings!$B$3,"")</f>
        <v/>
      </c>
      <c r="V562" s="13">
        <f>IF(ISNUMBER(Q562),ROUND(Q562/(1-Settings!$B$2)/Settings!$B$3,0)*Settings!$B$3,"")</f>
        <v/>
      </c>
      <c r="W562" s="14" t="n">
        <v>318</v>
      </c>
      <c r="X562" s="14" t="n">
        <v>571</v>
      </c>
      <c r="Y562" s="11" t="inlineStr">
        <is>
          <t>2026</t>
        </is>
      </c>
      <c r="Z562" s="11" t="inlineStr">
        <is>
          <t>2026-06</t>
        </is>
      </c>
      <c r="AA562" s="8" t="inlineStr"/>
      <c r="AB562" s="8" t="inlineStr"/>
      <c r="AC562" s="11" t="inlineStr">
        <is>
          <t>Military - National Publication Inventory Master_June 2026.xlsx</t>
        </is>
      </c>
      <c r="AD562" s="11" t="inlineStr">
        <is>
          <t>Albany MCCS Sponsorship &amp; Advertising Opportunities - 2026.pdf</t>
        </is>
      </c>
      <c r="AE562" s="15" t="inlineStr">
        <is>
          <t>Open in Box</t>
        </is>
      </c>
      <c r="AF562" s="15" t="inlineStr">
        <is>
          <t>Open in Box</t>
        </is>
      </c>
    </row>
    <row r="563">
      <c r="A563" s="11" t="inlineStr">
        <is>
          <t>GA-DOBBINSA-001</t>
        </is>
      </c>
      <c r="B563" s="8" t="inlineStr">
        <is>
          <t>Dobbins ARB</t>
        </is>
      </c>
      <c r="C563" s="11" t="inlineStr"/>
      <c r="D563" s="11" t="inlineStr">
        <is>
          <t>GA</t>
        </is>
      </c>
      <c r="E563" s="11" t="inlineStr"/>
      <c r="F563" s="11" t="inlineStr"/>
      <c r="G563" s="11" t="inlineStr">
        <is>
          <t>Air Force</t>
        </is>
      </c>
      <c r="H563" s="11" t="inlineStr">
        <is>
          <t>Digital</t>
        </is>
      </c>
      <c r="I563" s="8" t="inlineStr">
        <is>
          <t>Digital Monitor Network</t>
        </is>
      </c>
      <c r="J563" s="11" t="inlineStr">
        <is>
          <t>12 screens</t>
        </is>
      </c>
      <c r="K563" s="8" t="inlineStr">
        <is>
          <t>Your ad will appear on the 12-screen digital monitor network in approved installation facilities.</t>
        </is>
      </c>
      <c r="L563" s="11" t="n">
        <v>1</v>
      </c>
      <c r="M563" s="12" t="n">
        <v>500</v>
      </c>
      <c r="N563" s="12" t="n"/>
      <c r="O563" s="12" t="n"/>
      <c r="P563" s="12" t="n"/>
      <c r="Q563" s="12" t="n"/>
      <c r="R563" s="13">
        <f>IF(ISNUMBER(M563),ROUND(M563/(1-Settings!$B$2)/Settings!$B$3,0)*Settings!$B$3,"")</f>
        <v/>
      </c>
      <c r="S563" s="13">
        <f>IF(ISNUMBER(N563),ROUND(N563/(1-Settings!$B$2)/Settings!$B$3,0)*Settings!$B$3,"")</f>
        <v/>
      </c>
      <c r="T563" s="13">
        <f>IF(ISNUMBER(O563),ROUND(O563/(1-Settings!$B$2)/Settings!$B$3,0)*Settings!$B$3,"")</f>
        <v/>
      </c>
      <c r="U563" s="13">
        <f>IF(ISNUMBER(P563),ROUND(P563/(1-Settings!$B$2)/Settings!$B$3,0)*Settings!$B$3,"")</f>
        <v/>
      </c>
      <c r="V563" s="13">
        <f>IF(ISNUMBER(Q563),ROUND(Q563/(1-Settings!$B$2)/Settings!$B$3,0)*Settings!$B$3,"")</f>
        <v/>
      </c>
      <c r="W563" s="14" t="n"/>
      <c r="X563" s="14" t="n"/>
      <c r="Y563" s="11" t="inlineStr">
        <is>
          <t>2026</t>
        </is>
      </c>
      <c r="Z563" s="11" t="inlineStr">
        <is>
          <t>2026-06</t>
        </is>
      </c>
      <c r="AA563" s="8" t="inlineStr"/>
      <c r="AB563" s="8" t="inlineStr"/>
      <c r="AC563" s="11" t="inlineStr">
        <is>
          <t>Military - National Digital Inventory Master 6.3.26.xlsx</t>
        </is>
      </c>
      <c r="AD563" s="11" t="inlineStr">
        <is>
          <t>Dobbins ARB options.docx</t>
        </is>
      </c>
      <c r="AE563" s="15" t="inlineStr">
        <is>
          <t>Open in Box</t>
        </is>
      </c>
      <c r="AF563" s="15" t="inlineStr">
        <is>
          <t>Open in Box</t>
        </is>
      </c>
    </row>
    <row r="564">
      <c r="A564" s="11" t="inlineStr">
        <is>
          <t>GA-DOBBINSA-002</t>
        </is>
      </c>
      <c r="B564" s="8" t="inlineStr">
        <is>
          <t>Dobbins ARB</t>
        </is>
      </c>
      <c r="C564" s="11" t="inlineStr"/>
      <c r="D564" s="11" t="inlineStr">
        <is>
          <t>GA</t>
        </is>
      </c>
      <c r="E564" s="11" t="inlineStr">
        <is>
          <t>Marietta, GA</t>
        </is>
      </c>
      <c r="F564" s="11" t="inlineStr"/>
      <c r="G564" s="11" t="inlineStr">
        <is>
          <t>Air Force</t>
        </is>
      </c>
      <c r="H564" s="11" t="inlineStr">
        <is>
          <t>Web &amp; Email</t>
        </is>
      </c>
      <c r="I564" s="8" t="inlineStr">
        <is>
          <t>Web Ad</t>
        </is>
      </c>
      <c r="J564" s="11" t="inlineStr"/>
      <c r="K564" s="8" t="inlineStr">
        <is>
          <t>Your ad will appear on the installation MWR / FSS website.</t>
        </is>
      </c>
      <c r="L564" s="11" t="n">
        <v>12</v>
      </c>
      <c r="M564" s="12" t="n"/>
      <c r="N564" s="12" t="n"/>
      <c r="O564" s="12" t="n"/>
      <c r="P564" s="12" t="n">
        <v>425</v>
      </c>
      <c r="Q564" s="12" t="n"/>
      <c r="R564" s="13">
        <f>IF(ISNUMBER(M564),ROUND(M564/(1-Settings!$B$2)/Settings!$B$3,0)*Settings!$B$3,"")</f>
        <v/>
      </c>
      <c r="S564" s="13">
        <f>IF(ISNUMBER(N564),ROUND(N564/(1-Settings!$B$2)/Settings!$B$3,0)*Settings!$B$3,"")</f>
        <v/>
      </c>
      <c r="T564" s="13">
        <f>IF(ISNUMBER(O564),ROUND(O564/(1-Settings!$B$2)/Settings!$B$3,0)*Settings!$B$3,"")</f>
        <v/>
      </c>
      <c r="U564" s="13">
        <f>IF(ISNUMBER(P564),ROUND(P564/(1-Settings!$B$2)/Settings!$B$3,0)*Settings!$B$3,"")</f>
        <v/>
      </c>
      <c r="V564" s="13">
        <f>IF(ISNUMBER(Q564),ROUND(Q564/(1-Settings!$B$2)/Settings!$B$3,0)*Settings!$B$3,"")</f>
        <v/>
      </c>
      <c r="W564" s="14" t="n"/>
      <c r="X564" s="14" t="n"/>
      <c r="Y564" s="11" t="inlineStr">
        <is>
          <t>2026</t>
        </is>
      </c>
      <c r="Z564" s="11" t="inlineStr">
        <is>
          <t>2026-06</t>
        </is>
      </c>
      <c r="AA564" s="8" t="inlineStr">
        <is>
          <t>Annual</t>
        </is>
      </c>
      <c r="AB564" s="8" t="inlineStr"/>
      <c r="AC564" s="11" t="inlineStr">
        <is>
          <t>Military - National Publication Inventory Master_June 2026.xlsx</t>
        </is>
      </c>
      <c r="AD564" s="11" t="inlineStr">
        <is>
          <t>Dobbins ARB options.docx</t>
        </is>
      </c>
      <c r="AE564" s="15" t="inlineStr">
        <is>
          <t>Open in Box</t>
        </is>
      </c>
      <c r="AF564" s="15" t="inlineStr">
        <is>
          <t>Open in Box</t>
        </is>
      </c>
    </row>
    <row r="565">
      <c r="A565" s="11" t="inlineStr">
        <is>
          <t>GA-FORTBENN-001</t>
        </is>
      </c>
      <c r="B565" s="8" t="inlineStr">
        <is>
          <t>Fort Benning</t>
        </is>
      </c>
      <c r="C565" s="11" t="inlineStr"/>
      <c r="D565" s="11" t="inlineStr">
        <is>
          <t>GA</t>
        </is>
      </c>
      <c r="E565" s="11" t="inlineStr">
        <is>
          <t>Columbus, GA</t>
        </is>
      </c>
      <c r="F565" s="11" t="inlineStr"/>
      <c r="G565" s="11" t="inlineStr">
        <is>
          <t>Army</t>
        </is>
      </c>
      <c r="H565" s="11" t="inlineStr">
        <is>
          <t>Digital</t>
        </is>
      </c>
      <c r="I565" s="8" t="inlineStr">
        <is>
          <t>Bowling Scoring Monitors</t>
        </is>
      </c>
      <c r="J565" s="11" t="inlineStr">
        <is>
          <t>36 screens</t>
        </is>
      </c>
      <c r="K565" s="8" t="inlineStr">
        <is>
          <t>Your ad will appear on the 36-screen scoring monitors in the installation bowling center.</t>
        </is>
      </c>
      <c r="L565" s="11" t="n">
        <v>1</v>
      </c>
      <c r="M565" s="12" t="n">
        <v>500</v>
      </c>
      <c r="N565" s="12" t="n"/>
      <c r="O565" s="12" t="n"/>
      <c r="P565" s="12" t="n"/>
      <c r="Q565" s="12" t="n"/>
      <c r="R565" s="13">
        <f>IF(ISNUMBER(M565),ROUND(M565/(1-Settings!$B$2)/Settings!$B$3,0)*Settings!$B$3,"")</f>
        <v/>
      </c>
      <c r="S565" s="13">
        <f>IF(ISNUMBER(N565),ROUND(N565/(1-Settings!$B$2)/Settings!$B$3,0)*Settings!$B$3,"")</f>
        <v/>
      </c>
      <c r="T565" s="13">
        <f>IF(ISNUMBER(O565),ROUND(O565/(1-Settings!$B$2)/Settings!$B$3,0)*Settings!$B$3,"")</f>
        <v/>
      </c>
      <c r="U565" s="13">
        <f>IF(ISNUMBER(P565),ROUND(P565/(1-Settings!$B$2)/Settings!$B$3,0)*Settings!$B$3,"")</f>
        <v/>
      </c>
      <c r="V565" s="13">
        <f>IF(ISNUMBER(Q565),ROUND(Q565/(1-Settings!$B$2)/Settings!$B$3,0)*Settings!$B$3,"")</f>
        <v/>
      </c>
      <c r="W565" s="14" t="n">
        <v>24305</v>
      </c>
      <c r="X565" s="14" t="n">
        <v>22480</v>
      </c>
      <c r="Y565" s="11" t="inlineStr">
        <is>
          <t>2026</t>
        </is>
      </c>
      <c r="Z565" s="11" t="inlineStr">
        <is>
          <t>2026-06</t>
        </is>
      </c>
      <c r="AA565" s="8" t="inlineStr"/>
      <c r="AB565" s="8" t="inlineStr"/>
      <c r="AC565" s="11" t="inlineStr">
        <is>
          <t>Military - National Digital Inventory Master 6.3.26.xlsx</t>
        </is>
      </c>
      <c r="AD565" s="11" t="inlineStr">
        <is>
          <t>Smith Fitness Advertising Opportunity_w dimensions.jpg</t>
        </is>
      </c>
      <c r="AE565" s="15" t="inlineStr">
        <is>
          <t>Open in Box</t>
        </is>
      </c>
      <c r="AF565" s="15" t="inlineStr">
        <is>
          <t>Open in Box</t>
        </is>
      </c>
    </row>
    <row r="566">
      <c r="A566" s="11" t="inlineStr">
        <is>
          <t>GA-FORTBENN-002</t>
        </is>
      </c>
      <c r="B566" s="8" t="inlineStr">
        <is>
          <t>Fort Benning</t>
        </is>
      </c>
      <c r="C566" s="11" t="inlineStr"/>
      <c r="D566" s="11" t="inlineStr">
        <is>
          <t>GA</t>
        </is>
      </c>
      <c r="E566" s="11" t="inlineStr">
        <is>
          <t>Columbus, GA</t>
        </is>
      </c>
      <c r="F566" s="11" t="inlineStr"/>
      <c r="G566" s="11" t="inlineStr">
        <is>
          <t>Army</t>
        </is>
      </c>
      <c r="H566" s="11" t="inlineStr">
        <is>
          <t>Digital</t>
        </is>
      </c>
      <c r="I566" s="8" t="inlineStr">
        <is>
          <t>Digital Marquee</t>
        </is>
      </c>
      <c r="J566" s="11" t="inlineStr">
        <is>
          <t>6 screens</t>
        </is>
      </c>
      <c r="K566" s="8" t="inlineStr">
        <is>
          <t>Your ad will appear on the 6-screen digital marquee(s) on the installation.</t>
        </is>
      </c>
      <c r="L566" s="11" t="n">
        <v>1</v>
      </c>
      <c r="M566" s="12" t="n">
        <v>1500</v>
      </c>
      <c r="N566" s="12" t="n"/>
      <c r="O566" s="12" t="n"/>
      <c r="P566" s="12" t="n"/>
      <c r="Q566" s="12" t="n"/>
      <c r="R566" s="13">
        <f>IF(ISNUMBER(M566),ROUND(M566/(1-Settings!$B$2)/Settings!$B$3,0)*Settings!$B$3,"")</f>
        <v/>
      </c>
      <c r="S566" s="13">
        <f>IF(ISNUMBER(N566),ROUND(N566/(1-Settings!$B$2)/Settings!$B$3,0)*Settings!$B$3,"")</f>
        <v/>
      </c>
      <c r="T566" s="13">
        <f>IF(ISNUMBER(O566),ROUND(O566/(1-Settings!$B$2)/Settings!$B$3,0)*Settings!$B$3,"")</f>
        <v/>
      </c>
      <c r="U566" s="13">
        <f>IF(ISNUMBER(P566),ROUND(P566/(1-Settings!$B$2)/Settings!$B$3,0)*Settings!$B$3,"")</f>
        <v/>
      </c>
      <c r="V566" s="13">
        <f>IF(ISNUMBER(Q566),ROUND(Q566/(1-Settings!$B$2)/Settings!$B$3,0)*Settings!$B$3,"")</f>
        <v/>
      </c>
      <c r="W566" s="14" t="n">
        <v>24305</v>
      </c>
      <c r="X566" s="14" t="n">
        <v>22480</v>
      </c>
      <c r="Y566" s="11" t="inlineStr">
        <is>
          <t>2026</t>
        </is>
      </c>
      <c r="Z566" s="11" t="inlineStr">
        <is>
          <t>2026-06</t>
        </is>
      </c>
      <c r="AA566" s="8" t="inlineStr"/>
      <c r="AB566" s="8" t="inlineStr"/>
      <c r="AC566" s="11" t="inlineStr">
        <is>
          <t>Military - National Digital Inventory Master 6.3.26.xlsx</t>
        </is>
      </c>
      <c r="AD566" s="11" t="inlineStr">
        <is>
          <t>Smith Fitness Advertising Opportunity_w dimensions.jpg</t>
        </is>
      </c>
      <c r="AE566" s="15" t="inlineStr">
        <is>
          <t>Open in Box</t>
        </is>
      </c>
      <c r="AF566" s="15" t="inlineStr">
        <is>
          <t>Open in Box</t>
        </is>
      </c>
    </row>
    <row r="567">
      <c r="A567" s="11" t="inlineStr">
        <is>
          <t>GA-FORTBENN-003</t>
        </is>
      </c>
      <c r="B567" s="8" t="inlineStr">
        <is>
          <t>Fort Benning</t>
        </is>
      </c>
      <c r="C567" s="11" t="inlineStr"/>
      <c r="D567" s="11" t="inlineStr">
        <is>
          <t>GA</t>
        </is>
      </c>
      <c r="E567" s="11" t="inlineStr">
        <is>
          <t>Columbus, GA</t>
        </is>
      </c>
      <c r="F567" s="11" t="inlineStr"/>
      <c r="G567" s="11" t="inlineStr">
        <is>
          <t>Army</t>
        </is>
      </c>
      <c r="H567" s="11" t="inlineStr">
        <is>
          <t>Web &amp; Email</t>
        </is>
      </c>
      <c r="I567" s="8" t="inlineStr">
        <is>
          <t>Web Ad</t>
        </is>
      </c>
      <c r="J567" s="11" t="inlineStr"/>
      <c r="K567" s="8" t="inlineStr">
        <is>
          <t>Your ad will appear on the installation MWR / FSS website.</t>
        </is>
      </c>
      <c r="L567" s="11" t="n">
        <v>1</v>
      </c>
      <c r="M567" s="12" t="n">
        <v>600</v>
      </c>
      <c r="N567" s="12" t="n"/>
      <c r="O567" s="12" t="n"/>
      <c r="P567" s="12" t="n"/>
      <c r="Q567" s="12" t="n"/>
      <c r="R567" s="13">
        <f>IF(ISNUMBER(M567),ROUND(M567/(1-Settings!$B$2)/Settings!$B$3,0)*Settings!$B$3,"")</f>
        <v/>
      </c>
      <c r="S567" s="13">
        <f>IF(ISNUMBER(N567),ROUND(N567/(1-Settings!$B$2)/Settings!$B$3,0)*Settings!$B$3,"")</f>
        <v/>
      </c>
      <c r="T567" s="13">
        <f>IF(ISNUMBER(O567),ROUND(O567/(1-Settings!$B$2)/Settings!$B$3,0)*Settings!$B$3,"")</f>
        <v/>
      </c>
      <c r="U567" s="13">
        <f>IF(ISNUMBER(P567),ROUND(P567/(1-Settings!$B$2)/Settings!$B$3,0)*Settings!$B$3,"")</f>
        <v/>
      </c>
      <c r="V567" s="13">
        <f>IF(ISNUMBER(Q567),ROUND(Q567/(1-Settings!$B$2)/Settings!$B$3,0)*Settings!$B$3,"")</f>
        <v/>
      </c>
      <c r="W567" s="14" t="n">
        <v>24305</v>
      </c>
      <c r="X567" s="14" t="n">
        <v>22480</v>
      </c>
      <c r="Y567" s="11" t="inlineStr">
        <is>
          <t>2026</t>
        </is>
      </c>
      <c r="Z567" s="11" t="inlineStr">
        <is>
          <t>2026-06</t>
        </is>
      </c>
      <c r="AA567" s="8" t="inlineStr"/>
      <c r="AB567" s="8" t="inlineStr"/>
      <c r="AC567" s="11" t="inlineStr">
        <is>
          <t>Military - National Publication Inventory Master_June 2026.xlsx</t>
        </is>
      </c>
      <c r="AD567" s="11" t="inlineStr">
        <is>
          <t>Smith Fitness Advertising Opportunity_w dimensions.jpg</t>
        </is>
      </c>
      <c r="AE567" s="15" t="inlineStr">
        <is>
          <t>Open in Box</t>
        </is>
      </c>
      <c r="AF567" s="15" t="inlineStr">
        <is>
          <t>Open in Box</t>
        </is>
      </c>
    </row>
    <row r="568">
      <c r="A568" s="11" t="inlineStr">
        <is>
          <t>GA-FORTEISE-001</t>
        </is>
      </c>
      <c r="B568" s="8" t="inlineStr">
        <is>
          <t>Fort Eisenhower</t>
        </is>
      </c>
      <c r="C568" s="11" t="inlineStr">
        <is>
          <t>Fort Gordon</t>
        </is>
      </c>
      <c r="D568" s="11" t="inlineStr">
        <is>
          <t>GA</t>
        </is>
      </c>
      <c r="E568" s="11" t="inlineStr">
        <is>
          <t>Augusta</t>
        </is>
      </c>
      <c r="F568" s="11" t="inlineStr">
        <is>
          <t>30905</t>
        </is>
      </c>
      <c r="G568" s="11" t="inlineStr">
        <is>
          <t>Army</t>
        </is>
      </c>
      <c r="H568" s="11" t="inlineStr">
        <is>
          <t>Digital</t>
        </is>
      </c>
      <c r="I568" s="8" t="inlineStr">
        <is>
          <t>Digital Monitor - Alternate Escapes Recreation Center</t>
        </is>
      </c>
      <c r="J568" s="11" t="inlineStr">
        <is>
          <t>1920px x 1080px</t>
        </is>
      </c>
      <c r="K568" s="8" t="inlineStr">
        <is>
          <t>Your ad will appear on approved monitors on the installation.</t>
        </is>
      </c>
      <c r="L568" s="11" t="n">
        <v>1</v>
      </c>
      <c r="M568" s="12" t="n">
        <v>400</v>
      </c>
      <c r="N568" s="12" t="n">
        <v>900</v>
      </c>
      <c r="O568" s="12" t="n">
        <v>1800</v>
      </c>
      <c r="P568" s="12" t="n">
        <v>3000</v>
      </c>
      <c r="Q568" s="12" t="n">
        <v>0</v>
      </c>
      <c r="R568" s="13">
        <f>IF(ISNUMBER(M568),ROUND(M568/(1-Settings!$B$2)/Settings!$B$3,0)*Settings!$B$3,"")</f>
        <v/>
      </c>
      <c r="S568" s="13">
        <f>IF(ISNUMBER(N568),ROUND(N568/(1-Settings!$B$2)/Settings!$B$3,0)*Settings!$B$3,"")</f>
        <v/>
      </c>
      <c r="T568" s="13">
        <f>IF(ISNUMBER(O568),ROUND(O568/(1-Settings!$B$2)/Settings!$B$3,0)*Settings!$B$3,"")</f>
        <v/>
      </c>
      <c r="U568" s="13">
        <f>IF(ISNUMBER(P568),ROUND(P568/(1-Settings!$B$2)/Settings!$B$3,0)*Settings!$B$3,"")</f>
        <v/>
      </c>
      <c r="V568" s="13">
        <f>IF(ISNUMBER(Q568),ROUND(Q568/(1-Settings!$B$2)/Settings!$B$3,0)*Settings!$B$3,"")</f>
        <v/>
      </c>
      <c r="W568" s="14" t="n">
        <v>11220</v>
      </c>
      <c r="X568" s="14" t="n">
        <v>14416</v>
      </c>
      <c r="Y568" s="11" t="inlineStr"/>
      <c r="Z568" s="11" t="inlineStr"/>
      <c r="AA568" s="8" t="inlineStr">
        <is>
          <t>Inventory master 6/2026 lists Digital Monitor Network at $4,100 (1 mo)</t>
        </is>
      </c>
      <c r="AB568" s="8" t="inlineStr"/>
      <c r="AC568" s="11" t="inlineStr">
        <is>
          <t>MasterMilitaryOnBaseList 12.2.25 NS.xlsx</t>
        </is>
      </c>
      <c r="AD568" s="11" t="inlineStr">
        <is>
          <t>Fort Gordon MWR Media Kit 2026-2027.pdf</t>
        </is>
      </c>
      <c r="AE568" s="15" t="inlineStr">
        <is>
          <t>Open in Box</t>
        </is>
      </c>
      <c r="AF568" s="15" t="inlineStr">
        <is>
          <t>Open in Box</t>
        </is>
      </c>
    </row>
    <row r="569">
      <c r="A569" s="11" t="inlineStr">
        <is>
          <t>GA-FORTEISE-002</t>
        </is>
      </c>
      <c r="B569" s="8" t="inlineStr">
        <is>
          <t>Fort Eisenhower</t>
        </is>
      </c>
      <c r="C569" s="11" t="inlineStr">
        <is>
          <t>Fort Gordon</t>
        </is>
      </c>
      <c r="D569" s="11" t="inlineStr">
        <is>
          <t>GA</t>
        </is>
      </c>
      <c r="E569" s="11" t="inlineStr">
        <is>
          <t>Augusta</t>
        </is>
      </c>
      <c r="F569" s="11" t="inlineStr">
        <is>
          <t>30905</t>
        </is>
      </c>
      <c r="G569" s="11" t="inlineStr">
        <is>
          <t>Army</t>
        </is>
      </c>
      <c r="H569" s="11" t="inlineStr">
        <is>
          <t>Digital</t>
        </is>
      </c>
      <c r="I569" s="8" t="inlineStr">
        <is>
          <t>Digital Monitor - Bingo Palace</t>
        </is>
      </c>
      <c r="J569" s="11" t="inlineStr">
        <is>
          <t>1920px x 1080px</t>
        </is>
      </c>
      <c r="K569" s="8" t="inlineStr">
        <is>
          <t>Your ad will appear on approved monitors on the installation.</t>
        </is>
      </c>
      <c r="L569" s="11" t="n">
        <v>1</v>
      </c>
      <c r="M569" s="12" t="n">
        <v>400</v>
      </c>
      <c r="N569" s="12" t="n">
        <v>900</v>
      </c>
      <c r="O569" s="12" t="n">
        <v>1800</v>
      </c>
      <c r="P569" s="12" t="n">
        <v>3000</v>
      </c>
      <c r="Q569" s="12" t="n">
        <v>0</v>
      </c>
      <c r="R569" s="13">
        <f>IF(ISNUMBER(M569),ROUND(M569/(1-Settings!$B$2)/Settings!$B$3,0)*Settings!$B$3,"")</f>
        <v/>
      </c>
      <c r="S569" s="13">
        <f>IF(ISNUMBER(N569),ROUND(N569/(1-Settings!$B$2)/Settings!$B$3,0)*Settings!$B$3,"")</f>
        <v/>
      </c>
      <c r="T569" s="13">
        <f>IF(ISNUMBER(O569),ROUND(O569/(1-Settings!$B$2)/Settings!$B$3,0)*Settings!$B$3,"")</f>
        <v/>
      </c>
      <c r="U569" s="13">
        <f>IF(ISNUMBER(P569),ROUND(P569/(1-Settings!$B$2)/Settings!$B$3,0)*Settings!$B$3,"")</f>
        <v/>
      </c>
      <c r="V569" s="13">
        <f>IF(ISNUMBER(Q569),ROUND(Q569/(1-Settings!$B$2)/Settings!$B$3,0)*Settings!$B$3,"")</f>
        <v/>
      </c>
      <c r="W569" s="14" t="n">
        <v>11220</v>
      </c>
      <c r="X569" s="14" t="n">
        <v>14416</v>
      </c>
      <c r="Y569" s="11" t="inlineStr"/>
      <c r="Z569" s="11" t="inlineStr"/>
      <c r="AA569" s="8" t="inlineStr">
        <is>
          <t>Inventory master 6/2026 lists Digital Monitor Network at $4,100 (1 mo)</t>
        </is>
      </c>
      <c r="AB569" s="8" t="inlineStr"/>
      <c r="AC569" s="11" t="inlineStr">
        <is>
          <t>MasterMilitaryOnBaseList 12.2.25 NS.xlsx</t>
        </is>
      </c>
      <c r="AD569" s="11" t="inlineStr">
        <is>
          <t>Fort Gordon MWR Media Kit 2026-2027.pdf</t>
        </is>
      </c>
      <c r="AE569" s="15" t="inlineStr">
        <is>
          <t>Open in Box</t>
        </is>
      </c>
      <c r="AF569" s="15" t="inlineStr">
        <is>
          <t>Open in Box</t>
        </is>
      </c>
    </row>
    <row r="570">
      <c r="A570" s="11" t="inlineStr">
        <is>
          <t>GA-FORTEISE-003</t>
        </is>
      </c>
      <c r="B570" s="8" t="inlineStr">
        <is>
          <t>Fort Eisenhower</t>
        </is>
      </c>
      <c r="C570" s="11" t="inlineStr">
        <is>
          <t>Fort Gordon</t>
        </is>
      </c>
      <c r="D570" s="11" t="inlineStr">
        <is>
          <t>GA</t>
        </is>
      </c>
      <c r="E570" s="11" t="inlineStr">
        <is>
          <t>Augusta</t>
        </is>
      </c>
      <c r="F570" s="11" t="inlineStr">
        <is>
          <t>30905</t>
        </is>
      </c>
      <c r="G570" s="11" t="inlineStr">
        <is>
          <t>Army</t>
        </is>
      </c>
      <c r="H570" s="11" t="inlineStr">
        <is>
          <t>Digital</t>
        </is>
      </c>
      <c r="I570" s="8" t="inlineStr">
        <is>
          <t>Digital Monitor - Bogey's Grill at the Golf Club</t>
        </is>
      </c>
      <c r="J570" s="11" t="inlineStr">
        <is>
          <t>1920px x 1080px</t>
        </is>
      </c>
      <c r="K570" s="8" t="inlineStr">
        <is>
          <t>Your ad will appear on approved monitors on the installation.</t>
        </is>
      </c>
      <c r="L570" s="11" t="n">
        <v>1</v>
      </c>
      <c r="M570" s="12" t="n">
        <v>300</v>
      </c>
      <c r="N570" s="12" t="n">
        <v>900</v>
      </c>
      <c r="O570" s="12" t="n">
        <v>1800</v>
      </c>
      <c r="P570" s="12" t="n">
        <v>3000</v>
      </c>
      <c r="Q570" s="12" t="n">
        <v>0</v>
      </c>
      <c r="R570" s="13">
        <f>IF(ISNUMBER(M570),ROUND(M570/(1-Settings!$B$2)/Settings!$B$3,0)*Settings!$B$3,"")</f>
        <v/>
      </c>
      <c r="S570" s="13">
        <f>IF(ISNUMBER(N570),ROUND(N570/(1-Settings!$B$2)/Settings!$B$3,0)*Settings!$B$3,"")</f>
        <v/>
      </c>
      <c r="T570" s="13">
        <f>IF(ISNUMBER(O570),ROUND(O570/(1-Settings!$B$2)/Settings!$B$3,0)*Settings!$B$3,"")</f>
        <v/>
      </c>
      <c r="U570" s="13">
        <f>IF(ISNUMBER(P570),ROUND(P570/(1-Settings!$B$2)/Settings!$B$3,0)*Settings!$B$3,"")</f>
        <v/>
      </c>
      <c r="V570" s="13">
        <f>IF(ISNUMBER(Q570),ROUND(Q570/(1-Settings!$B$2)/Settings!$B$3,0)*Settings!$B$3,"")</f>
        <v/>
      </c>
      <c r="W570" s="14" t="n">
        <v>11220</v>
      </c>
      <c r="X570" s="14" t="n">
        <v>14416</v>
      </c>
      <c r="Y570" s="11" t="inlineStr"/>
      <c r="Z570" s="11" t="inlineStr"/>
      <c r="AA570" s="8" t="inlineStr">
        <is>
          <t>Inventory master 6/2026 lists Digital Monitor Network at $4,100 (1 mo)</t>
        </is>
      </c>
      <c r="AB570" s="8" t="inlineStr"/>
      <c r="AC570" s="11" t="inlineStr">
        <is>
          <t>MasterMilitaryOnBaseList 12.2.25 NS.xlsx</t>
        </is>
      </c>
      <c r="AD570" s="11" t="inlineStr">
        <is>
          <t>Fort Gordon MWR Media Kit 2026-2027.pdf</t>
        </is>
      </c>
      <c r="AE570" s="15" t="inlineStr">
        <is>
          <t>Open in Box</t>
        </is>
      </c>
      <c r="AF570" s="15" t="inlineStr">
        <is>
          <t>Open in Box</t>
        </is>
      </c>
    </row>
    <row r="571">
      <c r="A571" s="11" t="inlineStr">
        <is>
          <t>GA-FORTEISE-004</t>
        </is>
      </c>
      <c r="B571" s="8" t="inlineStr">
        <is>
          <t>Fort Eisenhower</t>
        </is>
      </c>
      <c r="C571" s="11" t="inlineStr">
        <is>
          <t>Fort Gordon</t>
        </is>
      </c>
      <c r="D571" s="11" t="inlineStr">
        <is>
          <t>GA</t>
        </is>
      </c>
      <c r="E571" s="11" t="inlineStr">
        <is>
          <t>Augusta</t>
        </is>
      </c>
      <c r="F571" s="11" t="inlineStr">
        <is>
          <t>30905</t>
        </is>
      </c>
      <c r="G571" s="11" t="inlineStr">
        <is>
          <t>Army</t>
        </is>
      </c>
      <c r="H571" s="11" t="inlineStr">
        <is>
          <t>Digital</t>
        </is>
      </c>
      <c r="I571" s="8" t="inlineStr">
        <is>
          <t>Digital Monitor - CYS Parent Central Services</t>
        </is>
      </c>
      <c r="J571" s="11" t="inlineStr">
        <is>
          <t>1920px x 1080px</t>
        </is>
      </c>
      <c r="K571" s="8" t="inlineStr">
        <is>
          <t>Your ad will appear on approved monitors on the installation.</t>
        </is>
      </c>
      <c r="L571" s="11" t="n">
        <v>1</v>
      </c>
      <c r="M571" s="12" t="n">
        <v>200</v>
      </c>
      <c r="N571" s="12" t="n">
        <v>600</v>
      </c>
      <c r="O571" s="12" t="n">
        <v>1200</v>
      </c>
      <c r="P571" s="12" t="n">
        <v>2400</v>
      </c>
      <c r="Q571" s="12" t="n">
        <v>0</v>
      </c>
      <c r="R571" s="13">
        <f>IF(ISNUMBER(M571),ROUND(M571/(1-Settings!$B$2)/Settings!$B$3,0)*Settings!$B$3,"")</f>
        <v/>
      </c>
      <c r="S571" s="13">
        <f>IF(ISNUMBER(N571),ROUND(N571/(1-Settings!$B$2)/Settings!$B$3,0)*Settings!$B$3,"")</f>
        <v/>
      </c>
      <c r="T571" s="13">
        <f>IF(ISNUMBER(O571),ROUND(O571/(1-Settings!$B$2)/Settings!$B$3,0)*Settings!$B$3,"")</f>
        <v/>
      </c>
      <c r="U571" s="13">
        <f>IF(ISNUMBER(P571),ROUND(P571/(1-Settings!$B$2)/Settings!$B$3,0)*Settings!$B$3,"")</f>
        <v/>
      </c>
      <c r="V571" s="13">
        <f>IF(ISNUMBER(Q571),ROUND(Q571/(1-Settings!$B$2)/Settings!$B$3,0)*Settings!$B$3,"")</f>
        <v/>
      </c>
      <c r="W571" s="14" t="n">
        <v>11220</v>
      </c>
      <c r="X571" s="14" t="n">
        <v>14416</v>
      </c>
      <c r="Y571" s="11" t="inlineStr"/>
      <c r="Z571" s="11" t="inlineStr"/>
      <c r="AA571" s="8" t="inlineStr">
        <is>
          <t>Inventory master 6/2026 lists Digital Monitor Network at $4,100 (1 mo)</t>
        </is>
      </c>
      <c r="AB571" s="8" t="inlineStr"/>
      <c r="AC571" s="11" t="inlineStr">
        <is>
          <t>MasterMilitaryOnBaseList 12.2.25 NS.xlsx</t>
        </is>
      </c>
      <c r="AD571" s="11" t="inlineStr">
        <is>
          <t>Fort Gordon MWR Media Kit 2026-2027.pdf</t>
        </is>
      </c>
      <c r="AE571" s="15" t="inlineStr">
        <is>
          <t>Open in Box</t>
        </is>
      </c>
      <c r="AF571" s="15" t="inlineStr">
        <is>
          <t>Open in Box</t>
        </is>
      </c>
    </row>
    <row r="572">
      <c r="A572" s="11" t="inlineStr">
        <is>
          <t>GA-FORTEISE-005</t>
        </is>
      </c>
      <c r="B572" s="8" t="inlineStr">
        <is>
          <t>Fort Eisenhower</t>
        </is>
      </c>
      <c r="C572" s="11" t="inlineStr">
        <is>
          <t>Fort Gordon</t>
        </is>
      </c>
      <c r="D572" s="11" t="inlineStr">
        <is>
          <t>GA</t>
        </is>
      </c>
      <c r="E572" s="11" t="inlineStr">
        <is>
          <t>Augusta</t>
        </is>
      </c>
      <c r="F572" s="11" t="inlineStr">
        <is>
          <t>30905</t>
        </is>
      </c>
      <c r="G572" s="11" t="inlineStr">
        <is>
          <t>Army</t>
        </is>
      </c>
      <c r="H572" s="11" t="inlineStr">
        <is>
          <t>Digital</t>
        </is>
      </c>
      <c r="I572" s="8" t="inlineStr">
        <is>
          <t>Digital Monitor - Darling Hall (Lobby)</t>
        </is>
      </c>
      <c r="J572" s="11" t="inlineStr">
        <is>
          <t>1920px x 1080px</t>
        </is>
      </c>
      <c r="K572" s="8" t="inlineStr">
        <is>
          <t>Your ad will appear on approved monitors on the installation.</t>
        </is>
      </c>
      <c r="L572" s="11" t="n">
        <v>1</v>
      </c>
      <c r="M572" s="12" t="n">
        <v>400</v>
      </c>
      <c r="N572" s="12" t="n">
        <v>1200</v>
      </c>
      <c r="O572" s="12" t="n">
        <v>2400</v>
      </c>
      <c r="P572" s="12" t="n">
        <v>4500</v>
      </c>
      <c r="Q572" s="12" t="n">
        <v>0</v>
      </c>
      <c r="R572" s="13">
        <f>IF(ISNUMBER(M572),ROUND(M572/(1-Settings!$B$2)/Settings!$B$3,0)*Settings!$B$3,"")</f>
        <v/>
      </c>
      <c r="S572" s="13">
        <f>IF(ISNUMBER(N572),ROUND(N572/(1-Settings!$B$2)/Settings!$B$3,0)*Settings!$B$3,"")</f>
        <v/>
      </c>
      <c r="T572" s="13">
        <f>IF(ISNUMBER(O572),ROUND(O572/(1-Settings!$B$2)/Settings!$B$3,0)*Settings!$B$3,"")</f>
        <v/>
      </c>
      <c r="U572" s="13">
        <f>IF(ISNUMBER(P572),ROUND(P572/(1-Settings!$B$2)/Settings!$B$3,0)*Settings!$B$3,"")</f>
        <v/>
      </c>
      <c r="V572" s="13">
        <f>IF(ISNUMBER(Q572),ROUND(Q572/(1-Settings!$B$2)/Settings!$B$3,0)*Settings!$B$3,"")</f>
        <v/>
      </c>
      <c r="W572" s="14" t="n">
        <v>11220</v>
      </c>
      <c r="X572" s="14" t="n">
        <v>14416</v>
      </c>
      <c r="Y572" s="11" t="inlineStr"/>
      <c r="Z572" s="11" t="inlineStr"/>
      <c r="AA572" s="8" t="inlineStr">
        <is>
          <t>Inventory master 6/2026 lists Digital Monitor Network at $4,100 (1 mo)</t>
        </is>
      </c>
      <c r="AB572" s="8" t="inlineStr"/>
      <c r="AC572" s="11" t="inlineStr">
        <is>
          <t>MasterMilitaryOnBaseList 12.2.25 NS.xlsx</t>
        </is>
      </c>
      <c r="AD572" s="11" t="inlineStr">
        <is>
          <t>Fort Gordon MWR Media Kit 2026-2027.pdf</t>
        </is>
      </c>
      <c r="AE572" s="15" t="inlineStr">
        <is>
          <t>Open in Box</t>
        </is>
      </c>
      <c r="AF572" s="15" t="inlineStr">
        <is>
          <t>Open in Box</t>
        </is>
      </c>
    </row>
    <row r="573">
      <c r="A573" s="11" t="inlineStr">
        <is>
          <t>GA-FORTEISE-006</t>
        </is>
      </c>
      <c r="B573" s="8" t="inlineStr">
        <is>
          <t>Fort Eisenhower</t>
        </is>
      </c>
      <c r="C573" s="11" t="inlineStr">
        <is>
          <t>Fort Gordon</t>
        </is>
      </c>
      <c r="D573" s="11" t="inlineStr">
        <is>
          <t>GA</t>
        </is>
      </c>
      <c r="E573" s="11" t="inlineStr">
        <is>
          <t>Augusta</t>
        </is>
      </c>
      <c r="F573" s="11" t="inlineStr">
        <is>
          <t>30905</t>
        </is>
      </c>
      <c r="G573" s="11" t="inlineStr">
        <is>
          <t>Army</t>
        </is>
      </c>
      <c r="H573" s="11" t="inlineStr">
        <is>
          <t>Digital</t>
        </is>
      </c>
      <c r="I573" s="8" t="inlineStr">
        <is>
          <t>Digital Monitor - Five Star Bowling Lanes</t>
        </is>
      </c>
      <c r="J573" s="11" t="inlineStr">
        <is>
          <t>1920px x 1080px</t>
        </is>
      </c>
      <c r="K573" s="8" t="inlineStr">
        <is>
          <t>Your ad will appear on approved monitors on the installation.</t>
        </is>
      </c>
      <c r="L573" s="11" t="n">
        <v>1</v>
      </c>
      <c r="M573" s="12" t="n">
        <v>400</v>
      </c>
      <c r="N573" s="12" t="n">
        <v>900</v>
      </c>
      <c r="O573" s="12" t="n">
        <v>1800</v>
      </c>
      <c r="P573" s="12" t="n">
        <v>3000</v>
      </c>
      <c r="Q573" s="12" t="n">
        <v>0</v>
      </c>
      <c r="R573" s="13">
        <f>IF(ISNUMBER(M573),ROUND(M573/(1-Settings!$B$2)/Settings!$B$3,0)*Settings!$B$3,"")</f>
        <v/>
      </c>
      <c r="S573" s="13">
        <f>IF(ISNUMBER(N573),ROUND(N573/(1-Settings!$B$2)/Settings!$B$3,0)*Settings!$B$3,"")</f>
        <v/>
      </c>
      <c r="T573" s="13">
        <f>IF(ISNUMBER(O573),ROUND(O573/(1-Settings!$B$2)/Settings!$B$3,0)*Settings!$B$3,"")</f>
        <v/>
      </c>
      <c r="U573" s="13">
        <f>IF(ISNUMBER(P573),ROUND(P573/(1-Settings!$B$2)/Settings!$B$3,0)*Settings!$B$3,"")</f>
        <v/>
      </c>
      <c r="V573" s="13">
        <f>IF(ISNUMBER(Q573),ROUND(Q573/(1-Settings!$B$2)/Settings!$B$3,0)*Settings!$B$3,"")</f>
        <v/>
      </c>
      <c r="W573" s="14" t="n">
        <v>11220</v>
      </c>
      <c r="X573" s="14" t="n">
        <v>14416</v>
      </c>
      <c r="Y573" s="11" t="inlineStr"/>
      <c r="Z573" s="11" t="inlineStr"/>
      <c r="AA573" s="8" t="inlineStr">
        <is>
          <t>Inventory master 6/2026 lists Digital Monitor Network at $4,100 (1 mo); Inventory master 6/2026 lists Bowling Scoring Monitors at $500 (1 mo)</t>
        </is>
      </c>
      <c r="AB573" s="8" t="inlineStr"/>
      <c r="AC573" s="11" t="inlineStr">
        <is>
          <t>MasterMilitaryOnBaseList 12.2.25 NS.xlsx</t>
        </is>
      </c>
      <c r="AD573" s="11" t="inlineStr">
        <is>
          <t>Fort Gordon MWR Media Kit 2026-2027.pdf</t>
        </is>
      </c>
      <c r="AE573" s="15" t="inlineStr">
        <is>
          <t>Open in Box</t>
        </is>
      </c>
      <c r="AF573" s="15" t="inlineStr">
        <is>
          <t>Open in Box</t>
        </is>
      </c>
    </row>
    <row r="574">
      <c r="A574" s="11" t="inlineStr">
        <is>
          <t>GA-FORTEISE-007</t>
        </is>
      </c>
      <c r="B574" s="8" t="inlineStr">
        <is>
          <t>Fort Eisenhower</t>
        </is>
      </c>
      <c r="C574" s="11" t="inlineStr">
        <is>
          <t>Fort Gordon</t>
        </is>
      </c>
      <c r="D574" s="11" t="inlineStr">
        <is>
          <t>GA</t>
        </is>
      </c>
      <c r="E574" s="11" t="inlineStr">
        <is>
          <t>Augusta</t>
        </is>
      </c>
      <c r="F574" s="11" t="inlineStr">
        <is>
          <t>30905</t>
        </is>
      </c>
      <c r="G574" s="11" t="inlineStr">
        <is>
          <t>Army</t>
        </is>
      </c>
      <c r="H574" s="11" t="inlineStr">
        <is>
          <t>Digital</t>
        </is>
      </c>
      <c r="I574" s="8" t="inlineStr">
        <is>
          <t>Digital Monitor - MWR Marketing Office</t>
        </is>
      </c>
      <c r="J574" s="11" t="inlineStr">
        <is>
          <t>1920px x 1080px</t>
        </is>
      </c>
      <c r="K574" s="8" t="inlineStr">
        <is>
          <t>Your ad will appear on approved monitors on the installation.</t>
        </is>
      </c>
      <c r="L574" s="11" t="n">
        <v>1</v>
      </c>
      <c r="M574" s="12" t="n">
        <v>200</v>
      </c>
      <c r="N574" s="12" t="n">
        <v>600</v>
      </c>
      <c r="O574" s="12" t="n">
        <v>1200</v>
      </c>
      <c r="P574" s="12" t="n">
        <v>2000</v>
      </c>
      <c r="Q574" s="12" t="n">
        <v>0</v>
      </c>
      <c r="R574" s="13">
        <f>IF(ISNUMBER(M574),ROUND(M574/(1-Settings!$B$2)/Settings!$B$3,0)*Settings!$B$3,"")</f>
        <v/>
      </c>
      <c r="S574" s="13">
        <f>IF(ISNUMBER(N574),ROUND(N574/(1-Settings!$B$2)/Settings!$B$3,0)*Settings!$B$3,"")</f>
        <v/>
      </c>
      <c r="T574" s="13">
        <f>IF(ISNUMBER(O574),ROUND(O574/(1-Settings!$B$2)/Settings!$B$3,0)*Settings!$B$3,"")</f>
        <v/>
      </c>
      <c r="U574" s="13">
        <f>IF(ISNUMBER(P574),ROUND(P574/(1-Settings!$B$2)/Settings!$B$3,0)*Settings!$B$3,"")</f>
        <v/>
      </c>
      <c r="V574" s="13">
        <f>IF(ISNUMBER(Q574),ROUND(Q574/(1-Settings!$B$2)/Settings!$B$3,0)*Settings!$B$3,"")</f>
        <v/>
      </c>
      <c r="W574" s="14" t="n">
        <v>11220</v>
      </c>
      <c r="X574" s="14" t="n">
        <v>14416</v>
      </c>
      <c r="Y574" s="11" t="inlineStr"/>
      <c r="Z574" s="11" t="inlineStr"/>
      <c r="AA574" s="8" t="inlineStr">
        <is>
          <t>Inventory master 6/2026 lists Digital Monitor Network at $4,100 (1 mo)</t>
        </is>
      </c>
      <c r="AB574" s="8" t="inlineStr"/>
      <c r="AC574" s="11" t="inlineStr">
        <is>
          <t>MasterMilitaryOnBaseList 12.2.25 NS.xlsx</t>
        </is>
      </c>
      <c r="AD574" s="11" t="inlineStr">
        <is>
          <t>Fort Gordon MWR Media Kit 2026-2027.pdf</t>
        </is>
      </c>
      <c r="AE574" s="15" t="inlineStr">
        <is>
          <t>Open in Box</t>
        </is>
      </c>
      <c r="AF574" s="15" t="inlineStr">
        <is>
          <t>Open in Box</t>
        </is>
      </c>
    </row>
    <row r="575">
      <c r="A575" s="11" t="inlineStr">
        <is>
          <t>GA-FORTEISE-008</t>
        </is>
      </c>
      <c r="B575" s="8" t="inlineStr">
        <is>
          <t>Fort Eisenhower</t>
        </is>
      </c>
      <c r="C575" s="11" t="inlineStr">
        <is>
          <t>Fort Gordon</t>
        </is>
      </c>
      <c r="D575" s="11" t="inlineStr">
        <is>
          <t>GA</t>
        </is>
      </c>
      <c r="E575" s="11" t="inlineStr">
        <is>
          <t>Augusta</t>
        </is>
      </c>
      <c r="F575" s="11" t="inlineStr">
        <is>
          <t>30905</t>
        </is>
      </c>
      <c r="G575" s="11" t="inlineStr">
        <is>
          <t>Army</t>
        </is>
      </c>
      <c r="H575" s="11" t="inlineStr">
        <is>
          <t>Digital</t>
        </is>
      </c>
      <c r="I575" s="8" t="inlineStr">
        <is>
          <t>Digital Monitor - Overlord Fitness Center</t>
        </is>
      </c>
      <c r="J575" s="11" t="inlineStr">
        <is>
          <t>1920px x 1080px</t>
        </is>
      </c>
      <c r="K575" s="8" t="inlineStr">
        <is>
          <t>Your ad will appear on approved monitors on the installation.</t>
        </is>
      </c>
      <c r="L575" s="11" t="n">
        <v>1</v>
      </c>
      <c r="M575" s="12" t="n">
        <v>400</v>
      </c>
      <c r="N575" s="12" t="n">
        <v>1200</v>
      </c>
      <c r="O575" s="12" t="n">
        <v>2400</v>
      </c>
      <c r="P575" s="12" t="n">
        <v>4500</v>
      </c>
      <c r="Q575" s="12" t="n">
        <v>0</v>
      </c>
      <c r="R575" s="13">
        <f>IF(ISNUMBER(M575),ROUND(M575/(1-Settings!$B$2)/Settings!$B$3,0)*Settings!$B$3,"")</f>
        <v/>
      </c>
      <c r="S575" s="13">
        <f>IF(ISNUMBER(N575),ROUND(N575/(1-Settings!$B$2)/Settings!$B$3,0)*Settings!$B$3,"")</f>
        <v/>
      </c>
      <c r="T575" s="13">
        <f>IF(ISNUMBER(O575),ROUND(O575/(1-Settings!$B$2)/Settings!$B$3,0)*Settings!$B$3,"")</f>
        <v/>
      </c>
      <c r="U575" s="13">
        <f>IF(ISNUMBER(P575),ROUND(P575/(1-Settings!$B$2)/Settings!$B$3,0)*Settings!$B$3,"")</f>
        <v/>
      </c>
      <c r="V575" s="13">
        <f>IF(ISNUMBER(Q575),ROUND(Q575/(1-Settings!$B$2)/Settings!$B$3,0)*Settings!$B$3,"")</f>
        <v/>
      </c>
      <c r="W575" s="14" t="n">
        <v>11220</v>
      </c>
      <c r="X575" s="14" t="n">
        <v>14416</v>
      </c>
      <c r="Y575" s="11" t="inlineStr"/>
      <c r="Z575" s="11" t="inlineStr"/>
      <c r="AA575" s="8" t="inlineStr">
        <is>
          <t>Inventory master 6/2026 lists Digital Monitor Network at $4,100 (1 mo)</t>
        </is>
      </c>
      <c r="AB575" s="8" t="inlineStr"/>
      <c r="AC575" s="11" t="inlineStr">
        <is>
          <t>MasterMilitaryOnBaseList 12.2.25 NS.xlsx</t>
        </is>
      </c>
      <c r="AD575" s="11" t="inlineStr">
        <is>
          <t>Fort Gordon MWR Media Kit 2026-2027.pdf</t>
        </is>
      </c>
      <c r="AE575" s="15" t="inlineStr">
        <is>
          <t>Open in Box</t>
        </is>
      </c>
      <c r="AF575" s="15" t="inlineStr">
        <is>
          <t>Open in Box</t>
        </is>
      </c>
    </row>
    <row r="576">
      <c r="A576" s="11" t="inlineStr">
        <is>
          <t>GA-FORTEISE-009</t>
        </is>
      </c>
      <c r="B576" s="8" t="inlineStr">
        <is>
          <t>Fort Eisenhower</t>
        </is>
      </c>
      <c r="C576" s="11" t="inlineStr">
        <is>
          <t>Fort Gordon</t>
        </is>
      </c>
      <c r="D576" s="11" t="inlineStr">
        <is>
          <t>GA</t>
        </is>
      </c>
      <c r="E576" s="11" t="inlineStr">
        <is>
          <t>Augusta</t>
        </is>
      </c>
      <c r="F576" s="11" t="inlineStr">
        <is>
          <t>30905</t>
        </is>
      </c>
      <c r="G576" s="11" t="inlineStr">
        <is>
          <t>Army</t>
        </is>
      </c>
      <c r="H576" s="11" t="inlineStr">
        <is>
          <t>Digital</t>
        </is>
      </c>
      <c r="I576" s="8" t="inlineStr">
        <is>
          <t>Digital Monitor - Torch Fitness Center</t>
        </is>
      </c>
      <c r="J576" s="11" t="inlineStr">
        <is>
          <t>1920px x 1080px</t>
        </is>
      </c>
      <c r="K576" s="8" t="inlineStr">
        <is>
          <t>Your ad will appear on approved monitors on the installation.</t>
        </is>
      </c>
      <c r="L576" s="11" t="n">
        <v>1</v>
      </c>
      <c r="M576" s="12" t="n">
        <v>300</v>
      </c>
      <c r="N576" s="12" t="n">
        <v>900</v>
      </c>
      <c r="O576" s="12" t="n">
        <v>1800</v>
      </c>
      <c r="P576" s="12" t="n">
        <v>3000</v>
      </c>
      <c r="Q576" s="12" t="n">
        <v>0</v>
      </c>
      <c r="R576" s="13">
        <f>IF(ISNUMBER(M576),ROUND(M576/(1-Settings!$B$2)/Settings!$B$3,0)*Settings!$B$3,"")</f>
        <v/>
      </c>
      <c r="S576" s="13">
        <f>IF(ISNUMBER(N576),ROUND(N576/(1-Settings!$B$2)/Settings!$B$3,0)*Settings!$B$3,"")</f>
        <v/>
      </c>
      <c r="T576" s="13">
        <f>IF(ISNUMBER(O576),ROUND(O576/(1-Settings!$B$2)/Settings!$B$3,0)*Settings!$B$3,"")</f>
        <v/>
      </c>
      <c r="U576" s="13">
        <f>IF(ISNUMBER(P576),ROUND(P576/(1-Settings!$B$2)/Settings!$B$3,0)*Settings!$B$3,"")</f>
        <v/>
      </c>
      <c r="V576" s="13">
        <f>IF(ISNUMBER(Q576),ROUND(Q576/(1-Settings!$B$2)/Settings!$B$3,0)*Settings!$B$3,"")</f>
        <v/>
      </c>
      <c r="W576" s="14" t="n">
        <v>11220</v>
      </c>
      <c r="X576" s="14" t="n">
        <v>14416</v>
      </c>
      <c r="Y576" s="11" t="inlineStr"/>
      <c r="Z576" s="11" t="inlineStr"/>
      <c r="AA576" s="8" t="inlineStr">
        <is>
          <t>Inventory master 6/2026 lists Digital Monitor Network at $4,100 (1 mo)</t>
        </is>
      </c>
      <c r="AB576" s="8" t="inlineStr"/>
      <c r="AC576" s="11" t="inlineStr">
        <is>
          <t>MasterMilitaryOnBaseList 12.2.25 NS.xlsx</t>
        </is>
      </c>
      <c r="AD576" s="11" t="inlineStr">
        <is>
          <t>Fort Gordon MWR Media Kit 2026-2027.pdf</t>
        </is>
      </c>
      <c r="AE576" s="15" t="inlineStr">
        <is>
          <t>Open in Box</t>
        </is>
      </c>
      <c r="AF576" s="15" t="inlineStr">
        <is>
          <t>Open in Box</t>
        </is>
      </c>
    </row>
    <row r="577">
      <c r="A577" s="11" t="inlineStr">
        <is>
          <t>GA-FORTEISE-010</t>
        </is>
      </c>
      <c r="B577" s="8" t="inlineStr">
        <is>
          <t>Fort Eisenhower</t>
        </is>
      </c>
      <c r="C577" s="11" t="inlineStr">
        <is>
          <t>Fort Gordon</t>
        </is>
      </c>
      <c r="D577" s="11" t="inlineStr">
        <is>
          <t>GA</t>
        </is>
      </c>
      <c r="E577" s="11" t="inlineStr">
        <is>
          <t>Augusta</t>
        </is>
      </c>
      <c r="F577" s="11" t="inlineStr">
        <is>
          <t>30905</t>
        </is>
      </c>
      <c r="G577" s="11" t="inlineStr">
        <is>
          <t>Army</t>
        </is>
      </c>
      <c r="H577" s="11" t="inlineStr">
        <is>
          <t>Digital</t>
        </is>
      </c>
      <c r="I577" s="8" t="inlineStr">
        <is>
          <t>Digital Monitor - Victory Fitness Center</t>
        </is>
      </c>
      <c r="J577" s="11" t="inlineStr">
        <is>
          <t>1920px x 1080px</t>
        </is>
      </c>
      <c r="K577" s="8" t="inlineStr">
        <is>
          <t>Your ad will appear on approved monitors on the installation.</t>
        </is>
      </c>
      <c r="L577" s="11" t="n">
        <v>1</v>
      </c>
      <c r="M577" s="12" t="n">
        <v>300</v>
      </c>
      <c r="N577" s="12" t="n">
        <v>900</v>
      </c>
      <c r="O577" s="12" t="n">
        <v>1800</v>
      </c>
      <c r="P577" s="12" t="n">
        <v>3000</v>
      </c>
      <c r="Q577" s="12" t="n">
        <v>0</v>
      </c>
      <c r="R577" s="13">
        <f>IF(ISNUMBER(M577),ROUND(M577/(1-Settings!$B$2)/Settings!$B$3,0)*Settings!$B$3,"")</f>
        <v/>
      </c>
      <c r="S577" s="13">
        <f>IF(ISNUMBER(N577),ROUND(N577/(1-Settings!$B$2)/Settings!$B$3,0)*Settings!$B$3,"")</f>
        <v/>
      </c>
      <c r="T577" s="13">
        <f>IF(ISNUMBER(O577),ROUND(O577/(1-Settings!$B$2)/Settings!$B$3,0)*Settings!$B$3,"")</f>
        <v/>
      </c>
      <c r="U577" s="13">
        <f>IF(ISNUMBER(P577),ROUND(P577/(1-Settings!$B$2)/Settings!$B$3,0)*Settings!$B$3,"")</f>
        <v/>
      </c>
      <c r="V577" s="13">
        <f>IF(ISNUMBER(Q577),ROUND(Q577/(1-Settings!$B$2)/Settings!$B$3,0)*Settings!$B$3,"")</f>
        <v/>
      </c>
      <c r="W577" s="14" t="n">
        <v>11220</v>
      </c>
      <c r="X577" s="14" t="n">
        <v>14416</v>
      </c>
      <c r="Y577" s="11" t="inlineStr"/>
      <c r="Z577" s="11" t="inlineStr"/>
      <c r="AA577" s="8" t="inlineStr">
        <is>
          <t>Inventory master 6/2026 lists Digital Monitor Network at $4,100 (1 mo)</t>
        </is>
      </c>
      <c r="AB577" s="8" t="inlineStr"/>
      <c r="AC577" s="11" t="inlineStr">
        <is>
          <t>MasterMilitaryOnBaseList 12.2.25 NS.xlsx</t>
        </is>
      </c>
      <c r="AD577" s="11" t="inlineStr">
        <is>
          <t>Fort Gordon MWR Media Kit 2026-2027.pdf</t>
        </is>
      </c>
      <c r="AE577" s="15" t="inlineStr">
        <is>
          <t>Open in Box</t>
        </is>
      </c>
      <c r="AF577" s="15" t="inlineStr">
        <is>
          <t>Open in Box</t>
        </is>
      </c>
    </row>
    <row r="578">
      <c r="A578" s="11" t="inlineStr">
        <is>
          <t>GA-FORTEISE-011</t>
        </is>
      </c>
      <c r="B578" s="8" t="inlineStr">
        <is>
          <t>Fort Eisenhower</t>
        </is>
      </c>
      <c r="C578" s="11" t="inlineStr">
        <is>
          <t>Fort Gordon</t>
        </is>
      </c>
      <c r="D578" s="11" t="inlineStr">
        <is>
          <t>GA</t>
        </is>
      </c>
      <c r="E578" s="11" t="inlineStr">
        <is>
          <t>Augusta</t>
        </is>
      </c>
      <c r="F578" s="11" t="inlineStr">
        <is>
          <t>30905</t>
        </is>
      </c>
      <c r="G578" s="11" t="inlineStr">
        <is>
          <t>Army</t>
        </is>
      </c>
      <c r="H578" s="11" t="inlineStr">
        <is>
          <t>Digital</t>
        </is>
      </c>
      <c r="I578" s="8" t="inlineStr">
        <is>
          <t>Digital Monitor - Visitors Control Center</t>
        </is>
      </c>
      <c r="J578" s="11" t="inlineStr">
        <is>
          <t>1920px x 1080px</t>
        </is>
      </c>
      <c r="K578" s="8" t="inlineStr">
        <is>
          <t>Your ad will appear on approved monitors on the installation.</t>
        </is>
      </c>
      <c r="L578" s="11" t="n">
        <v>1</v>
      </c>
      <c r="M578" s="12" t="n">
        <v>400</v>
      </c>
      <c r="N578" s="12" t="n">
        <v>1200</v>
      </c>
      <c r="O578" s="12" t="n">
        <v>2400</v>
      </c>
      <c r="P578" s="12" t="n">
        <v>4500</v>
      </c>
      <c r="Q578" s="12" t="n">
        <v>0</v>
      </c>
      <c r="R578" s="13">
        <f>IF(ISNUMBER(M578),ROUND(M578/(1-Settings!$B$2)/Settings!$B$3,0)*Settings!$B$3,"")</f>
        <v/>
      </c>
      <c r="S578" s="13">
        <f>IF(ISNUMBER(N578),ROUND(N578/(1-Settings!$B$2)/Settings!$B$3,0)*Settings!$B$3,"")</f>
        <v/>
      </c>
      <c r="T578" s="13">
        <f>IF(ISNUMBER(O578),ROUND(O578/(1-Settings!$B$2)/Settings!$B$3,0)*Settings!$B$3,"")</f>
        <v/>
      </c>
      <c r="U578" s="13">
        <f>IF(ISNUMBER(P578),ROUND(P578/(1-Settings!$B$2)/Settings!$B$3,0)*Settings!$B$3,"")</f>
        <v/>
      </c>
      <c r="V578" s="13">
        <f>IF(ISNUMBER(Q578),ROUND(Q578/(1-Settings!$B$2)/Settings!$B$3,0)*Settings!$B$3,"")</f>
        <v/>
      </c>
      <c r="W578" s="14" t="n">
        <v>11220</v>
      </c>
      <c r="X578" s="14" t="n">
        <v>14416</v>
      </c>
      <c r="Y578" s="11" t="inlineStr"/>
      <c r="Z578" s="11" t="inlineStr"/>
      <c r="AA578" s="8" t="inlineStr">
        <is>
          <t>Inventory master 6/2026 lists Digital Monitor Network at $4,100 (1 mo)</t>
        </is>
      </c>
      <c r="AB578" s="8" t="inlineStr"/>
      <c r="AC578" s="11" t="inlineStr">
        <is>
          <t>MasterMilitaryOnBaseList 12.2.25 NS.xlsx</t>
        </is>
      </c>
      <c r="AD578" s="11" t="inlineStr">
        <is>
          <t>Fort Gordon MWR Media Kit 2026-2027.pdf</t>
        </is>
      </c>
      <c r="AE578" s="15" t="inlineStr">
        <is>
          <t>Open in Box</t>
        </is>
      </c>
      <c r="AF578" s="15" t="inlineStr">
        <is>
          <t>Open in Box</t>
        </is>
      </c>
    </row>
    <row r="579">
      <c r="A579" s="11" t="inlineStr">
        <is>
          <t>GA-FORTEISE-012</t>
        </is>
      </c>
      <c r="B579" s="8" t="inlineStr">
        <is>
          <t>Fort Eisenhower</t>
        </is>
      </c>
      <c r="C579" s="11" t="inlineStr">
        <is>
          <t>Fort Gordon</t>
        </is>
      </c>
      <c r="D579" s="11" t="inlineStr">
        <is>
          <t>GA</t>
        </is>
      </c>
      <c r="E579" s="11" t="inlineStr">
        <is>
          <t>Augusta</t>
        </is>
      </c>
      <c r="F579" s="11" t="inlineStr">
        <is>
          <t>30905</t>
        </is>
      </c>
      <c r="G579" s="11" t="inlineStr">
        <is>
          <t>Army</t>
        </is>
      </c>
      <c r="H579" s="11" t="inlineStr">
        <is>
          <t>Digital</t>
        </is>
      </c>
      <c r="I579" s="8" t="inlineStr">
        <is>
          <t>Digital Monitor - Warrior Restaurants</t>
        </is>
      </c>
      <c r="J579" s="11" t="inlineStr">
        <is>
          <t>1920px x 1080px</t>
        </is>
      </c>
      <c r="K579" s="8" t="inlineStr">
        <is>
          <t>Your ad will appear on approved monitors on the installation.</t>
        </is>
      </c>
      <c r="L579" s="11" t="n">
        <v>1</v>
      </c>
      <c r="M579" s="12" t="n">
        <v>400</v>
      </c>
      <c r="N579" s="12" t="n">
        <v>1200</v>
      </c>
      <c r="O579" s="12" t="n">
        <v>2400</v>
      </c>
      <c r="P579" s="12" t="n">
        <v>4500</v>
      </c>
      <c r="Q579" s="12" t="n">
        <v>0</v>
      </c>
      <c r="R579" s="13">
        <f>IF(ISNUMBER(M579),ROUND(M579/(1-Settings!$B$2)/Settings!$B$3,0)*Settings!$B$3,"")</f>
        <v/>
      </c>
      <c r="S579" s="13">
        <f>IF(ISNUMBER(N579),ROUND(N579/(1-Settings!$B$2)/Settings!$B$3,0)*Settings!$B$3,"")</f>
        <v/>
      </c>
      <c r="T579" s="13">
        <f>IF(ISNUMBER(O579),ROUND(O579/(1-Settings!$B$2)/Settings!$B$3,0)*Settings!$B$3,"")</f>
        <v/>
      </c>
      <c r="U579" s="13">
        <f>IF(ISNUMBER(P579),ROUND(P579/(1-Settings!$B$2)/Settings!$B$3,0)*Settings!$B$3,"")</f>
        <v/>
      </c>
      <c r="V579" s="13">
        <f>IF(ISNUMBER(Q579),ROUND(Q579/(1-Settings!$B$2)/Settings!$B$3,0)*Settings!$B$3,"")</f>
        <v/>
      </c>
      <c r="W579" s="14" t="n">
        <v>11220</v>
      </c>
      <c r="X579" s="14" t="n">
        <v>14416</v>
      </c>
      <c r="Y579" s="11" t="inlineStr"/>
      <c r="Z579" s="11" t="inlineStr"/>
      <c r="AA579" s="8" t="inlineStr">
        <is>
          <t>Inventory master 6/2026 lists Digital Monitor Network at $4,100 (1 mo)</t>
        </is>
      </c>
      <c r="AB579" s="8" t="inlineStr"/>
      <c r="AC579" s="11" t="inlineStr">
        <is>
          <t>MasterMilitaryOnBaseList 12.2.25 NS.xlsx</t>
        </is>
      </c>
      <c r="AD579" s="11" t="inlineStr">
        <is>
          <t>Fort Gordon MWR Media Kit 2026-2027.pdf</t>
        </is>
      </c>
      <c r="AE579" s="15" t="inlineStr">
        <is>
          <t>Open in Box</t>
        </is>
      </c>
      <c r="AF579" s="15" t="inlineStr">
        <is>
          <t>Open in Box</t>
        </is>
      </c>
    </row>
    <row r="580">
      <c r="A580" s="11" t="inlineStr">
        <is>
          <t>GA-FORTEISE-013</t>
        </is>
      </c>
      <c r="B580" s="8" t="inlineStr">
        <is>
          <t>Fort Eisenhower</t>
        </is>
      </c>
      <c r="C580" s="11" t="inlineStr">
        <is>
          <t>Fort Gordon</t>
        </is>
      </c>
      <c r="D580" s="11" t="inlineStr">
        <is>
          <t>GA</t>
        </is>
      </c>
      <c r="E580" s="11" t="inlineStr">
        <is>
          <t>Augusta</t>
        </is>
      </c>
      <c r="F580" s="11" t="inlineStr">
        <is>
          <t>30905</t>
        </is>
      </c>
      <c r="G580" s="11" t="inlineStr">
        <is>
          <t>Army</t>
        </is>
      </c>
      <c r="H580" s="11" t="inlineStr">
        <is>
          <t>Digital</t>
        </is>
      </c>
      <c r="I580" s="8" t="inlineStr">
        <is>
          <t>Digital Monitor - Woodworth Library</t>
        </is>
      </c>
      <c r="J580" s="11" t="inlineStr">
        <is>
          <t>1920px x 1080px</t>
        </is>
      </c>
      <c r="K580" s="8" t="inlineStr">
        <is>
          <t>Your ad will appear on approved monitors on the installation.</t>
        </is>
      </c>
      <c r="L580" s="11" t="n">
        <v>1</v>
      </c>
      <c r="M580" s="12" t="n">
        <v>300</v>
      </c>
      <c r="N580" s="12" t="n">
        <v>900</v>
      </c>
      <c r="O580" s="12" t="n">
        <v>1800</v>
      </c>
      <c r="P580" s="12" t="n">
        <v>2500</v>
      </c>
      <c r="Q580" s="12" t="n">
        <v>0</v>
      </c>
      <c r="R580" s="13">
        <f>IF(ISNUMBER(M580),ROUND(M580/(1-Settings!$B$2)/Settings!$B$3,0)*Settings!$B$3,"")</f>
        <v/>
      </c>
      <c r="S580" s="13">
        <f>IF(ISNUMBER(N580),ROUND(N580/(1-Settings!$B$2)/Settings!$B$3,0)*Settings!$B$3,"")</f>
        <v/>
      </c>
      <c r="T580" s="13">
        <f>IF(ISNUMBER(O580),ROUND(O580/(1-Settings!$B$2)/Settings!$B$3,0)*Settings!$B$3,"")</f>
        <v/>
      </c>
      <c r="U580" s="13">
        <f>IF(ISNUMBER(P580),ROUND(P580/(1-Settings!$B$2)/Settings!$B$3,0)*Settings!$B$3,"")</f>
        <v/>
      </c>
      <c r="V580" s="13">
        <f>IF(ISNUMBER(Q580),ROUND(Q580/(1-Settings!$B$2)/Settings!$B$3,0)*Settings!$B$3,"")</f>
        <v/>
      </c>
      <c r="W580" s="14" t="n">
        <v>11220</v>
      </c>
      <c r="X580" s="14" t="n">
        <v>14416</v>
      </c>
      <c r="Y580" s="11" t="inlineStr"/>
      <c r="Z580" s="11" t="inlineStr"/>
      <c r="AA580" s="8" t="inlineStr">
        <is>
          <t>Inventory master 6/2026 lists Digital Monitor Network at $4,100 (1 mo)</t>
        </is>
      </c>
      <c r="AB580" s="8" t="inlineStr"/>
      <c r="AC580" s="11" t="inlineStr">
        <is>
          <t>MasterMilitaryOnBaseList 12.2.25 NS.xlsx</t>
        </is>
      </c>
      <c r="AD580" s="11" t="inlineStr">
        <is>
          <t>Fort Gordon MWR Media Kit 2026-2027.pdf</t>
        </is>
      </c>
      <c r="AE580" s="15" t="inlineStr">
        <is>
          <t>Open in Box</t>
        </is>
      </c>
      <c r="AF580" s="15" t="inlineStr">
        <is>
          <t>Open in Box</t>
        </is>
      </c>
    </row>
    <row r="581">
      <c r="A581" s="11" t="inlineStr">
        <is>
          <t>GA-FORTEISE-014</t>
        </is>
      </c>
      <c r="B581" s="8" t="inlineStr">
        <is>
          <t>Fort Eisenhower</t>
        </is>
      </c>
      <c r="C581" s="11" t="inlineStr">
        <is>
          <t>Fort Gordon</t>
        </is>
      </c>
      <c r="D581" s="11" t="inlineStr">
        <is>
          <t>GA</t>
        </is>
      </c>
      <c r="E581" s="11" t="inlineStr">
        <is>
          <t>Augusta</t>
        </is>
      </c>
      <c r="F581" s="11" t="inlineStr">
        <is>
          <t>30905</t>
        </is>
      </c>
      <c r="G581" s="11" t="inlineStr">
        <is>
          <t>Army</t>
        </is>
      </c>
      <c r="H581" s="11" t="inlineStr">
        <is>
          <t>Digital</t>
        </is>
      </c>
      <c r="I581" s="8" t="inlineStr">
        <is>
          <t>Sports Complex Scoreboards</t>
        </is>
      </c>
      <c r="J581" s="11" t="inlineStr">
        <is>
          <t>TBD</t>
        </is>
      </c>
      <c r="K581" s="8" t="inlineStr">
        <is>
          <t>Your ad will appear on the Sports Complex scoreboards (4 vertical signs).</t>
        </is>
      </c>
      <c r="L581" s="11" t="n">
        <v>12</v>
      </c>
      <c r="M581" s="12" t="n"/>
      <c r="N581" s="12" t="n"/>
      <c r="O581" s="12" t="n"/>
      <c r="P581" s="12" t="n">
        <v>2000</v>
      </c>
      <c r="Q581" s="12" t="n"/>
      <c r="R581" s="13">
        <f>IF(ISNUMBER(M581),ROUND(M581/(1-Settings!$B$2)/Settings!$B$3,0)*Settings!$B$3,"")</f>
        <v/>
      </c>
      <c r="S581" s="13">
        <f>IF(ISNUMBER(N581),ROUND(N581/(1-Settings!$B$2)/Settings!$B$3,0)*Settings!$B$3,"")</f>
        <v/>
      </c>
      <c r="T581" s="13">
        <f>IF(ISNUMBER(O581),ROUND(O581/(1-Settings!$B$2)/Settings!$B$3,0)*Settings!$B$3,"")</f>
        <v/>
      </c>
      <c r="U581" s="13">
        <f>IF(ISNUMBER(P581),ROUND(P581/(1-Settings!$B$2)/Settings!$B$3,0)*Settings!$B$3,"")</f>
        <v/>
      </c>
      <c r="V581" s="13">
        <f>IF(ISNUMBER(Q581),ROUND(Q581/(1-Settings!$B$2)/Settings!$B$3,0)*Settings!$B$3,"")</f>
        <v/>
      </c>
      <c r="W581" s="14" t="n">
        <v>11220</v>
      </c>
      <c r="X581" s="14" t="n">
        <v>14416</v>
      </c>
      <c r="Y581" s="11" t="inlineStr"/>
      <c r="Z581" s="11" t="inlineStr"/>
      <c r="AA581" s="8" t="inlineStr"/>
      <c r="AB581" s="8" t="inlineStr"/>
      <c r="AC581" s="11" t="inlineStr">
        <is>
          <t>MasterMilitaryOnBaseList 12.2.25 NS.xlsx</t>
        </is>
      </c>
      <c r="AD581" s="11" t="inlineStr">
        <is>
          <t>Fort Gordon MWR Media Kit 2026-2027.pdf</t>
        </is>
      </c>
      <c r="AE581" s="15" t="inlineStr">
        <is>
          <t>Open in Box</t>
        </is>
      </c>
      <c r="AF581" s="15" t="inlineStr">
        <is>
          <t>Open in Box</t>
        </is>
      </c>
    </row>
    <row r="582">
      <c r="A582" s="11" t="inlineStr">
        <is>
          <t>GA-FORTEISE-020</t>
        </is>
      </c>
      <c r="B582" s="8" t="inlineStr">
        <is>
          <t>Fort Eisenhower</t>
        </is>
      </c>
      <c r="C582" s="11" t="inlineStr">
        <is>
          <t>Fort Gordon</t>
        </is>
      </c>
      <c r="D582" s="11" t="inlineStr">
        <is>
          <t>GA</t>
        </is>
      </c>
      <c r="E582" s="11" t="inlineStr">
        <is>
          <t>Augusta</t>
        </is>
      </c>
      <c r="F582" s="11" t="inlineStr">
        <is>
          <t>30905</t>
        </is>
      </c>
      <c r="G582" s="11" t="inlineStr">
        <is>
          <t>Army</t>
        </is>
      </c>
      <c r="H582" s="11" t="inlineStr">
        <is>
          <t>Large Format</t>
        </is>
      </c>
      <c r="I582" s="8" t="inlineStr">
        <is>
          <t>Fenceline Banner</t>
        </is>
      </c>
      <c r="J582" s="11" t="inlineStr">
        <is>
          <t>TBD</t>
        </is>
      </c>
      <c r="K582" s="8" t="inlineStr">
        <is>
          <t>Your ad will appear on the TSS Warehouse Fenceline.</t>
        </is>
      </c>
      <c r="L582" s="11" t="n">
        <v>6</v>
      </c>
      <c r="M582" s="12" t="n"/>
      <c r="N582" s="12" t="n"/>
      <c r="O582" s="12" t="n">
        <v>2500</v>
      </c>
      <c r="P582" s="12" t="n">
        <v>4000</v>
      </c>
      <c r="Q582" s="12" t="n">
        <v>200</v>
      </c>
      <c r="R582" s="13">
        <f>IF(ISNUMBER(M582),ROUND(M582/(1-Settings!$B$2)/Settings!$B$3,0)*Settings!$B$3,"")</f>
        <v/>
      </c>
      <c r="S582" s="13">
        <f>IF(ISNUMBER(N582),ROUND(N582/(1-Settings!$B$2)/Settings!$B$3,0)*Settings!$B$3,"")</f>
        <v/>
      </c>
      <c r="T582" s="13">
        <f>IF(ISNUMBER(O582),ROUND(O582/(1-Settings!$B$2)/Settings!$B$3,0)*Settings!$B$3,"")</f>
        <v/>
      </c>
      <c r="U582" s="13">
        <f>IF(ISNUMBER(P582),ROUND(P582/(1-Settings!$B$2)/Settings!$B$3,0)*Settings!$B$3,"")</f>
        <v/>
      </c>
      <c r="V582" s="13">
        <f>IF(ISNUMBER(Q582),ROUND(Q582/(1-Settings!$B$2)/Settings!$B$3,0)*Settings!$B$3,"")</f>
        <v/>
      </c>
      <c r="W582" s="14" t="n">
        <v>11220</v>
      </c>
      <c r="X582" s="14" t="n">
        <v>14416</v>
      </c>
      <c r="Y582" s="11" t="inlineStr"/>
      <c r="Z582" s="11" t="inlineStr"/>
      <c r="AA582" s="8" t="inlineStr"/>
      <c r="AB582" s="8" t="inlineStr"/>
      <c r="AC582" s="11" t="inlineStr">
        <is>
          <t>MasterMilitaryOnBaseList 12.2.25 NS.xlsx</t>
        </is>
      </c>
      <c r="AD582" s="11" t="inlineStr">
        <is>
          <t>Fort Gordon MWR Media Kit 2026-2027.pdf</t>
        </is>
      </c>
      <c r="AE582" s="15" t="inlineStr">
        <is>
          <t>Open in Box</t>
        </is>
      </c>
      <c r="AF582" s="15" t="inlineStr">
        <is>
          <t>Open in Box</t>
        </is>
      </c>
    </row>
    <row r="583">
      <c r="A583" s="11" t="inlineStr">
        <is>
          <t>GA-FORTEISE-021</t>
        </is>
      </c>
      <c r="B583" s="8" t="inlineStr">
        <is>
          <t>Fort Eisenhower</t>
        </is>
      </c>
      <c r="C583" s="11" t="inlineStr">
        <is>
          <t>Fort Gordon</t>
        </is>
      </c>
      <c r="D583" s="11" t="inlineStr">
        <is>
          <t>GA</t>
        </is>
      </c>
      <c r="E583" s="11" t="inlineStr">
        <is>
          <t>Augusta</t>
        </is>
      </c>
      <c r="F583" s="11" t="inlineStr">
        <is>
          <t>30905</t>
        </is>
      </c>
      <c r="G583" s="11" t="inlineStr">
        <is>
          <t>Army</t>
        </is>
      </c>
      <c r="H583" s="11" t="inlineStr">
        <is>
          <t>Large Format</t>
        </is>
      </c>
      <c r="I583" s="8" t="inlineStr">
        <is>
          <t>Large Banner Structure Sign</t>
        </is>
      </c>
      <c r="J583" s="11" t="inlineStr">
        <is>
          <t>8' x 8'</t>
        </is>
      </c>
      <c r="K583" s="8" t="inlineStr">
        <is>
          <t>Your ad will appear in approved facilities on the installation.</t>
        </is>
      </c>
      <c r="L583" s="11" t="n">
        <v>12</v>
      </c>
      <c r="M583" s="12" t="n"/>
      <c r="N583" s="12" t="n"/>
      <c r="O583" s="12" t="n"/>
      <c r="P583" s="12" t="n">
        <v>4000</v>
      </c>
      <c r="Q583" s="12" t="n">
        <v>200</v>
      </c>
      <c r="R583" s="13">
        <f>IF(ISNUMBER(M583),ROUND(M583/(1-Settings!$B$2)/Settings!$B$3,0)*Settings!$B$3,"")</f>
        <v/>
      </c>
      <c r="S583" s="13">
        <f>IF(ISNUMBER(N583),ROUND(N583/(1-Settings!$B$2)/Settings!$B$3,0)*Settings!$B$3,"")</f>
        <v/>
      </c>
      <c r="T583" s="13">
        <f>IF(ISNUMBER(O583),ROUND(O583/(1-Settings!$B$2)/Settings!$B$3,0)*Settings!$B$3,"")</f>
        <v/>
      </c>
      <c r="U583" s="13">
        <f>IF(ISNUMBER(P583),ROUND(P583/(1-Settings!$B$2)/Settings!$B$3,0)*Settings!$B$3,"")</f>
        <v/>
      </c>
      <c r="V583" s="13">
        <f>IF(ISNUMBER(Q583),ROUND(Q583/(1-Settings!$B$2)/Settings!$B$3,0)*Settings!$B$3,"")</f>
        <v/>
      </c>
      <c r="W583" s="14" t="n">
        <v>11220</v>
      </c>
      <c r="X583" s="14" t="n">
        <v>14416</v>
      </c>
      <c r="Y583" s="11" t="inlineStr"/>
      <c r="Z583" s="11" t="inlineStr"/>
      <c r="AA583" s="8" t="inlineStr"/>
      <c r="AB583" s="8" t="inlineStr"/>
      <c r="AC583" s="11" t="inlineStr">
        <is>
          <t>MasterMilitaryOnBaseList 12.2.25 NS.xlsx</t>
        </is>
      </c>
      <c r="AD583" s="11" t="inlineStr">
        <is>
          <t>Fort Gordon MWR Media Kit 2026-2027.pdf</t>
        </is>
      </c>
      <c r="AE583" s="15" t="inlineStr">
        <is>
          <t>Open in Box</t>
        </is>
      </c>
      <c r="AF583" s="15" t="inlineStr">
        <is>
          <t>Open in Box</t>
        </is>
      </c>
    </row>
    <row r="584">
      <c r="A584" s="11" t="inlineStr">
        <is>
          <t>GA-FORTEISE-015</t>
        </is>
      </c>
      <c r="B584" s="8" t="inlineStr">
        <is>
          <t>Fort Eisenhower</t>
        </is>
      </c>
      <c r="C584" s="11" t="inlineStr">
        <is>
          <t>Fort Gordon</t>
        </is>
      </c>
      <c r="D584" s="11" t="inlineStr">
        <is>
          <t>GA</t>
        </is>
      </c>
      <c r="E584" s="11" t="inlineStr">
        <is>
          <t>Augusta</t>
        </is>
      </c>
      <c r="F584" s="11" t="inlineStr">
        <is>
          <t>30905</t>
        </is>
      </c>
      <c r="G584" s="11" t="inlineStr">
        <is>
          <t>Army</t>
        </is>
      </c>
      <c r="H584" s="11" t="inlineStr">
        <is>
          <t>Standard Media</t>
        </is>
      </c>
      <c r="I584" s="8" t="inlineStr">
        <is>
          <t>Banner</t>
        </is>
      </c>
      <c r="J584" s="11" t="inlineStr">
        <is>
          <t>8' x 4'</t>
        </is>
      </c>
      <c r="K584" s="8" t="inlineStr">
        <is>
          <t>Your ad will appear on the 25th Street Fenceline</t>
        </is>
      </c>
      <c r="L584" s="11" t="n">
        <v>6</v>
      </c>
      <c r="M584" s="12" t="n"/>
      <c r="N584" s="12" t="n"/>
      <c r="O584" s="12" t="n">
        <v>2500</v>
      </c>
      <c r="P584" s="12" t="n">
        <v>4000</v>
      </c>
      <c r="Q584" s="12" t="n">
        <v>200</v>
      </c>
      <c r="R584" s="13">
        <f>IF(ISNUMBER(M584),ROUND(M584/(1-Settings!$B$2)/Settings!$B$3,0)*Settings!$B$3,"")</f>
        <v/>
      </c>
      <c r="S584" s="13">
        <f>IF(ISNUMBER(N584),ROUND(N584/(1-Settings!$B$2)/Settings!$B$3,0)*Settings!$B$3,"")</f>
        <v/>
      </c>
      <c r="T584" s="13">
        <f>IF(ISNUMBER(O584),ROUND(O584/(1-Settings!$B$2)/Settings!$B$3,0)*Settings!$B$3,"")</f>
        <v/>
      </c>
      <c r="U584" s="13">
        <f>IF(ISNUMBER(P584),ROUND(P584/(1-Settings!$B$2)/Settings!$B$3,0)*Settings!$B$3,"")</f>
        <v/>
      </c>
      <c r="V584" s="13">
        <f>IF(ISNUMBER(Q584),ROUND(Q584/(1-Settings!$B$2)/Settings!$B$3,0)*Settings!$B$3,"")</f>
        <v/>
      </c>
      <c r="W584" s="14" t="n">
        <v>11220</v>
      </c>
      <c r="X584" s="14" t="n">
        <v>14416</v>
      </c>
      <c r="Y584" s="11" t="inlineStr"/>
      <c r="Z584" s="11" t="inlineStr"/>
      <c r="AA584" s="8" t="inlineStr"/>
      <c r="AB584" s="8" t="inlineStr"/>
      <c r="AC584" s="11" t="inlineStr">
        <is>
          <t>MasterMilitaryOnBaseList 12.2.25 NS.xlsx</t>
        </is>
      </c>
      <c r="AD584" s="11" t="inlineStr">
        <is>
          <t>Fort Gordon MWR Media Kit 2026-2027.pdf</t>
        </is>
      </c>
      <c r="AE584" s="15" t="inlineStr">
        <is>
          <t>Open in Box</t>
        </is>
      </c>
      <c r="AF584" s="15" t="inlineStr">
        <is>
          <t>Open in Box</t>
        </is>
      </c>
    </row>
    <row r="585">
      <c r="A585" s="11" t="inlineStr">
        <is>
          <t>GA-FORTEISE-016</t>
        </is>
      </c>
      <c r="B585" s="8" t="inlineStr">
        <is>
          <t>Fort Eisenhower</t>
        </is>
      </c>
      <c r="C585" s="11" t="inlineStr">
        <is>
          <t>Fort Gordon</t>
        </is>
      </c>
      <c r="D585" s="11" t="inlineStr">
        <is>
          <t>GA</t>
        </is>
      </c>
      <c r="E585" s="11" t="inlineStr">
        <is>
          <t>Augusta</t>
        </is>
      </c>
      <c r="F585" s="11" t="inlineStr">
        <is>
          <t>30905</t>
        </is>
      </c>
      <c r="G585" s="11" t="inlineStr">
        <is>
          <t>Army</t>
        </is>
      </c>
      <c r="H585" s="11" t="inlineStr">
        <is>
          <t>Standard Media</t>
        </is>
      </c>
      <c r="I585" s="8" t="inlineStr">
        <is>
          <t>Banner Structure Sign</t>
        </is>
      </c>
      <c r="J585" s="11" t="inlineStr">
        <is>
          <t>8' x 4'</t>
        </is>
      </c>
      <c r="K585" s="8" t="inlineStr">
        <is>
          <t>Your ad will appear in approved facilities on the installation.</t>
        </is>
      </c>
      <c r="L585" s="11" t="n">
        <v>12</v>
      </c>
      <c r="M585" s="12" t="n"/>
      <c r="N585" s="12" t="n"/>
      <c r="O585" s="12" t="n"/>
      <c r="P585" s="12" t="n">
        <v>2500</v>
      </c>
      <c r="Q585" s="12" t="n">
        <v>200</v>
      </c>
      <c r="R585" s="13">
        <f>IF(ISNUMBER(M585),ROUND(M585/(1-Settings!$B$2)/Settings!$B$3,0)*Settings!$B$3,"")</f>
        <v/>
      </c>
      <c r="S585" s="13">
        <f>IF(ISNUMBER(N585),ROUND(N585/(1-Settings!$B$2)/Settings!$B$3,0)*Settings!$B$3,"")</f>
        <v/>
      </c>
      <c r="T585" s="13">
        <f>IF(ISNUMBER(O585),ROUND(O585/(1-Settings!$B$2)/Settings!$B$3,0)*Settings!$B$3,"")</f>
        <v/>
      </c>
      <c r="U585" s="13">
        <f>IF(ISNUMBER(P585),ROUND(P585/(1-Settings!$B$2)/Settings!$B$3,0)*Settings!$B$3,"")</f>
        <v/>
      </c>
      <c r="V585" s="13">
        <f>IF(ISNUMBER(Q585),ROUND(Q585/(1-Settings!$B$2)/Settings!$B$3,0)*Settings!$B$3,"")</f>
        <v/>
      </c>
      <c r="W585" s="14" t="n">
        <v>11220</v>
      </c>
      <c r="X585" s="14" t="n">
        <v>14416</v>
      </c>
      <c r="Y585" s="11" t="inlineStr"/>
      <c r="Z585" s="11" t="inlineStr"/>
      <c r="AA585" s="8" t="inlineStr"/>
      <c r="AB585" s="8" t="inlineStr"/>
      <c r="AC585" s="11" t="inlineStr">
        <is>
          <t>MasterMilitaryOnBaseList 12.2.25 NS.xlsx</t>
        </is>
      </c>
      <c r="AD585" s="11" t="inlineStr">
        <is>
          <t>Fort Gordon MWR Media Kit 2026-2027.pdf</t>
        </is>
      </c>
      <c r="AE585" s="15" t="inlineStr">
        <is>
          <t>Open in Box</t>
        </is>
      </c>
      <c r="AF585" s="15" t="inlineStr">
        <is>
          <t>Open in Box</t>
        </is>
      </c>
    </row>
    <row r="586">
      <c r="A586" s="11" t="inlineStr">
        <is>
          <t>GA-FORTEISE-017</t>
        </is>
      </c>
      <c r="B586" s="8" t="inlineStr">
        <is>
          <t>Fort Eisenhower</t>
        </is>
      </c>
      <c r="C586" s="11" t="inlineStr">
        <is>
          <t>Fort Gordon</t>
        </is>
      </c>
      <c r="D586" s="11" t="inlineStr">
        <is>
          <t>GA</t>
        </is>
      </c>
      <c r="E586" s="11" t="inlineStr">
        <is>
          <t>Augusta</t>
        </is>
      </c>
      <c r="F586" s="11" t="inlineStr">
        <is>
          <t>30905</t>
        </is>
      </c>
      <c r="G586" s="11" t="inlineStr">
        <is>
          <t>Army</t>
        </is>
      </c>
      <c r="H586" s="11" t="inlineStr">
        <is>
          <t>Standard Media</t>
        </is>
      </c>
      <c r="I586" s="8" t="inlineStr">
        <is>
          <t>Dog Park Banner</t>
        </is>
      </c>
      <c r="J586" s="11" t="inlineStr">
        <is>
          <t>TBD</t>
        </is>
      </c>
      <c r="K586" s="8" t="inlineStr">
        <is>
          <t>Your ad will appear in the Dog Park on the installation.</t>
        </is>
      </c>
      <c r="L586" s="11" t="n">
        <v>6</v>
      </c>
      <c r="M586" s="12" t="n"/>
      <c r="N586" s="12" t="n"/>
      <c r="O586" s="12" t="n">
        <v>2250</v>
      </c>
      <c r="P586" s="12" t="n">
        <v>3750</v>
      </c>
      <c r="Q586" s="12" t="n">
        <v>200</v>
      </c>
      <c r="R586" s="13">
        <f>IF(ISNUMBER(M586),ROUND(M586/(1-Settings!$B$2)/Settings!$B$3,0)*Settings!$B$3,"")</f>
        <v/>
      </c>
      <c r="S586" s="13">
        <f>IF(ISNUMBER(N586),ROUND(N586/(1-Settings!$B$2)/Settings!$B$3,0)*Settings!$B$3,"")</f>
        <v/>
      </c>
      <c r="T586" s="13">
        <f>IF(ISNUMBER(O586),ROUND(O586/(1-Settings!$B$2)/Settings!$B$3,0)*Settings!$B$3,"")</f>
        <v/>
      </c>
      <c r="U586" s="13">
        <f>IF(ISNUMBER(P586),ROUND(P586/(1-Settings!$B$2)/Settings!$B$3,0)*Settings!$B$3,"")</f>
        <v/>
      </c>
      <c r="V586" s="13">
        <f>IF(ISNUMBER(Q586),ROUND(Q586/(1-Settings!$B$2)/Settings!$B$3,0)*Settings!$B$3,"")</f>
        <v/>
      </c>
      <c r="W586" s="14" t="n">
        <v>11220</v>
      </c>
      <c r="X586" s="14" t="n">
        <v>14416</v>
      </c>
      <c r="Y586" s="11" t="inlineStr"/>
      <c r="Z586" s="11" t="inlineStr"/>
      <c r="AA586" s="8" t="inlineStr"/>
      <c r="AB586" s="8" t="inlineStr"/>
      <c r="AC586" s="11" t="inlineStr">
        <is>
          <t>MasterMilitaryOnBaseList 12.2.25 NS.xlsx</t>
        </is>
      </c>
      <c r="AD586" s="11" t="inlineStr">
        <is>
          <t>Fort Gordon MWR Media Kit 2026-2027.pdf</t>
        </is>
      </c>
      <c r="AE586" s="15" t="inlineStr">
        <is>
          <t>Open in Box</t>
        </is>
      </c>
      <c r="AF586" s="15" t="inlineStr">
        <is>
          <t>Open in Box</t>
        </is>
      </c>
    </row>
    <row r="587">
      <c r="A587" s="11" t="inlineStr">
        <is>
          <t>GA-FORTEISE-018</t>
        </is>
      </c>
      <c r="B587" s="8" t="inlineStr">
        <is>
          <t>Fort Eisenhower</t>
        </is>
      </c>
      <c r="C587" s="11" t="inlineStr">
        <is>
          <t>Fort Gordon</t>
        </is>
      </c>
      <c r="D587" s="11" t="inlineStr">
        <is>
          <t>GA</t>
        </is>
      </c>
      <c r="E587" s="11" t="inlineStr">
        <is>
          <t>Augusta</t>
        </is>
      </c>
      <c r="F587" s="11" t="inlineStr">
        <is>
          <t>30905</t>
        </is>
      </c>
      <c r="G587" s="11" t="inlineStr">
        <is>
          <t>Army</t>
        </is>
      </c>
      <c r="H587" s="11" t="inlineStr">
        <is>
          <t>Standard Media</t>
        </is>
      </c>
      <c r="I587" s="8" t="inlineStr">
        <is>
          <t>Golf Club Cart Sign</t>
        </is>
      </c>
      <c r="J587" s="11" t="inlineStr">
        <is>
          <t>7" x 5"</t>
        </is>
      </c>
      <c r="K587" s="8" t="inlineStr">
        <is>
          <t>Your ad will appear on a golf cart sign.</t>
        </is>
      </c>
      <c r="L587" s="11" t="n">
        <v>1</v>
      </c>
      <c r="M587" s="12" t="n">
        <v>300</v>
      </c>
      <c r="N587" s="12" t="n">
        <v>800</v>
      </c>
      <c r="O587" s="12" t="n">
        <v>1600</v>
      </c>
      <c r="P587" s="12" t="n">
        <v>3200</v>
      </c>
      <c r="Q587" s="12" t="n">
        <v>0</v>
      </c>
      <c r="R587" s="13">
        <f>IF(ISNUMBER(M587),ROUND(M587/(1-Settings!$B$2)/Settings!$B$3,0)*Settings!$B$3,"")</f>
        <v/>
      </c>
      <c r="S587" s="13">
        <f>IF(ISNUMBER(N587),ROUND(N587/(1-Settings!$B$2)/Settings!$B$3,0)*Settings!$B$3,"")</f>
        <v/>
      </c>
      <c r="T587" s="13">
        <f>IF(ISNUMBER(O587),ROUND(O587/(1-Settings!$B$2)/Settings!$B$3,0)*Settings!$B$3,"")</f>
        <v/>
      </c>
      <c r="U587" s="13">
        <f>IF(ISNUMBER(P587),ROUND(P587/(1-Settings!$B$2)/Settings!$B$3,0)*Settings!$B$3,"")</f>
        <v/>
      </c>
      <c r="V587" s="13">
        <f>IF(ISNUMBER(Q587),ROUND(Q587/(1-Settings!$B$2)/Settings!$B$3,0)*Settings!$B$3,"")</f>
        <v/>
      </c>
      <c r="W587" s="14" t="n">
        <v>11220</v>
      </c>
      <c r="X587" s="14" t="n">
        <v>14416</v>
      </c>
      <c r="Y587" s="11" t="inlineStr"/>
      <c r="Z587" s="11" t="inlineStr"/>
      <c r="AA587" s="8" t="inlineStr"/>
      <c r="AB587" s="8" t="inlineStr"/>
      <c r="AC587" s="11" t="inlineStr">
        <is>
          <t>MasterMilitaryOnBaseList 12.2.25 NS.xlsx</t>
        </is>
      </c>
      <c r="AD587" s="11" t="inlineStr">
        <is>
          <t>Fort Gordon MWR Media Kit 2026-2027.pdf</t>
        </is>
      </c>
      <c r="AE587" s="15" t="inlineStr">
        <is>
          <t>Open in Box</t>
        </is>
      </c>
      <c r="AF587" s="15" t="inlineStr">
        <is>
          <t>Open in Box</t>
        </is>
      </c>
    </row>
    <row r="588">
      <c r="A588" s="11" t="inlineStr">
        <is>
          <t>GA-FORTEISE-019</t>
        </is>
      </c>
      <c r="B588" s="8" t="inlineStr">
        <is>
          <t>Fort Eisenhower</t>
        </is>
      </c>
      <c r="C588" s="11" t="inlineStr">
        <is>
          <t>Fort Gordon</t>
        </is>
      </c>
      <c r="D588" s="11" t="inlineStr">
        <is>
          <t>GA</t>
        </is>
      </c>
      <c r="E588" s="11" t="inlineStr">
        <is>
          <t>Augusta</t>
        </is>
      </c>
      <c r="F588" s="11" t="inlineStr">
        <is>
          <t>30905</t>
        </is>
      </c>
      <c r="G588" s="11" t="inlineStr">
        <is>
          <t>Army</t>
        </is>
      </c>
      <c r="H588" s="11" t="inlineStr">
        <is>
          <t>Standard Media</t>
        </is>
      </c>
      <c r="I588" s="8" t="inlineStr">
        <is>
          <t>Golf Club Hole Sign</t>
        </is>
      </c>
      <c r="J588" s="11" t="inlineStr">
        <is>
          <t>12" x 12"</t>
        </is>
      </c>
      <c r="K588" s="8" t="inlineStr">
        <is>
          <t>Your ad will appear at an approved golf club hole on the installation.</t>
        </is>
      </c>
      <c r="L588" s="11" t="n">
        <v>12</v>
      </c>
      <c r="M588" s="12" t="n"/>
      <c r="N588" s="12" t="n"/>
      <c r="O588" s="12" t="n"/>
      <c r="P588" s="12" t="n">
        <v>1000</v>
      </c>
      <c r="Q588" s="12" t="n">
        <v>0</v>
      </c>
      <c r="R588" s="13">
        <f>IF(ISNUMBER(M588),ROUND(M588/(1-Settings!$B$2)/Settings!$B$3,0)*Settings!$B$3,"")</f>
        <v/>
      </c>
      <c r="S588" s="13">
        <f>IF(ISNUMBER(N588),ROUND(N588/(1-Settings!$B$2)/Settings!$B$3,0)*Settings!$B$3,"")</f>
        <v/>
      </c>
      <c r="T588" s="13">
        <f>IF(ISNUMBER(O588),ROUND(O588/(1-Settings!$B$2)/Settings!$B$3,0)*Settings!$B$3,"")</f>
        <v/>
      </c>
      <c r="U588" s="13">
        <f>IF(ISNUMBER(P588),ROUND(P588/(1-Settings!$B$2)/Settings!$B$3,0)*Settings!$B$3,"")</f>
        <v/>
      </c>
      <c r="V588" s="13">
        <f>IF(ISNUMBER(Q588),ROUND(Q588/(1-Settings!$B$2)/Settings!$B$3,0)*Settings!$B$3,"")</f>
        <v/>
      </c>
      <c r="W588" s="14" t="n">
        <v>11220</v>
      </c>
      <c r="X588" s="14" t="n">
        <v>14416</v>
      </c>
      <c r="Y588" s="11" t="inlineStr"/>
      <c r="Z588" s="11" t="inlineStr"/>
      <c r="AA588" s="8" t="inlineStr"/>
      <c r="AB588" s="8" t="inlineStr"/>
      <c r="AC588" s="11" t="inlineStr">
        <is>
          <t>MasterMilitaryOnBaseList 12.2.25 NS.xlsx</t>
        </is>
      </c>
      <c r="AD588" s="11" t="inlineStr">
        <is>
          <t>Fort Gordon MWR Media Kit 2026-2027.pdf</t>
        </is>
      </c>
      <c r="AE588" s="15" t="inlineStr">
        <is>
          <t>Open in Box</t>
        </is>
      </c>
      <c r="AF588" s="15" t="inlineStr">
        <is>
          <t>Open in Box</t>
        </is>
      </c>
    </row>
    <row r="589">
      <c r="A589" s="11" t="inlineStr">
        <is>
          <t>GA-FORTEISE-022</t>
        </is>
      </c>
      <c r="B589" s="8" t="inlineStr">
        <is>
          <t>Fort Eisenhower</t>
        </is>
      </c>
      <c r="C589" s="11" t="inlineStr">
        <is>
          <t>Fort Gordon</t>
        </is>
      </c>
      <c r="D589" s="11" t="inlineStr">
        <is>
          <t>GA</t>
        </is>
      </c>
      <c r="E589" s="11" t="inlineStr">
        <is>
          <t>Augusta</t>
        </is>
      </c>
      <c r="F589" s="11" t="inlineStr">
        <is>
          <t>30905</t>
        </is>
      </c>
      <c r="G589" s="11" t="inlineStr">
        <is>
          <t>Army</t>
        </is>
      </c>
      <c r="H589" s="11" t="inlineStr">
        <is>
          <t>Web &amp; Email</t>
        </is>
      </c>
      <c r="I589" s="8" t="inlineStr">
        <is>
          <t>E-Newsletter Ad - 1 Ad</t>
        </is>
      </c>
      <c r="J589" s="11" t="inlineStr">
        <is>
          <t>600px x 600px (JPG)</t>
        </is>
      </c>
      <c r="K589" s="8" t="inlineStr">
        <is>
          <t>Your ad will appear in the weekly e-newsletter. [$100/ad]</t>
        </is>
      </c>
      <c r="L589" s="11" t="n"/>
      <c r="M589" s="12" t="n"/>
      <c r="N589" s="12" t="n"/>
      <c r="O589" s="12" t="n"/>
      <c r="P589" s="12" t="n"/>
      <c r="Q589" s="12" t="n"/>
      <c r="R589" s="13">
        <f>IF(ISNUMBER(M589),ROUND(M589/(1-Settings!$B$2)/Settings!$B$3,0)*Settings!$B$3,"")</f>
        <v/>
      </c>
      <c r="S589" s="13">
        <f>IF(ISNUMBER(N589),ROUND(N589/(1-Settings!$B$2)/Settings!$B$3,0)*Settings!$B$3,"")</f>
        <v/>
      </c>
      <c r="T589" s="13">
        <f>IF(ISNUMBER(O589),ROUND(O589/(1-Settings!$B$2)/Settings!$B$3,0)*Settings!$B$3,"")</f>
        <v/>
      </c>
      <c r="U589" s="13">
        <f>IF(ISNUMBER(P589),ROUND(P589/(1-Settings!$B$2)/Settings!$B$3,0)*Settings!$B$3,"")</f>
        <v/>
      </c>
      <c r="V589" s="13">
        <f>IF(ISNUMBER(Q589),ROUND(Q589/(1-Settings!$B$2)/Settings!$B$3,0)*Settings!$B$3,"")</f>
        <v/>
      </c>
      <c r="W589" s="14" t="n">
        <v>11220</v>
      </c>
      <c r="X589" s="14" t="n">
        <v>14416</v>
      </c>
      <c r="Y589" s="11" t="inlineStr"/>
      <c r="Z589" s="11" t="inlineStr"/>
      <c r="AA589" s="8" t="inlineStr">
        <is>
          <t>Inventory master 6/2026 lists Weekly E-Newsletter Ad at $100 (1 mo)</t>
        </is>
      </c>
      <c r="AB589" s="16" t="inlineStr">
        <is>
          <t>No price on file - inquire</t>
        </is>
      </c>
      <c r="AC589" s="11" t="inlineStr">
        <is>
          <t>MasterMilitaryOnBaseList 12.2.25 NS.xlsx</t>
        </is>
      </c>
      <c r="AD589" s="11" t="inlineStr">
        <is>
          <t>Fort Gordon MWR Media Kit 2026-2027.pdf</t>
        </is>
      </c>
      <c r="AE589" s="15" t="inlineStr">
        <is>
          <t>Open in Box</t>
        </is>
      </c>
      <c r="AF589" s="15" t="inlineStr">
        <is>
          <t>Open in Box</t>
        </is>
      </c>
    </row>
    <row r="590">
      <c r="A590" s="11" t="inlineStr">
        <is>
          <t>GA-FORTEISE-023</t>
        </is>
      </c>
      <c r="B590" s="8" t="inlineStr">
        <is>
          <t>Fort Eisenhower</t>
        </is>
      </c>
      <c r="C590" s="11" t="inlineStr">
        <is>
          <t>Fort Gordon</t>
        </is>
      </c>
      <c r="D590" s="11" t="inlineStr">
        <is>
          <t>GA</t>
        </is>
      </c>
      <c r="E590" s="11" t="inlineStr">
        <is>
          <t>Augusta</t>
        </is>
      </c>
      <c r="F590" s="11" t="inlineStr">
        <is>
          <t>30905</t>
        </is>
      </c>
      <c r="G590" s="11" t="inlineStr">
        <is>
          <t>Army</t>
        </is>
      </c>
      <c r="H590" s="11" t="inlineStr">
        <is>
          <t>Web &amp; Email</t>
        </is>
      </c>
      <c r="I590" s="8" t="inlineStr">
        <is>
          <t>E-Newsletter Ad - 12 ads</t>
        </is>
      </c>
      <c r="J590" s="11" t="inlineStr">
        <is>
          <t>600px x 600px (JPG)</t>
        </is>
      </c>
      <c r="K590" s="8" t="inlineStr">
        <is>
          <t>Your ad will appear in the weekly e-newsletter. [$1,000/12 ads]</t>
        </is>
      </c>
      <c r="L590" s="11" t="n"/>
      <c r="M590" s="12" t="n"/>
      <c r="N590" s="12" t="n"/>
      <c r="O590" s="12" t="n"/>
      <c r="P590" s="12" t="n"/>
      <c r="Q590" s="12" t="n"/>
      <c r="R590" s="13">
        <f>IF(ISNUMBER(M590),ROUND(M590/(1-Settings!$B$2)/Settings!$B$3,0)*Settings!$B$3,"")</f>
        <v/>
      </c>
      <c r="S590" s="13">
        <f>IF(ISNUMBER(N590),ROUND(N590/(1-Settings!$B$2)/Settings!$B$3,0)*Settings!$B$3,"")</f>
        <v/>
      </c>
      <c r="T590" s="13">
        <f>IF(ISNUMBER(O590),ROUND(O590/(1-Settings!$B$2)/Settings!$B$3,0)*Settings!$B$3,"")</f>
        <v/>
      </c>
      <c r="U590" s="13">
        <f>IF(ISNUMBER(P590),ROUND(P590/(1-Settings!$B$2)/Settings!$B$3,0)*Settings!$B$3,"")</f>
        <v/>
      </c>
      <c r="V590" s="13">
        <f>IF(ISNUMBER(Q590),ROUND(Q590/(1-Settings!$B$2)/Settings!$B$3,0)*Settings!$B$3,"")</f>
        <v/>
      </c>
      <c r="W590" s="14" t="n">
        <v>11220</v>
      </c>
      <c r="X590" s="14" t="n">
        <v>14416</v>
      </c>
      <c r="Y590" s="11" t="inlineStr"/>
      <c r="Z590" s="11" t="inlineStr"/>
      <c r="AA590" s="8" t="inlineStr">
        <is>
          <t>Inventory master 6/2026 lists Weekly E-Newsletter Ad at $100 (1 mo)</t>
        </is>
      </c>
      <c r="AB590" s="16" t="inlineStr">
        <is>
          <t>No price on file - inquire</t>
        </is>
      </c>
      <c r="AC590" s="11" t="inlineStr">
        <is>
          <t>MasterMilitaryOnBaseList 12.2.25 NS.xlsx</t>
        </is>
      </c>
      <c r="AD590" s="11" t="inlineStr">
        <is>
          <t>Fort Gordon MWR Media Kit 2026-2027.pdf</t>
        </is>
      </c>
      <c r="AE590" s="15" t="inlineStr">
        <is>
          <t>Open in Box</t>
        </is>
      </c>
      <c r="AF590" s="15" t="inlineStr">
        <is>
          <t>Open in Box</t>
        </is>
      </c>
    </row>
    <row r="591">
      <c r="A591" s="11" t="inlineStr">
        <is>
          <t>GA-FORTEISE-024</t>
        </is>
      </c>
      <c r="B591" s="8" t="inlineStr">
        <is>
          <t>Fort Eisenhower</t>
        </is>
      </c>
      <c r="C591" s="11" t="inlineStr">
        <is>
          <t>Fort Gordon</t>
        </is>
      </c>
      <c r="D591" s="11" t="inlineStr">
        <is>
          <t>GA</t>
        </is>
      </c>
      <c r="E591" s="11" t="inlineStr">
        <is>
          <t>Augusta</t>
        </is>
      </c>
      <c r="F591" s="11" t="inlineStr">
        <is>
          <t>30905</t>
        </is>
      </c>
      <c r="G591" s="11" t="inlineStr">
        <is>
          <t>Army</t>
        </is>
      </c>
      <c r="H591" s="11" t="inlineStr">
        <is>
          <t>Web &amp; Email</t>
        </is>
      </c>
      <c r="I591" s="8" t="inlineStr">
        <is>
          <t>E-Newsletter Ad - 4 ads</t>
        </is>
      </c>
      <c r="J591" s="11" t="inlineStr">
        <is>
          <t>600px x 600px (JPG)</t>
        </is>
      </c>
      <c r="K591" s="8" t="inlineStr">
        <is>
          <t>Your ad will appear in the weekly e-newsletter. [$350/4 ads]</t>
        </is>
      </c>
      <c r="L591" s="11" t="n"/>
      <c r="M591" s="12" t="n"/>
      <c r="N591" s="12" t="n"/>
      <c r="O591" s="12" t="n"/>
      <c r="P591" s="12" t="n"/>
      <c r="Q591" s="12" t="n"/>
      <c r="R591" s="13">
        <f>IF(ISNUMBER(M591),ROUND(M591/(1-Settings!$B$2)/Settings!$B$3,0)*Settings!$B$3,"")</f>
        <v/>
      </c>
      <c r="S591" s="13">
        <f>IF(ISNUMBER(N591),ROUND(N591/(1-Settings!$B$2)/Settings!$B$3,0)*Settings!$B$3,"")</f>
        <v/>
      </c>
      <c r="T591" s="13">
        <f>IF(ISNUMBER(O591),ROUND(O591/(1-Settings!$B$2)/Settings!$B$3,0)*Settings!$B$3,"")</f>
        <v/>
      </c>
      <c r="U591" s="13">
        <f>IF(ISNUMBER(P591),ROUND(P591/(1-Settings!$B$2)/Settings!$B$3,0)*Settings!$B$3,"")</f>
        <v/>
      </c>
      <c r="V591" s="13">
        <f>IF(ISNUMBER(Q591),ROUND(Q591/(1-Settings!$B$2)/Settings!$B$3,0)*Settings!$B$3,"")</f>
        <v/>
      </c>
      <c r="W591" s="14" t="n">
        <v>11220</v>
      </c>
      <c r="X591" s="14" t="n">
        <v>14416</v>
      </c>
      <c r="Y591" s="11" t="inlineStr"/>
      <c r="Z591" s="11" t="inlineStr"/>
      <c r="AA591" s="8" t="inlineStr">
        <is>
          <t>Inventory master 6/2026 lists Weekly E-Newsletter Ad at $100 (1 mo)</t>
        </is>
      </c>
      <c r="AB591" s="16" t="inlineStr">
        <is>
          <t>No price on file - inquire</t>
        </is>
      </c>
      <c r="AC591" s="11" t="inlineStr">
        <is>
          <t>MasterMilitaryOnBaseList 12.2.25 NS.xlsx</t>
        </is>
      </c>
      <c r="AD591" s="11" t="inlineStr">
        <is>
          <t>Fort Gordon MWR Media Kit 2026-2027.pdf</t>
        </is>
      </c>
      <c r="AE591" s="15" t="inlineStr">
        <is>
          <t>Open in Box</t>
        </is>
      </c>
      <c r="AF591" s="15" t="inlineStr">
        <is>
          <t>Open in Box</t>
        </is>
      </c>
    </row>
    <row r="592">
      <c r="A592" s="11" t="inlineStr">
        <is>
          <t>GA-FORTEISE-025</t>
        </is>
      </c>
      <c r="B592" s="8" t="inlineStr">
        <is>
          <t>Fort Eisenhower</t>
        </is>
      </c>
      <c r="C592" s="11" t="inlineStr">
        <is>
          <t>Fort Gordon</t>
        </is>
      </c>
      <c r="D592" s="11" t="inlineStr">
        <is>
          <t>GA</t>
        </is>
      </c>
      <c r="E592" s="11" t="inlineStr">
        <is>
          <t>Augusta</t>
        </is>
      </c>
      <c r="F592" s="11" t="inlineStr">
        <is>
          <t>30905</t>
        </is>
      </c>
      <c r="G592" s="11" t="inlineStr">
        <is>
          <t>Army</t>
        </is>
      </c>
      <c r="H592" s="11" t="inlineStr">
        <is>
          <t>Web &amp; Email</t>
        </is>
      </c>
      <c r="I592" s="8" t="inlineStr">
        <is>
          <t>Social Media 12 Posts</t>
        </is>
      </c>
      <c r="J592" s="11" t="inlineStr">
        <is>
          <t>TBD</t>
        </is>
      </c>
      <c r="K592" s="8" t="inlineStr">
        <is>
          <t>Your ad will appear on the Fort Eisenhower MWR's social media pages (Facebook and Instagram) [$2,400/12 posts]</t>
        </is>
      </c>
      <c r="L592" s="11" t="n"/>
      <c r="M592" s="12" t="n"/>
      <c r="N592" s="12" t="n"/>
      <c r="O592" s="12" t="n"/>
      <c r="P592" s="12" t="n"/>
      <c r="Q592" s="12" t="n"/>
      <c r="R592" s="13">
        <f>IF(ISNUMBER(M592),ROUND(M592/(1-Settings!$B$2)/Settings!$B$3,0)*Settings!$B$3,"")</f>
        <v/>
      </c>
      <c r="S592" s="13">
        <f>IF(ISNUMBER(N592),ROUND(N592/(1-Settings!$B$2)/Settings!$B$3,0)*Settings!$B$3,"")</f>
        <v/>
      </c>
      <c r="T592" s="13">
        <f>IF(ISNUMBER(O592),ROUND(O592/(1-Settings!$B$2)/Settings!$B$3,0)*Settings!$B$3,"")</f>
        <v/>
      </c>
      <c r="U592" s="13">
        <f>IF(ISNUMBER(P592),ROUND(P592/(1-Settings!$B$2)/Settings!$B$3,0)*Settings!$B$3,"")</f>
        <v/>
      </c>
      <c r="V592" s="13">
        <f>IF(ISNUMBER(Q592),ROUND(Q592/(1-Settings!$B$2)/Settings!$B$3,0)*Settings!$B$3,"")</f>
        <v/>
      </c>
      <c r="W592" s="14" t="n">
        <v>11220</v>
      </c>
      <c r="X592" s="14" t="n">
        <v>14416</v>
      </c>
      <c r="Y592" s="11" t="inlineStr"/>
      <c r="Z592" s="11" t="inlineStr"/>
      <c r="AA592" s="8" t="inlineStr"/>
      <c r="AB592" s="16" t="inlineStr">
        <is>
          <t>No price on file - inquire</t>
        </is>
      </c>
      <c r="AC592" s="11" t="inlineStr">
        <is>
          <t>MasterMilitaryOnBaseList 12.2.25 NS.xlsx</t>
        </is>
      </c>
      <c r="AD592" s="11" t="inlineStr">
        <is>
          <t>Fort Gordon MWR Media Kit 2026-2027.pdf</t>
        </is>
      </c>
      <c r="AE592" s="15" t="inlineStr">
        <is>
          <t>Open in Box</t>
        </is>
      </c>
      <c r="AF592" s="15" t="inlineStr">
        <is>
          <t>Open in Box</t>
        </is>
      </c>
    </row>
    <row r="593">
      <c r="A593" s="11" t="inlineStr">
        <is>
          <t>GA-FORTEISE-026</t>
        </is>
      </c>
      <c r="B593" s="8" t="inlineStr">
        <is>
          <t>Fort Eisenhower</t>
        </is>
      </c>
      <c r="C593" s="11" t="inlineStr">
        <is>
          <t>Fort Gordon</t>
        </is>
      </c>
      <c r="D593" s="11" t="inlineStr">
        <is>
          <t>GA</t>
        </is>
      </c>
      <c r="E593" s="11" t="inlineStr">
        <is>
          <t>Augusta</t>
        </is>
      </c>
      <c r="F593" s="11" t="inlineStr">
        <is>
          <t>30905</t>
        </is>
      </c>
      <c r="G593" s="11" t="inlineStr">
        <is>
          <t>Army</t>
        </is>
      </c>
      <c r="H593" s="11" t="inlineStr">
        <is>
          <t>Web &amp; Email</t>
        </is>
      </c>
      <c r="I593" s="8" t="inlineStr">
        <is>
          <t>Social Media 4 Posts</t>
        </is>
      </c>
      <c r="J593" s="11" t="inlineStr">
        <is>
          <t>TBD</t>
        </is>
      </c>
      <c r="K593" s="8" t="inlineStr">
        <is>
          <t>Your ad will appear on the Fort Eisenhower MWR's social media pages (Facebook and Instagram) [$800/4 posts]</t>
        </is>
      </c>
      <c r="L593" s="11" t="n"/>
      <c r="M593" s="12" t="n"/>
      <c r="N593" s="12" t="n"/>
      <c r="O593" s="12" t="n"/>
      <c r="P593" s="12" t="n"/>
      <c r="Q593" s="12" t="n"/>
      <c r="R593" s="13">
        <f>IF(ISNUMBER(M593),ROUND(M593/(1-Settings!$B$2)/Settings!$B$3,0)*Settings!$B$3,"")</f>
        <v/>
      </c>
      <c r="S593" s="13">
        <f>IF(ISNUMBER(N593),ROUND(N593/(1-Settings!$B$2)/Settings!$B$3,0)*Settings!$B$3,"")</f>
        <v/>
      </c>
      <c r="T593" s="13">
        <f>IF(ISNUMBER(O593),ROUND(O593/(1-Settings!$B$2)/Settings!$B$3,0)*Settings!$B$3,"")</f>
        <v/>
      </c>
      <c r="U593" s="13">
        <f>IF(ISNUMBER(P593),ROUND(P593/(1-Settings!$B$2)/Settings!$B$3,0)*Settings!$B$3,"")</f>
        <v/>
      </c>
      <c r="V593" s="13">
        <f>IF(ISNUMBER(Q593),ROUND(Q593/(1-Settings!$B$2)/Settings!$B$3,0)*Settings!$B$3,"")</f>
        <v/>
      </c>
      <c r="W593" s="14" t="n">
        <v>11220</v>
      </c>
      <c r="X593" s="14" t="n">
        <v>14416</v>
      </c>
      <c r="Y593" s="11" t="inlineStr"/>
      <c r="Z593" s="11" t="inlineStr"/>
      <c r="AA593" s="8" t="inlineStr"/>
      <c r="AB593" s="16" t="inlineStr">
        <is>
          <t>No price on file - inquire</t>
        </is>
      </c>
      <c r="AC593" s="11" t="inlineStr">
        <is>
          <t>MasterMilitaryOnBaseList 12.2.25 NS.xlsx</t>
        </is>
      </c>
      <c r="AD593" s="11" t="inlineStr">
        <is>
          <t>Fort Gordon MWR Media Kit 2026-2027.pdf</t>
        </is>
      </c>
      <c r="AE593" s="15" t="inlineStr">
        <is>
          <t>Open in Box</t>
        </is>
      </c>
      <c r="AF593" s="15" t="inlineStr">
        <is>
          <t>Open in Box</t>
        </is>
      </c>
    </row>
    <row r="594">
      <c r="A594" s="11" t="inlineStr">
        <is>
          <t>GA-FORTEISE-027</t>
        </is>
      </c>
      <c r="B594" s="8" t="inlineStr">
        <is>
          <t>Fort Eisenhower</t>
        </is>
      </c>
      <c r="C594" s="11" t="inlineStr">
        <is>
          <t>Fort Gordon</t>
        </is>
      </c>
      <c r="D594" s="11" t="inlineStr">
        <is>
          <t>GA</t>
        </is>
      </c>
      <c r="E594" s="11" t="inlineStr">
        <is>
          <t>Augusta</t>
        </is>
      </c>
      <c r="F594" s="11" t="inlineStr">
        <is>
          <t>30905</t>
        </is>
      </c>
      <c r="G594" s="11" t="inlineStr">
        <is>
          <t>Army</t>
        </is>
      </c>
      <c r="H594" s="11" t="inlineStr">
        <is>
          <t>Web &amp; Email</t>
        </is>
      </c>
      <c r="I594" s="8" t="inlineStr">
        <is>
          <t>Social Media 8 Posts</t>
        </is>
      </c>
      <c r="J594" s="11" t="inlineStr">
        <is>
          <t>TBD</t>
        </is>
      </c>
      <c r="K594" s="8" t="inlineStr">
        <is>
          <t>Your ad will appear on the Fort Eisenhower MWR's social media pages (Facebook and Instagram) [$1,575/8 posts]</t>
        </is>
      </c>
      <c r="L594" s="11" t="n"/>
      <c r="M594" s="12" t="n"/>
      <c r="N594" s="12" t="n"/>
      <c r="O594" s="12" t="n"/>
      <c r="P594" s="12" t="n"/>
      <c r="Q594" s="12" t="n"/>
      <c r="R594" s="13">
        <f>IF(ISNUMBER(M594),ROUND(M594/(1-Settings!$B$2)/Settings!$B$3,0)*Settings!$B$3,"")</f>
        <v/>
      </c>
      <c r="S594" s="13">
        <f>IF(ISNUMBER(N594),ROUND(N594/(1-Settings!$B$2)/Settings!$B$3,0)*Settings!$B$3,"")</f>
        <v/>
      </c>
      <c r="T594" s="13">
        <f>IF(ISNUMBER(O594),ROUND(O594/(1-Settings!$B$2)/Settings!$B$3,0)*Settings!$B$3,"")</f>
        <v/>
      </c>
      <c r="U594" s="13">
        <f>IF(ISNUMBER(P594),ROUND(P594/(1-Settings!$B$2)/Settings!$B$3,0)*Settings!$B$3,"")</f>
        <v/>
      </c>
      <c r="V594" s="13">
        <f>IF(ISNUMBER(Q594),ROUND(Q594/(1-Settings!$B$2)/Settings!$B$3,0)*Settings!$B$3,"")</f>
        <v/>
      </c>
      <c r="W594" s="14" t="n">
        <v>11220</v>
      </c>
      <c r="X594" s="14" t="n">
        <v>14416</v>
      </c>
      <c r="Y594" s="11" t="inlineStr"/>
      <c r="Z594" s="11" t="inlineStr"/>
      <c r="AA594" s="8" t="inlineStr"/>
      <c r="AB594" s="16" t="inlineStr">
        <is>
          <t>No price on file - inquire</t>
        </is>
      </c>
      <c r="AC594" s="11" t="inlineStr">
        <is>
          <t>MasterMilitaryOnBaseList 12.2.25 NS.xlsx</t>
        </is>
      </c>
      <c r="AD594" s="11" t="inlineStr">
        <is>
          <t>Fort Gordon MWR Media Kit 2026-2027.pdf</t>
        </is>
      </c>
      <c r="AE594" s="15" t="inlineStr">
        <is>
          <t>Open in Box</t>
        </is>
      </c>
      <c r="AF594" s="15" t="inlineStr">
        <is>
          <t>Open in Box</t>
        </is>
      </c>
    </row>
    <row r="595">
      <c r="A595" s="11" t="inlineStr">
        <is>
          <t>GA-FORTEISE-028</t>
        </is>
      </c>
      <c r="B595" s="8" t="inlineStr">
        <is>
          <t>Fort Eisenhower</t>
        </is>
      </c>
      <c r="C595" s="11" t="inlineStr">
        <is>
          <t>Fort Gordon</t>
        </is>
      </c>
      <c r="D595" s="11" t="inlineStr">
        <is>
          <t>GA</t>
        </is>
      </c>
      <c r="E595" s="11" t="inlineStr">
        <is>
          <t>Augusta</t>
        </is>
      </c>
      <c r="F595" s="11" t="inlineStr">
        <is>
          <t>30905</t>
        </is>
      </c>
      <c r="G595" s="11" t="inlineStr">
        <is>
          <t>Army</t>
        </is>
      </c>
      <c r="H595" s="11" t="inlineStr">
        <is>
          <t>Web &amp; Email</t>
        </is>
      </c>
      <c r="I595" s="8" t="inlineStr">
        <is>
          <t>Social Media Single Post</t>
        </is>
      </c>
      <c r="J595" s="11" t="inlineStr">
        <is>
          <t>TBD</t>
        </is>
      </c>
      <c r="K595" s="8" t="inlineStr">
        <is>
          <t>Your ad will appear on the Fort Eisenhower MWR's social media pages (Facebook and Instagram) [$225/post]</t>
        </is>
      </c>
      <c r="L595" s="11" t="n"/>
      <c r="M595" s="12" t="n"/>
      <c r="N595" s="12" t="n"/>
      <c r="O595" s="12" t="n"/>
      <c r="P595" s="12" t="n"/>
      <c r="Q595" s="12" t="n"/>
      <c r="R595" s="13">
        <f>IF(ISNUMBER(M595),ROUND(M595/(1-Settings!$B$2)/Settings!$B$3,0)*Settings!$B$3,"")</f>
        <v/>
      </c>
      <c r="S595" s="13">
        <f>IF(ISNUMBER(N595),ROUND(N595/(1-Settings!$B$2)/Settings!$B$3,0)*Settings!$B$3,"")</f>
        <v/>
      </c>
      <c r="T595" s="13">
        <f>IF(ISNUMBER(O595),ROUND(O595/(1-Settings!$B$2)/Settings!$B$3,0)*Settings!$B$3,"")</f>
        <v/>
      </c>
      <c r="U595" s="13">
        <f>IF(ISNUMBER(P595),ROUND(P595/(1-Settings!$B$2)/Settings!$B$3,0)*Settings!$B$3,"")</f>
        <v/>
      </c>
      <c r="V595" s="13">
        <f>IF(ISNUMBER(Q595),ROUND(Q595/(1-Settings!$B$2)/Settings!$B$3,0)*Settings!$B$3,"")</f>
        <v/>
      </c>
      <c r="W595" s="14" t="n">
        <v>11220</v>
      </c>
      <c r="X595" s="14" t="n">
        <v>14416</v>
      </c>
      <c r="Y595" s="11" t="inlineStr"/>
      <c r="Z595" s="11" t="inlineStr"/>
      <c r="AA595" s="8" t="inlineStr"/>
      <c r="AB595" s="16" t="inlineStr">
        <is>
          <t>No price on file - inquire</t>
        </is>
      </c>
      <c r="AC595" s="11" t="inlineStr">
        <is>
          <t>MasterMilitaryOnBaseList 12.2.25 NS.xlsx</t>
        </is>
      </c>
      <c r="AD595" s="11" t="inlineStr">
        <is>
          <t>Fort Gordon MWR Media Kit 2026-2027.pdf</t>
        </is>
      </c>
      <c r="AE595" s="15" t="inlineStr">
        <is>
          <t>Open in Box</t>
        </is>
      </c>
      <c r="AF595" s="15" t="inlineStr">
        <is>
          <t>Open in Box</t>
        </is>
      </c>
    </row>
    <row r="596">
      <c r="A596" s="11" t="inlineStr">
        <is>
          <t>GA-FORTEISE-029</t>
        </is>
      </c>
      <c r="B596" s="8" t="inlineStr">
        <is>
          <t>Fort Eisenhower</t>
        </is>
      </c>
      <c r="C596" s="11" t="inlineStr"/>
      <c r="D596" s="11" t="inlineStr">
        <is>
          <t>GA</t>
        </is>
      </c>
      <c r="E596" s="11" t="inlineStr">
        <is>
          <t>Augusta</t>
        </is>
      </c>
      <c r="F596" s="11" t="inlineStr"/>
      <c r="G596" s="11" t="inlineStr">
        <is>
          <t>Army</t>
        </is>
      </c>
      <c r="H596" s="11" t="inlineStr">
        <is>
          <t>Web &amp; Email</t>
        </is>
      </c>
      <c r="I596" s="8" t="inlineStr">
        <is>
          <t>Web Ad</t>
        </is>
      </c>
      <c r="J596" s="11" t="inlineStr"/>
      <c r="K596" s="8" t="inlineStr">
        <is>
          <t>Your ad will appear on the installation MWR / FSS website.</t>
        </is>
      </c>
      <c r="L596" s="11" t="n">
        <v>1</v>
      </c>
      <c r="M596" s="12" t="n">
        <v>500</v>
      </c>
      <c r="N596" s="12" t="n"/>
      <c r="O596" s="12" t="n"/>
      <c r="P596" s="12" t="n"/>
      <c r="Q596" s="12" t="n"/>
      <c r="R596" s="13">
        <f>IF(ISNUMBER(M596),ROUND(M596/(1-Settings!$B$2)/Settings!$B$3,0)*Settings!$B$3,"")</f>
        <v/>
      </c>
      <c r="S596" s="13">
        <f>IF(ISNUMBER(N596),ROUND(N596/(1-Settings!$B$2)/Settings!$B$3,0)*Settings!$B$3,"")</f>
        <v/>
      </c>
      <c r="T596" s="13">
        <f>IF(ISNUMBER(O596),ROUND(O596/(1-Settings!$B$2)/Settings!$B$3,0)*Settings!$B$3,"")</f>
        <v/>
      </c>
      <c r="U596" s="13">
        <f>IF(ISNUMBER(P596),ROUND(P596/(1-Settings!$B$2)/Settings!$B$3,0)*Settings!$B$3,"")</f>
        <v/>
      </c>
      <c r="V596" s="13">
        <f>IF(ISNUMBER(Q596),ROUND(Q596/(1-Settings!$B$2)/Settings!$B$3,0)*Settings!$B$3,"")</f>
        <v/>
      </c>
      <c r="W596" s="14" t="n">
        <v>11220</v>
      </c>
      <c r="X596" s="14" t="n">
        <v>14416</v>
      </c>
      <c r="Y596" s="11" t="inlineStr">
        <is>
          <t>2026</t>
        </is>
      </c>
      <c r="Z596" s="11" t="inlineStr">
        <is>
          <t>2026-06</t>
        </is>
      </c>
      <c r="AA596" s="8" t="inlineStr"/>
      <c r="AB596" s="8" t="inlineStr"/>
      <c r="AC596" s="11" t="inlineStr">
        <is>
          <t>Military - National Publication Inventory Master_June 2026.xlsx</t>
        </is>
      </c>
      <c r="AD596" s="11" t="inlineStr">
        <is>
          <t>Fort Gordon MWR Media Kit 2026-2027.pdf</t>
        </is>
      </c>
      <c r="AE596" s="15" t="inlineStr">
        <is>
          <t>Open in Box</t>
        </is>
      </c>
      <c r="AF596" s="15" t="inlineStr">
        <is>
          <t>Open in Box</t>
        </is>
      </c>
    </row>
    <row r="597">
      <c r="A597" s="11" t="inlineStr">
        <is>
          <t>GA-FORTSTEW-001</t>
        </is>
      </c>
      <c r="B597" s="8" t="inlineStr">
        <is>
          <t>Fort Stewart / Hunter Army Airfield</t>
        </is>
      </c>
      <c r="C597" s="11" t="inlineStr">
        <is>
          <t>Fort Stewart</t>
        </is>
      </c>
      <c r="D597" s="11" t="inlineStr">
        <is>
          <t>GA</t>
        </is>
      </c>
      <c r="E597" s="11" t="inlineStr">
        <is>
          <t>Savannah</t>
        </is>
      </c>
      <c r="F597" s="11" t="inlineStr">
        <is>
          <t>31314</t>
        </is>
      </c>
      <c r="G597" s="11" t="inlineStr">
        <is>
          <t>Army</t>
        </is>
      </c>
      <c r="H597" s="11" t="inlineStr">
        <is>
          <t>Digital</t>
        </is>
      </c>
      <c r="I597" s="8" t="inlineStr">
        <is>
          <t>Bowling Advertising</t>
        </is>
      </c>
      <c r="J597" s="11" t="inlineStr">
        <is>
          <t>1366px x 768px</t>
        </is>
      </c>
      <c r="K597" s="8" t="inlineStr">
        <is>
          <t>Your ad will appear on screens in the bowling alley on the installation.</t>
        </is>
      </c>
      <c r="L597" s="11" t="n">
        <v>12</v>
      </c>
      <c r="M597" s="12" t="n"/>
      <c r="N597" s="12" t="n"/>
      <c r="O597" s="12" t="n"/>
      <c r="P597" s="12" t="n">
        <v>2000</v>
      </c>
      <c r="Q597" s="12" t="n">
        <v>0</v>
      </c>
      <c r="R597" s="13">
        <f>IF(ISNUMBER(M597),ROUND(M597/(1-Settings!$B$2)/Settings!$B$3,0)*Settings!$B$3,"")</f>
        <v/>
      </c>
      <c r="S597" s="13">
        <f>IF(ISNUMBER(N597),ROUND(N597/(1-Settings!$B$2)/Settings!$B$3,0)*Settings!$B$3,"")</f>
        <v/>
      </c>
      <c r="T597" s="13">
        <f>IF(ISNUMBER(O597),ROUND(O597/(1-Settings!$B$2)/Settings!$B$3,0)*Settings!$B$3,"")</f>
        <v/>
      </c>
      <c r="U597" s="13">
        <f>IF(ISNUMBER(P597),ROUND(P597/(1-Settings!$B$2)/Settings!$B$3,0)*Settings!$B$3,"")</f>
        <v/>
      </c>
      <c r="V597" s="13">
        <f>IF(ISNUMBER(Q597),ROUND(Q597/(1-Settings!$B$2)/Settings!$B$3,0)*Settings!$B$3,"")</f>
        <v/>
      </c>
      <c r="W597" s="14" t="n">
        <v>19476</v>
      </c>
      <c r="X597" s="14" t="n">
        <v>25826</v>
      </c>
      <c r="Y597" s="11" t="inlineStr"/>
      <c r="Z597" s="11" t="inlineStr"/>
      <c r="AA597" s="8" t="inlineStr"/>
      <c r="AB597" s="8" t="inlineStr"/>
      <c r="AC597" s="11" t="inlineStr">
        <is>
          <t>MasterMilitaryOnBaseList 12.2.25 NS.xlsx</t>
        </is>
      </c>
      <c r="AD597" s="11" t="inlineStr">
        <is>
          <t>Proposal.pdf</t>
        </is>
      </c>
      <c r="AE597" s="15" t="inlineStr">
        <is>
          <t>Open in Box</t>
        </is>
      </c>
      <c r="AF597" s="15" t="inlineStr">
        <is>
          <t>Open in Box</t>
        </is>
      </c>
    </row>
    <row r="598">
      <c r="A598" s="11" t="inlineStr">
        <is>
          <t>GA-FORTSTEW-010</t>
        </is>
      </c>
      <c r="B598" s="8" t="inlineStr">
        <is>
          <t>Fort Stewart / Hunter Army Airfield</t>
        </is>
      </c>
      <c r="C598" s="11" t="inlineStr"/>
      <c r="D598" s="11" t="inlineStr">
        <is>
          <t>GA</t>
        </is>
      </c>
      <c r="E598" s="11" t="inlineStr">
        <is>
          <t>Savannah</t>
        </is>
      </c>
      <c r="F598" s="11" t="inlineStr"/>
      <c r="G598" s="11" t="inlineStr">
        <is>
          <t>Army</t>
        </is>
      </c>
      <c r="H598" s="11" t="inlineStr">
        <is>
          <t>Digital</t>
        </is>
      </c>
      <c r="I598" s="8" t="inlineStr">
        <is>
          <t>Digital Marquee</t>
        </is>
      </c>
      <c r="J598" s="11" t="inlineStr">
        <is>
          <t>4 screens</t>
        </is>
      </c>
      <c r="K598" s="8" t="inlineStr">
        <is>
          <t>Your ad will appear on the 4-screen digital marquee(s) on the installation.</t>
        </is>
      </c>
      <c r="L598" s="11" t="n">
        <v>1</v>
      </c>
      <c r="M598" s="12" t="n">
        <v>900</v>
      </c>
      <c r="N598" s="12" t="n"/>
      <c r="O598" s="12" t="n"/>
      <c r="P598" s="12" t="n"/>
      <c r="Q598" s="12" t="n"/>
      <c r="R598" s="13">
        <f>IF(ISNUMBER(M598),ROUND(M598/(1-Settings!$B$2)/Settings!$B$3,0)*Settings!$B$3,"")</f>
        <v/>
      </c>
      <c r="S598" s="13">
        <f>IF(ISNUMBER(N598),ROUND(N598/(1-Settings!$B$2)/Settings!$B$3,0)*Settings!$B$3,"")</f>
        <v/>
      </c>
      <c r="T598" s="13">
        <f>IF(ISNUMBER(O598),ROUND(O598/(1-Settings!$B$2)/Settings!$B$3,0)*Settings!$B$3,"")</f>
        <v/>
      </c>
      <c r="U598" s="13">
        <f>IF(ISNUMBER(P598),ROUND(P598/(1-Settings!$B$2)/Settings!$B$3,0)*Settings!$B$3,"")</f>
        <v/>
      </c>
      <c r="V598" s="13">
        <f>IF(ISNUMBER(Q598),ROUND(Q598/(1-Settings!$B$2)/Settings!$B$3,0)*Settings!$B$3,"")</f>
        <v/>
      </c>
      <c r="W598" s="14" t="n">
        <v>19476</v>
      </c>
      <c r="X598" s="14" t="n">
        <v>25826</v>
      </c>
      <c r="Y598" s="11" t="inlineStr">
        <is>
          <t>2026</t>
        </is>
      </c>
      <c r="Z598" s="11" t="inlineStr">
        <is>
          <t>2026-06</t>
        </is>
      </c>
      <c r="AA598" s="8" t="inlineStr"/>
      <c r="AB598" s="8" t="inlineStr"/>
      <c r="AC598" s="11" t="inlineStr">
        <is>
          <t>Military - National Digital Inventory Master 6.3.26.xlsx</t>
        </is>
      </c>
      <c r="AD598" s="11" t="inlineStr">
        <is>
          <t>Proposal.pdf</t>
        </is>
      </c>
      <c r="AE598" s="15" t="inlineStr">
        <is>
          <t>Open in Box</t>
        </is>
      </c>
      <c r="AF598" s="15" t="inlineStr">
        <is>
          <t>Open in Box</t>
        </is>
      </c>
    </row>
    <row r="599">
      <c r="A599" s="11" t="inlineStr">
        <is>
          <t>GA-FORTSTEW-002</t>
        </is>
      </c>
      <c r="B599" s="8" t="inlineStr">
        <is>
          <t>Fort Stewart / Hunter Army Airfield</t>
        </is>
      </c>
      <c r="C599" s="11" t="inlineStr">
        <is>
          <t>Fort Stewart</t>
        </is>
      </c>
      <c r="D599" s="11" t="inlineStr">
        <is>
          <t>GA</t>
        </is>
      </c>
      <c r="E599" s="11" t="inlineStr">
        <is>
          <t>Savannah</t>
        </is>
      </c>
      <c r="F599" s="11" t="inlineStr">
        <is>
          <t>31314</t>
        </is>
      </c>
      <c r="G599" s="11" t="inlineStr">
        <is>
          <t>Army</t>
        </is>
      </c>
      <c r="H599" s="11" t="inlineStr">
        <is>
          <t>Digital</t>
        </is>
      </c>
      <c r="I599" s="8" t="inlineStr">
        <is>
          <t>Indoor Digital Monitors</t>
        </is>
      </c>
      <c r="J599" s="11" t="inlineStr">
        <is>
          <t>1366px x 768px</t>
        </is>
      </c>
      <c r="K599" s="8" t="inlineStr">
        <is>
          <t>Your ad will appear on approved monitors on the installation.</t>
        </is>
      </c>
      <c r="L599" s="11" t="n">
        <v>6</v>
      </c>
      <c r="M599" s="12" t="n"/>
      <c r="N599" s="12" t="n"/>
      <c r="O599" s="12" t="n">
        <v>5541</v>
      </c>
      <c r="P599" s="12" t="n"/>
      <c r="Q599" s="12" t="n">
        <v>0</v>
      </c>
      <c r="R599" s="13">
        <f>IF(ISNUMBER(M599),ROUND(M599/(1-Settings!$B$2)/Settings!$B$3,0)*Settings!$B$3,"")</f>
        <v/>
      </c>
      <c r="S599" s="13">
        <f>IF(ISNUMBER(N599),ROUND(N599/(1-Settings!$B$2)/Settings!$B$3,0)*Settings!$B$3,"")</f>
        <v/>
      </c>
      <c r="T599" s="13">
        <f>IF(ISNUMBER(O599),ROUND(O599/(1-Settings!$B$2)/Settings!$B$3,0)*Settings!$B$3,"")</f>
        <v/>
      </c>
      <c r="U599" s="13">
        <f>IF(ISNUMBER(P599),ROUND(P599/(1-Settings!$B$2)/Settings!$B$3,0)*Settings!$B$3,"")</f>
        <v/>
      </c>
      <c r="V599" s="13">
        <f>IF(ISNUMBER(Q599),ROUND(Q599/(1-Settings!$B$2)/Settings!$B$3,0)*Settings!$B$3,"")</f>
        <v/>
      </c>
      <c r="W599" s="14" t="n">
        <v>19476</v>
      </c>
      <c r="X599" s="14" t="n">
        <v>25826</v>
      </c>
      <c r="Y599" s="11" t="inlineStr"/>
      <c r="Z599" s="11" t="inlineStr"/>
      <c r="AA599" s="8" t="inlineStr">
        <is>
          <t>Inventory master 6/2026 lists Digital Monitor Network at $925 (1 mo)</t>
        </is>
      </c>
      <c r="AB599" s="8" t="inlineStr"/>
      <c r="AC599" s="11" t="inlineStr">
        <is>
          <t>MasterMilitaryOnBaseList 12.2.25 NS.xlsx</t>
        </is>
      </c>
      <c r="AD599" s="11" t="inlineStr">
        <is>
          <t>Proposal.pdf</t>
        </is>
      </c>
      <c r="AE599" s="15" t="inlineStr">
        <is>
          <t>Open in Box</t>
        </is>
      </c>
      <c r="AF599" s="15" t="inlineStr">
        <is>
          <t>Open in Box</t>
        </is>
      </c>
    </row>
    <row r="600">
      <c r="A600" s="11" t="inlineStr">
        <is>
          <t>GA-FORTSTEW-003</t>
        </is>
      </c>
      <c r="B600" s="8" t="inlineStr">
        <is>
          <t>Fort Stewart / Hunter Army Airfield</t>
        </is>
      </c>
      <c r="C600" s="11" t="inlineStr">
        <is>
          <t>Fort Stewart</t>
        </is>
      </c>
      <c r="D600" s="11" t="inlineStr">
        <is>
          <t>GA</t>
        </is>
      </c>
      <c r="E600" s="11" t="inlineStr">
        <is>
          <t>Savannah</t>
        </is>
      </c>
      <c r="F600" s="11" t="inlineStr">
        <is>
          <t>31314</t>
        </is>
      </c>
      <c r="G600" s="11" t="inlineStr">
        <is>
          <t>Army</t>
        </is>
      </c>
      <c r="H600" s="11" t="inlineStr">
        <is>
          <t>Digital</t>
        </is>
      </c>
      <c r="I600" s="8" t="inlineStr">
        <is>
          <t>Outdoor Digital Billboards 94 sided)</t>
        </is>
      </c>
      <c r="J600" s="11" t="inlineStr">
        <is>
          <t>1144px x 343px, 288px x 144px</t>
        </is>
      </c>
      <c r="K600" s="8" t="inlineStr">
        <is>
          <t>Your ad will appear on an approved billboard on the installation.</t>
        </is>
      </c>
      <c r="L600" s="11" t="n">
        <v>6</v>
      </c>
      <c r="M600" s="12" t="n"/>
      <c r="N600" s="12" t="n"/>
      <c r="O600" s="12" t="n">
        <v>5250</v>
      </c>
      <c r="P600" s="12" t="n"/>
      <c r="Q600" s="12" t="n">
        <v>0</v>
      </c>
      <c r="R600" s="13">
        <f>IF(ISNUMBER(M600),ROUND(M600/(1-Settings!$B$2)/Settings!$B$3,0)*Settings!$B$3,"")</f>
        <v/>
      </c>
      <c r="S600" s="13">
        <f>IF(ISNUMBER(N600),ROUND(N600/(1-Settings!$B$2)/Settings!$B$3,0)*Settings!$B$3,"")</f>
        <v/>
      </c>
      <c r="T600" s="13">
        <f>IF(ISNUMBER(O600),ROUND(O600/(1-Settings!$B$2)/Settings!$B$3,0)*Settings!$B$3,"")</f>
        <v/>
      </c>
      <c r="U600" s="13">
        <f>IF(ISNUMBER(P600),ROUND(P600/(1-Settings!$B$2)/Settings!$B$3,0)*Settings!$B$3,"")</f>
        <v/>
      </c>
      <c r="V600" s="13">
        <f>IF(ISNUMBER(Q600),ROUND(Q600/(1-Settings!$B$2)/Settings!$B$3,0)*Settings!$B$3,"")</f>
        <v/>
      </c>
      <c r="W600" s="14" t="n">
        <v>19476</v>
      </c>
      <c r="X600" s="14" t="n">
        <v>25826</v>
      </c>
      <c r="Y600" s="11" t="inlineStr"/>
      <c r="Z600" s="11" t="inlineStr"/>
      <c r="AA600" s="8" t="inlineStr"/>
      <c r="AB600" s="8" t="inlineStr"/>
      <c r="AC600" s="11" t="inlineStr">
        <is>
          <t>MasterMilitaryOnBaseList 12.2.25 NS.xlsx</t>
        </is>
      </c>
      <c r="AD600" s="11" t="inlineStr">
        <is>
          <t>Proposal.pdf</t>
        </is>
      </c>
      <c r="AE600" s="15" t="inlineStr">
        <is>
          <t>Open in Box</t>
        </is>
      </c>
      <c r="AF600" s="15" t="inlineStr">
        <is>
          <t>Open in Box</t>
        </is>
      </c>
    </row>
    <row r="601">
      <c r="A601" s="11" t="inlineStr">
        <is>
          <t>GA-FORTSTEW-006</t>
        </is>
      </c>
      <c r="B601" s="8" t="inlineStr">
        <is>
          <t>Fort Stewart / Hunter Army Airfield</t>
        </is>
      </c>
      <c r="C601" s="11" t="inlineStr">
        <is>
          <t>Fort Stewart</t>
        </is>
      </c>
      <c r="D601" s="11" t="inlineStr">
        <is>
          <t>GA</t>
        </is>
      </c>
      <c r="E601" s="11" t="inlineStr">
        <is>
          <t>Savannah</t>
        </is>
      </c>
      <c r="F601" s="11" t="inlineStr">
        <is>
          <t>31314</t>
        </is>
      </c>
      <c r="G601" s="11" t="inlineStr">
        <is>
          <t>Army</t>
        </is>
      </c>
      <c r="H601" s="11" t="inlineStr">
        <is>
          <t>Large Format</t>
        </is>
      </c>
      <c r="I601" s="8" t="inlineStr">
        <is>
          <t>HAAF Youth Sports Field Banner</t>
        </is>
      </c>
      <c r="J601" s="11" t="inlineStr">
        <is>
          <t>10' x 4'</t>
        </is>
      </c>
      <c r="K601" s="8" t="inlineStr">
        <is>
          <t>Your ad will appear in the Youth Sports Field.</t>
        </is>
      </c>
      <c r="L601" s="11" t="n">
        <v>12</v>
      </c>
      <c r="M601" s="12" t="n"/>
      <c r="N601" s="12" t="n"/>
      <c r="O601" s="12" t="n"/>
      <c r="P601" s="12" t="n">
        <v>1500</v>
      </c>
      <c r="Q601" s="12" t="n">
        <v>200</v>
      </c>
      <c r="R601" s="13">
        <f>IF(ISNUMBER(M601),ROUND(M601/(1-Settings!$B$2)/Settings!$B$3,0)*Settings!$B$3,"")</f>
        <v/>
      </c>
      <c r="S601" s="13">
        <f>IF(ISNUMBER(N601),ROUND(N601/(1-Settings!$B$2)/Settings!$B$3,0)*Settings!$B$3,"")</f>
        <v/>
      </c>
      <c r="T601" s="13">
        <f>IF(ISNUMBER(O601),ROUND(O601/(1-Settings!$B$2)/Settings!$B$3,0)*Settings!$B$3,"")</f>
        <v/>
      </c>
      <c r="U601" s="13">
        <f>IF(ISNUMBER(P601),ROUND(P601/(1-Settings!$B$2)/Settings!$B$3,0)*Settings!$B$3,"")</f>
        <v/>
      </c>
      <c r="V601" s="13">
        <f>IF(ISNUMBER(Q601),ROUND(Q601/(1-Settings!$B$2)/Settings!$B$3,0)*Settings!$B$3,"")</f>
        <v/>
      </c>
      <c r="W601" s="14" t="n">
        <v>19476</v>
      </c>
      <c r="X601" s="14" t="n">
        <v>25826</v>
      </c>
      <c r="Y601" s="11" t="inlineStr"/>
      <c r="Z601" s="11" t="inlineStr"/>
      <c r="AA601" s="8" t="inlineStr"/>
      <c r="AB601" s="8" t="inlineStr"/>
      <c r="AC601" s="11" t="inlineStr">
        <is>
          <t>MasterMilitaryOnBaseList 12.2.25 NS.xlsx</t>
        </is>
      </c>
      <c r="AD601" s="11" t="inlineStr">
        <is>
          <t>Proposal.pdf</t>
        </is>
      </c>
      <c r="AE601" s="15" t="inlineStr">
        <is>
          <t>Open in Box</t>
        </is>
      </c>
      <c r="AF601" s="15" t="inlineStr">
        <is>
          <t>Open in Box</t>
        </is>
      </c>
    </row>
    <row r="602">
      <c r="A602" s="11" t="inlineStr">
        <is>
          <t>GA-FORTSTEW-007</t>
        </is>
      </c>
      <c r="B602" s="8" t="inlineStr">
        <is>
          <t>Fort Stewart / Hunter Army Airfield</t>
        </is>
      </c>
      <c r="C602" s="11" t="inlineStr">
        <is>
          <t>Fort Stewart</t>
        </is>
      </c>
      <c r="D602" s="11" t="inlineStr">
        <is>
          <t>GA</t>
        </is>
      </c>
      <c r="E602" s="11" t="inlineStr">
        <is>
          <t>Savannah</t>
        </is>
      </c>
      <c r="F602" s="11" t="inlineStr">
        <is>
          <t>31314</t>
        </is>
      </c>
      <c r="G602" s="11" t="inlineStr">
        <is>
          <t>Army</t>
        </is>
      </c>
      <c r="H602" s="11" t="inlineStr">
        <is>
          <t>Large Format</t>
        </is>
      </c>
      <c r="I602" s="8" t="inlineStr">
        <is>
          <t>Static Billboards</t>
        </is>
      </c>
      <c r="J602" s="11" t="inlineStr">
        <is>
          <t>36" x 10'</t>
        </is>
      </c>
      <c r="K602" s="8" t="inlineStr">
        <is>
          <t>Your ad will appear on an approved static billboard on the installation.</t>
        </is>
      </c>
      <c r="L602" s="11" t="n">
        <v>12</v>
      </c>
      <c r="M602" s="12" t="n"/>
      <c r="N602" s="12" t="n"/>
      <c r="O602" s="12" t="n"/>
      <c r="P602" s="12" t="n">
        <v>9600</v>
      </c>
      <c r="Q602" s="12" t="n"/>
      <c r="R602" s="13">
        <f>IF(ISNUMBER(M602),ROUND(M602/(1-Settings!$B$2)/Settings!$B$3,0)*Settings!$B$3,"")</f>
        <v/>
      </c>
      <c r="S602" s="13">
        <f>IF(ISNUMBER(N602),ROUND(N602/(1-Settings!$B$2)/Settings!$B$3,0)*Settings!$B$3,"")</f>
        <v/>
      </c>
      <c r="T602" s="13">
        <f>IF(ISNUMBER(O602),ROUND(O602/(1-Settings!$B$2)/Settings!$B$3,0)*Settings!$B$3,"")</f>
        <v/>
      </c>
      <c r="U602" s="13">
        <f>IF(ISNUMBER(P602),ROUND(P602/(1-Settings!$B$2)/Settings!$B$3,0)*Settings!$B$3,"")</f>
        <v/>
      </c>
      <c r="V602" s="13">
        <f>IF(ISNUMBER(Q602),ROUND(Q602/(1-Settings!$B$2)/Settings!$B$3,0)*Settings!$B$3,"")</f>
        <v/>
      </c>
      <c r="W602" s="14" t="n">
        <v>19476</v>
      </c>
      <c r="X602" s="14" t="n">
        <v>25826</v>
      </c>
      <c r="Y602" s="11" t="inlineStr"/>
      <c r="Z602" s="11" t="inlineStr"/>
      <c r="AA602" s="8" t="inlineStr"/>
      <c r="AB602" s="8" t="inlineStr"/>
      <c r="AC602" s="11" t="inlineStr">
        <is>
          <t>MasterMilitaryOnBaseList 12.2.25 NS.xlsx</t>
        </is>
      </c>
      <c r="AD602" s="11" t="inlineStr">
        <is>
          <t>Proposal.pdf</t>
        </is>
      </c>
      <c r="AE602" s="15" t="inlineStr">
        <is>
          <t>Open in Box</t>
        </is>
      </c>
      <c r="AF602" s="15" t="inlineStr">
        <is>
          <t>Open in Box</t>
        </is>
      </c>
    </row>
    <row r="603">
      <c r="A603" s="11" t="inlineStr">
        <is>
          <t>GA-FORTSTEW-008</t>
        </is>
      </c>
      <c r="B603" s="8" t="inlineStr">
        <is>
          <t>Fort Stewart / Hunter Army Airfield</t>
        </is>
      </c>
      <c r="C603" s="11" t="inlineStr">
        <is>
          <t>Fort Stewart</t>
        </is>
      </c>
      <c r="D603" s="11" t="inlineStr">
        <is>
          <t>GA</t>
        </is>
      </c>
      <c r="E603" s="11" t="inlineStr">
        <is>
          <t>Savannah</t>
        </is>
      </c>
      <c r="F603" s="11" t="inlineStr">
        <is>
          <t>31314</t>
        </is>
      </c>
      <c r="G603" s="11" t="inlineStr">
        <is>
          <t>Army</t>
        </is>
      </c>
      <c r="H603" s="11" t="inlineStr">
        <is>
          <t>Large Format</t>
        </is>
      </c>
      <c r="I603" s="8" t="inlineStr">
        <is>
          <t>Window Wrap</t>
        </is>
      </c>
      <c r="J603" s="11" t="inlineStr">
        <is>
          <t>Size Varies</t>
        </is>
      </c>
      <c r="K603" s="8" t="inlineStr">
        <is>
          <t>Your ad will appear on approved windows in facilities on the installation.</t>
        </is>
      </c>
      <c r="L603" s="11" t="n">
        <v>12</v>
      </c>
      <c r="M603" s="12" t="n"/>
      <c r="N603" s="12" t="n"/>
      <c r="O603" s="12" t="n"/>
      <c r="P603" s="12" t="n">
        <v>6220</v>
      </c>
      <c r="Q603" s="12" t="n">
        <v>0</v>
      </c>
      <c r="R603" s="13">
        <f>IF(ISNUMBER(M603),ROUND(M603/(1-Settings!$B$2)/Settings!$B$3,0)*Settings!$B$3,"")</f>
        <v/>
      </c>
      <c r="S603" s="13">
        <f>IF(ISNUMBER(N603),ROUND(N603/(1-Settings!$B$2)/Settings!$B$3,0)*Settings!$B$3,"")</f>
        <v/>
      </c>
      <c r="T603" s="13">
        <f>IF(ISNUMBER(O603),ROUND(O603/(1-Settings!$B$2)/Settings!$B$3,0)*Settings!$B$3,"")</f>
        <v/>
      </c>
      <c r="U603" s="13">
        <f>IF(ISNUMBER(P603),ROUND(P603/(1-Settings!$B$2)/Settings!$B$3,0)*Settings!$B$3,"")</f>
        <v/>
      </c>
      <c r="V603" s="13">
        <f>IF(ISNUMBER(Q603),ROUND(Q603/(1-Settings!$B$2)/Settings!$B$3,0)*Settings!$B$3,"")</f>
        <v/>
      </c>
      <c r="W603" s="14" t="n">
        <v>19476</v>
      </c>
      <c r="X603" s="14" t="n">
        <v>25826</v>
      </c>
      <c r="Y603" s="11" t="inlineStr"/>
      <c r="Z603" s="11" t="inlineStr"/>
      <c r="AA603" s="8" t="inlineStr"/>
      <c r="AB603" s="8" t="inlineStr"/>
      <c r="AC603" s="11" t="inlineStr">
        <is>
          <t>MasterMilitaryOnBaseList 12.2.25 NS.xlsx</t>
        </is>
      </c>
      <c r="AD603" s="11" t="inlineStr">
        <is>
          <t>Proposal.pdf</t>
        </is>
      </c>
      <c r="AE603" s="15" t="inlineStr">
        <is>
          <t>Open in Box</t>
        </is>
      </c>
      <c r="AF603" s="15" t="inlineStr">
        <is>
          <t>Open in Box</t>
        </is>
      </c>
    </row>
    <row r="604">
      <c r="A604" s="11" t="inlineStr">
        <is>
          <t>GA-FORTSTEW-009</t>
        </is>
      </c>
      <c r="B604" s="8" t="inlineStr">
        <is>
          <t>Fort Stewart / Hunter Army Airfield</t>
        </is>
      </c>
      <c r="C604" s="11" t="inlineStr">
        <is>
          <t>Fort Stewart</t>
        </is>
      </c>
      <c r="D604" s="11" t="inlineStr">
        <is>
          <t>GA</t>
        </is>
      </c>
      <c r="E604" s="11" t="inlineStr">
        <is>
          <t>Savannah</t>
        </is>
      </c>
      <c r="F604" s="11" t="inlineStr">
        <is>
          <t>31314</t>
        </is>
      </c>
      <c r="G604" s="11" t="inlineStr">
        <is>
          <t>Army</t>
        </is>
      </c>
      <c r="H604" s="11" t="inlineStr">
        <is>
          <t>Sponsorship &amp; Other</t>
        </is>
      </c>
      <c r="I604" s="8" t="inlineStr">
        <is>
          <t>Sandwich Board</t>
        </is>
      </c>
      <c r="J604" s="11" t="inlineStr">
        <is>
          <t>24" x 36"</t>
        </is>
      </c>
      <c r="K604" s="8" t="inlineStr">
        <is>
          <t>Your ad will appear on a sandwich board placed at high traffic entrances.</t>
        </is>
      </c>
      <c r="L604" s="11" t="n"/>
      <c r="M604" s="12" t="n"/>
      <c r="N604" s="12" t="n"/>
      <c r="O604" s="12" t="n"/>
      <c r="P604" s="12" t="n"/>
      <c r="Q604" s="12" t="n"/>
      <c r="R604" s="13">
        <f>IF(ISNUMBER(M604),ROUND(M604/(1-Settings!$B$2)/Settings!$B$3,0)*Settings!$B$3,"")</f>
        <v/>
      </c>
      <c r="S604" s="13">
        <f>IF(ISNUMBER(N604),ROUND(N604/(1-Settings!$B$2)/Settings!$B$3,0)*Settings!$B$3,"")</f>
        <v/>
      </c>
      <c r="T604" s="13">
        <f>IF(ISNUMBER(O604),ROUND(O604/(1-Settings!$B$2)/Settings!$B$3,0)*Settings!$B$3,"")</f>
        <v/>
      </c>
      <c r="U604" s="13">
        <f>IF(ISNUMBER(P604),ROUND(P604/(1-Settings!$B$2)/Settings!$B$3,0)*Settings!$B$3,"")</f>
        <v/>
      </c>
      <c r="V604" s="13">
        <f>IF(ISNUMBER(Q604),ROUND(Q604/(1-Settings!$B$2)/Settings!$B$3,0)*Settings!$B$3,"")</f>
        <v/>
      </c>
      <c r="W604" s="14" t="n">
        <v>19476</v>
      </c>
      <c r="X604" s="14" t="n">
        <v>25826</v>
      </c>
      <c r="Y604" s="11" t="inlineStr"/>
      <c r="Z604" s="11" t="inlineStr"/>
      <c r="AA604" s="8" t="inlineStr"/>
      <c r="AB604" s="16" t="inlineStr">
        <is>
          <t>No price on file - inquire</t>
        </is>
      </c>
      <c r="AC604" s="11" t="inlineStr">
        <is>
          <t>MasterMilitaryOnBaseList 12.2.25 NS.xlsx</t>
        </is>
      </c>
      <c r="AD604" s="11" t="inlineStr">
        <is>
          <t>Proposal.pdf</t>
        </is>
      </c>
      <c r="AE604" s="15" t="inlineStr">
        <is>
          <t>Open in Box</t>
        </is>
      </c>
      <c r="AF604" s="15" t="inlineStr">
        <is>
          <t>Open in Box</t>
        </is>
      </c>
    </row>
    <row r="605">
      <c r="A605" s="11" t="inlineStr">
        <is>
          <t>GA-FORTSTEW-004</t>
        </is>
      </c>
      <c r="B605" s="8" t="inlineStr">
        <is>
          <t>Fort Stewart / Hunter Army Airfield</t>
        </is>
      </c>
      <c r="C605" s="11" t="inlineStr">
        <is>
          <t>Fort Stewart</t>
        </is>
      </c>
      <c r="D605" s="11" t="inlineStr">
        <is>
          <t>GA</t>
        </is>
      </c>
      <c r="E605" s="11" t="inlineStr">
        <is>
          <t>Savannah</t>
        </is>
      </c>
      <c r="F605" s="11" t="inlineStr">
        <is>
          <t>31314</t>
        </is>
      </c>
      <c r="G605" s="11" t="inlineStr">
        <is>
          <t>Army</t>
        </is>
      </c>
      <c r="H605" s="11" t="inlineStr">
        <is>
          <t>Standard Media</t>
        </is>
      </c>
      <c r="I605" s="8" t="inlineStr">
        <is>
          <t>Auto Skills Banner</t>
        </is>
      </c>
      <c r="J605" s="11" t="inlineStr">
        <is>
          <t>10' x 4'</t>
        </is>
      </c>
      <c r="K605" s="8" t="inlineStr">
        <is>
          <t>Your ad will appear in the Libby Auto Skills Center</t>
        </is>
      </c>
      <c r="L605" s="11" t="n">
        <v>12</v>
      </c>
      <c r="M605" s="12" t="n"/>
      <c r="N605" s="12" t="n"/>
      <c r="O605" s="12" t="n"/>
      <c r="P605" s="12" t="n">
        <v>1500</v>
      </c>
      <c r="Q605" s="12" t="n">
        <v>200</v>
      </c>
      <c r="R605" s="13">
        <f>IF(ISNUMBER(M605),ROUND(M605/(1-Settings!$B$2)/Settings!$B$3,0)*Settings!$B$3,"")</f>
        <v/>
      </c>
      <c r="S605" s="13">
        <f>IF(ISNUMBER(N605),ROUND(N605/(1-Settings!$B$2)/Settings!$B$3,0)*Settings!$B$3,"")</f>
        <v/>
      </c>
      <c r="T605" s="13">
        <f>IF(ISNUMBER(O605),ROUND(O605/(1-Settings!$B$2)/Settings!$B$3,0)*Settings!$B$3,"")</f>
        <v/>
      </c>
      <c r="U605" s="13">
        <f>IF(ISNUMBER(P605),ROUND(P605/(1-Settings!$B$2)/Settings!$B$3,0)*Settings!$B$3,"")</f>
        <v/>
      </c>
      <c r="V605" s="13">
        <f>IF(ISNUMBER(Q605),ROUND(Q605/(1-Settings!$B$2)/Settings!$B$3,0)*Settings!$B$3,"")</f>
        <v/>
      </c>
      <c r="W605" s="14" t="n">
        <v>19476</v>
      </c>
      <c r="X605" s="14" t="n">
        <v>25826</v>
      </c>
      <c r="Y605" s="11" t="inlineStr"/>
      <c r="Z605" s="11" t="inlineStr"/>
      <c r="AA605" s="8" t="inlineStr"/>
      <c r="AB605" s="8" t="inlineStr"/>
      <c r="AC605" s="11" t="inlineStr">
        <is>
          <t>MasterMilitaryOnBaseList 12.2.25 NS.xlsx</t>
        </is>
      </c>
      <c r="AD605" s="11" t="inlineStr">
        <is>
          <t>Proposal.pdf</t>
        </is>
      </c>
      <c r="AE605" s="15" t="inlineStr">
        <is>
          <t>Open in Box</t>
        </is>
      </c>
      <c r="AF605" s="15" t="inlineStr">
        <is>
          <t>Open in Box</t>
        </is>
      </c>
    </row>
    <row r="606">
      <c r="A606" s="11" t="inlineStr">
        <is>
          <t>GA-FORTSTEW-005</t>
        </is>
      </c>
      <c r="B606" s="8" t="inlineStr">
        <is>
          <t>Fort Stewart / Hunter Army Airfield</t>
        </is>
      </c>
      <c r="C606" s="11" t="inlineStr">
        <is>
          <t>Fort Stewart</t>
        </is>
      </c>
      <c r="D606" s="11" t="inlineStr">
        <is>
          <t>GA</t>
        </is>
      </c>
      <c r="E606" s="11" t="inlineStr">
        <is>
          <t>Savannah</t>
        </is>
      </c>
      <c r="F606" s="11" t="inlineStr">
        <is>
          <t>31314</t>
        </is>
      </c>
      <c r="G606" s="11" t="inlineStr">
        <is>
          <t>Army</t>
        </is>
      </c>
      <c r="H606" s="11" t="inlineStr">
        <is>
          <t>Standard Media</t>
        </is>
      </c>
      <c r="I606" s="8" t="inlineStr">
        <is>
          <t>HAAF ACS Banner</t>
        </is>
      </c>
      <c r="J606" s="11" t="inlineStr">
        <is>
          <t>10' x 4'</t>
        </is>
      </c>
      <c r="K606" s="8" t="inlineStr">
        <is>
          <t>Your ad will appear in front on the ACS.</t>
        </is>
      </c>
      <c r="L606" s="11" t="n">
        <v>12</v>
      </c>
      <c r="M606" s="12" t="n"/>
      <c r="N606" s="12" t="n"/>
      <c r="O606" s="12" t="n"/>
      <c r="P606" s="12" t="n">
        <v>2000</v>
      </c>
      <c r="Q606" s="12" t="n">
        <v>200</v>
      </c>
      <c r="R606" s="13">
        <f>IF(ISNUMBER(M606),ROUND(M606/(1-Settings!$B$2)/Settings!$B$3,0)*Settings!$B$3,"")</f>
        <v/>
      </c>
      <c r="S606" s="13">
        <f>IF(ISNUMBER(N606),ROUND(N606/(1-Settings!$B$2)/Settings!$B$3,0)*Settings!$B$3,"")</f>
        <v/>
      </c>
      <c r="T606" s="13">
        <f>IF(ISNUMBER(O606),ROUND(O606/(1-Settings!$B$2)/Settings!$B$3,0)*Settings!$B$3,"")</f>
        <v/>
      </c>
      <c r="U606" s="13">
        <f>IF(ISNUMBER(P606),ROUND(P606/(1-Settings!$B$2)/Settings!$B$3,0)*Settings!$B$3,"")</f>
        <v/>
      </c>
      <c r="V606" s="13">
        <f>IF(ISNUMBER(Q606),ROUND(Q606/(1-Settings!$B$2)/Settings!$B$3,0)*Settings!$B$3,"")</f>
        <v/>
      </c>
      <c r="W606" s="14" t="n">
        <v>19476</v>
      </c>
      <c r="X606" s="14" t="n">
        <v>25826</v>
      </c>
      <c r="Y606" s="11" t="inlineStr"/>
      <c r="Z606" s="11" t="inlineStr"/>
      <c r="AA606" s="8" t="inlineStr"/>
      <c r="AB606" s="8" t="inlineStr"/>
      <c r="AC606" s="11" t="inlineStr">
        <is>
          <t>MasterMilitaryOnBaseList 12.2.25 NS.xlsx</t>
        </is>
      </c>
      <c r="AD606" s="11" t="inlineStr">
        <is>
          <t>Proposal.pdf</t>
        </is>
      </c>
      <c r="AE606" s="15" t="inlineStr">
        <is>
          <t>Open in Box</t>
        </is>
      </c>
      <c r="AF606" s="15" t="inlineStr">
        <is>
          <t>Open in Box</t>
        </is>
      </c>
    </row>
    <row r="607">
      <c r="A607" s="11" t="inlineStr">
        <is>
          <t>GA-FORTSTEW-011</t>
        </is>
      </c>
      <c r="B607" s="8" t="inlineStr">
        <is>
          <t>Fort Stewart / Hunter Army Airfield</t>
        </is>
      </c>
      <c r="C607" s="11" t="inlineStr"/>
      <c r="D607" s="11" t="inlineStr">
        <is>
          <t>GA</t>
        </is>
      </c>
      <c r="E607" s="11" t="inlineStr">
        <is>
          <t>Savannah</t>
        </is>
      </c>
      <c r="F607" s="11" t="inlineStr"/>
      <c r="G607" s="11" t="inlineStr">
        <is>
          <t>Army</t>
        </is>
      </c>
      <c r="H607" s="11" t="inlineStr">
        <is>
          <t>Web &amp; Email</t>
        </is>
      </c>
      <c r="I607" s="8" t="inlineStr">
        <is>
          <t>Web Ad</t>
        </is>
      </c>
      <c r="J607" s="11" t="inlineStr"/>
      <c r="K607" s="8" t="inlineStr">
        <is>
          <t>Your ad will appear on the installation MWR / FSS website.</t>
        </is>
      </c>
      <c r="L607" s="11" t="n">
        <v>1</v>
      </c>
      <c r="M607" s="12" t="n">
        <v>475</v>
      </c>
      <c r="N607" s="12" t="n"/>
      <c r="O607" s="12" t="n"/>
      <c r="P607" s="12" t="n"/>
      <c r="Q607" s="12" t="n"/>
      <c r="R607" s="13">
        <f>IF(ISNUMBER(M607),ROUND(M607/(1-Settings!$B$2)/Settings!$B$3,0)*Settings!$B$3,"")</f>
        <v/>
      </c>
      <c r="S607" s="13">
        <f>IF(ISNUMBER(N607),ROUND(N607/(1-Settings!$B$2)/Settings!$B$3,0)*Settings!$B$3,"")</f>
        <v/>
      </c>
      <c r="T607" s="13">
        <f>IF(ISNUMBER(O607),ROUND(O607/(1-Settings!$B$2)/Settings!$B$3,0)*Settings!$B$3,"")</f>
        <v/>
      </c>
      <c r="U607" s="13">
        <f>IF(ISNUMBER(P607),ROUND(P607/(1-Settings!$B$2)/Settings!$B$3,0)*Settings!$B$3,"")</f>
        <v/>
      </c>
      <c r="V607" s="13">
        <f>IF(ISNUMBER(Q607),ROUND(Q607/(1-Settings!$B$2)/Settings!$B$3,0)*Settings!$B$3,"")</f>
        <v/>
      </c>
      <c r="W607" s="14" t="n">
        <v>19476</v>
      </c>
      <c r="X607" s="14" t="n">
        <v>25826</v>
      </c>
      <c r="Y607" s="11" t="inlineStr">
        <is>
          <t>2026</t>
        </is>
      </c>
      <c r="Z607" s="11" t="inlineStr">
        <is>
          <t>2026-06</t>
        </is>
      </c>
      <c r="AA607" s="8" t="inlineStr"/>
      <c r="AB607" s="8" t="inlineStr"/>
      <c r="AC607" s="11" t="inlineStr">
        <is>
          <t>Military - National Publication Inventory Master_June 2026.xlsx</t>
        </is>
      </c>
      <c r="AD607" s="11" t="inlineStr">
        <is>
          <t>Proposal.pdf</t>
        </is>
      </c>
      <c r="AE607" s="15" t="inlineStr">
        <is>
          <t>Open in Box</t>
        </is>
      </c>
      <c r="AF607" s="15" t="inlineStr">
        <is>
          <t>Open in Box</t>
        </is>
      </c>
    </row>
    <row r="608">
      <c r="A608" s="11" t="inlineStr">
        <is>
          <t>GA-KINGSBAY-001</t>
        </is>
      </c>
      <c r="B608" s="8" t="inlineStr">
        <is>
          <t>Kings Bay NAVSUBBASE</t>
        </is>
      </c>
      <c r="C608" s="11" t="inlineStr"/>
      <c r="D608" s="11" t="inlineStr">
        <is>
          <t>GA</t>
        </is>
      </c>
      <c r="E608" s="11" t="inlineStr">
        <is>
          <t>Jacksonville</t>
        </is>
      </c>
      <c r="F608" s="11" t="inlineStr">
        <is>
          <t>31547</t>
        </is>
      </c>
      <c r="G608" s="11" t="inlineStr">
        <is>
          <t>Navy</t>
        </is>
      </c>
      <c r="H608" s="11" t="inlineStr">
        <is>
          <t>Digital</t>
        </is>
      </c>
      <c r="I608" s="8" t="inlineStr">
        <is>
          <t>Bowling Scoring Monitors</t>
        </is>
      </c>
      <c r="J608" s="11" t="inlineStr">
        <is>
          <t>1920pxW x 1080pxH</t>
        </is>
      </c>
      <c r="K608" s="8" t="inlineStr">
        <is>
          <t>Your ad will appear on 14 bowling scoring monitors.</t>
        </is>
      </c>
      <c r="L608" s="11" t="n">
        <v>1</v>
      </c>
      <c r="M608" s="12" t="n">
        <v>350</v>
      </c>
      <c r="N608" s="12" t="n">
        <v>1050</v>
      </c>
      <c r="O608" s="12" t="n">
        <v>2100</v>
      </c>
      <c r="P608" s="12" t="n">
        <v>4200</v>
      </c>
      <c r="Q608" s="12" t="n">
        <v>0</v>
      </c>
      <c r="R608" s="13">
        <f>IF(ISNUMBER(M608),ROUND(M608/(1-Settings!$B$2)/Settings!$B$3,0)*Settings!$B$3,"")</f>
        <v/>
      </c>
      <c r="S608" s="13">
        <f>IF(ISNUMBER(N608),ROUND(N608/(1-Settings!$B$2)/Settings!$B$3,0)*Settings!$B$3,"")</f>
        <v/>
      </c>
      <c r="T608" s="13">
        <f>IF(ISNUMBER(O608),ROUND(O608/(1-Settings!$B$2)/Settings!$B$3,0)*Settings!$B$3,"")</f>
        <v/>
      </c>
      <c r="U608" s="13">
        <f>IF(ISNUMBER(P608),ROUND(P608/(1-Settings!$B$2)/Settings!$B$3,0)*Settings!$B$3,"")</f>
        <v/>
      </c>
      <c r="V608" s="13">
        <f>IF(ISNUMBER(Q608),ROUND(Q608/(1-Settings!$B$2)/Settings!$B$3,0)*Settings!$B$3,"")</f>
        <v/>
      </c>
      <c r="W608" s="14" t="n">
        <v>2918</v>
      </c>
      <c r="X608" s="14" t="n">
        <v>3953</v>
      </c>
      <c r="Y608" s="11" t="inlineStr"/>
      <c r="Z608" s="11" t="inlineStr"/>
      <c r="AA608" s="8" t="inlineStr"/>
      <c r="AB608" s="8" t="inlineStr"/>
      <c r="AC608" s="11" t="inlineStr">
        <is>
          <t>MasterMilitaryOnBaseList 12.2.25 NS.xlsx</t>
        </is>
      </c>
      <c r="AD608" s="11" t="inlineStr">
        <is>
          <t>FY26-27 ADVERTISING ASSETS_NRSE.xlsx</t>
        </is>
      </c>
      <c r="AE608" s="15" t="inlineStr">
        <is>
          <t>Open in Box</t>
        </is>
      </c>
      <c r="AF608" s="15" t="inlineStr">
        <is>
          <t>Open in Box</t>
        </is>
      </c>
    </row>
    <row r="609">
      <c r="A609" s="11" t="inlineStr">
        <is>
          <t>GA-KINGSBAY-002</t>
        </is>
      </c>
      <c r="B609" s="8" t="inlineStr">
        <is>
          <t>Kings Bay NAVSUBBASE</t>
        </is>
      </c>
      <c r="C609" s="11" t="inlineStr"/>
      <c r="D609" s="11" t="inlineStr">
        <is>
          <t>GA</t>
        </is>
      </c>
      <c r="E609" s="11" t="inlineStr">
        <is>
          <t>Jacksonville</t>
        </is>
      </c>
      <c r="F609" s="11" t="inlineStr">
        <is>
          <t>31547</t>
        </is>
      </c>
      <c r="G609" s="11" t="inlineStr">
        <is>
          <t>Navy</t>
        </is>
      </c>
      <c r="H609" s="11" t="inlineStr">
        <is>
          <t>Digital</t>
        </is>
      </c>
      <c r="I609" s="8" t="inlineStr">
        <is>
          <t>Digital Marquee</t>
        </is>
      </c>
      <c r="J609" s="11" t="inlineStr">
        <is>
          <t>128pxW x 64pxH</t>
        </is>
      </c>
      <c r="K609" s="8" t="inlineStr">
        <is>
          <t>Your ad will appear on the fitness comples marquee.</t>
        </is>
      </c>
      <c r="L609" s="11" t="n">
        <v>1</v>
      </c>
      <c r="M609" s="12" t="n">
        <v>250</v>
      </c>
      <c r="N609" s="12" t="n">
        <v>750</v>
      </c>
      <c r="O609" s="12" t="n">
        <v>1500</v>
      </c>
      <c r="P609" s="12" t="n">
        <v>3000</v>
      </c>
      <c r="Q609" s="12" t="n">
        <v>0</v>
      </c>
      <c r="R609" s="13">
        <f>IF(ISNUMBER(M609),ROUND(M609/(1-Settings!$B$2)/Settings!$B$3,0)*Settings!$B$3,"")</f>
        <v/>
      </c>
      <c r="S609" s="13">
        <f>IF(ISNUMBER(N609),ROUND(N609/(1-Settings!$B$2)/Settings!$B$3,0)*Settings!$B$3,"")</f>
        <v/>
      </c>
      <c r="T609" s="13">
        <f>IF(ISNUMBER(O609),ROUND(O609/(1-Settings!$B$2)/Settings!$B$3,0)*Settings!$B$3,"")</f>
        <v/>
      </c>
      <c r="U609" s="13">
        <f>IF(ISNUMBER(P609),ROUND(P609/(1-Settings!$B$2)/Settings!$B$3,0)*Settings!$B$3,"")</f>
        <v/>
      </c>
      <c r="V609" s="13">
        <f>IF(ISNUMBER(Q609),ROUND(Q609/(1-Settings!$B$2)/Settings!$B$3,0)*Settings!$B$3,"")</f>
        <v/>
      </c>
      <c r="W609" s="14" t="n">
        <v>2918</v>
      </c>
      <c r="X609" s="14" t="n">
        <v>3953</v>
      </c>
      <c r="Y609" s="11" t="inlineStr"/>
      <c r="Z609" s="11" t="inlineStr"/>
      <c r="AA609" s="8" t="inlineStr">
        <is>
          <t>Inventory master 6/2026 lists Digital Monitor Network at $550 (1 mo)</t>
        </is>
      </c>
      <c r="AB609" s="8" t="inlineStr"/>
      <c r="AC609" s="11" t="inlineStr">
        <is>
          <t>MasterMilitaryOnBaseList 12.2.25 NS.xlsx</t>
        </is>
      </c>
      <c r="AD609" s="11" t="inlineStr">
        <is>
          <t>FY26-27 ADVERTISING ASSETS_NRSE.xlsx</t>
        </is>
      </c>
      <c r="AE609" s="15" t="inlineStr">
        <is>
          <t>Open in Box</t>
        </is>
      </c>
      <c r="AF609" s="15" t="inlineStr">
        <is>
          <t>Open in Box</t>
        </is>
      </c>
    </row>
    <row r="610">
      <c r="A610" s="11" t="inlineStr">
        <is>
          <t>GA-KINGSBAY-003</t>
        </is>
      </c>
      <c r="B610" s="8" t="inlineStr">
        <is>
          <t>Kings Bay NAVSUBBASE</t>
        </is>
      </c>
      <c r="C610" s="11" t="inlineStr"/>
      <c r="D610" s="11" t="inlineStr">
        <is>
          <t>GA</t>
        </is>
      </c>
      <c r="E610" s="11" t="inlineStr">
        <is>
          <t>Jacksonville</t>
        </is>
      </c>
      <c r="F610" s="11" t="inlineStr">
        <is>
          <t>31547</t>
        </is>
      </c>
      <c r="G610" s="11" t="inlineStr">
        <is>
          <t>Navy</t>
        </is>
      </c>
      <c r="H610" s="11" t="inlineStr">
        <is>
          <t>Digital</t>
        </is>
      </c>
      <c r="I610" s="8" t="inlineStr">
        <is>
          <t>Digital Monitor Network</t>
        </is>
      </c>
      <c r="J610" s="11" t="inlineStr">
        <is>
          <t>1920pxW x 1080pxH</t>
        </is>
      </c>
      <c r="K610" s="8" t="inlineStr">
        <is>
          <t>Your ad will appear on 9 digital monitors in approved installation facilities.</t>
        </is>
      </c>
      <c r="L610" s="11" t="n">
        <v>1</v>
      </c>
      <c r="M610" s="12" t="n">
        <v>840</v>
      </c>
      <c r="N610" s="12" t="n">
        <v>2520</v>
      </c>
      <c r="O610" s="12" t="n">
        <v>5040</v>
      </c>
      <c r="P610" s="12" t="n">
        <v>10080</v>
      </c>
      <c r="Q610" s="12" t="n">
        <v>0</v>
      </c>
      <c r="R610" s="13">
        <f>IF(ISNUMBER(M610),ROUND(M610/(1-Settings!$B$2)/Settings!$B$3,0)*Settings!$B$3,"")</f>
        <v/>
      </c>
      <c r="S610" s="13">
        <f>IF(ISNUMBER(N610),ROUND(N610/(1-Settings!$B$2)/Settings!$B$3,0)*Settings!$B$3,"")</f>
        <v/>
      </c>
      <c r="T610" s="13">
        <f>IF(ISNUMBER(O610),ROUND(O610/(1-Settings!$B$2)/Settings!$B$3,0)*Settings!$B$3,"")</f>
        <v/>
      </c>
      <c r="U610" s="13">
        <f>IF(ISNUMBER(P610),ROUND(P610/(1-Settings!$B$2)/Settings!$B$3,0)*Settings!$B$3,"")</f>
        <v/>
      </c>
      <c r="V610" s="13">
        <f>IF(ISNUMBER(Q610),ROUND(Q610/(1-Settings!$B$2)/Settings!$B$3,0)*Settings!$B$3,"")</f>
        <v/>
      </c>
      <c r="W610" s="14" t="n">
        <v>2918</v>
      </c>
      <c r="X610" s="14" t="n">
        <v>3953</v>
      </c>
      <c r="Y610" s="11" t="inlineStr"/>
      <c r="Z610" s="11" t="inlineStr"/>
      <c r="AA610" s="8" t="inlineStr">
        <is>
          <t>Inventory master 6/2026 lists Digital Monitor Network at $550 (1 mo)</t>
        </is>
      </c>
      <c r="AB610" s="8" t="inlineStr"/>
      <c r="AC610" s="11" t="inlineStr">
        <is>
          <t>MasterMilitaryOnBaseList 12.2.25 NS.xlsx</t>
        </is>
      </c>
      <c r="AD610" s="11" t="inlineStr">
        <is>
          <t>FY26-27 ADVERTISING ASSETS_NRSE.xlsx</t>
        </is>
      </c>
      <c r="AE610" s="15" t="inlineStr">
        <is>
          <t>Open in Box</t>
        </is>
      </c>
      <c r="AF610" s="15" t="inlineStr">
        <is>
          <t>Open in Box</t>
        </is>
      </c>
    </row>
    <row r="611">
      <c r="A611" s="11" t="inlineStr">
        <is>
          <t>GA-KINGSBAY-004</t>
        </is>
      </c>
      <c r="B611" s="8" t="inlineStr">
        <is>
          <t>Kings Bay NAVSUBBASE</t>
        </is>
      </c>
      <c r="C611" s="11" t="inlineStr"/>
      <c r="D611" s="11" t="inlineStr">
        <is>
          <t>GA</t>
        </is>
      </c>
      <c r="E611" s="11" t="inlineStr">
        <is>
          <t>Jacksonville</t>
        </is>
      </c>
      <c r="F611" s="11" t="inlineStr">
        <is>
          <t>31547</t>
        </is>
      </c>
      <c r="G611" s="11" t="inlineStr">
        <is>
          <t>Navy</t>
        </is>
      </c>
      <c r="H611" s="11" t="inlineStr">
        <is>
          <t>Digital</t>
        </is>
      </c>
      <c r="I611" s="8" t="inlineStr">
        <is>
          <t>Theatre Commercial</t>
        </is>
      </c>
      <c r="J611" s="11" t="inlineStr">
        <is>
          <t>TBD</t>
        </is>
      </c>
      <c r="K611" s="8" t="inlineStr">
        <is>
          <t>Your ad will appear before movies.</t>
        </is>
      </c>
      <c r="L611" s="11" t="n">
        <v>1</v>
      </c>
      <c r="M611" s="12" t="n">
        <v>400</v>
      </c>
      <c r="N611" s="12" t="n">
        <v>1200</v>
      </c>
      <c r="O611" s="12" t="n">
        <v>2400</v>
      </c>
      <c r="P611" s="12" t="n">
        <v>4800</v>
      </c>
      <c r="Q611" s="12" t="n">
        <v>0</v>
      </c>
      <c r="R611" s="13">
        <f>IF(ISNUMBER(M611),ROUND(M611/(1-Settings!$B$2)/Settings!$B$3,0)*Settings!$B$3,"")</f>
        <v/>
      </c>
      <c r="S611" s="13">
        <f>IF(ISNUMBER(N611),ROUND(N611/(1-Settings!$B$2)/Settings!$B$3,0)*Settings!$B$3,"")</f>
        <v/>
      </c>
      <c r="T611" s="13">
        <f>IF(ISNUMBER(O611),ROUND(O611/(1-Settings!$B$2)/Settings!$B$3,0)*Settings!$B$3,"")</f>
        <v/>
      </c>
      <c r="U611" s="13">
        <f>IF(ISNUMBER(P611),ROUND(P611/(1-Settings!$B$2)/Settings!$B$3,0)*Settings!$B$3,"")</f>
        <v/>
      </c>
      <c r="V611" s="13">
        <f>IF(ISNUMBER(Q611),ROUND(Q611/(1-Settings!$B$2)/Settings!$B$3,0)*Settings!$B$3,"")</f>
        <v/>
      </c>
      <c r="W611" s="14" t="n">
        <v>2918</v>
      </c>
      <c r="X611" s="14" t="n">
        <v>3953</v>
      </c>
      <c r="Y611" s="11" t="inlineStr"/>
      <c r="Z611" s="11" t="inlineStr"/>
      <c r="AA611" s="8" t="inlineStr">
        <is>
          <t>Inventory master 6/2026 lists Movie Theater Ad at $350 (1 mo)</t>
        </is>
      </c>
      <c r="AB611" s="8" t="inlineStr"/>
      <c r="AC611" s="11" t="inlineStr">
        <is>
          <t>MasterMilitaryOnBaseList 12.2.25 NS.xlsx</t>
        </is>
      </c>
      <c r="AD611" s="11" t="inlineStr">
        <is>
          <t>FY26-27 ADVERTISING ASSETS_NRSE.xlsx</t>
        </is>
      </c>
      <c r="AE611" s="15" t="inlineStr">
        <is>
          <t>Open in Box</t>
        </is>
      </c>
      <c r="AF611" s="15" t="inlineStr">
        <is>
          <t>Open in Box</t>
        </is>
      </c>
    </row>
    <row r="612">
      <c r="A612" s="11" t="inlineStr">
        <is>
          <t>GA-KINGSBAY-005</t>
        </is>
      </c>
      <c r="B612" s="8" t="inlineStr">
        <is>
          <t>Kings Bay NAVSUBBASE</t>
        </is>
      </c>
      <c r="C612" s="11" t="inlineStr"/>
      <c r="D612" s="11" t="inlineStr">
        <is>
          <t>GA</t>
        </is>
      </c>
      <c r="E612" s="11" t="inlineStr">
        <is>
          <t>Jacksonville</t>
        </is>
      </c>
      <c r="F612" s="11" t="inlineStr">
        <is>
          <t>31547</t>
        </is>
      </c>
      <c r="G612" s="11" t="inlineStr">
        <is>
          <t>Navy</t>
        </is>
      </c>
      <c r="H612" s="11" t="inlineStr">
        <is>
          <t>Digital</t>
        </is>
      </c>
      <c r="I612" s="8" t="inlineStr">
        <is>
          <t>Theatre Static</t>
        </is>
      </c>
      <c r="J612" s="11" t="inlineStr">
        <is>
          <t>TBD</t>
        </is>
      </c>
      <c r="K612" s="8" t="inlineStr">
        <is>
          <t>Your ad will appear before movies.</t>
        </is>
      </c>
      <c r="L612" s="11" t="n">
        <v>1</v>
      </c>
      <c r="M612" s="12" t="n">
        <v>300</v>
      </c>
      <c r="N612" s="12" t="n">
        <v>900</v>
      </c>
      <c r="O612" s="12" t="n">
        <v>1800</v>
      </c>
      <c r="P612" s="12" t="n">
        <v>3600</v>
      </c>
      <c r="Q612" s="12" t="n">
        <v>0</v>
      </c>
      <c r="R612" s="13">
        <f>IF(ISNUMBER(M612),ROUND(M612/(1-Settings!$B$2)/Settings!$B$3,0)*Settings!$B$3,"")</f>
        <v/>
      </c>
      <c r="S612" s="13">
        <f>IF(ISNUMBER(N612),ROUND(N612/(1-Settings!$B$2)/Settings!$B$3,0)*Settings!$B$3,"")</f>
        <v/>
      </c>
      <c r="T612" s="13">
        <f>IF(ISNUMBER(O612),ROUND(O612/(1-Settings!$B$2)/Settings!$B$3,0)*Settings!$B$3,"")</f>
        <v/>
      </c>
      <c r="U612" s="13">
        <f>IF(ISNUMBER(P612),ROUND(P612/(1-Settings!$B$2)/Settings!$B$3,0)*Settings!$B$3,"")</f>
        <v/>
      </c>
      <c r="V612" s="13">
        <f>IF(ISNUMBER(Q612),ROUND(Q612/(1-Settings!$B$2)/Settings!$B$3,0)*Settings!$B$3,"")</f>
        <v/>
      </c>
      <c r="W612" s="14" t="n">
        <v>2918</v>
      </c>
      <c r="X612" s="14" t="n">
        <v>3953</v>
      </c>
      <c r="Y612" s="11" t="inlineStr"/>
      <c r="Z612" s="11" t="inlineStr"/>
      <c r="AA612" s="8" t="inlineStr">
        <is>
          <t>Inventory master 6/2026 lists Movie Theater Ad at $350 (1 mo)</t>
        </is>
      </c>
      <c r="AB612" s="8" t="inlineStr"/>
      <c r="AC612" s="11" t="inlineStr">
        <is>
          <t>MasterMilitaryOnBaseList 12.2.25 NS.xlsx</t>
        </is>
      </c>
      <c r="AD612" s="11" t="inlineStr">
        <is>
          <t>FY26-27 ADVERTISING ASSETS_NRSE.xlsx</t>
        </is>
      </c>
      <c r="AE612" s="15" t="inlineStr">
        <is>
          <t>Open in Box</t>
        </is>
      </c>
      <c r="AF612" s="15" t="inlineStr">
        <is>
          <t>Open in Box</t>
        </is>
      </c>
    </row>
    <row r="613">
      <c r="A613" s="11" t="inlineStr">
        <is>
          <t>GA-KINGSBAY-012</t>
        </is>
      </c>
      <c r="B613" s="8" t="inlineStr">
        <is>
          <t>Kings Bay NAVSUBBASE</t>
        </is>
      </c>
      <c r="C613" s="11" t="inlineStr"/>
      <c r="D613" s="11" t="inlineStr">
        <is>
          <t>GA</t>
        </is>
      </c>
      <c r="E613" s="11" t="inlineStr">
        <is>
          <t>Jacksonville</t>
        </is>
      </c>
      <c r="F613" s="11" t="inlineStr">
        <is>
          <t>31547</t>
        </is>
      </c>
      <c r="G613" s="11" t="inlineStr">
        <is>
          <t>Navy</t>
        </is>
      </c>
      <c r="H613" s="11" t="inlineStr">
        <is>
          <t>Large Format</t>
        </is>
      </c>
      <c r="I613" s="8" t="inlineStr">
        <is>
          <t>Counter Wrap</t>
        </is>
      </c>
      <c r="J613" s="11" t="inlineStr">
        <is>
          <t>60"W x 37"H</t>
        </is>
      </c>
      <c r="K613" s="8" t="inlineStr">
        <is>
          <t>Your ad will appear at an approved installation facility.</t>
        </is>
      </c>
      <c r="L613" s="11" t="n">
        <v>1</v>
      </c>
      <c r="M613" s="12" t="n">
        <v>750</v>
      </c>
      <c r="N613" s="12" t="n">
        <v>2250</v>
      </c>
      <c r="O613" s="12" t="n">
        <v>4500</v>
      </c>
      <c r="P613" s="12" t="n">
        <v>9000</v>
      </c>
      <c r="Q613" s="12" t="n"/>
      <c r="R613" s="13">
        <f>IF(ISNUMBER(M613),ROUND(M613/(1-Settings!$B$2)/Settings!$B$3,0)*Settings!$B$3,"")</f>
        <v/>
      </c>
      <c r="S613" s="13">
        <f>IF(ISNUMBER(N613),ROUND(N613/(1-Settings!$B$2)/Settings!$B$3,0)*Settings!$B$3,"")</f>
        <v/>
      </c>
      <c r="T613" s="13">
        <f>IF(ISNUMBER(O613),ROUND(O613/(1-Settings!$B$2)/Settings!$B$3,0)*Settings!$B$3,"")</f>
        <v/>
      </c>
      <c r="U613" s="13">
        <f>IF(ISNUMBER(P613),ROUND(P613/(1-Settings!$B$2)/Settings!$B$3,0)*Settings!$B$3,"")</f>
        <v/>
      </c>
      <c r="V613" s="13">
        <f>IF(ISNUMBER(Q613),ROUND(Q613/(1-Settings!$B$2)/Settings!$B$3,0)*Settings!$B$3,"")</f>
        <v/>
      </c>
      <c r="W613" s="14" t="n">
        <v>2918</v>
      </c>
      <c r="X613" s="14" t="n">
        <v>3953</v>
      </c>
      <c r="Y613" s="11" t="inlineStr"/>
      <c r="Z613" s="11" t="inlineStr"/>
      <c r="AA613" s="8" t="inlineStr"/>
      <c r="AB613" s="8" t="inlineStr"/>
      <c r="AC613" s="11" t="inlineStr">
        <is>
          <t>MasterMilitaryOnBaseList 12.2.25 NS.xlsx</t>
        </is>
      </c>
      <c r="AD613" s="11" t="inlineStr">
        <is>
          <t>FY26-27 ADVERTISING ASSETS_NRSE.xlsx</t>
        </is>
      </c>
      <c r="AE613" s="15" t="inlineStr">
        <is>
          <t>Open in Box</t>
        </is>
      </c>
      <c r="AF613" s="15" t="inlineStr">
        <is>
          <t>Open in Box</t>
        </is>
      </c>
    </row>
    <row r="614">
      <c r="A614" s="11" t="inlineStr">
        <is>
          <t>GA-KINGSBAY-013</t>
        </is>
      </c>
      <c r="B614" s="8" t="inlineStr">
        <is>
          <t>Kings Bay NAVSUBBASE</t>
        </is>
      </c>
      <c r="C614" s="11" t="inlineStr"/>
      <c r="D614" s="11" t="inlineStr">
        <is>
          <t>GA</t>
        </is>
      </c>
      <c r="E614" s="11" t="inlineStr">
        <is>
          <t>Jacksonville</t>
        </is>
      </c>
      <c r="F614" s="11" t="inlineStr">
        <is>
          <t>31547</t>
        </is>
      </c>
      <c r="G614" s="11" t="inlineStr">
        <is>
          <t>Navy</t>
        </is>
      </c>
      <c r="H614" s="11" t="inlineStr">
        <is>
          <t>Print &amp; Publications</t>
        </is>
      </c>
      <c r="I614" s="8" t="inlineStr">
        <is>
          <t>Brochures / Flyers</t>
        </is>
      </c>
      <c r="J614" s="11" t="inlineStr">
        <is>
          <t>8.5"W x 11"H</t>
        </is>
      </c>
      <c r="K614" s="8" t="inlineStr">
        <is>
          <t>Your ad will appear at 15 approved installation facilities.</t>
        </is>
      </c>
      <c r="L614" s="11" t="n">
        <v>1</v>
      </c>
      <c r="M614" s="12" t="n">
        <v>844</v>
      </c>
      <c r="N614" s="12" t="n">
        <v>2532</v>
      </c>
      <c r="O614" s="12" t="n">
        <v>5064</v>
      </c>
      <c r="P614" s="12" t="n">
        <v>10128</v>
      </c>
      <c r="Q614" s="12" t="n"/>
      <c r="R614" s="13">
        <f>IF(ISNUMBER(M614),ROUND(M614/(1-Settings!$B$2)/Settings!$B$3,0)*Settings!$B$3,"")</f>
        <v/>
      </c>
      <c r="S614" s="13">
        <f>IF(ISNUMBER(N614),ROUND(N614/(1-Settings!$B$2)/Settings!$B$3,0)*Settings!$B$3,"")</f>
        <v/>
      </c>
      <c r="T614" s="13">
        <f>IF(ISNUMBER(O614),ROUND(O614/(1-Settings!$B$2)/Settings!$B$3,0)*Settings!$B$3,"")</f>
        <v/>
      </c>
      <c r="U614" s="13">
        <f>IF(ISNUMBER(P614),ROUND(P614/(1-Settings!$B$2)/Settings!$B$3,0)*Settings!$B$3,"")</f>
        <v/>
      </c>
      <c r="V614" s="13">
        <f>IF(ISNUMBER(Q614),ROUND(Q614/(1-Settings!$B$2)/Settings!$B$3,0)*Settings!$B$3,"")</f>
        <v/>
      </c>
      <c r="W614" s="14" t="n">
        <v>2918</v>
      </c>
      <c r="X614" s="14" t="n">
        <v>3953</v>
      </c>
      <c r="Y614" s="11" t="inlineStr"/>
      <c r="Z614" s="11" t="inlineStr"/>
      <c r="AA614" s="8" t="inlineStr"/>
      <c r="AB614" s="8" t="inlineStr"/>
      <c r="AC614" s="11" t="inlineStr">
        <is>
          <t>MasterMilitaryOnBaseList 12.2.25 NS.xlsx</t>
        </is>
      </c>
      <c r="AD614" s="11" t="inlineStr">
        <is>
          <t>FY26-27 ADVERTISING ASSETS_NRSE.xlsx</t>
        </is>
      </c>
      <c r="AE614" s="15" t="inlineStr">
        <is>
          <t>Open in Box</t>
        </is>
      </c>
      <c r="AF614" s="15" t="inlineStr">
        <is>
          <t>Open in Box</t>
        </is>
      </c>
    </row>
    <row r="615">
      <c r="A615" s="11" t="inlineStr">
        <is>
          <t>GA-KINGSBAY-006</t>
        </is>
      </c>
      <c r="B615" s="8" t="inlineStr">
        <is>
          <t>Kings Bay NAVSUBBASE</t>
        </is>
      </c>
      <c r="C615" s="11" t="inlineStr"/>
      <c r="D615" s="11" t="inlineStr">
        <is>
          <t>GA</t>
        </is>
      </c>
      <c r="E615" s="11" t="inlineStr">
        <is>
          <t>Jacksonville</t>
        </is>
      </c>
      <c r="F615" s="11" t="inlineStr">
        <is>
          <t>31547</t>
        </is>
      </c>
      <c r="G615" s="11" t="inlineStr">
        <is>
          <t>Navy</t>
        </is>
      </c>
      <c r="H615" s="11" t="inlineStr">
        <is>
          <t>Standard Media</t>
        </is>
      </c>
      <c r="I615" s="8" t="inlineStr">
        <is>
          <t>Banner</t>
        </is>
      </c>
      <c r="J615" s="11" t="inlineStr">
        <is>
          <t>11'W x 3'H</t>
        </is>
      </c>
      <c r="K615" s="8" t="inlineStr">
        <is>
          <t>Your ad will appear at an approved installation facility.</t>
        </is>
      </c>
      <c r="L615" s="11" t="n">
        <v>1</v>
      </c>
      <c r="M615" s="12" t="n">
        <v>650</v>
      </c>
      <c r="N615" s="12" t="n">
        <v>1950</v>
      </c>
      <c r="O615" s="12" t="n">
        <v>3900</v>
      </c>
      <c r="P615" s="12" t="n">
        <v>7800</v>
      </c>
      <c r="Q615" s="12" t="n">
        <v>350</v>
      </c>
      <c r="R615" s="13">
        <f>IF(ISNUMBER(M615),ROUND(M615/(1-Settings!$B$2)/Settings!$B$3,0)*Settings!$B$3,"")</f>
        <v/>
      </c>
      <c r="S615" s="13">
        <f>IF(ISNUMBER(N615),ROUND(N615/(1-Settings!$B$2)/Settings!$B$3,0)*Settings!$B$3,"")</f>
        <v/>
      </c>
      <c r="T615" s="13">
        <f>IF(ISNUMBER(O615),ROUND(O615/(1-Settings!$B$2)/Settings!$B$3,0)*Settings!$B$3,"")</f>
        <v/>
      </c>
      <c r="U615" s="13">
        <f>IF(ISNUMBER(P615),ROUND(P615/(1-Settings!$B$2)/Settings!$B$3,0)*Settings!$B$3,"")</f>
        <v/>
      </c>
      <c r="V615" s="13">
        <f>IF(ISNUMBER(Q615),ROUND(Q615/(1-Settings!$B$2)/Settings!$B$3,0)*Settings!$B$3,"")</f>
        <v/>
      </c>
      <c r="W615" s="14" t="n">
        <v>2918</v>
      </c>
      <c r="X615" s="14" t="n">
        <v>3953</v>
      </c>
      <c r="Y615" s="11" t="inlineStr"/>
      <c r="Z615" s="11" t="inlineStr"/>
      <c r="AA615" s="8" t="inlineStr"/>
      <c r="AB615" s="8" t="inlineStr"/>
      <c r="AC615" s="11" t="inlineStr">
        <is>
          <t>MasterMilitaryOnBaseList 12.2.25 NS.xlsx</t>
        </is>
      </c>
      <c r="AD615" s="11" t="inlineStr">
        <is>
          <t>FY26-27 ADVERTISING ASSETS_NRSE.xlsx</t>
        </is>
      </c>
      <c r="AE615" s="15" t="inlineStr">
        <is>
          <t>Open in Box</t>
        </is>
      </c>
      <c r="AF615" s="15" t="inlineStr">
        <is>
          <t>Open in Box</t>
        </is>
      </c>
    </row>
    <row r="616">
      <c r="A616" s="11" t="inlineStr">
        <is>
          <t>GA-KINGSBAY-007</t>
        </is>
      </c>
      <c r="B616" s="8" t="inlineStr">
        <is>
          <t>Kings Bay NAVSUBBASE</t>
        </is>
      </c>
      <c r="C616" s="11" t="inlineStr"/>
      <c r="D616" s="11" t="inlineStr">
        <is>
          <t>GA</t>
        </is>
      </c>
      <c r="E616" s="11" t="inlineStr">
        <is>
          <t>Jacksonville</t>
        </is>
      </c>
      <c r="F616" s="11" t="inlineStr">
        <is>
          <t>31547</t>
        </is>
      </c>
      <c r="G616" s="11" t="inlineStr">
        <is>
          <t>Navy</t>
        </is>
      </c>
      <c r="H616" s="11" t="inlineStr">
        <is>
          <t>Standard Media</t>
        </is>
      </c>
      <c r="I616" s="8" t="inlineStr">
        <is>
          <t>Bench Ad</t>
        </is>
      </c>
      <c r="J616" s="11" t="inlineStr">
        <is>
          <t>6'W x 2'H</t>
        </is>
      </c>
      <c r="K616" s="8" t="inlineStr">
        <is>
          <t>Your ad will appear at an approved installation facility.</t>
        </is>
      </c>
      <c r="L616" s="11" t="n">
        <v>1</v>
      </c>
      <c r="M616" s="12" t="n">
        <v>200</v>
      </c>
      <c r="N616" s="12" t="n">
        <v>600</v>
      </c>
      <c r="O616" s="12" t="n">
        <v>1200</v>
      </c>
      <c r="P616" s="12" t="n">
        <v>2400</v>
      </c>
      <c r="Q616" s="12" t="n">
        <v>200</v>
      </c>
      <c r="R616" s="13">
        <f>IF(ISNUMBER(M616),ROUND(M616/(1-Settings!$B$2)/Settings!$B$3,0)*Settings!$B$3,"")</f>
        <v/>
      </c>
      <c r="S616" s="13">
        <f>IF(ISNUMBER(N616),ROUND(N616/(1-Settings!$B$2)/Settings!$B$3,0)*Settings!$B$3,"")</f>
        <v/>
      </c>
      <c r="T616" s="13">
        <f>IF(ISNUMBER(O616),ROUND(O616/(1-Settings!$B$2)/Settings!$B$3,0)*Settings!$B$3,"")</f>
        <v/>
      </c>
      <c r="U616" s="13">
        <f>IF(ISNUMBER(P616),ROUND(P616/(1-Settings!$B$2)/Settings!$B$3,0)*Settings!$B$3,"")</f>
        <v/>
      </c>
      <c r="V616" s="13">
        <f>IF(ISNUMBER(Q616),ROUND(Q616/(1-Settings!$B$2)/Settings!$B$3,0)*Settings!$B$3,"")</f>
        <v/>
      </c>
      <c r="W616" s="14" t="n">
        <v>2918</v>
      </c>
      <c r="X616" s="14" t="n">
        <v>3953</v>
      </c>
      <c r="Y616" s="11" t="inlineStr"/>
      <c r="Z616" s="11" t="inlineStr"/>
      <c r="AA616" s="8" t="inlineStr"/>
      <c r="AB616" s="8" t="inlineStr"/>
      <c r="AC616" s="11" t="inlineStr">
        <is>
          <t>MasterMilitaryOnBaseList 12.2.25 NS.xlsx</t>
        </is>
      </c>
      <c r="AD616" s="11" t="inlineStr">
        <is>
          <t>FY26-27 ADVERTISING ASSETS_NRSE.xlsx</t>
        </is>
      </c>
      <c r="AE616" s="15" t="inlineStr">
        <is>
          <t>Open in Box</t>
        </is>
      </c>
      <c r="AF616" s="15" t="inlineStr">
        <is>
          <t>Open in Box</t>
        </is>
      </c>
    </row>
    <row r="617">
      <c r="A617" s="11" t="inlineStr">
        <is>
          <t>GA-KINGSBAY-008</t>
        </is>
      </c>
      <c r="B617" s="8" t="inlineStr">
        <is>
          <t>Kings Bay NAVSUBBASE</t>
        </is>
      </c>
      <c r="C617" s="11" t="inlineStr"/>
      <c r="D617" s="11" t="inlineStr">
        <is>
          <t>GA</t>
        </is>
      </c>
      <c r="E617" s="11" t="inlineStr">
        <is>
          <t>Jacksonville</t>
        </is>
      </c>
      <c r="F617" s="11" t="inlineStr">
        <is>
          <t>31547</t>
        </is>
      </c>
      <c r="G617" s="11" t="inlineStr">
        <is>
          <t>Navy</t>
        </is>
      </c>
      <c r="H617" s="11" t="inlineStr">
        <is>
          <t>Standard Media</t>
        </is>
      </c>
      <c r="I617" s="8" t="inlineStr">
        <is>
          <t>Framed Banner</t>
        </is>
      </c>
      <c r="J617" s="11" t="inlineStr">
        <is>
          <t>8'W x 4'H</t>
        </is>
      </c>
      <c r="K617" s="8" t="inlineStr">
        <is>
          <t>Your ad will appear at an approved installation facility.</t>
        </is>
      </c>
      <c r="L617" s="11" t="n">
        <v>1</v>
      </c>
      <c r="M617" s="12" t="n">
        <v>500</v>
      </c>
      <c r="N617" s="12" t="n">
        <v>1500</v>
      </c>
      <c r="O617" s="12" t="n">
        <v>3000</v>
      </c>
      <c r="P617" s="12" t="n">
        <v>6000</v>
      </c>
      <c r="Q617" s="12" t="n">
        <v>250</v>
      </c>
      <c r="R617" s="13">
        <f>IF(ISNUMBER(M617),ROUND(M617/(1-Settings!$B$2)/Settings!$B$3,0)*Settings!$B$3,"")</f>
        <v/>
      </c>
      <c r="S617" s="13">
        <f>IF(ISNUMBER(N617),ROUND(N617/(1-Settings!$B$2)/Settings!$B$3,0)*Settings!$B$3,"")</f>
        <v/>
      </c>
      <c r="T617" s="13">
        <f>IF(ISNUMBER(O617),ROUND(O617/(1-Settings!$B$2)/Settings!$B$3,0)*Settings!$B$3,"")</f>
        <v/>
      </c>
      <c r="U617" s="13">
        <f>IF(ISNUMBER(P617),ROUND(P617/(1-Settings!$B$2)/Settings!$B$3,0)*Settings!$B$3,"")</f>
        <v/>
      </c>
      <c r="V617" s="13">
        <f>IF(ISNUMBER(Q617),ROUND(Q617/(1-Settings!$B$2)/Settings!$B$3,0)*Settings!$B$3,"")</f>
        <v/>
      </c>
      <c r="W617" s="14" t="n">
        <v>2918</v>
      </c>
      <c r="X617" s="14" t="n">
        <v>3953</v>
      </c>
      <c r="Y617" s="11" t="inlineStr"/>
      <c r="Z617" s="11" t="inlineStr"/>
      <c r="AA617" s="8" t="inlineStr"/>
      <c r="AB617" s="8" t="inlineStr"/>
      <c r="AC617" s="11" t="inlineStr">
        <is>
          <t>MasterMilitaryOnBaseList 12.2.25 NS.xlsx</t>
        </is>
      </c>
      <c r="AD617" s="11" t="inlineStr">
        <is>
          <t>FY26-27 ADVERTISING ASSETS_NRSE.xlsx</t>
        </is>
      </c>
      <c r="AE617" s="15" t="inlineStr">
        <is>
          <t>Open in Box</t>
        </is>
      </c>
      <c r="AF617" s="15" t="inlineStr">
        <is>
          <t>Open in Box</t>
        </is>
      </c>
    </row>
    <row r="618">
      <c r="A618" s="11" t="inlineStr">
        <is>
          <t>GA-KINGSBAY-009</t>
        </is>
      </c>
      <c r="B618" s="8" t="inlineStr">
        <is>
          <t>Kings Bay NAVSUBBASE</t>
        </is>
      </c>
      <c r="C618" s="11" t="inlineStr"/>
      <c r="D618" s="11" t="inlineStr">
        <is>
          <t>GA</t>
        </is>
      </c>
      <c r="E618" s="11" t="inlineStr">
        <is>
          <t>Jacksonville</t>
        </is>
      </c>
      <c r="F618" s="11" t="inlineStr">
        <is>
          <t>31547</t>
        </is>
      </c>
      <c r="G618" s="11" t="inlineStr">
        <is>
          <t>Navy</t>
        </is>
      </c>
      <c r="H618" s="11" t="inlineStr">
        <is>
          <t>Standard Media</t>
        </is>
      </c>
      <c r="I618" s="8" t="inlineStr">
        <is>
          <t>Golf Cart Signage</t>
        </is>
      </c>
      <c r="J618" s="11" t="inlineStr">
        <is>
          <t>5.5"W x 8.5"H</t>
        </is>
      </c>
      <c r="K618" s="8" t="inlineStr">
        <is>
          <t>Your ad will appear on approved golf carts.</t>
        </is>
      </c>
      <c r="L618" s="11" t="n">
        <v>1</v>
      </c>
      <c r="M618" s="12" t="n">
        <v>200</v>
      </c>
      <c r="N618" s="12" t="n">
        <v>600</v>
      </c>
      <c r="O618" s="12" t="n">
        <v>1200</v>
      </c>
      <c r="P618" s="12" t="n">
        <v>2400</v>
      </c>
      <c r="Q618" s="12" t="n"/>
      <c r="R618" s="13">
        <f>IF(ISNUMBER(M618),ROUND(M618/(1-Settings!$B$2)/Settings!$B$3,0)*Settings!$B$3,"")</f>
        <v/>
      </c>
      <c r="S618" s="13">
        <f>IF(ISNUMBER(N618),ROUND(N618/(1-Settings!$B$2)/Settings!$B$3,0)*Settings!$B$3,"")</f>
        <v/>
      </c>
      <c r="T618" s="13">
        <f>IF(ISNUMBER(O618),ROUND(O618/(1-Settings!$B$2)/Settings!$B$3,0)*Settings!$B$3,"")</f>
        <v/>
      </c>
      <c r="U618" s="13">
        <f>IF(ISNUMBER(P618),ROUND(P618/(1-Settings!$B$2)/Settings!$B$3,0)*Settings!$B$3,"")</f>
        <v/>
      </c>
      <c r="V618" s="13">
        <f>IF(ISNUMBER(Q618),ROUND(Q618/(1-Settings!$B$2)/Settings!$B$3,0)*Settings!$B$3,"")</f>
        <v/>
      </c>
      <c r="W618" s="14" t="n">
        <v>2918</v>
      </c>
      <c r="X618" s="14" t="n">
        <v>3953</v>
      </c>
      <c r="Y618" s="11" t="inlineStr"/>
      <c r="Z618" s="11" t="inlineStr"/>
      <c r="AA618" s="8" t="inlineStr"/>
      <c r="AB618" s="8" t="inlineStr"/>
      <c r="AC618" s="11" t="inlineStr">
        <is>
          <t>MasterMilitaryOnBaseList 12.2.25 NS.xlsx</t>
        </is>
      </c>
      <c r="AD618" s="11" t="inlineStr">
        <is>
          <t>FY26-27 ADVERTISING ASSETS_NRSE.xlsx</t>
        </is>
      </c>
      <c r="AE618" s="15" t="inlineStr">
        <is>
          <t>Open in Box</t>
        </is>
      </c>
      <c r="AF618" s="15" t="inlineStr">
        <is>
          <t>Open in Box</t>
        </is>
      </c>
    </row>
    <row r="619">
      <c r="A619" s="11" t="inlineStr">
        <is>
          <t>GA-KINGSBAY-010</t>
        </is>
      </c>
      <c r="B619" s="8" t="inlineStr">
        <is>
          <t>Kings Bay NAVSUBBASE</t>
        </is>
      </c>
      <c r="C619" s="11" t="inlineStr"/>
      <c r="D619" s="11" t="inlineStr">
        <is>
          <t>GA</t>
        </is>
      </c>
      <c r="E619" s="11" t="inlineStr">
        <is>
          <t>Jacksonville</t>
        </is>
      </c>
      <c r="F619" s="11" t="inlineStr">
        <is>
          <t>31547</t>
        </is>
      </c>
      <c r="G619" s="11" t="inlineStr">
        <is>
          <t>Navy</t>
        </is>
      </c>
      <c r="H619" s="11" t="inlineStr">
        <is>
          <t>Standard Media</t>
        </is>
      </c>
      <c r="I619" s="8" t="inlineStr">
        <is>
          <t>Poster</t>
        </is>
      </c>
      <c r="J619" s="11" t="inlineStr">
        <is>
          <t>22"W x 28"H</t>
        </is>
      </c>
      <c r="K619" s="8" t="inlineStr">
        <is>
          <t>Your ad will appear at an approved installation facility.</t>
        </is>
      </c>
      <c r="L619" s="11" t="n">
        <v>1</v>
      </c>
      <c r="M619" s="12" t="n">
        <v>250</v>
      </c>
      <c r="N619" s="12" t="n">
        <v>750</v>
      </c>
      <c r="O619" s="12" t="n">
        <v>1500</v>
      </c>
      <c r="P619" s="12" t="n">
        <v>3000</v>
      </c>
      <c r="Q619" s="12" t="n">
        <v>100</v>
      </c>
      <c r="R619" s="13">
        <f>IF(ISNUMBER(M619),ROUND(M619/(1-Settings!$B$2)/Settings!$B$3,0)*Settings!$B$3,"")</f>
        <v/>
      </c>
      <c r="S619" s="13">
        <f>IF(ISNUMBER(N619),ROUND(N619/(1-Settings!$B$2)/Settings!$B$3,0)*Settings!$B$3,"")</f>
        <v/>
      </c>
      <c r="T619" s="13">
        <f>IF(ISNUMBER(O619),ROUND(O619/(1-Settings!$B$2)/Settings!$B$3,0)*Settings!$B$3,"")</f>
        <v/>
      </c>
      <c r="U619" s="13">
        <f>IF(ISNUMBER(P619),ROUND(P619/(1-Settings!$B$2)/Settings!$B$3,0)*Settings!$B$3,"")</f>
        <v/>
      </c>
      <c r="V619" s="13">
        <f>IF(ISNUMBER(Q619),ROUND(Q619/(1-Settings!$B$2)/Settings!$B$3,0)*Settings!$B$3,"")</f>
        <v/>
      </c>
      <c r="W619" s="14" t="n">
        <v>2918</v>
      </c>
      <c r="X619" s="14" t="n">
        <v>3953</v>
      </c>
      <c r="Y619" s="11" t="inlineStr"/>
      <c r="Z619" s="11" t="inlineStr"/>
      <c r="AA619" s="8" t="inlineStr"/>
      <c r="AB619" s="8" t="inlineStr"/>
      <c r="AC619" s="11" t="inlineStr">
        <is>
          <t>MasterMilitaryOnBaseList 12.2.25 NS.xlsx</t>
        </is>
      </c>
      <c r="AD619" s="11" t="inlineStr">
        <is>
          <t>FY26-27 ADVERTISING ASSETS_NRSE.xlsx</t>
        </is>
      </c>
      <c r="AE619" s="15" t="inlineStr">
        <is>
          <t>Open in Box</t>
        </is>
      </c>
      <c r="AF619" s="15" t="inlineStr">
        <is>
          <t>Open in Box</t>
        </is>
      </c>
    </row>
    <row r="620">
      <c r="A620" s="11" t="inlineStr">
        <is>
          <t>GA-KINGSBAY-011</t>
        </is>
      </c>
      <c r="B620" s="8" t="inlineStr">
        <is>
          <t>Kings Bay NAVSUBBASE</t>
        </is>
      </c>
      <c r="C620" s="11" t="inlineStr"/>
      <c r="D620" s="11" t="inlineStr">
        <is>
          <t>GA</t>
        </is>
      </c>
      <c r="E620" s="11" t="inlineStr">
        <is>
          <t>Jacksonville</t>
        </is>
      </c>
      <c r="F620" s="11" t="inlineStr">
        <is>
          <t>31547</t>
        </is>
      </c>
      <c r="G620" s="11" t="inlineStr">
        <is>
          <t>Navy</t>
        </is>
      </c>
      <c r="H620" s="11" t="inlineStr">
        <is>
          <t>Standard Media</t>
        </is>
      </c>
      <c r="I620" s="8" t="inlineStr">
        <is>
          <t>Table Tents</t>
        </is>
      </c>
      <c r="J620" s="11" t="inlineStr">
        <is>
          <t>4"W x 6"H</t>
        </is>
      </c>
      <c r="K620" s="8" t="inlineStr">
        <is>
          <t>Your ad will appear at approved installation tables.</t>
        </is>
      </c>
      <c r="L620" s="11" t="n">
        <v>1</v>
      </c>
      <c r="M620" s="12" t="n">
        <v>150</v>
      </c>
      <c r="N620" s="12" t="n">
        <v>450</v>
      </c>
      <c r="O620" s="12" t="n">
        <v>900</v>
      </c>
      <c r="P620" s="12" t="n">
        <v>1800</v>
      </c>
      <c r="Q620" s="12" t="n"/>
      <c r="R620" s="13">
        <f>IF(ISNUMBER(M620),ROUND(M620/(1-Settings!$B$2)/Settings!$B$3,0)*Settings!$B$3,"")</f>
        <v/>
      </c>
      <c r="S620" s="13">
        <f>IF(ISNUMBER(N620),ROUND(N620/(1-Settings!$B$2)/Settings!$B$3,0)*Settings!$B$3,"")</f>
        <v/>
      </c>
      <c r="T620" s="13">
        <f>IF(ISNUMBER(O620),ROUND(O620/(1-Settings!$B$2)/Settings!$B$3,0)*Settings!$B$3,"")</f>
        <v/>
      </c>
      <c r="U620" s="13">
        <f>IF(ISNUMBER(P620),ROUND(P620/(1-Settings!$B$2)/Settings!$B$3,0)*Settings!$B$3,"")</f>
        <v/>
      </c>
      <c r="V620" s="13">
        <f>IF(ISNUMBER(Q620),ROUND(Q620/(1-Settings!$B$2)/Settings!$B$3,0)*Settings!$B$3,"")</f>
        <v/>
      </c>
      <c r="W620" s="14" t="n">
        <v>2918</v>
      </c>
      <c r="X620" s="14" t="n">
        <v>3953</v>
      </c>
      <c r="Y620" s="11" t="inlineStr"/>
      <c r="Z620" s="11" t="inlineStr"/>
      <c r="AA620" s="8" t="inlineStr"/>
      <c r="AB620" s="8" t="inlineStr"/>
      <c r="AC620" s="11" t="inlineStr">
        <is>
          <t>MasterMilitaryOnBaseList 12.2.25 NS.xlsx</t>
        </is>
      </c>
      <c r="AD620" s="11" t="inlineStr">
        <is>
          <t>FY26-27 ADVERTISING ASSETS_NRSE.xlsx</t>
        </is>
      </c>
      <c r="AE620" s="15" t="inlineStr">
        <is>
          <t>Open in Box</t>
        </is>
      </c>
      <c r="AF620" s="15" t="inlineStr">
        <is>
          <t>Open in Box</t>
        </is>
      </c>
    </row>
    <row r="621">
      <c r="A621" s="11" t="inlineStr">
        <is>
          <t>GA-KINGSBAY-014</t>
        </is>
      </c>
      <c r="B621" s="8" t="inlineStr">
        <is>
          <t>Kings Bay NAVSUBBASE</t>
        </is>
      </c>
      <c r="C621" s="11" t="inlineStr"/>
      <c r="D621" s="11" t="inlineStr">
        <is>
          <t>GA</t>
        </is>
      </c>
      <c r="E621" s="11" t="inlineStr">
        <is>
          <t>Jacksonville</t>
        </is>
      </c>
      <c r="F621" s="11" t="inlineStr"/>
      <c r="G621" s="11" t="inlineStr">
        <is>
          <t>Navy</t>
        </is>
      </c>
      <c r="H621" s="11" t="inlineStr">
        <is>
          <t>Web &amp; Email</t>
        </is>
      </c>
      <c r="I621" s="8" t="inlineStr">
        <is>
          <t>Monthly E-Newsletter Ad</t>
        </is>
      </c>
      <c r="J621" s="11" t="inlineStr"/>
      <c r="K621" s="8" t="inlineStr">
        <is>
          <t>Your ad will appear in the monthly e-newsletter emailed to the installation community.</t>
        </is>
      </c>
      <c r="L621" s="11" t="n">
        <v>1</v>
      </c>
      <c r="M621" s="12" t="n">
        <v>250</v>
      </c>
      <c r="N621" s="12" t="n"/>
      <c r="O621" s="12" t="n"/>
      <c r="P621" s="12" t="n"/>
      <c r="Q621" s="12" t="n"/>
      <c r="R621" s="13">
        <f>IF(ISNUMBER(M621),ROUND(M621/(1-Settings!$B$2)/Settings!$B$3,0)*Settings!$B$3,"")</f>
        <v/>
      </c>
      <c r="S621" s="13">
        <f>IF(ISNUMBER(N621),ROUND(N621/(1-Settings!$B$2)/Settings!$B$3,0)*Settings!$B$3,"")</f>
        <v/>
      </c>
      <c r="T621" s="13">
        <f>IF(ISNUMBER(O621),ROUND(O621/(1-Settings!$B$2)/Settings!$B$3,0)*Settings!$B$3,"")</f>
        <v/>
      </c>
      <c r="U621" s="13">
        <f>IF(ISNUMBER(P621),ROUND(P621/(1-Settings!$B$2)/Settings!$B$3,0)*Settings!$B$3,"")</f>
        <v/>
      </c>
      <c r="V621" s="13">
        <f>IF(ISNUMBER(Q621),ROUND(Q621/(1-Settings!$B$2)/Settings!$B$3,0)*Settings!$B$3,"")</f>
        <v/>
      </c>
      <c r="W621" s="14" t="n">
        <v>2918</v>
      </c>
      <c r="X621" s="14" t="n">
        <v>3953</v>
      </c>
      <c r="Y621" s="11" t="inlineStr">
        <is>
          <t>2026</t>
        </is>
      </c>
      <c r="Z621" s="11" t="inlineStr">
        <is>
          <t>2026-06</t>
        </is>
      </c>
      <c r="AA621" s="8" t="inlineStr"/>
      <c r="AB621" s="8" t="inlineStr"/>
      <c r="AC621" s="11" t="inlineStr">
        <is>
          <t>Military - National Publication Inventory Master_June 2026.xlsx</t>
        </is>
      </c>
      <c r="AD621" s="11" t="inlineStr">
        <is>
          <t>FY26-27 ADVERTISING ASSETS_NRSE.xlsx</t>
        </is>
      </c>
      <c r="AE621" s="15" t="inlineStr">
        <is>
          <t>Open in Box</t>
        </is>
      </c>
      <c r="AF621" s="15" t="inlineStr">
        <is>
          <t>Open in Box</t>
        </is>
      </c>
    </row>
    <row r="622">
      <c r="A622" s="11" t="inlineStr">
        <is>
          <t>GA-KINGSBAY-015</t>
        </is>
      </c>
      <c r="B622" s="8" t="inlineStr">
        <is>
          <t>Kings Bay NAVSUBBASE</t>
        </is>
      </c>
      <c r="C622" s="11" t="inlineStr"/>
      <c r="D622" s="11" t="inlineStr">
        <is>
          <t>GA</t>
        </is>
      </c>
      <c r="E622" s="11" t="inlineStr">
        <is>
          <t>Jacksonville</t>
        </is>
      </c>
      <c r="F622" s="11" t="inlineStr"/>
      <c r="G622" s="11" t="inlineStr">
        <is>
          <t>Navy</t>
        </is>
      </c>
      <c r="H622" s="11" t="inlineStr">
        <is>
          <t>Web &amp; Email</t>
        </is>
      </c>
      <c r="I622" s="8" t="inlineStr">
        <is>
          <t>Web Ad</t>
        </is>
      </c>
      <c r="J622" s="11" t="inlineStr"/>
      <c r="K622" s="8" t="inlineStr">
        <is>
          <t>Your ad will appear on the installation MWR / FSS website.</t>
        </is>
      </c>
      <c r="L622" s="11" t="n">
        <v>1</v>
      </c>
      <c r="M622" s="12" t="n">
        <v>200</v>
      </c>
      <c r="N622" s="12" t="n"/>
      <c r="O622" s="12" t="n"/>
      <c r="P622" s="12" t="n"/>
      <c r="Q622" s="12" t="n"/>
      <c r="R622" s="13">
        <f>IF(ISNUMBER(M622),ROUND(M622/(1-Settings!$B$2)/Settings!$B$3,0)*Settings!$B$3,"")</f>
        <v/>
      </c>
      <c r="S622" s="13">
        <f>IF(ISNUMBER(N622),ROUND(N622/(1-Settings!$B$2)/Settings!$B$3,0)*Settings!$B$3,"")</f>
        <v/>
      </c>
      <c r="T622" s="13">
        <f>IF(ISNUMBER(O622),ROUND(O622/(1-Settings!$B$2)/Settings!$B$3,0)*Settings!$B$3,"")</f>
        <v/>
      </c>
      <c r="U622" s="13">
        <f>IF(ISNUMBER(P622),ROUND(P622/(1-Settings!$B$2)/Settings!$B$3,0)*Settings!$B$3,"")</f>
        <v/>
      </c>
      <c r="V622" s="13">
        <f>IF(ISNUMBER(Q622),ROUND(Q622/(1-Settings!$B$2)/Settings!$B$3,0)*Settings!$B$3,"")</f>
        <v/>
      </c>
      <c r="W622" s="14" t="n">
        <v>2918</v>
      </c>
      <c r="X622" s="14" t="n">
        <v>3953</v>
      </c>
      <c r="Y622" s="11" t="inlineStr">
        <is>
          <t>2026</t>
        </is>
      </c>
      <c r="Z622" s="11" t="inlineStr">
        <is>
          <t>2026-06</t>
        </is>
      </c>
      <c r="AA622" s="8" t="inlineStr"/>
      <c r="AB622" s="8" t="inlineStr"/>
      <c r="AC622" s="11" t="inlineStr">
        <is>
          <t>Military - National Publication Inventory Master_June 2026.xlsx</t>
        </is>
      </c>
      <c r="AD622" s="11" t="inlineStr">
        <is>
          <t>FY26-27 ADVERTISING ASSETS_NRSE.xlsx</t>
        </is>
      </c>
      <c r="AE622" s="15" t="inlineStr">
        <is>
          <t>Open in Box</t>
        </is>
      </c>
      <c r="AF622" s="15" t="inlineStr">
        <is>
          <t>Open in Box</t>
        </is>
      </c>
    </row>
    <row r="623">
      <c r="A623" s="11" t="inlineStr">
        <is>
          <t>GA-MOODYAFB-001</t>
        </is>
      </c>
      <c r="B623" s="8" t="inlineStr">
        <is>
          <t>Moody AFB</t>
        </is>
      </c>
      <c r="C623" s="11" t="inlineStr"/>
      <c r="D623" s="11" t="inlineStr">
        <is>
          <t>GA</t>
        </is>
      </c>
      <c r="E623" s="11" t="inlineStr">
        <is>
          <t>Tallahassee-Thomasville</t>
        </is>
      </c>
      <c r="F623" s="11" t="inlineStr">
        <is>
          <t>31699</t>
        </is>
      </c>
      <c r="G623" s="11" t="inlineStr">
        <is>
          <t>Air Force</t>
        </is>
      </c>
      <c r="H623" s="11" t="inlineStr">
        <is>
          <t>Digital</t>
        </is>
      </c>
      <c r="I623" s="8" t="inlineStr">
        <is>
          <t>Bowling Monitors</t>
        </is>
      </c>
      <c r="J623" s="11" t="inlineStr">
        <is>
          <t>TBD</t>
        </is>
      </c>
      <c r="K623" s="8" t="inlineStr">
        <is>
          <t>Your ad will appear on the bowling alley system monitors</t>
        </is>
      </c>
      <c r="L623" s="11" t="n">
        <v>3</v>
      </c>
      <c r="M623" s="12" t="n"/>
      <c r="N623" s="12" t="n">
        <v>750</v>
      </c>
      <c r="O623" s="12" t="n">
        <v>1200</v>
      </c>
      <c r="P623" s="12" t="n">
        <v>2100</v>
      </c>
      <c r="Q623" s="12" t="n"/>
      <c r="R623" s="13">
        <f>IF(ISNUMBER(M623),ROUND(M623/(1-Settings!$B$2)/Settings!$B$3,0)*Settings!$B$3,"")</f>
        <v/>
      </c>
      <c r="S623" s="13">
        <f>IF(ISNUMBER(N623),ROUND(N623/(1-Settings!$B$2)/Settings!$B$3,0)*Settings!$B$3,"")</f>
        <v/>
      </c>
      <c r="T623" s="13">
        <f>IF(ISNUMBER(O623),ROUND(O623/(1-Settings!$B$2)/Settings!$B$3,0)*Settings!$B$3,"")</f>
        <v/>
      </c>
      <c r="U623" s="13">
        <f>IF(ISNUMBER(P623),ROUND(P623/(1-Settings!$B$2)/Settings!$B$3,0)*Settings!$B$3,"")</f>
        <v/>
      </c>
      <c r="V623" s="13">
        <f>IF(ISNUMBER(Q623),ROUND(Q623/(1-Settings!$B$2)/Settings!$B$3,0)*Settings!$B$3,"")</f>
        <v/>
      </c>
      <c r="W623" s="14" t="n">
        <v>4562</v>
      </c>
      <c r="X623" s="14" t="n">
        <v>5322</v>
      </c>
      <c r="Y623" s="11" t="inlineStr"/>
      <c r="Z623" s="11" t="inlineStr"/>
      <c r="AA623" s="8" t="inlineStr">
        <is>
          <t>Inventory master 6/2026 lists Bowling Scoring Monitors at $250 (1 mo)</t>
        </is>
      </c>
      <c r="AB623" s="8" t="inlineStr"/>
      <c r="AC623" s="11" t="inlineStr">
        <is>
          <t>MasterMilitaryOnBaseList 12.2.25 NS.xlsx</t>
        </is>
      </c>
      <c r="AD623" s="11" t="inlineStr">
        <is>
          <t>2026 Sponsorship and Advertising Opportunities_Moody AFB.pdf</t>
        </is>
      </c>
      <c r="AE623" s="15" t="inlineStr">
        <is>
          <t>Open in Box</t>
        </is>
      </c>
      <c r="AF623" s="15" t="inlineStr">
        <is>
          <t>Open in Box</t>
        </is>
      </c>
    </row>
    <row r="624">
      <c r="A624" s="11" t="inlineStr">
        <is>
          <t>GA-MOODYAFB-002</t>
        </is>
      </c>
      <c r="B624" s="8" t="inlineStr">
        <is>
          <t>Moody AFB</t>
        </is>
      </c>
      <c r="C624" s="11" t="inlineStr"/>
      <c r="D624" s="11" t="inlineStr">
        <is>
          <t>GA</t>
        </is>
      </c>
      <c r="E624" s="11" t="inlineStr">
        <is>
          <t>Tallahassee-Thomasville</t>
        </is>
      </c>
      <c r="F624" s="11" t="inlineStr">
        <is>
          <t>31699</t>
        </is>
      </c>
      <c r="G624" s="11" t="inlineStr">
        <is>
          <t>Air Force</t>
        </is>
      </c>
      <c r="H624" s="11" t="inlineStr">
        <is>
          <t>Digital</t>
        </is>
      </c>
      <c r="I624" s="8" t="inlineStr">
        <is>
          <t>Digital Monitors - GA Pines Dining Facility, Fitness Center</t>
        </is>
      </c>
      <c r="J624" s="11" t="inlineStr">
        <is>
          <t>TBD</t>
        </is>
      </c>
      <c r="K624" s="8" t="inlineStr">
        <is>
          <t>Your ad will appear on approved monitors on the installation.</t>
        </is>
      </c>
      <c r="L624" s="11" t="n">
        <v>6</v>
      </c>
      <c r="M624" s="12" t="n"/>
      <c r="N624" s="12" t="n"/>
      <c r="O624" s="12" t="n">
        <v>1500</v>
      </c>
      <c r="P624" s="12" t="n"/>
      <c r="Q624" s="12" t="n"/>
      <c r="R624" s="13">
        <f>IF(ISNUMBER(M624),ROUND(M624/(1-Settings!$B$2)/Settings!$B$3,0)*Settings!$B$3,"")</f>
        <v/>
      </c>
      <c r="S624" s="13">
        <f>IF(ISNUMBER(N624),ROUND(N624/(1-Settings!$B$2)/Settings!$B$3,0)*Settings!$B$3,"")</f>
        <v/>
      </c>
      <c r="T624" s="13">
        <f>IF(ISNUMBER(O624),ROUND(O624/(1-Settings!$B$2)/Settings!$B$3,0)*Settings!$B$3,"")</f>
        <v/>
      </c>
      <c r="U624" s="13">
        <f>IF(ISNUMBER(P624),ROUND(P624/(1-Settings!$B$2)/Settings!$B$3,0)*Settings!$B$3,"")</f>
        <v/>
      </c>
      <c r="V624" s="13">
        <f>IF(ISNUMBER(Q624),ROUND(Q624/(1-Settings!$B$2)/Settings!$B$3,0)*Settings!$B$3,"")</f>
        <v/>
      </c>
      <c r="W624" s="14" t="n">
        <v>4562</v>
      </c>
      <c r="X624" s="14" t="n">
        <v>5322</v>
      </c>
      <c r="Y624" s="11" t="inlineStr"/>
      <c r="Z624" s="11" t="inlineStr"/>
      <c r="AA624" s="8" t="inlineStr">
        <is>
          <t>Inventory master 6/2026 lists Digital Monitor Network at $800 (1 mo)</t>
        </is>
      </c>
      <c r="AB624" s="8" t="inlineStr"/>
      <c r="AC624" s="11" t="inlineStr">
        <is>
          <t>MasterMilitaryOnBaseList 12.2.25 NS.xlsx</t>
        </is>
      </c>
      <c r="AD624" s="11" t="inlineStr">
        <is>
          <t>2026 Sponsorship and Advertising Opportunities_Moody AFB.pdf</t>
        </is>
      </c>
      <c r="AE624" s="15" t="inlineStr">
        <is>
          <t>Open in Box</t>
        </is>
      </c>
      <c r="AF624" s="15" t="inlineStr">
        <is>
          <t>Open in Box</t>
        </is>
      </c>
    </row>
    <row r="625">
      <c r="A625" s="11" t="inlineStr">
        <is>
          <t>GA-MOODYAFB-003</t>
        </is>
      </c>
      <c r="B625" s="8" t="inlineStr">
        <is>
          <t>Moody AFB</t>
        </is>
      </c>
      <c r="C625" s="11" t="inlineStr"/>
      <c r="D625" s="11" t="inlineStr">
        <is>
          <t>GA</t>
        </is>
      </c>
      <c r="E625" s="11" t="inlineStr">
        <is>
          <t>Tallahassee-Thomasville</t>
        </is>
      </c>
      <c r="F625" s="11" t="inlineStr">
        <is>
          <t>31699</t>
        </is>
      </c>
      <c r="G625" s="11" t="inlineStr">
        <is>
          <t>Air Force</t>
        </is>
      </c>
      <c r="H625" s="11" t="inlineStr">
        <is>
          <t>Digital</t>
        </is>
      </c>
      <c r="I625" s="8" t="inlineStr">
        <is>
          <t>Digital Monitors - Golf Course Pro Shop and Café</t>
        </is>
      </c>
      <c r="J625" s="11" t="inlineStr">
        <is>
          <t>TBD</t>
        </is>
      </c>
      <c r="K625" s="8" t="inlineStr">
        <is>
          <t>Your ad will appear on approved monitors on the installation.</t>
        </is>
      </c>
      <c r="L625" s="11" t="n">
        <v>6</v>
      </c>
      <c r="M625" s="12" t="n"/>
      <c r="N625" s="12" t="n"/>
      <c r="O625" s="12" t="n">
        <v>750</v>
      </c>
      <c r="P625" s="12" t="n"/>
      <c r="Q625" s="12" t="n"/>
      <c r="R625" s="13">
        <f>IF(ISNUMBER(M625),ROUND(M625/(1-Settings!$B$2)/Settings!$B$3,0)*Settings!$B$3,"")</f>
        <v/>
      </c>
      <c r="S625" s="13">
        <f>IF(ISNUMBER(N625),ROUND(N625/(1-Settings!$B$2)/Settings!$B$3,0)*Settings!$B$3,"")</f>
        <v/>
      </c>
      <c r="T625" s="13">
        <f>IF(ISNUMBER(O625),ROUND(O625/(1-Settings!$B$2)/Settings!$B$3,0)*Settings!$B$3,"")</f>
        <v/>
      </c>
      <c r="U625" s="13">
        <f>IF(ISNUMBER(P625),ROUND(P625/(1-Settings!$B$2)/Settings!$B$3,0)*Settings!$B$3,"")</f>
        <v/>
      </c>
      <c r="V625" s="13">
        <f>IF(ISNUMBER(Q625),ROUND(Q625/(1-Settings!$B$2)/Settings!$B$3,0)*Settings!$B$3,"")</f>
        <v/>
      </c>
      <c r="W625" s="14" t="n">
        <v>4562</v>
      </c>
      <c r="X625" s="14" t="n">
        <v>5322</v>
      </c>
      <c r="Y625" s="11" t="inlineStr"/>
      <c r="Z625" s="11" t="inlineStr"/>
      <c r="AA625" s="8" t="inlineStr">
        <is>
          <t>Inventory master 6/2026 lists Digital Monitor Network at $800 (1 mo)</t>
        </is>
      </c>
      <c r="AB625" s="8" t="inlineStr"/>
      <c r="AC625" s="11" t="inlineStr">
        <is>
          <t>MasterMilitaryOnBaseList 12.2.25 NS.xlsx</t>
        </is>
      </c>
      <c r="AD625" s="11" t="inlineStr">
        <is>
          <t>2026 Sponsorship and Advertising Opportunities_Moody AFB.pdf</t>
        </is>
      </c>
      <c r="AE625" s="15" t="inlineStr">
        <is>
          <t>Open in Box</t>
        </is>
      </c>
      <c r="AF625" s="15" t="inlineStr">
        <is>
          <t>Open in Box</t>
        </is>
      </c>
    </row>
    <row r="626">
      <c r="A626" s="11" t="inlineStr">
        <is>
          <t>GA-MOODYAFB-004</t>
        </is>
      </c>
      <c r="B626" s="8" t="inlineStr">
        <is>
          <t>Moody AFB</t>
        </is>
      </c>
      <c r="C626" s="11" t="inlineStr"/>
      <c r="D626" s="11" t="inlineStr">
        <is>
          <t>GA</t>
        </is>
      </c>
      <c r="E626" s="11" t="inlineStr">
        <is>
          <t>Tallahassee-Thomasville</t>
        </is>
      </c>
      <c r="F626" s="11" t="inlineStr">
        <is>
          <t>31699</t>
        </is>
      </c>
      <c r="G626" s="11" t="inlineStr">
        <is>
          <t>Air Force</t>
        </is>
      </c>
      <c r="H626" s="11" t="inlineStr">
        <is>
          <t>Digital</t>
        </is>
      </c>
      <c r="I626" s="8" t="inlineStr">
        <is>
          <t>Digital Monitors - ITT/Community</t>
        </is>
      </c>
      <c r="J626" s="11" t="inlineStr">
        <is>
          <t>TBD</t>
        </is>
      </c>
      <c r="K626" s="8" t="inlineStr">
        <is>
          <t>Your ad will appear on approved monitors on the installation.</t>
        </is>
      </c>
      <c r="L626" s="11" t="n">
        <v>6</v>
      </c>
      <c r="M626" s="12" t="n"/>
      <c r="N626" s="12" t="n"/>
      <c r="O626" s="12" t="n">
        <v>750</v>
      </c>
      <c r="P626" s="12" t="n"/>
      <c r="Q626" s="12" t="n"/>
      <c r="R626" s="13">
        <f>IF(ISNUMBER(M626),ROUND(M626/(1-Settings!$B$2)/Settings!$B$3,0)*Settings!$B$3,"")</f>
        <v/>
      </c>
      <c r="S626" s="13">
        <f>IF(ISNUMBER(N626),ROUND(N626/(1-Settings!$B$2)/Settings!$B$3,0)*Settings!$B$3,"")</f>
        <v/>
      </c>
      <c r="T626" s="13">
        <f>IF(ISNUMBER(O626),ROUND(O626/(1-Settings!$B$2)/Settings!$B$3,0)*Settings!$B$3,"")</f>
        <v/>
      </c>
      <c r="U626" s="13">
        <f>IF(ISNUMBER(P626),ROUND(P626/(1-Settings!$B$2)/Settings!$B$3,0)*Settings!$B$3,"")</f>
        <v/>
      </c>
      <c r="V626" s="13">
        <f>IF(ISNUMBER(Q626),ROUND(Q626/(1-Settings!$B$2)/Settings!$B$3,0)*Settings!$B$3,"")</f>
        <v/>
      </c>
      <c r="W626" s="14" t="n">
        <v>4562</v>
      </c>
      <c r="X626" s="14" t="n">
        <v>5322</v>
      </c>
      <c r="Y626" s="11" t="inlineStr"/>
      <c r="Z626" s="11" t="inlineStr"/>
      <c r="AA626" s="8" t="inlineStr">
        <is>
          <t>Inventory master 6/2026 lists Digital Monitor Network at $800 (1 mo)</t>
        </is>
      </c>
      <c r="AB626" s="8" t="inlineStr"/>
      <c r="AC626" s="11" t="inlineStr">
        <is>
          <t>MasterMilitaryOnBaseList 12.2.25 NS.xlsx</t>
        </is>
      </c>
      <c r="AD626" s="11" t="inlineStr">
        <is>
          <t>2026 Sponsorship and Advertising Opportunities_Moody AFB.pdf</t>
        </is>
      </c>
      <c r="AE626" s="15" t="inlineStr">
        <is>
          <t>Open in Box</t>
        </is>
      </c>
      <c r="AF626" s="15" t="inlineStr">
        <is>
          <t>Open in Box</t>
        </is>
      </c>
    </row>
    <row r="627">
      <c r="A627" s="11" t="inlineStr">
        <is>
          <t>GA-MOODYAFB-005</t>
        </is>
      </c>
      <c r="B627" s="8" t="inlineStr">
        <is>
          <t>Moody AFB</t>
        </is>
      </c>
      <c r="C627" s="11" t="inlineStr"/>
      <c r="D627" s="11" t="inlineStr">
        <is>
          <t>GA</t>
        </is>
      </c>
      <c r="E627" s="11" t="inlineStr">
        <is>
          <t>Tallahassee-Thomasville</t>
        </is>
      </c>
      <c r="F627" s="11" t="inlineStr">
        <is>
          <t>31699</t>
        </is>
      </c>
      <c r="G627" s="11" t="inlineStr">
        <is>
          <t>Air Force</t>
        </is>
      </c>
      <c r="H627" s="11" t="inlineStr">
        <is>
          <t>Digital</t>
        </is>
      </c>
      <c r="I627" s="8" t="inlineStr">
        <is>
          <t>Digital Monitors - Lucy's Corner (in Parker Green Wing Building)</t>
        </is>
      </c>
      <c r="J627" s="11" t="inlineStr">
        <is>
          <t>TBD</t>
        </is>
      </c>
      <c r="K627" s="8" t="inlineStr">
        <is>
          <t>Your ad will appear on approved monitors on the installation.</t>
        </is>
      </c>
      <c r="L627" s="11" t="n">
        <v>6</v>
      </c>
      <c r="M627" s="12" t="n"/>
      <c r="N627" s="12" t="n"/>
      <c r="O627" s="12" t="n">
        <v>750</v>
      </c>
      <c r="P627" s="12" t="n"/>
      <c r="Q627" s="12" t="n"/>
      <c r="R627" s="13">
        <f>IF(ISNUMBER(M627),ROUND(M627/(1-Settings!$B$2)/Settings!$B$3,0)*Settings!$B$3,"")</f>
        <v/>
      </c>
      <c r="S627" s="13">
        <f>IF(ISNUMBER(N627),ROUND(N627/(1-Settings!$B$2)/Settings!$B$3,0)*Settings!$B$3,"")</f>
        <v/>
      </c>
      <c r="T627" s="13">
        <f>IF(ISNUMBER(O627),ROUND(O627/(1-Settings!$B$2)/Settings!$B$3,0)*Settings!$B$3,"")</f>
        <v/>
      </c>
      <c r="U627" s="13">
        <f>IF(ISNUMBER(P627),ROUND(P627/(1-Settings!$B$2)/Settings!$B$3,0)*Settings!$B$3,"")</f>
        <v/>
      </c>
      <c r="V627" s="13">
        <f>IF(ISNUMBER(Q627),ROUND(Q627/(1-Settings!$B$2)/Settings!$B$3,0)*Settings!$B$3,"")</f>
        <v/>
      </c>
      <c r="W627" s="14" t="n">
        <v>4562</v>
      </c>
      <c r="X627" s="14" t="n">
        <v>5322</v>
      </c>
      <c r="Y627" s="11" t="inlineStr"/>
      <c r="Z627" s="11" t="inlineStr"/>
      <c r="AA627" s="8" t="inlineStr">
        <is>
          <t>Inventory master 6/2026 lists Digital Monitor Network at $800 (1 mo)</t>
        </is>
      </c>
      <c r="AB627" s="8" t="inlineStr"/>
      <c r="AC627" s="11" t="inlineStr">
        <is>
          <t>MasterMilitaryOnBaseList 12.2.25 NS.xlsx</t>
        </is>
      </c>
      <c r="AD627" s="11" t="inlineStr">
        <is>
          <t>2026 Sponsorship and Advertising Opportunities_Moody AFB.pdf</t>
        </is>
      </c>
      <c r="AE627" s="15" t="inlineStr">
        <is>
          <t>Open in Box</t>
        </is>
      </c>
      <c r="AF627" s="15" t="inlineStr">
        <is>
          <t>Open in Box</t>
        </is>
      </c>
    </row>
    <row r="628">
      <c r="A628" s="11" t="inlineStr">
        <is>
          <t>GA-MOODYAFB-006</t>
        </is>
      </c>
      <c r="B628" s="8" t="inlineStr">
        <is>
          <t>Moody AFB</t>
        </is>
      </c>
      <c r="C628" s="11" t="inlineStr"/>
      <c r="D628" s="11" t="inlineStr">
        <is>
          <t>GA</t>
        </is>
      </c>
      <c r="E628" s="11" t="inlineStr">
        <is>
          <t>Tallahassee-Thomasville</t>
        </is>
      </c>
      <c r="F628" s="11" t="inlineStr">
        <is>
          <t>31699</t>
        </is>
      </c>
      <c r="G628" s="11" t="inlineStr">
        <is>
          <t>Air Force</t>
        </is>
      </c>
      <c r="H628" s="11" t="inlineStr">
        <is>
          <t>Digital</t>
        </is>
      </c>
      <c r="I628" s="8" t="inlineStr">
        <is>
          <t>Digital Monitors - Moody Field Club</t>
        </is>
      </c>
      <c r="J628" s="11" t="inlineStr">
        <is>
          <t>TBD</t>
        </is>
      </c>
      <c r="K628" s="8" t="inlineStr">
        <is>
          <t>Your ad will appear on approved monitors on the installation.</t>
        </is>
      </c>
      <c r="L628" s="11" t="n">
        <v>6</v>
      </c>
      <c r="M628" s="12" t="n"/>
      <c r="N628" s="12" t="n"/>
      <c r="O628" s="12" t="n">
        <v>1050</v>
      </c>
      <c r="P628" s="12" t="n"/>
      <c r="Q628" s="12" t="n"/>
      <c r="R628" s="13">
        <f>IF(ISNUMBER(M628),ROUND(M628/(1-Settings!$B$2)/Settings!$B$3,0)*Settings!$B$3,"")</f>
        <v/>
      </c>
      <c r="S628" s="13">
        <f>IF(ISNUMBER(N628),ROUND(N628/(1-Settings!$B$2)/Settings!$B$3,0)*Settings!$B$3,"")</f>
        <v/>
      </c>
      <c r="T628" s="13">
        <f>IF(ISNUMBER(O628),ROUND(O628/(1-Settings!$B$2)/Settings!$B$3,0)*Settings!$B$3,"")</f>
        <v/>
      </c>
      <c r="U628" s="13">
        <f>IF(ISNUMBER(P628),ROUND(P628/(1-Settings!$B$2)/Settings!$B$3,0)*Settings!$B$3,"")</f>
        <v/>
      </c>
      <c r="V628" s="13">
        <f>IF(ISNUMBER(Q628),ROUND(Q628/(1-Settings!$B$2)/Settings!$B$3,0)*Settings!$B$3,"")</f>
        <v/>
      </c>
      <c r="W628" s="14" t="n">
        <v>4562</v>
      </c>
      <c r="X628" s="14" t="n">
        <v>5322</v>
      </c>
      <c r="Y628" s="11" t="inlineStr"/>
      <c r="Z628" s="11" t="inlineStr"/>
      <c r="AA628" s="8" t="inlineStr">
        <is>
          <t>Inventory master 6/2026 lists Digital Monitor Network at $800 (1 mo)</t>
        </is>
      </c>
      <c r="AB628" s="8" t="inlineStr"/>
      <c r="AC628" s="11" t="inlineStr">
        <is>
          <t>MasterMilitaryOnBaseList 12.2.25 NS.xlsx</t>
        </is>
      </c>
      <c r="AD628" s="11" t="inlineStr">
        <is>
          <t>2026 Sponsorship and Advertising Opportunities_Moody AFB.pdf</t>
        </is>
      </c>
      <c r="AE628" s="15" t="inlineStr">
        <is>
          <t>Open in Box</t>
        </is>
      </c>
      <c r="AF628" s="15" t="inlineStr">
        <is>
          <t>Open in Box</t>
        </is>
      </c>
    </row>
    <row r="629">
      <c r="A629" s="11" t="inlineStr">
        <is>
          <t>GA-MOODYAFB-007</t>
        </is>
      </c>
      <c r="B629" s="8" t="inlineStr">
        <is>
          <t>Moody AFB</t>
        </is>
      </c>
      <c r="C629" s="11" t="inlineStr"/>
      <c r="D629" s="11" t="inlineStr">
        <is>
          <t>GA</t>
        </is>
      </c>
      <c r="E629" s="11" t="inlineStr">
        <is>
          <t>Tallahassee-Thomasville</t>
        </is>
      </c>
      <c r="F629" s="11" t="inlineStr">
        <is>
          <t>31699</t>
        </is>
      </c>
      <c r="G629" s="11" t="inlineStr">
        <is>
          <t>Air Force</t>
        </is>
      </c>
      <c r="H629" s="11" t="inlineStr">
        <is>
          <t>Standard Media</t>
        </is>
      </c>
      <c r="I629" s="8" t="inlineStr">
        <is>
          <t>1/4 Page of Potty Poster Ad</t>
        </is>
      </c>
      <c r="J629" s="11" t="inlineStr">
        <is>
          <t>TBD</t>
        </is>
      </c>
      <c r="K629" s="8" t="inlineStr">
        <is>
          <t>Your ad will appear on a Potty Poster (Graphic Design fee included)</t>
        </is>
      </c>
      <c r="L629" s="11" t="n">
        <v>3</v>
      </c>
      <c r="M629" s="12" t="n"/>
      <c r="N629" s="12" t="n">
        <v>1200</v>
      </c>
      <c r="O629" s="12" t="n">
        <v>2100</v>
      </c>
      <c r="P629" s="12" t="n">
        <v>3600</v>
      </c>
      <c r="Q629" s="12" t="n">
        <v>100</v>
      </c>
      <c r="R629" s="13">
        <f>IF(ISNUMBER(M629),ROUND(M629/(1-Settings!$B$2)/Settings!$B$3,0)*Settings!$B$3,"")</f>
        <v/>
      </c>
      <c r="S629" s="13">
        <f>IF(ISNUMBER(N629),ROUND(N629/(1-Settings!$B$2)/Settings!$B$3,0)*Settings!$B$3,"")</f>
        <v/>
      </c>
      <c r="T629" s="13">
        <f>IF(ISNUMBER(O629),ROUND(O629/(1-Settings!$B$2)/Settings!$B$3,0)*Settings!$B$3,"")</f>
        <v/>
      </c>
      <c r="U629" s="13">
        <f>IF(ISNUMBER(P629),ROUND(P629/(1-Settings!$B$2)/Settings!$B$3,0)*Settings!$B$3,"")</f>
        <v/>
      </c>
      <c r="V629" s="13">
        <f>IF(ISNUMBER(Q629),ROUND(Q629/(1-Settings!$B$2)/Settings!$B$3,0)*Settings!$B$3,"")</f>
        <v/>
      </c>
      <c r="W629" s="14" t="n">
        <v>4562</v>
      </c>
      <c r="X629" s="14" t="n">
        <v>5322</v>
      </c>
      <c r="Y629" s="11" t="inlineStr"/>
      <c r="Z629" s="11" t="inlineStr"/>
      <c r="AA629" s="8" t="inlineStr"/>
      <c r="AB629" s="8" t="inlineStr"/>
      <c r="AC629" s="11" t="inlineStr">
        <is>
          <t>MasterMilitaryOnBaseList 12.2.25 NS.xlsx</t>
        </is>
      </c>
      <c r="AD629" s="11" t="inlineStr">
        <is>
          <t>2026 Sponsorship and Advertising Opportunities_Moody AFB.pdf</t>
        </is>
      </c>
      <c r="AE629" s="15" t="inlineStr">
        <is>
          <t>Open in Box</t>
        </is>
      </c>
      <c r="AF629" s="15" t="inlineStr">
        <is>
          <t>Open in Box</t>
        </is>
      </c>
    </row>
    <row r="630">
      <c r="A630" s="11" t="inlineStr">
        <is>
          <t>GA-MOODYAFB-008</t>
        </is>
      </c>
      <c r="B630" s="8" t="inlineStr">
        <is>
          <t>Moody AFB</t>
        </is>
      </c>
      <c r="C630" s="11" t="inlineStr"/>
      <c r="D630" s="11" t="inlineStr">
        <is>
          <t>GA</t>
        </is>
      </c>
      <c r="E630" s="11" t="inlineStr">
        <is>
          <t>Tallahassee-Thomasville</t>
        </is>
      </c>
      <c r="F630" s="11" t="inlineStr">
        <is>
          <t>31699</t>
        </is>
      </c>
      <c r="G630" s="11" t="inlineStr">
        <is>
          <t>Air Force</t>
        </is>
      </c>
      <c r="H630" s="11" t="inlineStr">
        <is>
          <t>Standard Media</t>
        </is>
      </c>
      <c r="I630" s="8" t="inlineStr">
        <is>
          <t>Banner</t>
        </is>
      </c>
      <c r="J630" s="11" t="inlineStr">
        <is>
          <t>TBD</t>
        </is>
      </c>
      <c r="K630" s="8" t="inlineStr">
        <is>
          <t>Your ad will appear in an approved area on the installation.</t>
        </is>
      </c>
      <c r="L630" s="11" t="n">
        <v>3</v>
      </c>
      <c r="M630" s="12" t="n"/>
      <c r="N630" s="12" t="n">
        <v>1350</v>
      </c>
      <c r="O630" s="12" t="n">
        <v>2400</v>
      </c>
      <c r="P630" s="12" t="n">
        <v>4200</v>
      </c>
      <c r="Q630" s="12" t="n">
        <v>200</v>
      </c>
      <c r="R630" s="13">
        <f>IF(ISNUMBER(M630),ROUND(M630/(1-Settings!$B$2)/Settings!$B$3,0)*Settings!$B$3,"")</f>
        <v/>
      </c>
      <c r="S630" s="13">
        <f>IF(ISNUMBER(N630),ROUND(N630/(1-Settings!$B$2)/Settings!$B$3,0)*Settings!$B$3,"")</f>
        <v/>
      </c>
      <c r="T630" s="13">
        <f>IF(ISNUMBER(O630),ROUND(O630/(1-Settings!$B$2)/Settings!$B$3,0)*Settings!$B$3,"")</f>
        <v/>
      </c>
      <c r="U630" s="13">
        <f>IF(ISNUMBER(P630),ROUND(P630/(1-Settings!$B$2)/Settings!$B$3,0)*Settings!$B$3,"")</f>
        <v/>
      </c>
      <c r="V630" s="13">
        <f>IF(ISNUMBER(Q630),ROUND(Q630/(1-Settings!$B$2)/Settings!$B$3,0)*Settings!$B$3,"")</f>
        <v/>
      </c>
      <c r="W630" s="14" t="n">
        <v>4562</v>
      </c>
      <c r="X630" s="14" t="n">
        <v>5322</v>
      </c>
      <c r="Y630" s="11" t="inlineStr"/>
      <c r="Z630" s="11" t="inlineStr"/>
      <c r="AA630" s="8" t="inlineStr"/>
      <c r="AB630" s="8" t="inlineStr"/>
      <c r="AC630" s="11" t="inlineStr">
        <is>
          <t>MasterMilitaryOnBaseList 12.2.25 NS.xlsx</t>
        </is>
      </c>
      <c r="AD630" s="11" t="inlineStr">
        <is>
          <t>2026 Sponsorship and Advertising Opportunities_Moody AFB.pdf</t>
        </is>
      </c>
      <c r="AE630" s="15" t="inlineStr">
        <is>
          <t>Open in Box</t>
        </is>
      </c>
      <c r="AF630" s="15" t="inlineStr">
        <is>
          <t>Open in Box</t>
        </is>
      </c>
    </row>
    <row r="631">
      <c r="A631" s="11" t="inlineStr">
        <is>
          <t>GA-MOODYAFB-009</t>
        </is>
      </c>
      <c r="B631" s="8" t="inlineStr">
        <is>
          <t>Moody AFB</t>
        </is>
      </c>
      <c r="C631" s="11" t="inlineStr"/>
      <c r="D631" s="11" t="inlineStr">
        <is>
          <t>GA</t>
        </is>
      </c>
      <c r="E631" s="11" t="inlineStr">
        <is>
          <t>Tallahassee-Thomasville</t>
        </is>
      </c>
      <c r="F631" s="11" t="inlineStr">
        <is>
          <t>31699</t>
        </is>
      </c>
      <c r="G631" s="11" t="inlineStr">
        <is>
          <t>Air Force</t>
        </is>
      </c>
      <c r="H631" s="11" t="inlineStr">
        <is>
          <t>Standard Media</t>
        </is>
      </c>
      <c r="I631" s="8" t="inlineStr">
        <is>
          <t>Banner - Fitness Center</t>
        </is>
      </c>
      <c r="J631" s="11" t="inlineStr">
        <is>
          <t>No larger than 8' x 3'</t>
        </is>
      </c>
      <c r="K631" s="8" t="inlineStr">
        <is>
          <t>Your ad will appear in the Moody Fitness Center</t>
        </is>
      </c>
      <c r="L631" s="11" t="n">
        <v>3</v>
      </c>
      <c r="M631" s="12" t="n"/>
      <c r="N631" s="12" t="n">
        <v>1350</v>
      </c>
      <c r="O631" s="12" t="n">
        <v>2400</v>
      </c>
      <c r="P631" s="12" t="n">
        <v>4200</v>
      </c>
      <c r="Q631" s="12" t="n">
        <v>200</v>
      </c>
      <c r="R631" s="13">
        <f>IF(ISNUMBER(M631),ROUND(M631/(1-Settings!$B$2)/Settings!$B$3,0)*Settings!$B$3,"")</f>
        <v/>
      </c>
      <c r="S631" s="13">
        <f>IF(ISNUMBER(N631),ROUND(N631/(1-Settings!$B$2)/Settings!$B$3,0)*Settings!$B$3,"")</f>
        <v/>
      </c>
      <c r="T631" s="13">
        <f>IF(ISNUMBER(O631),ROUND(O631/(1-Settings!$B$2)/Settings!$B$3,0)*Settings!$B$3,"")</f>
        <v/>
      </c>
      <c r="U631" s="13">
        <f>IF(ISNUMBER(P631),ROUND(P631/(1-Settings!$B$2)/Settings!$B$3,0)*Settings!$B$3,"")</f>
        <v/>
      </c>
      <c r="V631" s="13">
        <f>IF(ISNUMBER(Q631),ROUND(Q631/(1-Settings!$B$2)/Settings!$B$3,0)*Settings!$B$3,"")</f>
        <v/>
      </c>
      <c r="W631" s="14" t="n">
        <v>4562</v>
      </c>
      <c r="X631" s="14" t="n">
        <v>5322</v>
      </c>
      <c r="Y631" s="11" t="inlineStr"/>
      <c r="Z631" s="11" t="inlineStr"/>
      <c r="AA631" s="8" t="inlineStr"/>
      <c r="AB631" s="8" t="inlineStr"/>
      <c r="AC631" s="11" t="inlineStr">
        <is>
          <t>MasterMilitaryOnBaseList 12.2.25 NS.xlsx</t>
        </is>
      </c>
      <c r="AD631" s="11" t="inlineStr">
        <is>
          <t>2026 Sponsorship and Advertising Opportunities_Moody AFB.pdf</t>
        </is>
      </c>
      <c r="AE631" s="15" t="inlineStr">
        <is>
          <t>Open in Box</t>
        </is>
      </c>
      <c r="AF631" s="15" t="inlineStr">
        <is>
          <t>Open in Box</t>
        </is>
      </c>
    </row>
    <row r="632">
      <c r="A632" s="11" t="inlineStr">
        <is>
          <t>GA-MOODYAFB-010</t>
        </is>
      </c>
      <c r="B632" s="8" t="inlineStr">
        <is>
          <t>Moody AFB</t>
        </is>
      </c>
      <c r="C632" s="11" t="inlineStr"/>
      <c r="D632" s="11" t="inlineStr">
        <is>
          <t>GA</t>
        </is>
      </c>
      <c r="E632" s="11" t="inlineStr">
        <is>
          <t>Tallahassee-Thomasville</t>
        </is>
      </c>
      <c r="F632" s="11" t="inlineStr">
        <is>
          <t>31699</t>
        </is>
      </c>
      <c r="G632" s="11" t="inlineStr">
        <is>
          <t>Air Force</t>
        </is>
      </c>
      <c r="H632" s="11" t="inlineStr">
        <is>
          <t>Web &amp; Email</t>
        </is>
      </c>
      <c r="I632" s="8" t="inlineStr">
        <is>
          <t>E-Newsletter Footer Ad</t>
        </is>
      </c>
      <c r="J632" s="11" t="inlineStr">
        <is>
          <t>TBD</t>
        </is>
      </c>
      <c r="K632" s="8" t="inlineStr">
        <is>
          <t>Your ad will appear in the Plug into Moody e-newsletter.</t>
        </is>
      </c>
      <c r="L632" s="11" t="n">
        <v>3</v>
      </c>
      <c r="M632" s="12" t="n"/>
      <c r="N632" s="12" t="n">
        <v>750</v>
      </c>
      <c r="O632" s="12" t="n">
        <v>1200</v>
      </c>
      <c r="P632" s="12" t="n"/>
      <c r="Q632" s="12" t="n"/>
      <c r="R632" s="13">
        <f>IF(ISNUMBER(M632),ROUND(M632/(1-Settings!$B$2)/Settings!$B$3,0)*Settings!$B$3,"")</f>
        <v/>
      </c>
      <c r="S632" s="13">
        <f>IF(ISNUMBER(N632),ROUND(N632/(1-Settings!$B$2)/Settings!$B$3,0)*Settings!$B$3,"")</f>
        <v/>
      </c>
      <c r="T632" s="13">
        <f>IF(ISNUMBER(O632),ROUND(O632/(1-Settings!$B$2)/Settings!$B$3,0)*Settings!$B$3,"")</f>
        <v/>
      </c>
      <c r="U632" s="13">
        <f>IF(ISNUMBER(P632),ROUND(P632/(1-Settings!$B$2)/Settings!$B$3,0)*Settings!$B$3,"")</f>
        <v/>
      </c>
      <c r="V632" s="13">
        <f>IF(ISNUMBER(Q632),ROUND(Q632/(1-Settings!$B$2)/Settings!$B$3,0)*Settings!$B$3,"")</f>
        <v/>
      </c>
      <c r="W632" s="14" t="n">
        <v>4562</v>
      </c>
      <c r="X632" s="14" t="n">
        <v>5322</v>
      </c>
      <c r="Y632" s="11" t="inlineStr"/>
      <c r="Z632" s="11" t="inlineStr"/>
      <c r="AA632" s="8" t="inlineStr">
        <is>
          <t>Inventory master 6/2026 lists Weekly E-Newsletter Ad at $200 (1 mo)</t>
        </is>
      </c>
      <c r="AB632" s="8" t="inlineStr"/>
      <c r="AC632" s="11" t="inlineStr">
        <is>
          <t>MasterMilitaryOnBaseList 12.2.25 NS.xlsx</t>
        </is>
      </c>
      <c r="AD632" s="11" t="inlineStr">
        <is>
          <t>2026 Sponsorship and Advertising Opportunities_Moody AFB.pdf</t>
        </is>
      </c>
      <c r="AE632" s="15" t="inlineStr">
        <is>
          <t>Open in Box</t>
        </is>
      </c>
      <c r="AF632" s="15" t="inlineStr">
        <is>
          <t>Open in Box</t>
        </is>
      </c>
    </row>
    <row r="633">
      <c r="A633" s="11" t="inlineStr">
        <is>
          <t>GA-MOODYAFB-011</t>
        </is>
      </c>
      <c r="B633" s="8" t="inlineStr">
        <is>
          <t>Moody AFB</t>
        </is>
      </c>
      <c r="C633" s="11" t="inlineStr"/>
      <c r="D633" s="11" t="inlineStr">
        <is>
          <t>GA</t>
        </is>
      </c>
      <c r="E633" s="11" t="inlineStr">
        <is>
          <t>Tallahassee-Thomasville</t>
        </is>
      </c>
      <c r="F633" s="11" t="inlineStr">
        <is>
          <t>31699</t>
        </is>
      </c>
      <c r="G633" s="11" t="inlineStr">
        <is>
          <t>Air Force</t>
        </is>
      </c>
      <c r="H633" s="11" t="inlineStr">
        <is>
          <t>Web &amp; Email</t>
        </is>
      </c>
      <c r="I633" s="8" t="inlineStr">
        <is>
          <t>E-Newsletter Header Ad</t>
        </is>
      </c>
      <c r="J633" s="11" t="inlineStr">
        <is>
          <t>TBD</t>
        </is>
      </c>
      <c r="K633" s="8" t="inlineStr">
        <is>
          <t>Your ad will appear in the Plug into Moody e-newsletter.</t>
        </is>
      </c>
      <c r="L633" s="11" t="n">
        <v>1</v>
      </c>
      <c r="M633" s="12" t="n">
        <v>500</v>
      </c>
      <c r="N633" s="12" t="n">
        <v>1050</v>
      </c>
      <c r="O633" s="12" t="n">
        <v>1800</v>
      </c>
      <c r="P633" s="12" t="n"/>
      <c r="Q633" s="12" t="n"/>
      <c r="R633" s="13">
        <f>IF(ISNUMBER(M633),ROUND(M633/(1-Settings!$B$2)/Settings!$B$3,0)*Settings!$B$3,"")</f>
        <v/>
      </c>
      <c r="S633" s="13">
        <f>IF(ISNUMBER(N633),ROUND(N633/(1-Settings!$B$2)/Settings!$B$3,0)*Settings!$B$3,"")</f>
        <v/>
      </c>
      <c r="T633" s="13">
        <f>IF(ISNUMBER(O633),ROUND(O633/(1-Settings!$B$2)/Settings!$B$3,0)*Settings!$B$3,"")</f>
        <v/>
      </c>
      <c r="U633" s="13">
        <f>IF(ISNUMBER(P633),ROUND(P633/(1-Settings!$B$2)/Settings!$B$3,0)*Settings!$B$3,"")</f>
        <v/>
      </c>
      <c r="V633" s="13">
        <f>IF(ISNUMBER(Q633),ROUND(Q633/(1-Settings!$B$2)/Settings!$B$3,0)*Settings!$B$3,"")</f>
        <v/>
      </c>
      <c r="W633" s="14" t="n">
        <v>4562</v>
      </c>
      <c r="X633" s="14" t="n">
        <v>5322</v>
      </c>
      <c r="Y633" s="11" t="inlineStr"/>
      <c r="Z633" s="11" t="inlineStr"/>
      <c r="AA633" s="8" t="inlineStr">
        <is>
          <t>Inventory master 6/2026 lists Weekly E-Newsletter Ad at $200 (1 mo)</t>
        </is>
      </c>
      <c r="AB633" s="8" t="inlineStr"/>
      <c r="AC633" s="11" t="inlineStr">
        <is>
          <t>MasterMilitaryOnBaseList 12.2.25 NS.xlsx</t>
        </is>
      </c>
      <c r="AD633" s="11" t="inlineStr">
        <is>
          <t>2026 Sponsorship and Advertising Opportunities_Moody AFB.pdf</t>
        </is>
      </c>
      <c r="AE633" s="15" t="inlineStr">
        <is>
          <t>Open in Box</t>
        </is>
      </c>
      <c r="AF633" s="15" t="inlineStr">
        <is>
          <t>Open in Box</t>
        </is>
      </c>
    </row>
    <row r="634">
      <c r="A634" s="11" t="inlineStr">
        <is>
          <t>GA-MOODYAFB-012</t>
        </is>
      </c>
      <c r="B634" s="8" t="inlineStr">
        <is>
          <t>Moody AFB</t>
        </is>
      </c>
      <c r="C634" s="11" t="inlineStr"/>
      <c r="D634" s="11" t="inlineStr">
        <is>
          <t>GA</t>
        </is>
      </c>
      <c r="E634" s="11" t="inlineStr">
        <is>
          <t>Tallahassee-Thomasville</t>
        </is>
      </c>
      <c r="F634" s="11" t="inlineStr"/>
      <c r="G634" s="11" t="inlineStr">
        <is>
          <t>Air Force</t>
        </is>
      </c>
      <c r="H634" s="11" t="inlineStr">
        <is>
          <t>Web &amp; Email</t>
        </is>
      </c>
      <c r="I634" s="8" t="inlineStr">
        <is>
          <t>Web Ad</t>
        </is>
      </c>
      <c r="J634" s="11" t="inlineStr"/>
      <c r="K634" s="8" t="inlineStr">
        <is>
          <t>Your ad will appear on the installation MWR / FSS website.</t>
        </is>
      </c>
      <c r="L634" s="11" t="n">
        <v>1</v>
      </c>
      <c r="M634" s="12" t="n">
        <v>200</v>
      </c>
      <c r="N634" s="12" t="n"/>
      <c r="O634" s="12" t="n"/>
      <c r="P634" s="12" t="n"/>
      <c r="Q634" s="12" t="n"/>
      <c r="R634" s="13">
        <f>IF(ISNUMBER(M634),ROUND(M634/(1-Settings!$B$2)/Settings!$B$3,0)*Settings!$B$3,"")</f>
        <v/>
      </c>
      <c r="S634" s="13">
        <f>IF(ISNUMBER(N634),ROUND(N634/(1-Settings!$B$2)/Settings!$B$3,0)*Settings!$B$3,"")</f>
        <v/>
      </c>
      <c r="T634" s="13">
        <f>IF(ISNUMBER(O634),ROUND(O634/(1-Settings!$B$2)/Settings!$B$3,0)*Settings!$B$3,"")</f>
        <v/>
      </c>
      <c r="U634" s="13">
        <f>IF(ISNUMBER(P634),ROUND(P634/(1-Settings!$B$2)/Settings!$B$3,0)*Settings!$B$3,"")</f>
        <v/>
      </c>
      <c r="V634" s="13">
        <f>IF(ISNUMBER(Q634),ROUND(Q634/(1-Settings!$B$2)/Settings!$B$3,0)*Settings!$B$3,"")</f>
        <v/>
      </c>
      <c r="W634" s="14" t="n">
        <v>4562</v>
      </c>
      <c r="X634" s="14" t="n">
        <v>5322</v>
      </c>
      <c r="Y634" s="11" t="inlineStr">
        <is>
          <t>2026</t>
        </is>
      </c>
      <c r="Z634" s="11" t="inlineStr">
        <is>
          <t>2026-06</t>
        </is>
      </c>
      <c r="AA634" s="8" t="inlineStr"/>
      <c r="AB634" s="8" t="inlineStr"/>
      <c r="AC634" s="11" t="inlineStr">
        <is>
          <t>Military - National Publication Inventory Master_June 2026.xlsx</t>
        </is>
      </c>
      <c r="AD634" s="11" t="inlineStr">
        <is>
          <t>2026 Sponsorship and Advertising Opportunities_Moody AFB.pdf</t>
        </is>
      </c>
      <c r="AE634" s="15" t="inlineStr">
        <is>
          <t>Open in Box</t>
        </is>
      </c>
      <c r="AF634" s="15" t="inlineStr">
        <is>
          <t>Open in Box</t>
        </is>
      </c>
    </row>
    <row r="635">
      <c r="A635" s="11" t="inlineStr">
        <is>
          <t>GA-ROBINSAF-001</t>
        </is>
      </c>
      <c r="B635" s="8" t="inlineStr">
        <is>
          <t>Robins AFB</t>
        </is>
      </c>
      <c r="C635" s="11" t="inlineStr"/>
      <c r="D635" s="11" t="inlineStr">
        <is>
          <t>GA</t>
        </is>
      </c>
      <c r="E635" s="11" t="inlineStr">
        <is>
          <t>Macon</t>
        </is>
      </c>
      <c r="F635" s="11" t="inlineStr">
        <is>
          <t>31098</t>
        </is>
      </c>
      <c r="G635" s="11" t="inlineStr">
        <is>
          <t>Air Force</t>
        </is>
      </c>
      <c r="H635" s="11" t="inlineStr">
        <is>
          <t>Digital</t>
        </is>
      </c>
      <c r="I635" s="8" t="inlineStr">
        <is>
          <t>Digital Monitors</t>
        </is>
      </c>
      <c r="J635" s="11" t="inlineStr">
        <is>
          <t>TBD</t>
        </is>
      </c>
      <c r="K635" s="8" t="inlineStr">
        <is>
          <t>Your ad will appear on approved monitors on the installation.</t>
        </is>
      </c>
      <c r="L635" s="11" t="n">
        <v>3</v>
      </c>
      <c r="M635" s="12" t="n"/>
      <c r="N635" s="12" t="n">
        <v>900</v>
      </c>
      <c r="O635" s="12" t="n">
        <v>1800</v>
      </c>
      <c r="P635" s="12" t="n">
        <v>3000</v>
      </c>
      <c r="Q635" s="12" t="n"/>
      <c r="R635" s="13">
        <f>IF(ISNUMBER(M635),ROUND(M635/(1-Settings!$B$2)/Settings!$B$3,0)*Settings!$B$3,"")</f>
        <v/>
      </c>
      <c r="S635" s="13">
        <f>IF(ISNUMBER(N635),ROUND(N635/(1-Settings!$B$2)/Settings!$B$3,0)*Settings!$B$3,"")</f>
        <v/>
      </c>
      <c r="T635" s="13">
        <f>IF(ISNUMBER(O635),ROUND(O635/(1-Settings!$B$2)/Settings!$B$3,0)*Settings!$B$3,"")</f>
        <v/>
      </c>
      <c r="U635" s="13">
        <f>IF(ISNUMBER(P635),ROUND(P635/(1-Settings!$B$2)/Settings!$B$3,0)*Settings!$B$3,"")</f>
        <v/>
      </c>
      <c r="V635" s="13">
        <f>IF(ISNUMBER(Q635),ROUND(Q635/(1-Settings!$B$2)/Settings!$B$3,0)*Settings!$B$3,"")</f>
        <v/>
      </c>
      <c r="W635" s="14" t="n">
        <v>3313</v>
      </c>
      <c r="X635" s="14" t="n">
        <v>4707</v>
      </c>
      <c r="Y635" s="11" t="inlineStr"/>
      <c r="Z635" s="11" t="inlineStr"/>
      <c r="AA635" s="8" t="inlineStr">
        <is>
          <t>Inventory master 6/2026 lists Digital Monitor Network at $300 (1 mo)</t>
        </is>
      </c>
      <c r="AB635" s="8" t="inlineStr"/>
      <c r="AC635" s="11" t="inlineStr">
        <is>
          <t>MasterMilitaryOnBaseList 12.2.25 NS.xlsx</t>
        </is>
      </c>
      <c r="AD635" s="11" t="inlineStr">
        <is>
          <t>Pages from Sponsorship &amp; Advertising Package 2026.pdf</t>
        </is>
      </c>
      <c r="AE635" s="15" t="inlineStr">
        <is>
          <t>Open in Box</t>
        </is>
      </c>
      <c r="AF635" s="15" t="inlineStr">
        <is>
          <t>Open in Box</t>
        </is>
      </c>
    </row>
    <row r="636">
      <c r="A636" s="11" t="inlineStr">
        <is>
          <t>GA-ROBINSAF-004</t>
        </is>
      </c>
      <c r="B636" s="8" t="inlineStr">
        <is>
          <t>Robins AFB</t>
        </is>
      </c>
      <c r="C636" s="11" t="inlineStr"/>
      <c r="D636" s="11" t="inlineStr">
        <is>
          <t>GA</t>
        </is>
      </c>
      <c r="E636" s="11" t="inlineStr">
        <is>
          <t>Macon</t>
        </is>
      </c>
      <c r="F636" s="11" t="inlineStr">
        <is>
          <t>31098</t>
        </is>
      </c>
      <c r="G636" s="11" t="inlineStr">
        <is>
          <t>Air Force</t>
        </is>
      </c>
      <c r="H636" s="11" t="inlineStr">
        <is>
          <t>Print &amp; Publications</t>
        </is>
      </c>
      <c r="I636" s="8" t="inlineStr">
        <is>
          <t>Golf Course Score Cards</t>
        </is>
      </c>
      <c r="J636" s="11" t="inlineStr"/>
      <c r="K636" s="8" t="inlineStr">
        <is>
          <t>Your ad will appear on the golf course scorecards. [$900 for 20,000 scorecards]</t>
        </is>
      </c>
      <c r="L636" s="11" t="n"/>
      <c r="M636" s="12" t="n"/>
      <c r="N636" s="12" t="n"/>
      <c r="O636" s="12" t="n"/>
      <c r="P636" s="12" t="n"/>
      <c r="Q636" s="12" t="n"/>
      <c r="R636" s="13">
        <f>IF(ISNUMBER(M636),ROUND(M636/(1-Settings!$B$2)/Settings!$B$3,0)*Settings!$B$3,"")</f>
        <v/>
      </c>
      <c r="S636" s="13">
        <f>IF(ISNUMBER(N636),ROUND(N636/(1-Settings!$B$2)/Settings!$B$3,0)*Settings!$B$3,"")</f>
        <v/>
      </c>
      <c r="T636" s="13">
        <f>IF(ISNUMBER(O636),ROUND(O636/(1-Settings!$B$2)/Settings!$B$3,0)*Settings!$B$3,"")</f>
        <v/>
      </c>
      <c r="U636" s="13">
        <f>IF(ISNUMBER(P636),ROUND(P636/(1-Settings!$B$2)/Settings!$B$3,0)*Settings!$B$3,"")</f>
        <v/>
      </c>
      <c r="V636" s="13">
        <f>IF(ISNUMBER(Q636),ROUND(Q636/(1-Settings!$B$2)/Settings!$B$3,0)*Settings!$B$3,"")</f>
        <v/>
      </c>
      <c r="W636" s="14" t="n">
        <v>3313</v>
      </c>
      <c r="X636" s="14" t="n">
        <v>4707</v>
      </c>
      <c r="Y636" s="11" t="inlineStr"/>
      <c r="Z636" s="11" t="inlineStr"/>
      <c r="AA636" s="8" t="inlineStr">
        <is>
          <t>Inventory master 6/2026 lists Golf Scorecard Ad at $2,700 (3 mo)</t>
        </is>
      </c>
      <c r="AB636" s="16" t="inlineStr">
        <is>
          <t>No price on file - inquire</t>
        </is>
      </c>
      <c r="AC636" s="11" t="inlineStr">
        <is>
          <t>MasterMilitaryOnBaseList 12.2.25 NS.xlsx</t>
        </is>
      </c>
      <c r="AD636" s="11" t="inlineStr">
        <is>
          <t>Pages from Sponsorship &amp; Advertising Package 2026.pdf</t>
        </is>
      </c>
      <c r="AE636" s="15" t="inlineStr">
        <is>
          <t>Open in Box</t>
        </is>
      </c>
      <c r="AF636" s="15" t="inlineStr">
        <is>
          <t>Open in Box</t>
        </is>
      </c>
    </row>
    <row r="637">
      <c r="A637" s="11" t="inlineStr">
        <is>
          <t>GA-ROBINSAF-002</t>
        </is>
      </c>
      <c r="B637" s="8" t="inlineStr">
        <is>
          <t>Robins AFB</t>
        </is>
      </c>
      <c r="C637" s="11" t="inlineStr"/>
      <c r="D637" s="11" t="inlineStr">
        <is>
          <t>GA</t>
        </is>
      </c>
      <c r="E637" s="11" t="inlineStr">
        <is>
          <t>Macon</t>
        </is>
      </c>
      <c r="F637" s="11" t="inlineStr">
        <is>
          <t>31098</t>
        </is>
      </c>
      <c r="G637" s="11" t="inlineStr">
        <is>
          <t>Air Force</t>
        </is>
      </c>
      <c r="H637" s="11" t="inlineStr">
        <is>
          <t>Standard Media</t>
        </is>
      </c>
      <c r="I637" s="8" t="inlineStr">
        <is>
          <t>Banner</t>
        </is>
      </c>
      <c r="J637" s="11" t="inlineStr">
        <is>
          <t>TBD</t>
        </is>
      </c>
      <c r="K637" s="8" t="inlineStr">
        <is>
          <t>Your ad will appear in an approved area on the installation.</t>
        </is>
      </c>
      <c r="L637" s="11" t="n">
        <v>6</v>
      </c>
      <c r="M637" s="12" t="n"/>
      <c r="N637" s="12" t="n"/>
      <c r="O637" s="12" t="n">
        <v>1200</v>
      </c>
      <c r="P637" s="12" t="n">
        <v>1500</v>
      </c>
      <c r="Q637" s="12" t="n">
        <v>200</v>
      </c>
      <c r="R637" s="13">
        <f>IF(ISNUMBER(M637),ROUND(M637/(1-Settings!$B$2)/Settings!$B$3,0)*Settings!$B$3,"")</f>
        <v/>
      </c>
      <c r="S637" s="13">
        <f>IF(ISNUMBER(N637),ROUND(N637/(1-Settings!$B$2)/Settings!$B$3,0)*Settings!$B$3,"")</f>
        <v/>
      </c>
      <c r="T637" s="13">
        <f>IF(ISNUMBER(O637),ROUND(O637/(1-Settings!$B$2)/Settings!$B$3,0)*Settings!$B$3,"")</f>
        <v/>
      </c>
      <c r="U637" s="13">
        <f>IF(ISNUMBER(P637),ROUND(P637/(1-Settings!$B$2)/Settings!$B$3,0)*Settings!$B$3,"")</f>
        <v/>
      </c>
      <c r="V637" s="13">
        <f>IF(ISNUMBER(Q637),ROUND(Q637/(1-Settings!$B$2)/Settings!$B$3,0)*Settings!$B$3,"")</f>
        <v/>
      </c>
      <c r="W637" s="14" t="n">
        <v>3313</v>
      </c>
      <c r="X637" s="14" t="n">
        <v>4707</v>
      </c>
      <c r="Y637" s="11" t="inlineStr"/>
      <c r="Z637" s="11" t="inlineStr"/>
      <c r="AA637" s="8" t="inlineStr"/>
      <c r="AB637" s="8" t="inlineStr"/>
      <c r="AC637" s="11" t="inlineStr">
        <is>
          <t>MasterMilitaryOnBaseList 12.2.25 NS.xlsx</t>
        </is>
      </c>
      <c r="AD637" s="11" t="inlineStr">
        <is>
          <t>Pages from Sponsorship &amp; Advertising Package 2026.pdf</t>
        </is>
      </c>
      <c r="AE637" s="15" t="inlineStr">
        <is>
          <t>Open in Box</t>
        </is>
      </c>
      <c r="AF637" s="15" t="inlineStr">
        <is>
          <t>Open in Box</t>
        </is>
      </c>
    </row>
    <row r="638">
      <c r="A638" s="11" t="inlineStr">
        <is>
          <t>GA-ROBINSAF-003</t>
        </is>
      </c>
      <c r="B638" s="8" t="inlineStr">
        <is>
          <t>Robins AFB</t>
        </is>
      </c>
      <c r="C638" s="11" t="inlineStr"/>
      <c r="D638" s="11" t="inlineStr">
        <is>
          <t>GA</t>
        </is>
      </c>
      <c r="E638" s="11" t="inlineStr">
        <is>
          <t>Macon</t>
        </is>
      </c>
      <c r="F638" s="11" t="inlineStr">
        <is>
          <t>31098</t>
        </is>
      </c>
      <c r="G638" s="11" t="inlineStr">
        <is>
          <t>Air Force</t>
        </is>
      </c>
      <c r="H638" s="11" t="inlineStr">
        <is>
          <t>Standard Media</t>
        </is>
      </c>
      <c r="I638" s="8" t="inlineStr">
        <is>
          <t>Golf Course Tee Box Marker</t>
        </is>
      </c>
      <c r="J638" s="11" t="inlineStr">
        <is>
          <t>12" x 12"</t>
        </is>
      </c>
      <c r="K638" s="8" t="inlineStr">
        <is>
          <t>Your ad will appear at a hole on the installation golf course.</t>
        </is>
      </c>
      <c r="L638" s="11" t="n">
        <v>1</v>
      </c>
      <c r="M638" s="12" t="n">
        <v>125</v>
      </c>
      <c r="N638" s="12" t="n">
        <v>375</v>
      </c>
      <c r="O638" s="12" t="n">
        <v>750</v>
      </c>
      <c r="P638" s="12" t="n">
        <v>1200</v>
      </c>
      <c r="Q638" s="12" t="n"/>
      <c r="R638" s="13">
        <f>IF(ISNUMBER(M638),ROUND(M638/(1-Settings!$B$2)/Settings!$B$3,0)*Settings!$B$3,"")</f>
        <v/>
      </c>
      <c r="S638" s="13">
        <f>IF(ISNUMBER(N638),ROUND(N638/(1-Settings!$B$2)/Settings!$B$3,0)*Settings!$B$3,"")</f>
        <v/>
      </c>
      <c r="T638" s="13">
        <f>IF(ISNUMBER(O638),ROUND(O638/(1-Settings!$B$2)/Settings!$B$3,0)*Settings!$B$3,"")</f>
        <v/>
      </c>
      <c r="U638" s="13">
        <f>IF(ISNUMBER(P638),ROUND(P638/(1-Settings!$B$2)/Settings!$B$3,0)*Settings!$B$3,"")</f>
        <v/>
      </c>
      <c r="V638" s="13">
        <f>IF(ISNUMBER(Q638),ROUND(Q638/(1-Settings!$B$2)/Settings!$B$3,0)*Settings!$B$3,"")</f>
        <v/>
      </c>
      <c r="W638" s="14" t="n">
        <v>3313</v>
      </c>
      <c r="X638" s="14" t="n">
        <v>4707</v>
      </c>
      <c r="Y638" s="11" t="inlineStr"/>
      <c r="Z638" s="11" t="inlineStr"/>
      <c r="AA638" s="8" t="inlineStr"/>
      <c r="AB638" s="8" t="inlineStr"/>
      <c r="AC638" s="11" t="inlineStr">
        <is>
          <t>MasterMilitaryOnBaseList 12.2.25 NS.xlsx</t>
        </is>
      </c>
      <c r="AD638" s="11" t="inlineStr">
        <is>
          <t>Pages from Sponsorship &amp; Advertising Package 2026.pdf</t>
        </is>
      </c>
      <c r="AE638" s="15" t="inlineStr">
        <is>
          <t>Open in Box</t>
        </is>
      </c>
      <c r="AF638" s="15" t="inlineStr">
        <is>
          <t>Open in Box</t>
        </is>
      </c>
    </row>
    <row r="639">
      <c r="A639" s="11" t="inlineStr">
        <is>
          <t>GA-ROBINSAF-005</t>
        </is>
      </c>
      <c r="B639" s="8" t="inlineStr">
        <is>
          <t>Robins AFB</t>
        </is>
      </c>
      <c r="C639" s="11" t="inlineStr"/>
      <c r="D639" s="11" t="inlineStr">
        <is>
          <t>GA</t>
        </is>
      </c>
      <c r="E639" s="11" t="inlineStr">
        <is>
          <t>Macon</t>
        </is>
      </c>
      <c r="F639" s="11" t="inlineStr"/>
      <c r="G639" s="11" t="inlineStr">
        <is>
          <t>Air Force</t>
        </is>
      </c>
      <c r="H639" s="11" t="inlineStr">
        <is>
          <t>Web &amp; Email</t>
        </is>
      </c>
      <c r="I639" s="8" t="inlineStr">
        <is>
          <t>Web Ad</t>
        </is>
      </c>
      <c r="J639" s="11" t="inlineStr"/>
      <c r="K639" s="8" t="inlineStr">
        <is>
          <t>Your ad will appear on the installation MWR / FSS website.</t>
        </is>
      </c>
      <c r="L639" s="11" t="n">
        <v>3</v>
      </c>
      <c r="M639" s="12" t="n"/>
      <c r="N639" s="12" t="n">
        <v>450</v>
      </c>
      <c r="O639" s="12" t="n"/>
      <c r="P639" s="12" t="n"/>
      <c r="Q639" s="12" t="n"/>
      <c r="R639" s="13">
        <f>IF(ISNUMBER(M639),ROUND(M639/(1-Settings!$B$2)/Settings!$B$3,0)*Settings!$B$3,"")</f>
        <v/>
      </c>
      <c r="S639" s="13">
        <f>IF(ISNUMBER(N639),ROUND(N639/(1-Settings!$B$2)/Settings!$B$3,0)*Settings!$B$3,"")</f>
        <v/>
      </c>
      <c r="T639" s="13">
        <f>IF(ISNUMBER(O639),ROUND(O639/(1-Settings!$B$2)/Settings!$B$3,0)*Settings!$B$3,"")</f>
        <v/>
      </c>
      <c r="U639" s="13">
        <f>IF(ISNUMBER(P639),ROUND(P639/(1-Settings!$B$2)/Settings!$B$3,0)*Settings!$B$3,"")</f>
        <v/>
      </c>
      <c r="V639" s="13">
        <f>IF(ISNUMBER(Q639),ROUND(Q639/(1-Settings!$B$2)/Settings!$B$3,0)*Settings!$B$3,"")</f>
        <v/>
      </c>
      <c r="W639" s="14" t="n">
        <v>3313</v>
      </c>
      <c r="X639" s="14" t="n">
        <v>4707</v>
      </c>
      <c r="Y639" s="11" t="inlineStr">
        <is>
          <t>2026</t>
        </is>
      </c>
      <c r="Z639" s="11" t="inlineStr">
        <is>
          <t>2026-06</t>
        </is>
      </c>
      <c r="AA639" s="8" t="inlineStr">
        <is>
          <t>3-month min. commitment 20K printed</t>
        </is>
      </c>
      <c r="AB639" s="8" t="inlineStr"/>
      <c r="AC639" s="11" t="inlineStr">
        <is>
          <t>Military - National Publication Inventory Master_June 2026.xlsx</t>
        </is>
      </c>
      <c r="AD639" s="11" t="inlineStr">
        <is>
          <t>Pages from Sponsorship &amp; Advertising Package 2026.pdf</t>
        </is>
      </c>
      <c r="AE639" s="15" t="inlineStr">
        <is>
          <t>Open in Box</t>
        </is>
      </c>
      <c r="AF639" s="15" t="inlineStr">
        <is>
          <t>Open in Box</t>
        </is>
      </c>
    </row>
    <row r="640">
      <c r="A640" s="11" t="inlineStr">
        <is>
          <t>HI-FORTSHAF-001</t>
        </is>
      </c>
      <c r="B640" s="8" t="inlineStr">
        <is>
          <t>Fort Shafter</t>
        </is>
      </c>
      <c r="C640" s="11" t="inlineStr"/>
      <c r="D640" s="11" t="inlineStr">
        <is>
          <t>HI</t>
        </is>
      </c>
      <c r="E640" s="11" t="inlineStr">
        <is>
          <t>Honolulu, HI</t>
        </is>
      </c>
      <c r="F640" s="11" t="inlineStr"/>
      <c r="G640" s="11" t="inlineStr">
        <is>
          <t>Army</t>
        </is>
      </c>
      <c r="H640" s="11" t="inlineStr">
        <is>
          <t>Print &amp; Publications</t>
        </is>
      </c>
      <c r="I640" s="8" t="inlineStr">
        <is>
          <t>Golf Scorecard Ad</t>
        </is>
      </c>
      <c r="J640" s="11" t="inlineStr"/>
      <c r="K640" s="8" t="inlineStr">
        <is>
          <t>Your ad will appear on the golf course scorecard.</t>
        </is>
      </c>
      <c r="L640" s="11" t="n">
        <v>1</v>
      </c>
      <c r="M640" s="12" t="n">
        <v>1000</v>
      </c>
      <c r="N640" s="12" t="n"/>
      <c r="O640" s="12" t="n"/>
      <c r="P640" s="12" t="n"/>
      <c r="Q640" s="12" t="n"/>
      <c r="R640" s="13">
        <f>IF(ISNUMBER(M640),ROUND(M640/(1-Settings!$B$2)/Settings!$B$3,0)*Settings!$B$3,"")</f>
        <v/>
      </c>
      <c r="S640" s="13">
        <f>IF(ISNUMBER(N640),ROUND(N640/(1-Settings!$B$2)/Settings!$B$3,0)*Settings!$B$3,"")</f>
        <v/>
      </c>
      <c r="T640" s="13">
        <f>IF(ISNUMBER(O640),ROUND(O640/(1-Settings!$B$2)/Settings!$B$3,0)*Settings!$B$3,"")</f>
        <v/>
      </c>
      <c r="U640" s="13">
        <f>IF(ISNUMBER(P640),ROUND(P640/(1-Settings!$B$2)/Settings!$B$3,0)*Settings!$B$3,"")</f>
        <v/>
      </c>
      <c r="V640" s="13">
        <f>IF(ISNUMBER(Q640),ROUND(Q640/(1-Settings!$B$2)/Settings!$B$3,0)*Settings!$B$3,"")</f>
        <v/>
      </c>
      <c r="W640" s="14" t="n">
        <v>2584</v>
      </c>
      <c r="X640" s="14" t="n">
        <v>4653</v>
      </c>
      <c r="Y640" s="11" t="inlineStr">
        <is>
          <t>2026</t>
        </is>
      </c>
      <c r="Z640" s="11" t="inlineStr">
        <is>
          <t>2026-06</t>
        </is>
      </c>
      <c r="AA640" s="8" t="inlineStr"/>
      <c r="AB640" s="8" t="inlineStr"/>
      <c r="AC640" s="11" t="inlineStr">
        <is>
          <t>Military - National Publication Inventory Master_June 2026.xlsx</t>
        </is>
      </c>
      <c r="AD640" s="11" t="inlineStr">
        <is>
          <t>FY27 Premium Advertising Options.pdf</t>
        </is>
      </c>
      <c r="AE640" s="15" t="inlineStr">
        <is>
          <t>Open in Box</t>
        </is>
      </c>
      <c r="AF640" s="15" t="inlineStr">
        <is>
          <t>Open in Box</t>
        </is>
      </c>
    </row>
    <row r="641">
      <c r="A641" s="11" t="inlineStr">
        <is>
          <t>HI-HICKAMAF-001</t>
        </is>
      </c>
      <c r="B641" s="8" t="inlineStr">
        <is>
          <t>Hickam AFB</t>
        </is>
      </c>
      <c r="C641" s="11" t="inlineStr">
        <is>
          <t>JB Pearl Harbor-Hickam</t>
        </is>
      </c>
      <c r="D641" s="11" t="inlineStr">
        <is>
          <t>HI</t>
        </is>
      </c>
      <c r="E641" s="11" t="inlineStr">
        <is>
          <t>Honolulu</t>
        </is>
      </c>
      <c r="F641" s="11" t="inlineStr">
        <is>
          <t>96860</t>
        </is>
      </c>
      <c r="G641" s="11" t="inlineStr">
        <is>
          <t>Air Force</t>
        </is>
      </c>
      <c r="H641" s="11" t="inlineStr">
        <is>
          <t>Digital</t>
        </is>
      </c>
      <c r="I641" s="8" t="inlineStr">
        <is>
          <t>Digital Kiosk Network</t>
        </is>
      </c>
      <c r="J641" s="11" t="inlineStr">
        <is>
          <t>TBD</t>
        </is>
      </c>
      <c r="K641" s="8" t="inlineStr">
        <is>
          <t>Your ad will appear on 22 approved digital kiosks on the installation.</t>
        </is>
      </c>
      <c r="L641" s="11" t="n">
        <v>1</v>
      </c>
      <c r="M641" s="12" t="n">
        <v>1200</v>
      </c>
      <c r="N641" s="12" t="n">
        <v>3600</v>
      </c>
      <c r="O641" s="12" t="n">
        <v>7200</v>
      </c>
      <c r="P641" s="12" t="n">
        <v>14400</v>
      </c>
      <c r="Q641" s="12" t="n">
        <v>0</v>
      </c>
      <c r="R641" s="13">
        <f>IF(ISNUMBER(M641),ROUND(M641/(1-Settings!$B$2)/Settings!$B$3,0)*Settings!$B$3,"")</f>
        <v/>
      </c>
      <c r="S641" s="13">
        <f>IF(ISNUMBER(N641),ROUND(N641/(1-Settings!$B$2)/Settings!$B$3,0)*Settings!$B$3,"")</f>
        <v/>
      </c>
      <c r="T641" s="13">
        <f>IF(ISNUMBER(O641),ROUND(O641/(1-Settings!$B$2)/Settings!$B$3,0)*Settings!$B$3,"")</f>
        <v/>
      </c>
      <c r="U641" s="13">
        <f>IF(ISNUMBER(P641),ROUND(P641/(1-Settings!$B$2)/Settings!$B$3,0)*Settings!$B$3,"")</f>
        <v/>
      </c>
      <c r="V641" s="13">
        <f>IF(ISNUMBER(Q641),ROUND(Q641/(1-Settings!$B$2)/Settings!$B$3,0)*Settings!$B$3,"")</f>
        <v/>
      </c>
      <c r="W641" s="14" t="n">
        <v>5561</v>
      </c>
      <c r="X641" s="14" t="n">
        <v>7473</v>
      </c>
      <c r="Y641" s="11" t="inlineStr"/>
      <c r="Z641" s="11" t="inlineStr"/>
      <c r="AA641" s="8" t="inlineStr"/>
      <c r="AB641" s="8" t="inlineStr"/>
      <c r="AC641" s="11" t="inlineStr">
        <is>
          <t>MasterMilitaryOnBaseList 12.2.25 NS.xlsx</t>
        </is>
      </c>
      <c r="AD641" s="11" t="inlineStr">
        <is>
          <t>JBPHH Advertising Opportunities_2025_08.pdf</t>
        </is>
      </c>
      <c r="AE641" s="15" t="inlineStr">
        <is>
          <t>Open in Box</t>
        </is>
      </c>
      <c r="AF641" s="15" t="inlineStr">
        <is>
          <t>Open in Box</t>
        </is>
      </c>
    </row>
    <row r="642">
      <c r="A642" s="11" t="inlineStr">
        <is>
          <t>HI-HICKAMAF-002</t>
        </is>
      </c>
      <c r="B642" s="8" t="inlineStr">
        <is>
          <t>Hickam AFB</t>
        </is>
      </c>
      <c r="C642" s="11" t="inlineStr">
        <is>
          <t>JB Pearl Harbor-Hickam</t>
        </is>
      </c>
      <c r="D642" s="11" t="inlineStr">
        <is>
          <t>HI</t>
        </is>
      </c>
      <c r="E642" s="11" t="inlineStr">
        <is>
          <t>Honolulu</t>
        </is>
      </c>
      <c r="F642" s="11" t="inlineStr">
        <is>
          <t>96860</t>
        </is>
      </c>
      <c r="G642" s="11" t="inlineStr">
        <is>
          <t>Air Force</t>
        </is>
      </c>
      <c r="H642" s="11" t="inlineStr">
        <is>
          <t>Digital</t>
        </is>
      </c>
      <c r="I642" s="8" t="inlineStr">
        <is>
          <t>Movie Theater Ad</t>
        </is>
      </c>
      <c r="J642" s="11" t="inlineStr">
        <is>
          <t>TBD</t>
        </is>
      </c>
      <c r="K642" s="8" t="inlineStr">
        <is>
          <t>Your ad will appear on the Shakey Theater movie screen on the installation.</t>
        </is>
      </c>
      <c r="L642" s="11" t="n">
        <v>1</v>
      </c>
      <c r="M642" s="12" t="n">
        <v>1000</v>
      </c>
      <c r="N642" s="12" t="n">
        <v>3000</v>
      </c>
      <c r="O642" s="12" t="n">
        <v>6000</v>
      </c>
      <c r="P642" s="12" t="n">
        <v>12000</v>
      </c>
      <c r="Q642" s="12" t="n">
        <v>0</v>
      </c>
      <c r="R642" s="13">
        <f>IF(ISNUMBER(M642),ROUND(M642/(1-Settings!$B$2)/Settings!$B$3,0)*Settings!$B$3,"")</f>
        <v/>
      </c>
      <c r="S642" s="13">
        <f>IF(ISNUMBER(N642),ROUND(N642/(1-Settings!$B$2)/Settings!$B$3,0)*Settings!$B$3,"")</f>
        <v/>
      </c>
      <c r="T642" s="13">
        <f>IF(ISNUMBER(O642),ROUND(O642/(1-Settings!$B$2)/Settings!$B$3,0)*Settings!$B$3,"")</f>
        <v/>
      </c>
      <c r="U642" s="13">
        <f>IF(ISNUMBER(P642),ROUND(P642/(1-Settings!$B$2)/Settings!$B$3,0)*Settings!$B$3,"")</f>
        <v/>
      </c>
      <c r="V642" s="13">
        <f>IF(ISNUMBER(Q642),ROUND(Q642/(1-Settings!$B$2)/Settings!$B$3,0)*Settings!$B$3,"")</f>
        <v/>
      </c>
      <c r="W642" s="14" t="n">
        <v>5561</v>
      </c>
      <c r="X642" s="14" t="n">
        <v>7473</v>
      </c>
      <c r="Y642" s="11" t="inlineStr"/>
      <c r="Z642" s="11" t="inlineStr"/>
      <c r="AA642" s="8" t="inlineStr"/>
      <c r="AB642" s="8" t="inlineStr"/>
      <c r="AC642" s="11" t="inlineStr">
        <is>
          <t>MasterMilitaryOnBaseList 12.2.25 NS.xlsx</t>
        </is>
      </c>
      <c r="AD642" s="11" t="inlineStr">
        <is>
          <t>JBPHH Advertising Opportunities_2025_08.pdf</t>
        </is>
      </c>
      <c r="AE642" s="15" t="inlineStr">
        <is>
          <t>Open in Box</t>
        </is>
      </c>
      <c r="AF642" s="15" t="inlineStr">
        <is>
          <t>Open in Box</t>
        </is>
      </c>
    </row>
    <row r="643">
      <c r="A643" s="11" t="inlineStr">
        <is>
          <t>HI-HICKAMAF-004</t>
        </is>
      </c>
      <c r="B643" s="8" t="inlineStr">
        <is>
          <t>Hickam AFB</t>
        </is>
      </c>
      <c r="C643" s="11" t="inlineStr">
        <is>
          <t>JB Pearl Harbor-Hickam</t>
        </is>
      </c>
      <c r="D643" s="11" t="inlineStr">
        <is>
          <t>HI</t>
        </is>
      </c>
      <c r="E643" s="11" t="inlineStr">
        <is>
          <t>Honolulu</t>
        </is>
      </c>
      <c r="F643" s="11" t="inlineStr">
        <is>
          <t>96860</t>
        </is>
      </c>
      <c r="G643" s="11" t="inlineStr">
        <is>
          <t>Air Force</t>
        </is>
      </c>
      <c r="H643" s="11" t="inlineStr">
        <is>
          <t>Large Format</t>
        </is>
      </c>
      <c r="I643" s="8" t="inlineStr">
        <is>
          <t>XL Banner</t>
        </is>
      </c>
      <c r="J643" s="11" t="inlineStr">
        <is>
          <t>10'x10'</t>
        </is>
      </c>
      <c r="K643" s="8" t="inlineStr">
        <is>
          <t>Your ad will appear in an approved location on the installation.</t>
        </is>
      </c>
      <c r="L643" s="11" t="n">
        <v>1</v>
      </c>
      <c r="M643" s="12" t="n">
        <v>1200</v>
      </c>
      <c r="N643" s="12" t="n">
        <v>3600</v>
      </c>
      <c r="O643" s="12" t="n">
        <v>7200</v>
      </c>
      <c r="P643" s="12" t="n">
        <v>14400</v>
      </c>
      <c r="Q643" s="12" t="n">
        <v>200</v>
      </c>
      <c r="R643" s="13">
        <f>IF(ISNUMBER(M643),ROUND(M643/(1-Settings!$B$2)/Settings!$B$3,0)*Settings!$B$3,"")</f>
        <v/>
      </c>
      <c r="S643" s="13">
        <f>IF(ISNUMBER(N643),ROUND(N643/(1-Settings!$B$2)/Settings!$B$3,0)*Settings!$B$3,"")</f>
        <v/>
      </c>
      <c r="T643" s="13">
        <f>IF(ISNUMBER(O643),ROUND(O643/(1-Settings!$B$2)/Settings!$B$3,0)*Settings!$B$3,"")</f>
        <v/>
      </c>
      <c r="U643" s="13">
        <f>IF(ISNUMBER(P643),ROUND(P643/(1-Settings!$B$2)/Settings!$B$3,0)*Settings!$B$3,"")</f>
        <v/>
      </c>
      <c r="V643" s="13">
        <f>IF(ISNUMBER(Q643),ROUND(Q643/(1-Settings!$B$2)/Settings!$B$3,0)*Settings!$B$3,"")</f>
        <v/>
      </c>
      <c r="W643" s="14" t="n">
        <v>5561</v>
      </c>
      <c r="X643" s="14" t="n">
        <v>7473</v>
      </c>
      <c r="Y643" s="11" t="inlineStr"/>
      <c r="Z643" s="11" t="inlineStr"/>
      <c r="AA643" s="8" t="inlineStr"/>
      <c r="AB643" s="8" t="inlineStr"/>
      <c r="AC643" s="11" t="inlineStr">
        <is>
          <t>MasterMilitaryOnBaseList 12.2.25 NS.xlsx</t>
        </is>
      </c>
      <c r="AD643" s="11" t="inlineStr">
        <is>
          <t>JBPHH Advertising Opportunities_2025_08.pdf</t>
        </is>
      </c>
      <c r="AE643" s="15" t="inlineStr">
        <is>
          <t>Open in Box</t>
        </is>
      </c>
      <c r="AF643" s="15" t="inlineStr">
        <is>
          <t>Open in Box</t>
        </is>
      </c>
    </row>
    <row r="644">
      <c r="A644" s="11" t="inlineStr">
        <is>
          <t>HI-HICKAMAF-005</t>
        </is>
      </c>
      <c r="B644" s="8" t="inlineStr">
        <is>
          <t>Hickam AFB</t>
        </is>
      </c>
      <c r="C644" s="11" t="inlineStr">
        <is>
          <t>JB Pearl Harbor-Hickam</t>
        </is>
      </c>
      <c r="D644" s="11" t="inlineStr">
        <is>
          <t>HI</t>
        </is>
      </c>
      <c r="E644" s="11" t="inlineStr">
        <is>
          <t>Honolulu</t>
        </is>
      </c>
      <c r="F644" s="11" t="inlineStr">
        <is>
          <t>96860</t>
        </is>
      </c>
      <c r="G644" s="11" t="inlineStr">
        <is>
          <t>Air Force</t>
        </is>
      </c>
      <c r="H644" s="11" t="inlineStr">
        <is>
          <t>Sponsorship &amp; Other</t>
        </is>
      </c>
      <c r="I644" s="8" t="inlineStr">
        <is>
          <t>E-Blast Ad</t>
        </is>
      </c>
      <c r="J644" s="11" t="inlineStr">
        <is>
          <t>TBD</t>
        </is>
      </c>
      <c r="K644" s="8" t="inlineStr">
        <is>
          <t>Your ad will appear in the Bi-Monthly E-Blast (25,000 opt-in weekly)</t>
        </is>
      </c>
      <c r="L644" s="11" t="n">
        <v>1</v>
      </c>
      <c r="M644" s="12" t="n">
        <v>500</v>
      </c>
      <c r="N644" s="12" t="n">
        <v>1500</v>
      </c>
      <c r="O644" s="12" t="n">
        <v>3000</v>
      </c>
      <c r="P644" s="12" t="n">
        <v>6000</v>
      </c>
      <c r="Q644" s="12" t="n">
        <v>0</v>
      </c>
      <c r="R644" s="13">
        <f>IF(ISNUMBER(M644),ROUND(M644/(1-Settings!$B$2)/Settings!$B$3,0)*Settings!$B$3,"")</f>
        <v/>
      </c>
      <c r="S644" s="13">
        <f>IF(ISNUMBER(N644),ROUND(N644/(1-Settings!$B$2)/Settings!$B$3,0)*Settings!$B$3,"")</f>
        <v/>
      </c>
      <c r="T644" s="13">
        <f>IF(ISNUMBER(O644),ROUND(O644/(1-Settings!$B$2)/Settings!$B$3,0)*Settings!$B$3,"")</f>
        <v/>
      </c>
      <c r="U644" s="13">
        <f>IF(ISNUMBER(P644),ROUND(P644/(1-Settings!$B$2)/Settings!$B$3,0)*Settings!$B$3,"")</f>
        <v/>
      </c>
      <c r="V644" s="13">
        <f>IF(ISNUMBER(Q644),ROUND(Q644/(1-Settings!$B$2)/Settings!$B$3,0)*Settings!$B$3,"")</f>
        <v/>
      </c>
      <c r="W644" s="14" t="n">
        <v>5561</v>
      </c>
      <c r="X644" s="14" t="n">
        <v>7473</v>
      </c>
      <c r="Y644" s="11" t="inlineStr"/>
      <c r="Z644" s="11" t="inlineStr"/>
      <c r="AA644" s="8" t="inlineStr"/>
      <c r="AB644" s="8" t="inlineStr"/>
      <c r="AC644" s="11" t="inlineStr">
        <is>
          <t>MasterMilitaryOnBaseList 12.2.25 NS.xlsx</t>
        </is>
      </c>
      <c r="AD644" s="11" t="inlineStr">
        <is>
          <t>JBPHH Advertising Opportunities_2025_08.pdf</t>
        </is>
      </c>
      <c r="AE644" s="15" t="inlineStr">
        <is>
          <t>Open in Box</t>
        </is>
      </c>
      <c r="AF644" s="15" t="inlineStr">
        <is>
          <t>Open in Box</t>
        </is>
      </c>
    </row>
    <row r="645">
      <c r="A645" s="11" t="inlineStr">
        <is>
          <t>HI-HICKAMAF-003</t>
        </is>
      </c>
      <c r="B645" s="8" t="inlineStr">
        <is>
          <t>Hickam AFB</t>
        </is>
      </c>
      <c r="C645" s="11" t="inlineStr">
        <is>
          <t>JB Pearl Harbor-Hickam</t>
        </is>
      </c>
      <c r="D645" s="11" t="inlineStr">
        <is>
          <t>HI</t>
        </is>
      </c>
      <c r="E645" s="11" t="inlineStr">
        <is>
          <t>Honolulu</t>
        </is>
      </c>
      <c r="F645" s="11" t="inlineStr">
        <is>
          <t>96860</t>
        </is>
      </c>
      <c r="G645" s="11" t="inlineStr">
        <is>
          <t>Air Force</t>
        </is>
      </c>
      <c r="H645" s="11" t="inlineStr">
        <is>
          <t>Standard Media</t>
        </is>
      </c>
      <c r="I645" s="8" t="inlineStr">
        <is>
          <t>Banner</t>
        </is>
      </c>
      <c r="J645" s="11" t="inlineStr">
        <is>
          <t>TBD</t>
        </is>
      </c>
      <c r="K645" s="8" t="inlineStr">
        <is>
          <t>Your ad will appear in the Pearl Harbor Fitness Center on the installation.</t>
        </is>
      </c>
      <c r="L645" s="11" t="n">
        <v>1</v>
      </c>
      <c r="M645" s="12" t="n">
        <v>1200</v>
      </c>
      <c r="N645" s="12" t="n">
        <v>3600</v>
      </c>
      <c r="O645" s="12" t="n">
        <v>7200</v>
      </c>
      <c r="P645" s="12" t="n">
        <v>14400</v>
      </c>
      <c r="Q645" s="12" t="n">
        <v>200</v>
      </c>
      <c r="R645" s="13">
        <f>IF(ISNUMBER(M645),ROUND(M645/(1-Settings!$B$2)/Settings!$B$3,0)*Settings!$B$3,"")</f>
        <v/>
      </c>
      <c r="S645" s="13">
        <f>IF(ISNUMBER(N645),ROUND(N645/(1-Settings!$B$2)/Settings!$B$3,0)*Settings!$B$3,"")</f>
        <v/>
      </c>
      <c r="T645" s="13">
        <f>IF(ISNUMBER(O645),ROUND(O645/(1-Settings!$B$2)/Settings!$B$3,0)*Settings!$B$3,"")</f>
        <v/>
      </c>
      <c r="U645" s="13">
        <f>IF(ISNUMBER(P645),ROUND(P645/(1-Settings!$B$2)/Settings!$B$3,0)*Settings!$B$3,"")</f>
        <v/>
      </c>
      <c r="V645" s="13">
        <f>IF(ISNUMBER(Q645),ROUND(Q645/(1-Settings!$B$2)/Settings!$B$3,0)*Settings!$B$3,"")</f>
        <v/>
      </c>
      <c r="W645" s="14" t="n">
        <v>5561</v>
      </c>
      <c r="X645" s="14" t="n">
        <v>7473</v>
      </c>
      <c r="Y645" s="11" t="inlineStr"/>
      <c r="Z645" s="11" t="inlineStr"/>
      <c r="AA645" s="8" t="inlineStr"/>
      <c r="AB645" s="8" t="inlineStr"/>
      <c r="AC645" s="11" t="inlineStr">
        <is>
          <t>MasterMilitaryOnBaseList 12.2.25 NS.xlsx</t>
        </is>
      </c>
      <c r="AD645" s="11" t="inlineStr">
        <is>
          <t>JBPHH Advertising Opportunities_2025_08.pdf</t>
        </is>
      </c>
      <c r="AE645" s="15" t="inlineStr">
        <is>
          <t>Open in Box</t>
        </is>
      </c>
      <c r="AF645" s="15" t="inlineStr">
        <is>
          <t>Open in Box</t>
        </is>
      </c>
    </row>
    <row r="646">
      <c r="A646" s="11" t="inlineStr">
        <is>
          <t>HI-MCBHAWAI-001</t>
        </is>
      </c>
      <c r="B646" s="8" t="inlineStr">
        <is>
          <t>MCB Hawaii</t>
        </is>
      </c>
      <c r="C646" s="11" t="inlineStr">
        <is>
          <t>Kaneohe Bay</t>
        </is>
      </c>
      <c r="D646" s="11" t="inlineStr">
        <is>
          <t>HI</t>
        </is>
      </c>
      <c r="E646" s="11" t="inlineStr">
        <is>
          <t>Honolulu</t>
        </is>
      </c>
      <c r="F646" s="11" t="inlineStr">
        <is>
          <t>96861</t>
        </is>
      </c>
      <c r="G646" s="11" t="inlineStr">
        <is>
          <t>Marine Corps</t>
        </is>
      </c>
      <c r="H646" s="11" t="inlineStr">
        <is>
          <t>Digital</t>
        </is>
      </c>
      <c r="I646" s="8" t="inlineStr">
        <is>
          <t>Digital Marquees</t>
        </is>
      </c>
      <c r="J646" s="11" t="inlineStr">
        <is>
          <t>TBD</t>
        </is>
      </c>
      <c r="K646" s="8" t="inlineStr">
        <is>
          <t>Your ad will appear on 3 digital marquees.</t>
        </is>
      </c>
      <c r="L646" s="11" t="n">
        <v>1</v>
      </c>
      <c r="M646" s="12" t="n">
        <v>1200</v>
      </c>
      <c r="N646" s="12" t="n">
        <v>4800</v>
      </c>
      <c r="O646" s="12" t="n">
        <v>7200</v>
      </c>
      <c r="P646" s="12" t="n">
        <v>9000</v>
      </c>
      <c r="Q646" s="12" t="n">
        <v>0</v>
      </c>
      <c r="R646" s="13">
        <f>IF(ISNUMBER(M646),ROUND(M646/(1-Settings!$B$2)/Settings!$B$3,0)*Settings!$B$3,"")</f>
        <v/>
      </c>
      <c r="S646" s="13">
        <f>IF(ISNUMBER(N646),ROUND(N646/(1-Settings!$B$2)/Settings!$B$3,0)*Settings!$B$3,"")</f>
        <v/>
      </c>
      <c r="T646" s="13">
        <f>IF(ISNUMBER(O646),ROUND(O646/(1-Settings!$B$2)/Settings!$B$3,0)*Settings!$B$3,"")</f>
        <v/>
      </c>
      <c r="U646" s="13">
        <f>IF(ISNUMBER(P646),ROUND(P646/(1-Settings!$B$2)/Settings!$B$3,0)*Settings!$B$3,"")</f>
        <v/>
      </c>
      <c r="V646" s="13">
        <f>IF(ISNUMBER(Q646),ROUND(Q646/(1-Settings!$B$2)/Settings!$B$3,0)*Settings!$B$3,"")</f>
        <v/>
      </c>
      <c r="W646" s="14" t="n">
        <v>9157</v>
      </c>
      <c r="X646" s="14" t="n">
        <v>7201</v>
      </c>
      <c r="Y646" s="11" t="inlineStr"/>
      <c r="Z646" s="11" t="inlineStr"/>
      <c r="AA646" s="8" t="inlineStr"/>
      <c r="AB646" s="8" t="inlineStr"/>
      <c r="AC646" s="11" t="inlineStr">
        <is>
          <t>MasterMilitaryOnBaseList 12.2.25 NS.xlsx</t>
        </is>
      </c>
      <c r="AD646" s="11" t="inlineStr">
        <is>
          <t>MCBHI Updated Pricing.docx</t>
        </is>
      </c>
      <c r="AE646" s="15" t="inlineStr">
        <is>
          <t>Open in Box</t>
        </is>
      </c>
      <c r="AF646" s="15" t="inlineStr">
        <is>
          <t>Open in Box</t>
        </is>
      </c>
    </row>
    <row r="647">
      <c r="A647" s="11" t="inlineStr">
        <is>
          <t>HI-MCBHAWAI-002</t>
        </is>
      </c>
      <c r="B647" s="8" t="inlineStr">
        <is>
          <t>MCB Hawaii</t>
        </is>
      </c>
      <c r="C647" s="11" t="inlineStr">
        <is>
          <t>Kaneohe Bay</t>
        </is>
      </c>
      <c r="D647" s="11" t="inlineStr">
        <is>
          <t>HI</t>
        </is>
      </c>
      <c r="E647" s="11" t="inlineStr">
        <is>
          <t>Honolulu</t>
        </is>
      </c>
      <c r="F647" s="11" t="inlineStr">
        <is>
          <t>96861</t>
        </is>
      </c>
      <c r="G647" s="11" t="inlineStr">
        <is>
          <t>Marine Corps</t>
        </is>
      </c>
      <c r="H647" s="11" t="inlineStr">
        <is>
          <t>Digital</t>
        </is>
      </c>
      <c r="I647" s="8" t="inlineStr">
        <is>
          <t>Digital Monitor Network</t>
        </is>
      </c>
      <c r="J647" s="11" t="inlineStr">
        <is>
          <t>1920pxW x 1080pxH</t>
        </is>
      </c>
      <c r="K647" s="8" t="inlineStr">
        <is>
          <t>Your ad will appear on 8 digital monitors in 4 approved installation facilities.</t>
        </is>
      </c>
      <c r="L647" s="11" t="n">
        <v>6</v>
      </c>
      <c r="M647" s="12" t="n"/>
      <c r="N647" s="12" t="n"/>
      <c r="O647" s="12" t="n">
        <v>2500</v>
      </c>
      <c r="P647" s="12" t="n">
        <v>4300</v>
      </c>
      <c r="Q647" s="12" t="n">
        <v>0</v>
      </c>
      <c r="R647" s="13">
        <f>IF(ISNUMBER(M647),ROUND(M647/(1-Settings!$B$2)/Settings!$B$3,0)*Settings!$B$3,"")</f>
        <v/>
      </c>
      <c r="S647" s="13">
        <f>IF(ISNUMBER(N647),ROUND(N647/(1-Settings!$B$2)/Settings!$B$3,0)*Settings!$B$3,"")</f>
        <v/>
      </c>
      <c r="T647" s="13">
        <f>IF(ISNUMBER(O647),ROUND(O647/(1-Settings!$B$2)/Settings!$B$3,0)*Settings!$B$3,"")</f>
        <v/>
      </c>
      <c r="U647" s="13">
        <f>IF(ISNUMBER(P647),ROUND(P647/(1-Settings!$B$2)/Settings!$B$3,0)*Settings!$B$3,"")</f>
        <v/>
      </c>
      <c r="V647" s="13">
        <f>IF(ISNUMBER(Q647),ROUND(Q647/(1-Settings!$B$2)/Settings!$B$3,0)*Settings!$B$3,"")</f>
        <v/>
      </c>
      <c r="W647" s="14" t="n">
        <v>9157</v>
      </c>
      <c r="X647" s="14" t="n">
        <v>7201</v>
      </c>
      <c r="Y647" s="11" t="inlineStr"/>
      <c r="Z647" s="11" t="inlineStr"/>
      <c r="AA647" s="8" t="inlineStr"/>
      <c r="AB647" s="16" t="inlineStr">
        <is>
          <t>Source formula errors</t>
        </is>
      </c>
      <c r="AC647" s="11" t="inlineStr">
        <is>
          <t>MasterMilitaryOnBaseList 12.2.25 NS.xlsx</t>
        </is>
      </c>
      <c r="AD647" s="11" t="inlineStr">
        <is>
          <t>MCBHI Updated Pricing.docx</t>
        </is>
      </c>
      <c r="AE647" s="15" t="inlineStr">
        <is>
          <t>Open in Box</t>
        </is>
      </c>
      <c r="AF647" s="15" t="inlineStr">
        <is>
          <t>Open in Box</t>
        </is>
      </c>
    </row>
    <row r="648">
      <c r="A648" s="11" t="inlineStr">
        <is>
          <t>HI-MCBHAWAI-003</t>
        </is>
      </c>
      <c r="B648" s="8" t="inlineStr">
        <is>
          <t>MCB Hawaii</t>
        </is>
      </c>
      <c r="C648" s="11" t="inlineStr">
        <is>
          <t>Kaneohe Bay</t>
        </is>
      </c>
      <c r="D648" s="11" t="inlineStr">
        <is>
          <t>HI</t>
        </is>
      </c>
      <c r="E648" s="11" t="inlineStr">
        <is>
          <t>Honolulu</t>
        </is>
      </c>
      <c r="F648" s="11" t="inlineStr">
        <is>
          <t>96861</t>
        </is>
      </c>
      <c r="G648" s="11" t="inlineStr">
        <is>
          <t>Marine Corps</t>
        </is>
      </c>
      <c r="H648" s="11" t="inlineStr">
        <is>
          <t>Digital</t>
        </is>
      </c>
      <c r="I648" s="8" t="inlineStr">
        <is>
          <t>Digital Monitors</t>
        </is>
      </c>
      <c r="J648" s="11" t="inlineStr">
        <is>
          <t>TBD</t>
        </is>
      </c>
      <c r="K648" s="8" t="inlineStr">
        <is>
          <t>Your ad will appear on approved monitors on the installation.</t>
        </is>
      </c>
      <c r="L648" s="11" t="n">
        <v>1</v>
      </c>
      <c r="M648" s="12" t="n">
        <v>500</v>
      </c>
      <c r="N648" s="12" t="n">
        <v>1500</v>
      </c>
      <c r="O648" s="12" t="n">
        <v>2500</v>
      </c>
      <c r="P648" s="12" t="n">
        <v>4300</v>
      </c>
      <c r="Q648" s="12" t="n"/>
      <c r="R648" s="13">
        <f>IF(ISNUMBER(M648),ROUND(M648/(1-Settings!$B$2)/Settings!$B$3,0)*Settings!$B$3,"")</f>
        <v/>
      </c>
      <c r="S648" s="13">
        <f>IF(ISNUMBER(N648),ROUND(N648/(1-Settings!$B$2)/Settings!$B$3,0)*Settings!$B$3,"")</f>
        <v/>
      </c>
      <c r="T648" s="13">
        <f>IF(ISNUMBER(O648),ROUND(O648/(1-Settings!$B$2)/Settings!$B$3,0)*Settings!$B$3,"")</f>
        <v/>
      </c>
      <c r="U648" s="13">
        <f>IF(ISNUMBER(P648),ROUND(P648/(1-Settings!$B$2)/Settings!$B$3,0)*Settings!$B$3,"")</f>
        <v/>
      </c>
      <c r="V648" s="13">
        <f>IF(ISNUMBER(Q648),ROUND(Q648/(1-Settings!$B$2)/Settings!$B$3,0)*Settings!$B$3,"")</f>
        <v/>
      </c>
      <c r="W648" s="14" t="n">
        <v>9157</v>
      </c>
      <c r="X648" s="14" t="n">
        <v>7201</v>
      </c>
      <c r="Y648" s="11" t="inlineStr"/>
      <c r="Z648" s="11" t="inlineStr"/>
      <c r="AA648" s="8" t="inlineStr"/>
      <c r="AB648" s="8" t="inlineStr"/>
      <c r="AC648" s="11" t="inlineStr">
        <is>
          <t>MasterMilitaryOnBaseList 12.2.25 NS.xlsx</t>
        </is>
      </c>
      <c r="AD648" s="11" t="inlineStr">
        <is>
          <t>MCBHI Updated Pricing.docx</t>
        </is>
      </c>
      <c r="AE648" s="15" t="inlineStr">
        <is>
          <t>Open in Box</t>
        </is>
      </c>
      <c r="AF648" s="15" t="inlineStr">
        <is>
          <t>Open in Box</t>
        </is>
      </c>
    </row>
    <row r="649">
      <c r="A649" s="11" t="inlineStr">
        <is>
          <t>HI-MCBHAWAI-004</t>
        </is>
      </c>
      <c r="B649" s="8" t="inlineStr">
        <is>
          <t>MCB Hawaii</t>
        </is>
      </c>
      <c r="C649" s="11" t="inlineStr">
        <is>
          <t>Kaneohe Bay</t>
        </is>
      </c>
      <c r="D649" s="11" t="inlineStr">
        <is>
          <t>HI</t>
        </is>
      </c>
      <c r="E649" s="11" t="inlineStr">
        <is>
          <t>Honolulu</t>
        </is>
      </c>
      <c r="F649" s="11" t="inlineStr">
        <is>
          <t>96861</t>
        </is>
      </c>
      <c r="G649" s="11" t="inlineStr">
        <is>
          <t>Marine Corps</t>
        </is>
      </c>
      <c r="H649" s="11" t="inlineStr">
        <is>
          <t>Digital</t>
        </is>
      </c>
      <c r="I649" s="8" t="inlineStr">
        <is>
          <t>Electronic Marquee</t>
        </is>
      </c>
      <c r="J649" s="11" t="inlineStr">
        <is>
          <t>TBD</t>
        </is>
      </c>
      <c r="K649" s="8" t="inlineStr">
        <is>
          <t>Your ad will appear in an approved area on the installation.</t>
        </is>
      </c>
      <c r="L649" s="11" t="n">
        <v>1</v>
      </c>
      <c r="M649" s="12" t="n">
        <v>1200</v>
      </c>
      <c r="N649" s="12" t="n">
        <v>3600</v>
      </c>
      <c r="O649" s="12" t="n">
        <v>7200</v>
      </c>
      <c r="P649" s="12" t="n">
        <v>9000</v>
      </c>
      <c r="Q649" s="12" t="n"/>
      <c r="R649" s="13">
        <f>IF(ISNUMBER(M649),ROUND(M649/(1-Settings!$B$2)/Settings!$B$3,0)*Settings!$B$3,"")</f>
        <v/>
      </c>
      <c r="S649" s="13">
        <f>IF(ISNUMBER(N649),ROUND(N649/(1-Settings!$B$2)/Settings!$B$3,0)*Settings!$B$3,"")</f>
        <v/>
      </c>
      <c r="T649" s="13">
        <f>IF(ISNUMBER(O649),ROUND(O649/(1-Settings!$B$2)/Settings!$B$3,0)*Settings!$B$3,"")</f>
        <v/>
      </c>
      <c r="U649" s="13">
        <f>IF(ISNUMBER(P649),ROUND(P649/(1-Settings!$B$2)/Settings!$B$3,0)*Settings!$B$3,"")</f>
        <v/>
      </c>
      <c r="V649" s="13">
        <f>IF(ISNUMBER(Q649),ROUND(Q649/(1-Settings!$B$2)/Settings!$B$3,0)*Settings!$B$3,"")</f>
        <v/>
      </c>
      <c r="W649" s="14" t="n">
        <v>9157</v>
      </c>
      <c r="X649" s="14" t="n">
        <v>7201</v>
      </c>
      <c r="Y649" s="11" t="inlineStr"/>
      <c r="Z649" s="11" t="inlineStr"/>
      <c r="AA649" s="8" t="inlineStr"/>
      <c r="AB649" s="8" t="inlineStr"/>
      <c r="AC649" s="11" t="inlineStr">
        <is>
          <t>MasterMilitaryOnBaseList 12.2.25 NS.xlsx</t>
        </is>
      </c>
      <c r="AD649" s="11" t="inlineStr">
        <is>
          <t>MCBHI Updated Pricing.docx</t>
        </is>
      </c>
      <c r="AE649" s="15" t="inlineStr">
        <is>
          <t>Open in Box</t>
        </is>
      </c>
      <c r="AF649" s="15" t="inlineStr">
        <is>
          <t>Open in Box</t>
        </is>
      </c>
    </row>
    <row r="650">
      <c r="A650" s="11" t="inlineStr">
        <is>
          <t>HI-MCBHAWAI-008</t>
        </is>
      </c>
      <c r="B650" s="8" t="inlineStr">
        <is>
          <t>MCB Hawaii</t>
        </is>
      </c>
      <c r="C650" s="11" t="inlineStr">
        <is>
          <t>Kaneohe Bay</t>
        </is>
      </c>
      <c r="D650" s="11" t="inlineStr">
        <is>
          <t>HI</t>
        </is>
      </c>
      <c r="E650" s="11" t="inlineStr">
        <is>
          <t>Honolulu</t>
        </is>
      </c>
      <c r="F650" s="11" t="inlineStr">
        <is>
          <t>96861</t>
        </is>
      </c>
      <c r="G650" s="11" t="inlineStr">
        <is>
          <t>Marine Corps</t>
        </is>
      </c>
      <c r="H650" s="11" t="inlineStr">
        <is>
          <t>Large Format</t>
        </is>
      </c>
      <c r="I650" s="8" t="inlineStr">
        <is>
          <t>Large Format Banner</t>
        </is>
      </c>
      <c r="J650" s="11" t="inlineStr">
        <is>
          <t>TBD</t>
        </is>
      </c>
      <c r="K650" s="8" t="inlineStr">
        <is>
          <t>Your ad will appear in an approved area on the installation. Prices vary on sizing/location of banner.</t>
        </is>
      </c>
      <c r="L650" s="11" t="n"/>
      <c r="M650" s="12" t="n"/>
      <c r="N650" s="12" t="n"/>
      <c r="O650" s="12" t="n"/>
      <c r="P650" s="12" t="n"/>
      <c r="Q650" s="12" t="n"/>
      <c r="R650" s="13">
        <f>IF(ISNUMBER(M650),ROUND(M650/(1-Settings!$B$2)/Settings!$B$3,0)*Settings!$B$3,"")</f>
        <v/>
      </c>
      <c r="S650" s="13">
        <f>IF(ISNUMBER(N650),ROUND(N650/(1-Settings!$B$2)/Settings!$B$3,0)*Settings!$B$3,"")</f>
        <v/>
      </c>
      <c r="T650" s="13">
        <f>IF(ISNUMBER(O650),ROUND(O650/(1-Settings!$B$2)/Settings!$B$3,0)*Settings!$B$3,"")</f>
        <v/>
      </c>
      <c r="U650" s="13">
        <f>IF(ISNUMBER(P650),ROUND(P650/(1-Settings!$B$2)/Settings!$B$3,0)*Settings!$B$3,"")</f>
        <v/>
      </c>
      <c r="V650" s="13">
        <f>IF(ISNUMBER(Q650),ROUND(Q650/(1-Settings!$B$2)/Settings!$B$3,0)*Settings!$B$3,"")</f>
        <v/>
      </c>
      <c r="W650" s="14" t="n">
        <v>9157</v>
      </c>
      <c r="X650" s="14" t="n">
        <v>7201</v>
      </c>
      <c r="Y650" s="11" t="inlineStr"/>
      <c r="Z650" s="11" t="inlineStr"/>
      <c r="AA650" s="8" t="inlineStr"/>
      <c r="AB650" s="16" t="inlineStr">
        <is>
          <t>No price on file - inquire</t>
        </is>
      </c>
      <c r="AC650" s="11" t="inlineStr">
        <is>
          <t>MasterMilitaryOnBaseList 12.2.25 NS.xlsx</t>
        </is>
      </c>
      <c r="AD650" s="11" t="inlineStr">
        <is>
          <t>MCBHI Updated Pricing.docx</t>
        </is>
      </c>
      <c r="AE650" s="15" t="inlineStr">
        <is>
          <t>Open in Box</t>
        </is>
      </c>
      <c r="AF650" s="15" t="inlineStr">
        <is>
          <t>Open in Box</t>
        </is>
      </c>
    </row>
    <row r="651">
      <c r="A651" s="11" t="inlineStr">
        <is>
          <t>HI-MCBHAWAI-005</t>
        </is>
      </c>
      <c r="B651" s="8" t="inlineStr">
        <is>
          <t>MCB Hawaii</t>
        </is>
      </c>
      <c r="C651" s="11" t="inlineStr">
        <is>
          <t>Kaneohe Bay</t>
        </is>
      </c>
      <c r="D651" s="11" t="inlineStr">
        <is>
          <t>HI</t>
        </is>
      </c>
      <c r="E651" s="11" t="inlineStr">
        <is>
          <t>Honolulu</t>
        </is>
      </c>
      <c r="F651" s="11" t="inlineStr">
        <is>
          <t>96861</t>
        </is>
      </c>
      <c r="G651" s="11" t="inlineStr">
        <is>
          <t>Marine Corps</t>
        </is>
      </c>
      <c r="H651" s="11" t="inlineStr">
        <is>
          <t>Standard Media</t>
        </is>
      </c>
      <c r="I651" s="8" t="inlineStr">
        <is>
          <t>Banner</t>
        </is>
      </c>
      <c r="J651" s="11" t="inlineStr">
        <is>
          <t>3' x 10'</t>
        </is>
      </c>
      <c r="K651" s="8" t="inlineStr">
        <is>
          <t>Your ad will appear in an approved area on the installation.</t>
        </is>
      </c>
      <c r="L651" s="11" t="n">
        <v>3</v>
      </c>
      <c r="M651" s="12" t="n"/>
      <c r="N651" s="12" t="n">
        <v>6000</v>
      </c>
      <c r="O651" s="12" t="n"/>
      <c r="P651" s="12" t="n">
        <v>7000</v>
      </c>
      <c r="Q651" s="12" t="n">
        <v>200</v>
      </c>
      <c r="R651" s="13">
        <f>IF(ISNUMBER(M651),ROUND(M651/(1-Settings!$B$2)/Settings!$B$3,0)*Settings!$B$3,"")</f>
        <v/>
      </c>
      <c r="S651" s="13">
        <f>IF(ISNUMBER(N651),ROUND(N651/(1-Settings!$B$2)/Settings!$B$3,0)*Settings!$B$3,"")</f>
        <v/>
      </c>
      <c r="T651" s="13">
        <f>IF(ISNUMBER(O651),ROUND(O651/(1-Settings!$B$2)/Settings!$B$3,0)*Settings!$B$3,"")</f>
        <v/>
      </c>
      <c r="U651" s="13">
        <f>IF(ISNUMBER(P651),ROUND(P651/(1-Settings!$B$2)/Settings!$B$3,0)*Settings!$B$3,"")</f>
        <v/>
      </c>
      <c r="V651" s="13">
        <f>IF(ISNUMBER(Q651),ROUND(Q651/(1-Settings!$B$2)/Settings!$B$3,0)*Settings!$B$3,"")</f>
        <v/>
      </c>
      <c r="W651" s="14" t="n">
        <v>9157</v>
      </c>
      <c r="X651" s="14" t="n">
        <v>7201</v>
      </c>
      <c r="Y651" s="11" t="inlineStr"/>
      <c r="Z651" s="11" t="inlineStr"/>
      <c r="AA651" s="8" t="inlineStr"/>
      <c r="AB651" s="8" t="inlineStr"/>
      <c r="AC651" s="11" t="inlineStr">
        <is>
          <t>MasterMilitaryOnBaseList 12.2.25 NS.xlsx</t>
        </is>
      </c>
      <c r="AD651" s="11" t="inlineStr">
        <is>
          <t>MCBHI Updated Pricing.docx</t>
        </is>
      </c>
      <c r="AE651" s="15" t="inlineStr">
        <is>
          <t>Open in Box</t>
        </is>
      </c>
      <c r="AF651" s="15" t="inlineStr">
        <is>
          <t>Open in Box</t>
        </is>
      </c>
    </row>
    <row r="652">
      <c r="A652" s="11" t="inlineStr">
        <is>
          <t>HI-MCBHAWAI-006</t>
        </is>
      </c>
      <c r="B652" s="8" t="inlineStr">
        <is>
          <t>MCB Hawaii</t>
        </is>
      </c>
      <c r="C652" s="11" t="inlineStr">
        <is>
          <t>Kaneohe Bay</t>
        </is>
      </c>
      <c r="D652" s="11" t="inlineStr">
        <is>
          <t>HI</t>
        </is>
      </c>
      <c r="E652" s="11" t="inlineStr">
        <is>
          <t>Honolulu</t>
        </is>
      </c>
      <c r="F652" s="11" t="inlineStr">
        <is>
          <t>96861</t>
        </is>
      </c>
      <c r="G652" s="11" t="inlineStr">
        <is>
          <t>Marine Corps</t>
        </is>
      </c>
      <c r="H652" s="11" t="inlineStr">
        <is>
          <t>Standard Media</t>
        </is>
      </c>
      <c r="I652" s="8" t="inlineStr">
        <is>
          <t>Banner</t>
        </is>
      </c>
      <c r="J652" s="11" t="inlineStr">
        <is>
          <t>10'W x 3'H</t>
        </is>
      </c>
      <c r="K652" s="8" t="inlineStr">
        <is>
          <t>Your ad will appear at an approved installation facility.</t>
        </is>
      </c>
      <c r="L652" s="11" t="n">
        <v>3</v>
      </c>
      <c r="M652" s="12" t="n"/>
      <c r="N652" s="12" t="n">
        <v>6000</v>
      </c>
      <c r="O652" s="12" t="n">
        <v>12000</v>
      </c>
      <c r="P652" s="12" t="n">
        <v>7000</v>
      </c>
      <c r="Q652" s="12" t="n"/>
      <c r="R652" s="13">
        <f>IF(ISNUMBER(M652),ROUND(M652/(1-Settings!$B$2)/Settings!$B$3,0)*Settings!$B$3,"")</f>
        <v/>
      </c>
      <c r="S652" s="13">
        <f>IF(ISNUMBER(N652),ROUND(N652/(1-Settings!$B$2)/Settings!$B$3,0)*Settings!$B$3,"")</f>
        <v/>
      </c>
      <c r="T652" s="13">
        <f>IF(ISNUMBER(O652),ROUND(O652/(1-Settings!$B$2)/Settings!$B$3,0)*Settings!$B$3,"")</f>
        <v/>
      </c>
      <c r="U652" s="13">
        <f>IF(ISNUMBER(P652),ROUND(P652/(1-Settings!$B$2)/Settings!$B$3,0)*Settings!$B$3,"")</f>
        <v/>
      </c>
      <c r="V652" s="13">
        <f>IF(ISNUMBER(Q652),ROUND(Q652/(1-Settings!$B$2)/Settings!$B$3,0)*Settings!$B$3,"")</f>
        <v/>
      </c>
      <c r="W652" s="14" t="n">
        <v>9157</v>
      </c>
      <c r="X652" s="14" t="n">
        <v>7201</v>
      </c>
      <c r="Y652" s="11" t="inlineStr"/>
      <c r="Z652" s="11" t="inlineStr"/>
      <c r="AA652" s="8" t="inlineStr"/>
      <c r="AB652" s="16" t="inlineStr">
        <is>
          <t>Source formula errors</t>
        </is>
      </c>
      <c r="AC652" s="11" t="inlineStr">
        <is>
          <t>MasterMilitaryOnBaseList 12.2.25 NS.xlsx</t>
        </is>
      </c>
      <c r="AD652" s="11" t="inlineStr">
        <is>
          <t>MCBHI Updated Pricing.docx</t>
        </is>
      </c>
      <c r="AE652" s="15" t="inlineStr">
        <is>
          <t>Open in Box</t>
        </is>
      </c>
      <c r="AF652" s="15" t="inlineStr">
        <is>
          <t>Open in Box</t>
        </is>
      </c>
    </row>
    <row r="653">
      <c r="A653" s="11" t="inlineStr">
        <is>
          <t>HI-MCBHAWAI-007</t>
        </is>
      </c>
      <c r="B653" s="8" t="inlineStr">
        <is>
          <t>MCB Hawaii</t>
        </is>
      </c>
      <c r="C653" s="11" t="inlineStr">
        <is>
          <t>Kaneohe Bay</t>
        </is>
      </c>
      <c r="D653" s="11" t="inlineStr">
        <is>
          <t>HI</t>
        </is>
      </c>
      <c r="E653" s="11" t="inlineStr">
        <is>
          <t>Honolulu</t>
        </is>
      </c>
      <c r="F653" s="11" t="inlineStr">
        <is>
          <t>96861</t>
        </is>
      </c>
      <c r="G653" s="11" t="inlineStr">
        <is>
          <t>Marine Corps</t>
        </is>
      </c>
      <c r="H653" s="11" t="inlineStr">
        <is>
          <t>Standard Media</t>
        </is>
      </c>
      <c r="I653" s="8" t="inlineStr">
        <is>
          <t>Outdoor Framed Banner</t>
        </is>
      </c>
      <c r="J653" s="11" t="inlineStr">
        <is>
          <t>96" x 54"</t>
        </is>
      </c>
      <c r="K653" s="8" t="inlineStr">
        <is>
          <t>Your ad will appear in an approved outdoor area on the installation.</t>
        </is>
      </c>
      <c r="L653" s="11" t="n">
        <v>1</v>
      </c>
      <c r="M653" s="12" t="n">
        <v>2000</v>
      </c>
      <c r="N653" s="12" t="n"/>
      <c r="O653" s="12" t="n"/>
      <c r="P653" s="12" t="n">
        <v>8000</v>
      </c>
      <c r="Q653" s="12" t="n">
        <v>200</v>
      </c>
      <c r="R653" s="13">
        <f>IF(ISNUMBER(M653),ROUND(M653/(1-Settings!$B$2)/Settings!$B$3,0)*Settings!$B$3,"")</f>
        <v/>
      </c>
      <c r="S653" s="13">
        <f>IF(ISNUMBER(N653),ROUND(N653/(1-Settings!$B$2)/Settings!$B$3,0)*Settings!$B$3,"")</f>
        <v/>
      </c>
      <c r="T653" s="13">
        <f>IF(ISNUMBER(O653),ROUND(O653/(1-Settings!$B$2)/Settings!$B$3,0)*Settings!$B$3,"")</f>
        <v/>
      </c>
      <c r="U653" s="13">
        <f>IF(ISNUMBER(P653),ROUND(P653/(1-Settings!$B$2)/Settings!$B$3,0)*Settings!$B$3,"")</f>
        <v/>
      </c>
      <c r="V653" s="13">
        <f>IF(ISNUMBER(Q653),ROUND(Q653/(1-Settings!$B$2)/Settings!$B$3,0)*Settings!$B$3,"")</f>
        <v/>
      </c>
      <c r="W653" s="14" t="n">
        <v>9157</v>
      </c>
      <c r="X653" s="14" t="n">
        <v>7201</v>
      </c>
      <c r="Y653" s="11" t="inlineStr"/>
      <c r="Z653" s="11" t="inlineStr"/>
      <c r="AA653" s="8" t="inlineStr"/>
      <c r="AB653" s="8" t="inlineStr"/>
      <c r="AC653" s="11" t="inlineStr">
        <is>
          <t>MasterMilitaryOnBaseList 12.2.25 NS.xlsx</t>
        </is>
      </c>
      <c r="AD653" s="11" t="inlineStr">
        <is>
          <t>MCBHI Updated Pricing.docx</t>
        </is>
      </c>
      <c r="AE653" s="15" t="inlineStr">
        <is>
          <t>Open in Box</t>
        </is>
      </c>
      <c r="AF653" s="15" t="inlineStr">
        <is>
          <t>Open in Box</t>
        </is>
      </c>
    </row>
    <row r="654">
      <c r="A654" s="11" t="inlineStr">
        <is>
          <t>HI-MCBHAWAI-009</t>
        </is>
      </c>
      <c r="B654" s="8" t="inlineStr">
        <is>
          <t>MCB Hawaii</t>
        </is>
      </c>
      <c r="C654" s="11" t="inlineStr">
        <is>
          <t>Kaneohe Bay</t>
        </is>
      </c>
      <c r="D654" s="11" t="inlineStr">
        <is>
          <t>HI</t>
        </is>
      </c>
      <c r="E654" s="11" t="inlineStr">
        <is>
          <t>Honolulu</t>
        </is>
      </c>
      <c r="F654" s="11" t="inlineStr">
        <is>
          <t>96861</t>
        </is>
      </c>
      <c r="G654" s="11" t="inlineStr">
        <is>
          <t>Marine Corps</t>
        </is>
      </c>
      <c r="H654" s="11" t="inlineStr">
        <is>
          <t>Web &amp; Email</t>
        </is>
      </c>
      <c r="I654" s="8" t="inlineStr">
        <is>
          <t>Facebook Advertising</t>
        </is>
      </c>
      <c r="J654" s="11" t="inlineStr">
        <is>
          <t>TBD</t>
        </is>
      </c>
      <c r="K654" s="8" t="inlineStr">
        <is>
          <t>Your ad will appear on MCCS Hawaii's Facebook page. (3 posts/month)</t>
        </is>
      </c>
      <c r="L654" s="11" t="n">
        <v>6</v>
      </c>
      <c r="M654" s="12" t="n"/>
      <c r="N654" s="12" t="n"/>
      <c r="O654" s="12" t="n">
        <v>600</v>
      </c>
      <c r="P654" s="12" t="n">
        <v>1000</v>
      </c>
      <c r="Q654" s="12" t="n"/>
      <c r="R654" s="13">
        <f>IF(ISNUMBER(M654),ROUND(M654/(1-Settings!$B$2)/Settings!$B$3,0)*Settings!$B$3,"")</f>
        <v/>
      </c>
      <c r="S654" s="13">
        <f>IF(ISNUMBER(N654),ROUND(N654/(1-Settings!$B$2)/Settings!$B$3,0)*Settings!$B$3,"")</f>
        <v/>
      </c>
      <c r="T654" s="13">
        <f>IF(ISNUMBER(O654),ROUND(O654/(1-Settings!$B$2)/Settings!$B$3,0)*Settings!$B$3,"")</f>
        <v/>
      </c>
      <c r="U654" s="13">
        <f>IF(ISNUMBER(P654),ROUND(P654/(1-Settings!$B$2)/Settings!$B$3,0)*Settings!$B$3,"")</f>
        <v/>
      </c>
      <c r="V654" s="13">
        <f>IF(ISNUMBER(Q654),ROUND(Q654/(1-Settings!$B$2)/Settings!$B$3,0)*Settings!$B$3,"")</f>
        <v/>
      </c>
      <c r="W654" s="14" t="n">
        <v>9157</v>
      </c>
      <c r="X654" s="14" t="n">
        <v>7201</v>
      </c>
      <c r="Y654" s="11" t="inlineStr"/>
      <c r="Z654" s="11" t="inlineStr"/>
      <c r="AA654" s="8" t="inlineStr"/>
      <c r="AB654" s="8" t="inlineStr"/>
      <c r="AC654" s="11" t="inlineStr">
        <is>
          <t>MasterMilitaryOnBaseList 12.2.25 NS.xlsx</t>
        </is>
      </c>
      <c r="AD654" s="11" t="inlineStr">
        <is>
          <t>MCBHI Updated Pricing.docx</t>
        </is>
      </c>
      <c r="AE654" s="15" t="inlineStr">
        <is>
          <t>Open in Box</t>
        </is>
      </c>
      <c r="AF654" s="15" t="inlineStr">
        <is>
          <t>Open in Box</t>
        </is>
      </c>
    </row>
    <row r="655">
      <c r="A655" s="11" t="inlineStr">
        <is>
          <t>HI-PACIFICM-001</t>
        </is>
      </c>
      <c r="B655" s="8" t="inlineStr">
        <is>
          <t>Pacific Missile Range Facilty (Barking Sands)</t>
        </is>
      </c>
      <c r="C655" s="11" t="inlineStr"/>
      <c r="D655" s="11" t="inlineStr">
        <is>
          <t>HI</t>
        </is>
      </c>
      <c r="E655" s="11" t="inlineStr">
        <is>
          <t>Honolulu</t>
        </is>
      </c>
      <c r="F655" s="11" t="inlineStr">
        <is>
          <t>96725</t>
        </is>
      </c>
      <c r="G655" s="11" t="inlineStr">
        <is>
          <t>Navy</t>
        </is>
      </c>
      <c r="H655" s="11" t="inlineStr">
        <is>
          <t>Digital</t>
        </is>
      </c>
      <c r="I655" s="8" t="inlineStr">
        <is>
          <t>Digital Kiosk Network</t>
        </is>
      </c>
      <c r="J655" s="11" t="inlineStr">
        <is>
          <t>1080pxW x 1920pxH</t>
        </is>
      </c>
      <c r="K655" s="8" t="inlineStr">
        <is>
          <t>Your ad will appear on 5 digital kiosks in approved installation facilities.</t>
        </is>
      </c>
      <c r="L655" s="11" t="n">
        <v>1</v>
      </c>
      <c r="M655" s="12" t="n">
        <v>400</v>
      </c>
      <c r="N655" s="12" t="n">
        <v>1200</v>
      </c>
      <c r="O655" s="12" t="n">
        <v>2400</v>
      </c>
      <c r="P655" s="12" t="n">
        <v>4800</v>
      </c>
      <c r="Q655" s="12" t="n">
        <v>0</v>
      </c>
      <c r="R655" s="13">
        <f>IF(ISNUMBER(M655),ROUND(M655/(1-Settings!$B$2)/Settings!$B$3,0)*Settings!$B$3,"")</f>
        <v/>
      </c>
      <c r="S655" s="13">
        <f>IF(ISNUMBER(N655),ROUND(N655/(1-Settings!$B$2)/Settings!$B$3,0)*Settings!$B$3,"")</f>
        <v/>
      </c>
      <c r="T655" s="13">
        <f>IF(ISNUMBER(O655),ROUND(O655/(1-Settings!$B$2)/Settings!$B$3,0)*Settings!$B$3,"")</f>
        <v/>
      </c>
      <c r="U655" s="13">
        <f>IF(ISNUMBER(P655),ROUND(P655/(1-Settings!$B$2)/Settings!$B$3,0)*Settings!$B$3,"")</f>
        <v/>
      </c>
      <c r="V655" s="13">
        <f>IF(ISNUMBER(Q655),ROUND(Q655/(1-Settings!$B$2)/Settings!$B$3,0)*Settings!$B$3,"")</f>
        <v/>
      </c>
      <c r="W655" s="14" t="n"/>
      <c r="X655" s="14" t="n"/>
      <c r="Y655" s="11" t="inlineStr"/>
      <c r="Z655" s="11" t="inlineStr"/>
      <c r="AA655" s="8" t="inlineStr">
        <is>
          <t>Inventory master 6/2026 lists Digital Monitor Network at $500 (1 mo)</t>
        </is>
      </c>
      <c r="AB655" s="8" t="inlineStr"/>
      <c r="AC655" s="11" t="inlineStr">
        <is>
          <t>MasterMilitaryOnBaseList 12.2.25 NS.xlsx</t>
        </is>
      </c>
      <c r="AD655" s="11" t="inlineStr"/>
      <c r="AE655" s="11" t="inlineStr"/>
      <c r="AF655" s="11" t="inlineStr"/>
    </row>
    <row r="656">
      <c r="A656" s="11" t="inlineStr">
        <is>
          <t>HI-PEARLHAR-001</t>
        </is>
      </c>
      <c r="B656" s="8" t="inlineStr">
        <is>
          <t>Pearl Harbor NS</t>
        </is>
      </c>
      <c r="C656" s="11" t="inlineStr">
        <is>
          <t>JB Pearl Harbor-Hickam</t>
        </is>
      </c>
      <c r="D656" s="11" t="inlineStr">
        <is>
          <t>HI</t>
        </is>
      </c>
      <c r="E656" s="11" t="inlineStr">
        <is>
          <t>Honolulu</t>
        </is>
      </c>
      <c r="F656" s="11" t="inlineStr">
        <is>
          <t>96860</t>
        </is>
      </c>
      <c r="G656" s="11" t="inlineStr">
        <is>
          <t>Navy</t>
        </is>
      </c>
      <c r="H656" s="11" t="inlineStr">
        <is>
          <t>Digital</t>
        </is>
      </c>
      <c r="I656" s="8" t="inlineStr">
        <is>
          <t>Digital Kiosk Network</t>
        </is>
      </c>
      <c r="J656" s="11" t="inlineStr">
        <is>
          <t>TBD</t>
        </is>
      </c>
      <c r="K656" s="8" t="inlineStr">
        <is>
          <t>Your ad will appear on 22 approved digital kiosks on the installation.</t>
        </is>
      </c>
      <c r="L656" s="11" t="n">
        <v>1</v>
      </c>
      <c r="M656" s="12" t="n">
        <v>1200</v>
      </c>
      <c r="N656" s="12" t="n">
        <v>3600</v>
      </c>
      <c r="O656" s="12" t="n">
        <v>7200</v>
      </c>
      <c r="P656" s="12" t="n">
        <v>14400</v>
      </c>
      <c r="Q656" s="12" t="n">
        <v>0</v>
      </c>
      <c r="R656" s="13">
        <f>IF(ISNUMBER(M656),ROUND(M656/(1-Settings!$B$2)/Settings!$B$3,0)*Settings!$B$3,"")</f>
        <v/>
      </c>
      <c r="S656" s="13">
        <f>IF(ISNUMBER(N656),ROUND(N656/(1-Settings!$B$2)/Settings!$B$3,0)*Settings!$B$3,"")</f>
        <v/>
      </c>
      <c r="T656" s="13">
        <f>IF(ISNUMBER(O656),ROUND(O656/(1-Settings!$B$2)/Settings!$B$3,0)*Settings!$B$3,"")</f>
        <v/>
      </c>
      <c r="U656" s="13">
        <f>IF(ISNUMBER(P656),ROUND(P656/(1-Settings!$B$2)/Settings!$B$3,0)*Settings!$B$3,"")</f>
        <v/>
      </c>
      <c r="V656" s="13">
        <f>IF(ISNUMBER(Q656),ROUND(Q656/(1-Settings!$B$2)/Settings!$B$3,0)*Settings!$B$3,"")</f>
        <v/>
      </c>
      <c r="W656" s="14" t="n">
        <v>5561</v>
      </c>
      <c r="X656" s="14" t="n">
        <v>7473</v>
      </c>
      <c r="Y656" s="11" t="inlineStr"/>
      <c r="Z656" s="11" t="inlineStr"/>
      <c r="AA656" s="8" t="inlineStr"/>
      <c r="AB656" s="8" t="inlineStr"/>
      <c r="AC656" s="11" t="inlineStr">
        <is>
          <t>MasterMilitaryOnBaseList 12.2.25 NS.xlsx</t>
        </is>
      </c>
      <c r="AD656" s="11" t="inlineStr">
        <is>
          <t>JBPHH Advertising Opportunities_2025_08.pdf</t>
        </is>
      </c>
      <c r="AE656" s="15" t="inlineStr">
        <is>
          <t>Open in Box</t>
        </is>
      </c>
      <c r="AF656" s="15" t="inlineStr">
        <is>
          <t>Open in Box</t>
        </is>
      </c>
    </row>
    <row r="657">
      <c r="A657" s="11" t="inlineStr">
        <is>
          <t>HI-PEARLHAR-002</t>
        </is>
      </c>
      <c r="B657" s="8" t="inlineStr">
        <is>
          <t>Pearl Harbor NS</t>
        </is>
      </c>
      <c r="C657" s="11" t="inlineStr">
        <is>
          <t>JB Pearl Harbor-Hickam</t>
        </is>
      </c>
      <c r="D657" s="11" t="inlineStr">
        <is>
          <t>HI</t>
        </is>
      </c>
      <c r="E657" s="11" t="inlineStr">
        <is>
          <t>Honolulu</t>
        </is>
      </c>
      <c r="F657" s="11" t="inlineStr">
        <is>
          <t>96860</t>
        </is>
      </c>
      <c r="G657" s="11" t="inlineStr">
        <is>
          <t>Navy</t>
        </is>
      </c>
      <c r="H657" s="11" t="inlineStr">
        <is>
          <t>Digital</t>
        </is>
      </c>
      <c r="I657" s="8" t="inlineStr">
        <is>
          <t>Digital Kiosk Network</t>
        </is>
      </c>
      <c r="J657" s="11" t="inlineStr">
        <is>
          <t>1080pxW x 1920pxH</t>
        </is>
      </c>
      <c r="K657" s="8" t="inlineStr">
        <is>
          <t>Your ad will appear on 5 digital kiosks in approved installation facilities.</t>
        </is>
      </c>
      <c r="L657" s="11" t="n">
        <v>1</v>
      </c>
      <c r="M657" s="12" t="n">
        <v>400</v>
      </c>
      <c r="N657" s="12" t="n">
        <v>1200</v>
      </c>
      <c r="O657" s="12" t="n">
        <v>2400</v>
      </c>
      <c r="P657" s="12" t="n">
        <v>4800</v>
      </c>
      <c r="Q657" s="12" t="n">
        <v>0</v>
      </c>
      <c r="R657" s="13">
        <f>IF(ISNUMBER(M657),ROUND(M657/(1-Settings!$B$2)/Settings!$B$3,0)*Settings!$B$3,"")</f>
        <v/>
      </c>
      <c r="S657" s="13">
        <f>IF(ISNUMBER(N657),ROUND(N657/(1-Settings!$B$2)/Settings!$B$3,0)*Settings!$B$3,"")</f>
        <v/>
      </c>
      <c r="T657" s="13">
        <f>IF(ISNUMBER(O657),ROUND(O657/(1-Settings!$B$2)/Settings!$B$3,0)*Settings!$B$3,"")</f>
        <v/>
      </c>
      <c r="U657" s="13">
        <f>IF(ISNUMBER(P657),ROUND(P657/(1-Settings!$B$2)/Settings!$B$3,0)*Settings!$B$3,"")</f>
        <v/>
      </c>
      <c r="V657" s="13">
        <f>IF(ISNUMBER(Q657),ROUND(Q657/(1-Settings!$B$2)/Settings!$B$3,0)*Settings!$B$3,"")</f>
        <v/>
      </c>
      <c r="W657" s="14" t="n">
        <v>5561</v>
      </c>
      <c r="X657" s="14" t="n">
        <v>7473</v>
      </c>
      <c r="Y657" s="11" t="inlineStr"/>
      <c r="Z657" s="11" t="inlineStr"/>
      <c r="AA657" s="8" t="inlineStr"/>
      <c r="AB657" s="8" t="inlineStr"/>
      <c r="AC657" s="11" t="inlineStr">
        <is>
          <t>MasterMilitaryOnBaseList 12.2.25 NS.xlsx</t>
        </is>
      </c>
      <c r="AD657" s="11" t="inlineStr">
        <is>
          <t>JBPHH Advertising Opportunities_2025_08.pdf</t>
        </is>
      </c>
      <c r="AE657" s="15" t="inlineStr">
        <is>
          <t>Open in Box</t>
        </is>
      </c>
      <c r="AF657" s="15" t="inlineStr">
        <is>
          <t>Open in Box</t>
        </is>
      </c>
    </row>
    <row r="658">
      <c r="A658" s="11" t="inlineStr">
        <is>
          <t>HI-PEARLHAR-003</t>
        </is>
      </c>
      <c r="B658" s="8" t="inlineStr">
        <is>
          <t>Pearl Harbor NS</t>
        </is>
      </c>
      <c r="C658" s="11" t="inlineStr">
        <is>
          <t>JB Pearl Harbor-Hickam</t>
        </is>
      </c>
      <c r="D658" s="11" t="inlineStr">
        <is>
          <t>HI</t>
        </is>
      </c>
      <c r="E658" s="11" t="inlineStr">
        <is>
          <t>Honolulu</t>
        </is>
      </c>
      <c r="F658" s="11" t="inlineStr">
        <is>
          <t>96860</t>
        </is>
      </c>
      <c r="G658" s="11" t="inlineStr">
        <is>
          <t>Navy</t>
        </is>
      </c>
      <c r="H658" s="11" t="inlineStr">
        <is>
          <t>Digital</t>
        </is>
      </c>
      <c r="I658" s="8" t="inlineStr">
        <is>
          <t>Movie Theater Ad</t>
        </is>
      </c>
      <c r="J658" s="11" t="inlineStr">
        <is>
          <t>TBD</t>
        </is>
      </c>
      <c r="K658" s="8" t="inlineStr">
        <is>
          <t>Your ad will appear on the Shakey Theater movie screen on the installation.</t>
        </is>
      </c>
      <c r="L658" s="11" t="n">
        <v>1</v>
      </c>
      <c r="M658" s="12" t="n">
        <v>1000</v>
      </c>
      <c r="N658" s="12" t="n">
        <v>3000</v>
      </c>
      <c r="O658" s="12" t="n">
        <v>6000</v>
      </c>
      <c r="P658" s="12" t="n">
        <v>12000</v>
      </c>
      <c r="Q658" s="12" t="n">
        <v>0</v>
      </c>
      <c r="R658" s="13">
        <f>IF(ISNUMBER(M658),ROUND(M658/(1-Settings!$B$2)/Settings!$B$3,0)*Settings!$B$3,"")</f>
        <v/>
      </c>
      <c r="S658" s="13">
        <f>IF(ISNUMBER(N658),ROUND(N658/(1-Settings!$B$2)/Settings!$B$3,0)*Settings!$B$3,"")</f>
        <v/>
      </c>
      <c r="T658" s="13">
        <f>IF(ISNUMBER(O658),ROUND(O658/(1-Settings!$B$2)/Settings!$B$3,0)*Settings!$B$3,"")</f>
        <v/>
      </c>
      <c r="U658" s="13">
        <f>IF(ISNUMBER(P658),ROUND(P658/(1-Settings!$B$2)/Settings!$B$3,0)*Settings!$B$3,"")</f>
        <v/>
      </c>
      <c r="V658" s="13">
        <f>IF(ISNUMBER(Q658),ROUND(Q658/(1-Settings!$B$2)/Settings!$B$3,0)*Settings!$B$3,"")</f>
        <v/>
      </c>
      <c r="W658" s="14" t="n">
        <v>5561</v>
      </c>
      <c r="X658" s="14" t="n">
        <v>7473</v>
      </c>
      <c r="Y658" s="11" t="inlineStr"/>
      <c r="Z658" s="11" t="inlineStr"/>
      <c r="AA658" s="8" t="inlineStr"/>
      <c r="AB658" s="8" t="inlineStr"/>
      <c r="AC658" s="11" t="inlineStr">
        <is>
          <t>MasterMilitaryOnBaseList 12.2.25 NS.xlsx</t>
        </is>
      </c>
      <c r="AD658" s="11" t="inlineStr">
        <is>
          <t>JBPHH Advertising Opportunities_2025_08.pdf</t>
        </is>
      </c>
      <c r="AE658" s="15" t="inlineStr">
        <is>
          <t>Open in Box</t>
        </is>
      </c>
      <c r="AF658" s="15" t="inlineStr">
        <is>
          <t>Open in Box</t>
        </is>
      </c>
    </row>
    <row r="659">
      <c r="A659" s="11" t="inlineStr">
        <is>
          <t>HI-PEARLHAR-005</t>
        </is>
      </c>
      <c r="B659" s="8" t="inlineStr">
        <is>
          <t>Pearl Harbor NS</t>
        </is>
      </c>
      <c r="C659" s="11" t="inlineStr">
        <is>
          <t>JB Pearl Harbor-Hickam</t>
        </is>
      </c>
      <c r="D659" s="11" t="inlineStr">
        <is>
          <t>HI</t>
        </is>
      </c>
      <c r="E659" s="11" t="inlineStr">
        <is>
          <t>Honolulu</t>
        </is>
      </c>
      <c r="F659" s="11" t="inlineStr">
        <is>
          <t>96860</t>
        </is>
      </c>
      <c r="G659" s="11" t="inlineStr">
        <is>
          <t>Navy</t>
        </is>
      </c>
      <c r="H659" s="11" t="inlineStr">
        <is>
          <t>Large Format</t>
        </is>
      </c>
      <c r="I659" s="8" t="inlineStr">
        <is>
          <t>XL Banner</t>
        </is>
      </c>
      <c r="J659" s="11" t="inlineStr">
        <is>
          <t>10'x10'</t>
        </is>
      </c>
      <c r="K659" s="8" t="inlineStr">
        <is>
          <t>Your ad will appear in an approved location on the installation.</t>
        </is>
      </c>
      <c r="L659" s="11" t="n">
        <v>1</v>
      </c>
      <c r="M659" s="12" t="n">
        <v>1200</v>
      </c>
      <c r="N659" s="12" t="n">
        <v>3600</v>
      </c>
      <c r="O659" s="12" t="n">
        <v>7200</v>
      </c>
      <c r="P659" s="12" t="n">
        <v>14400</v>
      </c>
      <c r="Q659" s="12" t="n">
        <v>200</v>
      </c>
      <c r="R659" s="13">
        <f>IF(ISNUMBER(M659),ROUND(M659/(1-Settings!$B$2)/Settings!$B$3,0)*Settings!$B$3,"")</f>
        <v/>
      </c>
      <c r="S659" s="13">
        <f>IF(ISNUMBER(N659),ROUND(N659/(1-Settings!$B$2)/Settings!$B$3,0)*Settings!$B$3,"")</f>
        <v/>
      </c>
      <c r="T659" s="13">
        <f>IF(ISNUMBER(O659),ROUND(O659/(1-Settings!$B$2)/Settings!$B$3,0)*Settings!$B$3,"")</f>
        <v/>
      </c>
      <c r="U659" s="13">
        <f>IF(ISNUMBER(P659),ROUND(P659/(1-Settings!$B$2)/Settings!$B$3,0)*Settings!$B$3,"")</f>
        <v/>
      </c>
      <c r="V659" s="13">
        <f>IF(ISNUMBER(Q659),ROUND(Q659/(1-Settings!$B$2)/Settings!$B$3,0)*Settings!$B$3,"")</f>
        <v/>
      </c>
      <c r="W659" s="14" t="n">
        <v>5561</v>
      </c>
      <c r="X659" s="14" t="n">
        <v>7473</v>
      </c>
      <c r="Y659" s="11" t="inlineStr"/>
      <c r="Z659" s="11" t="inlineStr"/>
      <c r="AA659" s="8" t="inlineStr"/>
      <c r="AB659" s="8" t="inlineStr"/>
      <c r="AC659" s="11" t="inlineStr">
        <is>
          <t>MasterMilitaryOnBaseList 12.2.25 NS.xlsx</t>
        </is>
      </c>
      <c r="AD659" s="11" t="inlineStr">
        <is>
          <t>JBPHH Advertising Opportunities_2025_08.pdf</t>
        </is>
      </c>
      <c r="AE659" s="15" t="inlineStr">
        <is>
          <t>Open in Box</t>
        </is>
      </c>
      <c r="AF659" s="15" t="inlineStr">
        <is>
          <t>Open in Box</t>
        </is>
      </c>
    </row>
    <row r="660">
      <c r="A660" s="11" t="inlineStr">
        <is>
          <t>HI-PEARLHAR-006</t>
        </is>
      </c>
      <c r="B660" s="8" t="inlineStr">
        <is>
          <t>Pearl Harbor NS</t>
        </is>
      </c>
      <c r="C660" s="11" t="inlineStr">
        <is>
          <t>JB Pearl Harbor-Hickam</t>
        </is>
      </c>
      <c r="D660" s="11" t="inlineStr">
        <is>
          <t>HI</t>
        </is>
      </c>
      <c r="E660" s="11" t="inlineStr">
        <is>
          <t>Honolulu</t>
        </is>
      </c>
      <c r="F660" s="11" t="inlineStr">
        <is>
          <t>96860</t>
        </is>
      </c>
      <c r="G660" s="11" t="inlineStr">
        <is>
          <t>Navy</t>
        </is>
      </c>
      <c r="H660" s="11" t="inlineStr">
        <is>
          <t>Sponsorship &amp; Other</t>
        </is>
      </c>
      <c r="I660" s="8" t="inlineStr">
        <is>
          <t>E-Blast Ad</t>
        </is>
      </c>
      <c r="J660" s="11" t="inlineStr">
        <is>
          <t>TBD</t>
        </is>
      </c>
      <c r="K660" s="8" t="inlineStr">
        <is>
          <t>Your ad will appear in the Bi-Monthly E-Blast (25,000 opt-in weekly)</t>
        </is>
      </c>
      <c r="L660" s="11" t="n">
        <v>1</v>
      </c>
      <c r="M660" s="12" t="n">
        <v>500</v>
      </c>
      <c r="N660" s="12" t="n">
        <v>1500</v>
      </c>
      <c r="O660" s="12" t="n">
        <v>3000</v>
      </c>
      <c r="P660" s="12" t="n">
        <v>6000</v>
      </c>
      <c r="Q660" s="12" t="n">
        <v>0</v>
      </c>
      <c r="R660" s="13">
        <f>IF(ISNUMBER(M660),ROUND(M660/(1-Settings!$B$2)/Settings!$B$3,0)*Settings!$B$3,"")</f>
        <v/>
      </c>
      <c r="S660" s="13">
        <f>IF(ISNUMBER(N660),ROUND(N660/(1-Settings!$B$2)/Settings!$B$3,0)*Settings!$B$3,"")</f>
        <v/>
      </c>
      <c r="T660" s="13">
        <f>IF(ISNUMBER(O660),ROUND(O660/(1-Settings!$B$2)/Settings!$B$3,0)*Settings!$B$3,"")</f>
        <v/>
      </c>
      <c r="U660" s="13">
        <f>IF(ISNUMBER(P660),ROUND(P660/(1-Settings!$B$2)/Settings!$B$3,0)*Settings!$B$3,"")</f>
        <v/>
      </c>
      <c r="V660" s="13">
        <f>IF(ISNUMBER(Q660),ROUND(Q660/(1-Settings!$B$2)/Settings!$B$3,0)*Settings!$B$3,"")</f>
        <v/>
      </c>
      <c r="W660" s="14" t="n">
        <v>5561</v>
      </c>
      <c r="X660" s="14" t="n">
        <v>7473</v>
      </c>
      <c r="Y660" s="11" t="inlineStr"/>
      <c r="Z660" s="11" t="inlineStr"/>
      <c r="AA660" s="8" t="inlineStr"/>
      <c r="AB660" s="8" t="inlineStr"/>
      <c r="AC660" s="11" t="inlineStr">
        <is>
          <t>MasterMilitaryOnBaseList 12.2.25 NS.xlsx</t>
        </is>
      </c>
      <c r="AD660" s="11" t="inlineStr">
        <is>
          <t>JBPHH Advertising Opportunities_2025_08.pdf</t>
        </is>
      </c>
      <c r="AE660" s="15" t="inlineStr">
        <is>
          <t>Open in Box</t>
        </is>
      </c>
      <c r="AF660" s="15" t="inlineStr">
        <is>
          <t>Open in Box</t>
        </is>
      </c>
    </row>
    <row r="661">
      <c r="A661" s="11" t="inlineStr">
        <is>
          <t>HI-PEARLHAR-004</t>
        </is>
      </c>
      <c r="B661" s="8" t="inlineStr">
        <is>
          <t>Pearl Harbor NS</t>
        </is>
      </c>
      <c r="C661" s="11" t="inlineStr">
        <is>
          <t>JB Pearl Harbor-Hickam</t>
        </is>
      </c>
      <c r="D661" s="11" t="inlineStr">
        <is>
          <t>HI</t>
        </is>
      </c>
      <c r="E661" s="11" t="inlineStr">
        <is>
          <t>Honolulu</t>
        </is>
      </c>
      <c r="F661" s="11" t="inlineStr">
        <is>
          <t>96860</t>
        </is>
      </c>
      <c r="G661" s="11" t="inlineStr">
        <is>
          <t>Navy</t>
        </is>
      </c>
      <c r="H661" s="11" t="inlineStr">
        <is>
          <t>Standard Media</t>
        </is>
      </c>
      <c r="I661" s="8" t="inlineStr">
        <is>
          <t>Banner</t>
        </is>
      </c>
      <c r="J661" s="11" t="inlineStr">
        <is>
          <t>TBD</t>
        </is>
      </c>
      <c r="K661" s="8" t="inlineStr">
        <is>
          <t>Your ad will appear in the Pearl Harbor Fitness Center on the installation.</t>
        </is>
      </c>
      <c r="L661" s="11" t="n">
        <v>1</v>
      </c>
      <c r="M661" s="12" t="n">
        <v>1200</v>
      </c>
      <c r="N661" s="12" t="n">
        <v>3600</v>
      </c>
      <c r="O661" s="12" t="n">
        <v>7200</v>
      </c>
      <c r="P661" s="12" t="n">
        <v>14400</v>
      </c>
      <c r="Q661" s="12" t="n">
        <v>200</v>
      </c>
      <c r="R661" s="13">
        <f>IF(ISNUMBER(M661),ROUND(M661/(1-Settings!$B$2)/Settings!$B$3,0)*Settings!$B$3,"")</f>
        <v/>
      </c>
      <c r="S661" s="13">
        <f>IF(ISNUMBER(N661),ROUND(N661/(1-Settings!$B$2)/Settings!$B$3,0)*Settings!$B$3,"")</f>
        <v/>
      </c>
      <c r="T661" s="13">
        <f>IF(ISNUMBER(O661),ROUND(O661/(1-Settings!$B$2)/Settings!$B$3,0)*Settings!$B$3,"")</f>
        <v/>
      </c>
      <c r="U661" s="13">
        <f>IF(ISNUMBER(P661),ROUND(P661/(1-Settings!$B$2)/Settings!$B$3,0)*Settings!$B$3,"")</f>
        <v/>
      </c>
      <c r="V661" s="13">
        <f>IF(ISNUMBER(Q661),ROUND(Q661/(1-Settings!$B$2)/Settings!$B$3,0)*Settings!$B$3,"")</f>
        <v/>
      </c>
      <c r="W661" s="14" t="n">
        <v>5561</v>
      </c>
      <c r="X661" s="14" t="n">
        <v>7473</v>
      </c>
      <c r="Y661" s="11" t="inlineStr"/>
      <c r="Z661" s="11" t="inlineStr"/>
      <c r="AA661" s="8" t="inlineStr"/>
      <c r="AB661" s="8" t="inlineStr"/>
      <c r="AC661" s="11" t="inlineStr">
        <is>
          <t>MasterMilitaryOnBaseList 12.2.25 NS.xlsx</t>
        </is>
      </c>
      <c r="AD661" s="11" t="inlineStr">
        <is>
          <t>JBPHH Advertising Opportunities_2025_08.pdf</t>
        </is>
      </c>
      <c r="AE661" s="15" t="inlineStr">
        <is>
          <t>Open in Box</t>
        </is>
      </c>
      <c r="AF661" s="15" t="inlineStr">
        <is>
          <t>Open in Box</t>
        </is>
      </c>
    </row>
    <row r="662">
      <c r="A662" s="11" t="inlineStr">
        <is>
          <t>HI-PEARLHAR-007</t>
        </is>
      </c>
      <c r="B662" s="8" t="inlineStr">
        <is>
          <t>Pearl Harbor NS</t>
        </is>
      </c>
      <c r="C662" s="11" t="inlineStr"/>
      <c r="D662" s="11" t="inlineStr">
        <is>
          <t>HI</t>
        </is>
      </c>
      <c r="E662" s="11" t="inlineStr">
        <is>
          <t>Honolulu</t>
        </is>
      </c>
      <c r="F662" s="11" t="inlineStr"/>
      <c r="G662" s="11" t="inlineStr">
        <is>
          <t>Navy</t>
        </is>
      </c>
      <c r="H662" s="11" t="inlineStr">
        <is>
          <t>Web &amp; Email</t>
        </is>
      </c>
      <c r="I662" s="8" t="inlineStr">
        <is>
          <t>Monthly E-Newsletter Ad</t>
        </is>
      </c>
      <c r="J662" s="11" t="inlineStr"/>
      <c r="K662" s="8" t="inlineStr">
        <is>
          <t>Your ad will appear in the monthly e-newsletter emailed to the installation community.</t>
        </is>
      </c>
      <c r="L662" s="11" t="n">
        <v>1</v>
      </c>
      <c r="M662" s="12" t="n">
        <v>500</v>
      </c>
      <c r="N662" s="12" t="n"/>
      <c r="O662" s="12" t="n"/>
      <c r="P662" s="12" t="n"/>
      <c r="Q662" s="12" t="n"/>
      <c r="R662" s="13">
        <f>IF(ISNUMBER(M662),ROUND(M662/(1-Settings!$B$2)/Settings!$B$3,0)*Settings!$B$3,"")</f>
        <v/>
      </c>
      <c r="S662" s="13">
        <f>IF(ISNUMBER(N662),ROUND(N662/(1-Settings!$B$2)/Settings!$B$3,0)*Settings!$B$3,"")</f>
        <v/>
      </c>
      <c r="T662" s="13">
        <f>IF(ISNUMBER(O662),ROUND(O662/(1-Settings!$B$2)/Settings!$B$3,0)*Settings!$B$3,"")</f>
        <v/>
      </c>
      <c r="U662" s="13">
        <f>IF(ISNUMBER(P662),ROUND(P662/(1-Settings!$B$2)/Settings!$B$3,0)*Settings!$B$3,"")</f>
        <v/>
      </c>
      <c r="V662" s="13">
        <f>IF(ISNUMBER(Q662),ROUND(Q662/(1-Settings!$B$2)/Settings!$B$3,0)*Settings!$B$3,"")</f>
        <v/>
      </c>
      <c r="W662" s="14" t="n">
        <v>5561</v>
      </c>
      <c r="X662" s="14" t="n">
        <v>7473</v>
      </c>
      <c r="Y662" s="11" t="inlineStr">
        <is>
          <t>2026</t>
        </is>
      </c>
      <c r="Z662" s="11" t="inlineStr">
        <is>
          <t>2026-06</t>
        </is>
      </c>
      <c r="AA662" s="8" t="inlineStr"/>
      <c r="AB662" s="8" t="inlineStr"/>
      <c r="AC662" s="11" t="inlineStr">
        <is>
          <t>Military - National Publication Inventory Master_June 2026.xlsx</t>
        </is>
      </c>
      <c r="AD662" s="11" t="inlineStr">
        <is>
          <t>JBPHH Advertising Opportunities_2025_08.pdf</t>
        </is>
      </c>
      <c r="AE662" s="15" t="inlineStr">
        <is>
          <t>Open in Box</t>
        </is>
      </c>
      <c r="AF662" s="15" t="inlineStr">
        <is>
          <t>Open in Box</t>
        </is>
      </c>
    </row>
    <row r="663">
      <c r="A663" s="11" t="inlineStr">
        <is>
          <t>HI-USAGHAWA-001</t>
        </is>
      </c>
      <c r="B663" s="8" t="inlineStr">
        <is>
          <t>USAG Hawaii</t>
        </is>
      </c>
      <c r="C663" s="11" t="inlineStr">
        <is>
          <t>Schofield Barracks / Fort Shafter / Wheeler AAF</t>
        </is>
      </c>
      <c r="D663" s="11" t="inlineStr">
        <is>
          <t>HI</t>
        </is>
      </c>
      <c r="E663" s="11" t="inlineStr">
        <is>
          <t>Honolulu</t>
        </is>
      </c>
      <c r="F663" s="11" t="inlineStr">
        <is>
          <t>96815</t>
        </is>
      </c>
      <c r="G663" s="11" t="inlineStr">
        <is>
          <t>Army</t>
        </is>
      </c>
      <c r="H663" s="11" t="inlineStr">
        <is>
          <t>Digital</t>
        </is>
      </c>
      <c r="I663" s="8" t="inlineStr">
        <is>
          <t>Digital Monitors - Bowling Center</t>
        </is>
      </c>
      <c r="J663" s="11" t="inlineStr"/>
      <c r="K663" s="8" t="inlineStr">
        <is>
          <t>Your ad will appear on 42 digital kiosks in approved installation facilities.</t>
        </is>
      </c>
      <c r="L663" s="11" t="n">
        <v>1</v>
      </c>
      <c r="M663" s="12" t="n">
        <v>800</v>
      </c>
      <c r="N663" s="12" t="n">
        <v>3200</v>
      </c>
      <c r="O663" s="12" t="n">
        <v>4320</v>
      </c>
      <c r="P663" s="12" t="n">
        <v>8160</v>
      </c>
      <c r="Q663" s="12" t="n"/>
      <c r="R663" s="13">
        <f>IF(ISNUMBER(M663),ROUND(M663/(1-Settings!$B$2)/Settings!$B$3,0)*Settings!$B$3,"")</f>
        <v/>
      </c>
      <c r="S663" s="13">
        <f>IF(ISNUMBER(N663),ROUND(N663/(1-Settings!$B$2)/Settings!$B$3,0)*Settings!$B$3,"")</f>
        <v/>
      </c>
      <c r="T663" s="13">
        <f>IF(ISNUMBER(O663),ROUND(O663/(1-Settings!$B$2)/Settings!$B$3,0)*Settings!$B$3,"")</f>
        <v/>
      </c>
      <c r="U663" s="13">
        <f>IF(ISNUMBER(P663),ROUND(P663/(1-Settings!$B$2)/Settings!$B$3,0)*Settings!$B$3,"")</f>
        <v/>
      </c>
      <c r="V663" s="13">
        <f>IF(ISNUMBER(Q663),ROUND(Q663/(1-Settings!$B$2)/Settings!$B$3,0)*Settings!$B$3,"")</f>
        <v/>
      </c>
      <c r="W663" s="14" t="n">
        <v>15057</v>
      </c>
      <c r="X663" s="14" t="n">
        <v>18965</v>
      </c>
      <c r="Y663" s="11" t="inlineStr"/>
      <c r="Z663" s="11" t="inlineStr"/>
      <c r="AA663" s="8" t="inlineStr">
        <is>
          <t>Inventory master 6/2026 lists Digital Monitor Network at $3,000 (1 mo); Inventory master 6/2026 lists Digital Marquee at $1,200 (1 mo); Inventory master 6/2026 lists Digital Monitor Network at $1,220 (1 mo)</t>
        </is>
      </c>
      <c r="AB663" s="8" t="inlineStr"/>
      <c r="AC663" s="11" t="inlineStr">
        <is>
          <t>MasterMilitaryOnBaseList 12.2.25 NS.xlsx</t>
        </is>
      </c>
      <c r="AD663" s="11" t="inlineStr">
        <is>
          <t>MCBHI Updated Pricing.docx</t>
        </is>
      </c>
      <c r="AE663" s="15" t="inlineStr">
        <is>
          <t>Open in Box</t>
        </is>
      </c>
      <c r="AF663" s="15" t="inlineStr">
        <is>
          <t>Open in Box</t>
        </is>
      </c>
    </row>
    <row r="664">
      <c r="A664" s="11" t="inlineStr">
        <is>
          <t>HI-USAGHAWA-002</t>
        </is>
      </c>
      <c r="B664" s="8" t="inlineStr">
        <is>
          <t>USAG Hawaii</t>
        </is>
      </c>
      <c r="C664" s="11" t="inlineStr">
        <is>
          <t>Schofield Barracks / Fort Shafter / Wheeler AAF</t>
        </is>
      </c>
      <c r="D664" s="11" t="inlineStr">
        <is>
          <t>HI</t>
        </is>
      </c>
      <c r="E664" s="11" t="inlineStr">
        <is>
          <t>Honolulu</t>
        </is>
      </c>
      <c r="F664" s="11" t="inlineStr">
        <is>
          <t>96815</t>
        </is>
      </c>
      <c r="G664" s="11" t="inlineStr">
        <is>
          <t>Army</t>
        </is>
      </c>
      <c r="H664" s="11" t="inlineStr">
        <is>
          <t>Digital</t>
        </is>
      </c>
      <c r="I664" s="8" t="inlineStr">
        <is>
          <t>Digital Monitors - Bowling Center</t>
        </is>
      </c>
      <c r="J664" s="11" t="inlineStr"/>
      <c r="K664" s="8" t="inlineStr">
        <is>
          <t>Your ad will appear on 22 digital kiosks in approved installation facilities.</t>
        </is>
      </c>
      <c r="L664" s="11" t="n">
        <v>1</v>
      </c>
      <c r="M664" s="12" t="n">
        <v>400</v>
      </c>
      <c r="N664" s="12" t="n">
        <v>1200</v>
      </c>
      <c r="O664" s="12" t="n">
        <v>2160</v>
      </c>
      <c r="P664" s="12" t="n">
        <v>4080</v>
      </c>
      <c r="Q664" s="12" t="n"/>
      <c r="R664" s="13">
        <f>IF(ISNUMBER(M664),ROUND(M664/(1-Settings!$B$2)/Settings!$B$3,0)*Settings!$B$3,"")</f>
        <v/>
      </c>
      <c r="S664" s="13">
        <f>IF(ISNUMBER(N664),ROUND(N664/(1-Settings!$B$2)/Settings!$B$3,0)*Settings!$B$3,"")</f>
        <v/>
      </c>
      <c r="T664" s="13">
        <f>IF(ISNUMBER(O664),ROUND(O664/(1-Settings!$B$2)/Settings!$B$3,0)*Settings!$B$3,"")</f>
        <v/>
      </c>
      <c r="U664" s="13">
        <f>IF(ISNUMBER(P664),ROUND(P664/(1-Settings!$B$2)/Settings!$B$3,0)*Settings!$B$3,"")</f>
        <v/>
      </c>
      <c r="V664" s="13">
        <f>IF(ISNUMBER(Q664),ROUND(Q664/(1-Settings!$B$2)/Settings!$B$3,0)*Settings!$B$3,"")</f>
        <v/>
      </c>
      <c r="W664" s="14" t="n">
        <v>15057</v>
      </c>
      <c r="X664" s="14" t="n">
        <v>18965</v>
      </c>
      <c r="Y664" s="11" t="inlineStr"/>
      <c r="Z664" s="11" t="inlineStr"/>
      <c r="AA664" s="8" t="inlineStr">
        <is>
          <t>Inventory master 6/2026 lists Digital Monitor Network at $3,000 (1 mo); Inventory master 6/2026 lists Digital Marquee at $1,200 (1 mo); Inventory master 6/2026 lists Digital Monitor Network at $1,220 (1 mo)</t>
        </is>
      </c>
      <c r="AB664" s="8" t="inlineStr"/>
      <c r="AC664" s="11" t="inlineStr">
        <is>
          <t>MasterMilitaryOnBaseList 12.2.25 NS.xlsx</t>
        </is>
      </c>
      <c r="AD664" s="11" t="inlineStr">
        <is>
          <t>MCBHI Updated Pricing.docx</t>
        </is>
      </c>
      <c r="AE664" s="15" t="inlineStr">
        <is>
          <t>Open in Box</t>
        </is>
      </c>
      <c r="AF664" s="15" t="inlineStr">
        <is>
          <t>Open in Box</t>
        </is>
      </c>
    </row>
    <row r="665">
      <c r="A665" s="11" t="inlineStr">
        <is>
          <t>HI-USAGHAWA-003</t>
        </is>
      </c>
      <c r="B665" s="8" t="inlineStr">
        <is>
          <t>USAG Hawaii</t>
        </is>
      </c>
      <c r="C665" s="11" t="inlineStr">
        <is>
          <t>Schofield Barracks / Fort Shafter / Wheeler AAF</t>
        </is>
      </c>
      <c r="D665" s="11" t="inlineStr">
        <is>
          <t>HI</t>
        </is>
      </c>
      <c r="E665" s="11" t="inlineStr">
        <is>
          <t>Honolulu</t>
        </is>
      </c>
      <c r="F665" s="11" t="inlineStr">
        <is>
          <t>96815</t>
        </is>
      </c>
      <c r="G665" s="11" t="inlineStr">
        <is>
          <t>Army</t>
        </is>
      </c>
      <c r="H665" s="11" t="inlineStr">
        <is>
          <t>Digital</t>
        </is>
      </c>
      <c r="I665" s="8" t="inlineStr">
        <is>
          <t>Indoor Digital Monitor Network</t>
        </is>
      </c>
      <c r="J665" s="11" t="inlineStr"/>
      <c r="K665" s="8" t="inlineStr">
        <is>
          <t>Your ad will appear on 20 digital kiosks in approved installation facilities.</t>
        </is>
      </c>
      <c r="L665" s="11" t="n">
        <v>1</v>
      </c>
      <c r="M665" s="12" t="n">
        <v>1200</v>
      </c>
      <c r="N665" s="12" t="n">
        <v>3420</v>
      </c>
      <c r="O665" s="12" t="n">
        <v>6480</v>
      </c>
      <c r="P665" s="12" t="n">
        <v>12240</v>
      </c>
      <c r="Q665" s="12" t="n"/>
      <c r="R665" s="13">
        <f>IF(ISNUMBER(M665),ROUND(M665/(1-Settings!$B$2)/Settings!$B$3,0)*Settings!$B$3,"")</f>
        <v/>
      </c>
      <c r="S665" s="13">
        <f>IF(ISNUMBER(N665),ROUND(N665/(1-Settings!$B$2)/Settings!$B$3,0)*Settings!$B$3,"")</f>
        <v/>
      </c>
      <c r="T665" s="13">
        <f>IF(ISNUMBER(O665),ROUND(O665/(1-Settings!$B$2)/Settings!$B$3,0)*Settings!$B$3,"")</f>
        <v/>
      </c>
      <c r="U665" s="13">
        <f>IF(ISNUMBER(P665),ROUND(P665/(1-Settings!$B$2)/Settings!$B$3,0)*Settings!$B$3,"")</f>
        <v/>
      </c>
      <c r="V665" s="13">
        <f>IF(ISNUMBER(Q665),ROUND(Q665/(1-Settings!$B$2)/Settings!$B$3,0)*Settings!$B$3,"")</f>
        <v/>
      </c>
      <c r="W665" s="14" t="n">
        <v>15057</v>
      </c>
      <c r="X665" s="14" t="n">
        <v>18965</v>
      </c>
      <c r="Y665" s="11" t="inlineStr"/>
      <c r="Z665" s="11" t="inlineStr"/>
      <c r="AA665" s="8" t="inlineStr">
        <is>
          <t>Inventory master 6/2026 lists Digital Monitor Network at $3,000 (1 mo); Inventory master 6/2026 lists Digital Monitor Network at $1,220 (1 mo)</t>
        </is>
      </c>
      <c r="AB665" s="8" t="inlineStr"/>
      <c r="AC665" s="11" t="inlineStr">
        <is>
          <t>MasterMilitaryOnBaseList 12.2.25 NS.xlsx</t>
        </is>
      </c>
      <c r="AD665" s="11" t="inlineStr">
        <is>
          <t>MCBHI Updated Pricing.docx</t>
        </is>
      </c>
      <c r="AE665" s="15" t="inlineStr">
        <is>
          <t>Open in Box</t>
        </is>
      </c>
      <c r="AF665" s="15" t="inlineStr">
        <is>
          <t>Open in Box</t>
        </is>
      </c>
    </row>
    <row r="666">
      <c r="A666" s="11" t="inlineStr">
        <is>
          <t>HI-USAGHAWA-004</t>
        </is>
      </c>
      <c r="B666" s="8" t="inlineStr">
        <is>
          <t>USAG Hawaii</t>
        </is>
      </c>
      <c r="C666" s="11" t="inlineStr">
        <is>
          <t>Schofield Barracks / Fort Shafter / Wheeler AAF</t>
        </is>
      </c>
      <c r="D666" s="11" t="inlineStr">
        <is>
          <t>HI</t>
        </is>
      </c>
      <c r="E666" s="11" t="inlineStr">
        <is>
          <t>Honolulu</t>
        </is>
      </c>
      <c r="F666" s="11" t="inlineStr">
        <is>
          <t>96815</t>
        </is>
      </c>
      <c r="G666" s="11" t="inlineStr">
        <is>
          <t>Army</t>
        </is>
      </c>
      <c r="H666" s="11" t="inlineStr">
        <is>
          <t>Digital</t>
        </is>
      </c>
      <c r="I666" s="8" t="inlineStr">
        <is>
          <t>Outdoor Marquee Network</t>
        </is>
      </c>
      <c r="J666" s="11" t="inlineStr">
        <is>
          <t>1080pxW x 1920pxH</t>
        </is>
      </c>
      <c r="K666" s="8" t="inlineStr">
        <is>
          <t>Your ad will appear on 2 or more digital kiosks in approved installation facilities.</t>
        </is>
      </c>
      <c r="L666" s="11" t="n">
        <v>1</v>
      </c>
      <c r="M666" s="12" t="n">
        <v>1350</v>
      </c>
      <c r="N666" s="12" t="n">
        <v>4050</v>
      </c>
      <c r="O666" s="12" t="n">
        <v>7290</v>
      </c>
      <c r="P666" s="12" t="n">
        <v>13770</v>
      </c>
      <c r="Q666" s="12" t="n">
        <v>0</v>
      </c>
      <c r="R666" s="13">
        <f>IF(ISNUMBER(M666),ROUND(M666/(1-Settings!$B$2)/Settings!$B$3,0)*Settings!$B$3,"")</f>
        <v/>
      </c>
      <c r="S666" s="13">
        <f>IF(ISNUMBER(N666),ROUND(N666/(1-Settings!$B$2)/Settings!$B$3,0)*Settings!$B$3,"")</f>
        <v/>
      </c>
      <c r="T666" s="13">
        <f>IF(ISNUMBER(O666),ROUND(O666/(1-Settings!$B$2)/Settings!$B$3,0)*Settings!$B$3,"")</f>
        <v/>
      </c>
      <c r="U666" s="13">
        <f>IF(ISNUMBER(P666),ROUND(P666/(1-Settings!$B$2)/Settings!$B$3,0)*Settings!$B$3,"")</f>
        <v/>
      </c>
      <c r="V666" s="13">
        <f>IF(ISNUMBER(Q666),ROUND(Q666/(1-Settings!$B$2)/Settings!$B$3,0)*Settings!$B$3,"")</f>
        <v/>
      </c>
      <c r="W666" s="14" t="n">
        <v>15057</v>
      </c>
      <c r="X666" s="14" t="n">
        <v>18965</v>
      </c>
      <c r="Y666" s="11" t="inlineStr"/>
      <c r="Z666" s="11" t="inlineStr"/>
      <c r="AA666" s="8" t="inlineStr">
        <is>
          <t>Inventory master 6/2026 lists Digital Marquee at $1,200 (1 mo)</t>
        </is>
      </c>
      <c r="AB666" s="8" t="inlineStr"/>
      <c r="AC666" s="11" t="inlineStr">
        <is>
          <t>MasterMilitaryOnBaseList 12.2.25 NS.xlsx</t>
        </is>
      </c>
      <c r="AD666" s="11" t="inlineStr">
        <is>
          <t>MCBHI Updated Pricing.docx</t>
        </is>
      </c>
      <c r="AE666" s="15" t="inlineStr">
        <is>
          <t>Open in Box</t>
        </is>
      </c>
      <c r="AF666" s="15" t="inlineStr">
        <is>
          <t>Open in Box</t>
        </is>
      </c>
    </row>
    <row r="667">
      <c r="A667" s="11" t="inlineStr">
        <is>
          <t>HI-USAGHAWA-005</t>
        </is>
      </c>
      <c r="B667" s="8" t="inlineStr">
        <is>
          <t>USAG Hawaii</t>
        </is>
      </c>
      <c r="C667" s="11" t="inlineStr">
        <is>
          <t>Schofield Barracks / Fort Shafter / Wheeler AAF</t>
        </is>
      </c>
      <c r="D667" s="11" t="inlineStr">
        <is>
          <t>HI</t>
        </is>
      </c>
      <c r="E667" s="11" t="inlineStr">
        <is>
          <t>Honolulu</t>
        </is>
      </c>
      <c r="F667" s="11" t="inlineStr">
        <is>
          <t>96815</t>
        </is>
      </c>
      <c r="G667" s="11" t="inlineStr">
        <is>
          <t>Army</t>
        </is>
      </c>
      <c r="H667" s="11" t="inlineStr">
        <is>
          <t>Digital</t>
        </is>
      </c>
      <c r="I667" s="8" t="inlineStr">
        <is>
          <t>Premium Banner - Fort Shafter Bowling Center</t>
        </is>
      </c>
      <c r="J667" s="11" t="inlineStr">
        <is>
          <t>8'W x 6'H</t>
        </is>
      </c>
      <c r="K667" s="8" t="inlineStr">
        <is>
          <t>Your ad will appear in the Fort Shafter Bowling Center. [Minimum of 3 months]</t>
        </is>
      </c>
      <c r="L667" s="11" t="n">
        <v>3</v>
      </c>
      <c r="M667" s="12" t="n"/>
      <c r="N667" s="12" t="n">
        <v>1500</v>
      </c>
      <c r="O667" s="12" t="n">
        <v>3000</v>
      </c>
      <c r="P667" s="12" t="n">
        <v>6000</v>
      </c>
      <c r="Q667" s="12" t="n">
        <v>200</v>
      </c>
      <c r="R667" s="13">
        <f>IF(ISNUMBER(M667),ROUND(M667/(1-Settings!$B$2)/Settings!$B$3,0)*Settings!$B$3,"")</f>
        <v/>
      </c>
      <c r="S667" s="13">
        <f>IF(ISNUMBER(N667),ROUND(N667/(1-Settings!$B$2)/Settings!$B$3,0)*Settings!$B$3,"")</f>
        <v/>
      </c>
      <c r="T667" s="13">
        <f>IF(ISNUMBER(O667),ROUND(O667/(1-Settings!$B$2)/Settings!$B$3,0)*Settings!$B$3,"")</f>
        <v/>
      </c>
      <c r="U667" s="13">
        <f>IF(ISNUMBER(P667),ROUND(P667/(1-Settings!$B$2)/Settings!$B$3,0)*Settings!$B$3,"")</f>
        <v/>
      </c>
      <c r="V667" s="13">
        <f>IF(ISNUMBER(Q667),ROUND(Q667/(1-Settings!$B$2)/Settings!$B$3,0)*Settings!$B$3,"")</f>
        <v/>
      </c>
      <c r="W667" s="14" t="n">
        <v>15057</v>
      </c>
      <c r="X667" s="14" t="n">
        <v>18965</v>
      </c>
      <c r="Y667" s="11" t="inlineStr"/>
      <c r="Z667" s="11" t="inlineStr"/>
      <c r="AA667" s="8" t="inlineStr"/>
      <c r="AB667" s="8" t="inlineStr"/>
      <c r="AC667" s="11" t="inlineStr">
        <is>
          <t>MasterMilitaryOnBaseList 12.2.25 NS.xlsx</t>
        </is>
      </c>
      <c r="AD667" s="11" t="inlineStr">
        <is>
          <t>MCBHI Updated Pricing.docx</t>
        </is>
      </c>
      <c r="AE667" s="15" t="inlineStr">
        <is>
          <t>Open in Box</t>
        </is>
      </c>
      <c r="AF667" s="15" t="inlineStr">
        <is>
          <t>Open in Box</t>
        </is>
      </c>
    </row>
    <row r="668">
      <c r="A668" s="11" t="inlineStr">
        <is>
          <t>HI-USAGHAWA-006</t>
        </is>
      </c>
      <c r="B668" s="8" t="inlineStr">
        <is>
          <t>USAG Hawaii</t>
        </is>
      </c>
      <c r="C668" s="11" t="inlineStr">
        <is>
          <t>Schofield Barracks / Fort Shafter / Wheeler AAF</t>
        </is>
      </c>
      <c r="D668" s="11" t="inlineStr">
        <is>
          <t>HI</t>
        </is>
      </c>
      <c r="E668" s="11" t="inlineStr">
        <is>
          <t>Honolulu</t>
        </is>
      </c>
      <c r="F668" s="11" t="inlineStr">
        <is>
          <t>96815</t>
        </is>
      </c>
      <c r="G668" s="11" t="inlineStr">
        <is>
          <t>Army</t>
        </is>
      </c>
      <c r="H668" s="11" t="inlineStr">
        <is>
          <t>Digital</t>
        </is>
      </c>
      <c r="I668" s="8" t="inlineStr">
        <is>
          <t>Single Outdoor Marquee Network</t>
        </is>
      </c>
      <c r="J668" s="11" t="inlineStr">
        <is>
          <t>1080pxW x 1920pxH</t>
        </is>
      </c>
      <c r="K668" s="8" t="inlineStr">
        <is>
          <t>Your ad will appear on a digital kiosk in an approved installation facility.</t>
        </is>
      </c>
      <c r="L668" s="11" t="n">
        <v>1</v>
      </c>
      <c r="M668" s="12" t="n">
        <v>1500</v>
      </c>
      <c r="N668" s="12" t="n">
        <v>4500</v>
      </c>
      <c r="O668" s="12" t="n">
        <v>8100</v>
      </c>
      <c r="P668" s="12" t="n">
        <v>15300</v>
      </c>
      <c r="Q668" s="12" t="n"/>
      <c r="R668" s="13">
        <f>IF(ISNUMBER(M668),ROUND(M668/(1-Settings!$B$2)/Settings!$B$3,0)*Settings!$B$3,"")</f>
        <v/>
      </c>
      <c r="S668" s="13">
        <f>IF(ISNUMBER(N668),ROUND(N668/(1-Settings!$B$2)/Settings!$B$3,0)*Settings!$B$3,"")</f>
        <v/>
      </c>
      <c r="T668" s="13">
        <f>IF(ISNUMBER(O668),ROUND(O668/(1-Settings!$B$2)/Settings!$B$3,0)*Settings!$B$3,"")</f>
        <v/>
      </c>
      <c r="U668" s="13">
        <f>IF(ISNUMBER(P668),ROUND(P668/(1-Settings!$B$2)/Settings!$B$3,0)*Settings!$B$3,"")</f>
        <v/>
      </c>
      <c r="V668" s="13">
        <f>IF(ISNUMBER(Q668),ROUND(Q668/(1-Settings!$B$2)/Settings!$B$3,0)*Settings!$B$3,"")</f>
        <v/>
      </c>
      <c r="W668" s="14" t="n">
        <v>15057</v>
      </c>
      <c r="X668" s="14" t="n">
        <v>18965</v>
      </c>
      <c r="Y668" s="11" t="inlineStr"/>
      <c r="Z668" s="11" t="inlineStr"/>
      <c r="AA668" s="8" t="inlineStr">
        <is>
          <t>Inventory master 6/2026 lists Digital Marquee at $1,200 (1 mo)</t>
        </is>
      </c>
      <c r="AB668" s="8" t="inlineStr"/>
      <c r="AC668" s="11" t="inlineStr">
        <is>
          <t>MasterMilitaryOnBaseList 12.2.25 NS.xlsx</t>
        </is>
      </c>
      <c r="AD668" s="11" t="inlineStr">
        <is>
          <t>MCBHI Updated Pricing.docx</t>
        </is>
      </c>
      <c r="AE668" s="15" t="inlineStr">
        <is>
          <t>Open in Box</t>
        </is>
      </c>
      <c r="AF668" s="15" t="inlineStr">
        <is>
          <t>Open in Box</t>
        </is>
      </c>
    </row>
    <row r="669">
      <c r="A669" s="11" t="inlineStr">
        <is>
          <t>HI-USAGHAWA-007</t>
        </is>
      </c>
      <c r="B669" s="8" t="inlineStr">
        <is>
          <t>USAG Hawaii</t>
        </is>
      </c>
      <c r="C669" s="11" t="inlineStr">
        <is>
          <t>Schofield Barracks / Fort Shafter / Wheeler AAF</t>
        </is>
      </c>
      <c r="D669" s="11" t="inlineStr">
        <is>
          <t>HI</t>
        </is>
      </c>
      <c r="E669" s="11" t="inlineStr">
        <is>
          <t>Honolulu</t>
        </is>
      </c>
      <c r="F669" s="11" t="inlineStr">
        <is>
          <t>96815</t>
        </is>
      </c>
      <c r="G669" s="11" t="inlineStr">
        <is>
          <t>Army</t>
        </is>
      </c>
      <c r="H669" s="11" t="inlineStr">
        <is>
          <t>Digital</t>
        </is>
      </c>
      <c r="I669" s="8" t="inlineStr">
        <is>
          <t>Theatre Static</t>
        </is>
      </c>
      <c r="J669" s="11" t="inlineStr">
        <is>
          <t>TBD</t>
        </is>
      </c>
      <c r="K669" s="8" t="inlineStr">
        <is>
          <t>Your ad will appear before movies.</t>
        </is>
      </c>
      <c r="L669" s="11" t="n">
        <v>1</v>
      </c>
      <c r="M669" s="12" t="n">
        <v>1000</v>
      </c>
      <c r="N669" s="12" t="n">
        <v>3000</v>
      </c>
      <c r="O669" s="12" t="n">
        <v>6000</v>
      </c>
      <c r="P669" s="12" t="n">
        <v>6000</v>
      </c>
      <c r="Q669" s="12" t="n">
        <v>0</v>
      </c>
      <c r="R669" s="13">
        <f>IF(ISNUMBER(M669),ROUND(M669/(1-Settings!$B$2)/Settings!$B$3,0)*Settings!$B$3,"")</f>
        <v/>
      </c>
      <c r="S669" s="13">
        <f>IF(ISNUMBER(N669),ROUND(N669/(1-Settings!$B$2)/Settings!$B$3,0)*Settings!$B$3,"")</f>
        <v/>
      </c>
      <c r="T669" s="13">
        <f>IF(ISNUMBER(O669),ROUND(O669/(1-Settings!$B$2)/Settings!$B$3,0)*Settings!$B$3,"")</f>
        <v/>
      </c>
      <c r="U669" s="13">
        <f>IF(ISNUMBER(P669),ROUND(P669/(1-Settings!$B$2)/Settings!$B$3,0)*Settings!$B$3,"")</f>
        <v/>
      </c>
      <c r="V669" s="13">
        <f>IF(ISNUMBER(Q669),ROUND(Q669/(1-Settings!$B$2)/Settings!$B$3,0)*Settings!$B$3,"")</f>
        <v/>
      </c>
      <c r="W669" s="14" t="n">
        <v>15057</v>
      </c>
      <c r="X669" s="14" t="n">
        <v>18965</v>
      </c>
      <c r="Y669" s="11" t="inlineStr"/>
      <c r="Z669" s="11" t="inlineStr"/>
      <c r="AA669" s="8" t="inlineStr"/>
      <c r="AB669" s="8" t="inlineStr"/>
      <c r="AC669" s="11" t="inlineStr">
        <is>
          <t>MasterMilitaryOnBaseList 12.2.25 NS.xlsx</t>
        </is>
      </c>
      <c r="AD669" s="11" t="inlineStr">
        <is>
          <t>MCBHI Updated Pricing.docx</t>
        </is>
      </c>
      <c r="AE669" s="15" t="inlineStr">
        <is>
          <t>Open in Box</t>
        </is>
      </c>
      <c r="AF669" s="15" t="inlineStr">
        <is>
          <t>Open in Box</t>
        </is>
      </c>
    </row>
    <row r="670">
      <c r="A670" s="11" t="inlineStr">
        <is>
          <t>HI-USAGHAWA-020</t>
        </is>
      </c>
      <c r="B670" s="8" t="inlineStr">
        <is>
          <t>USAG Hawaii</t>
        </is>
      </c>
      <c r="C670" s="11" t="inlineStr">
        <is>
          <t>Schofield Barracks / Fort Shafter / Wheeler AAF</t>
        </is>
      </c>
      <c r="D670" s="11" t="inlineStr">
        <is>
          <t>HI</t>
        </is>
      </c>
      <c r="E670" s="11" t="inlineStr">
        <is>
          <t>Honolulu</t>
        </is>
      </c>
      <c r="F670" s="11" t="inlineStr">
        <is>
          <t>96815</t>
        </is>
      </c>
      <c r="G670" s="11" t="inlineStr">
        <is>
          <t>Army</t>
        </is>
      </c>
      <c r="H670" s="11" t="inlineStr">
        <is>
          <t>Print &amp; Publications</t>
        </is>
      </c>
      <c r="I670" s="8" t="inlineStr">
        <is>
          <t>Guidebook Ad - Back Cover</t>
        </is>
      </c>
      <c r="J670" s="11" t="inlineStr">
        <is>
          <t>6.25" x 6.25", 0.25" bleed all around 9JPG format)</t>
        </is>
      </c>
      <c r="K670" s="8" t="inlineStr">
        <is>
          <t>Your ad will appear in the Family and MWR Guidebook. [Price is per issue - come out every 3-4 months, 10K copies of each issue]</t>
        </is>
      </c>
      <c r="L670" s="11" t="n">
        <v>3</v>
      </c>
      <c r="M670" s="12" t="n"/>
      <c r="N670" s="12" t="n">
        <v>6000</v>
      </c>
      <c r="O670" s="12" t="n">
        <v>12000</v>
      </c>
      <c r="P670" s="12" t="n">
        <v>24000</v>
      </c>
      <c r="Q670" s="12" t="n"/>
      <c r="R670" s="13">
        <f>IF(ISNUMBER(M670),ROUND(M670/(1-Settings!$B$2)/Settings!$B$3,0)*Settings!$B$3,"")</f>
        <v/>
      </c>
      <c r="S670" s="13">
        <f>IF(ISNUMBER(N670),ROUND(N670/(1-Settings!$B$2)/Settings!$B$3,0)*Settings!$B$3,"")</f>
        <v/>
      </c>
      <c r="T670" s="13">
        <f>IF(ISNUMBER(O670),ROUND(O670/(1-Settings!$B$2)/Settings!$B$3,0)*Settings!$B$3,"")</f>
        <v/>
      </c>
      <c r="U670" s="13">
        <f>IF(ISNUMBER(P670),ROUND(P670/(1-Settings!$B$2)/Settings!$B$3,0)*Settings!$B$3,"")</f>
        <v/>
      </c>
      <c r="V670" s="13">
        <f>IF(ISNUMBER(Q670),ROUND(Q670/(1-Settings!$B$2)/Settings!$B$3,0)*Settings!$B$3,"")</f>
        <v/>
      </c>
      <c r="W670" s="14" t="n">
        <v>15057</v>
      </c>
      <c r="X670" s="14" t="n">
        <v>18965</v>
      </c>
      <c r="Y670" s="11" t="inlineStr"/>
      <c r="Z670" s="11" t="inlineStr"/>
      <c r="AA670" s="8" t="inlineStr"/>
      <c r="AB670" s="8" t="inlineStr"/>
      <c r="AC670" s="11" t="inlineStr">
        <is>
          <t>MasterMilitaryOnBaseList 12.2.25 NS.xlsx</t>
        </is>
      </c>
      <c r="AD670" s="11" t="inlineStr">
        <is>
          <t>MCBHI Updated Pricing.docx</t>
        </is>
      </c>
      <c r="AE670" s="15" t="inlineStr">
        <is>
          <t>Open in Box</t>
        </is>
      </c>
      <c r="AF670" s="15" t="inlineStr">
        <is>
          <t>Open in Box</t>
        </is>
      </c>
    </row>
    <row r="671">
      <c r="A671" s="11" t="inlineStr">
        <is>
          <t>HI-USAGHAWA-021</t>
        </is>
      </c>
      <c r="B671" s="8" t="inlineStr">
        <is>
          <t>USAG Hawaii</t>
        </is>
      </c>
      <c r="C671" s="11" t="inlineStr">
        <is>
          <t>Schofield Barracks / Fort Shafter / Wheeler AAF</t>
        </is>
      </c>
      <c r="D671" s="11" t="inlineStr">
        <is>
          <t>HI</t>
        </is>
      </c>
      <c r="E671" s="11" t="inlineStr">
        <is>
          <t>Honolulu</t>
        </is>
      </c>
      <c r="F671" s="11" t="inlineStr">
        <is>
          <t>96815</t>
        </is>
      </c>
      <c r="G671" s="11" t="inlineStr">
        <is>
          <t>Army</t>
        </is>
      </c>
      <c r="H671" s="11" t="inlineStr">
        <is>
          <t>Print &amp; Publications</t>
        </is>
      </c>
      <c r="I671" s="8" t="inlineStr">
        <is>
          <t>Guidebook Ad - Inside Back Cover</t>
        </is>
      </c>
      <c r="J671" s="11" t="inlineStr">
        <is>
          <t>6.25" x 6.25", 0.25" bleed all around 9JPG format)</t>
        </is>
      </c>
      <c r="K671" s="8" t="inlineStr">
        <is>
          <t>Your ad will appear in the Family and MWR Guidebook. [Price is per issue - come out every 3-4 months, 10K copies of each issue]</t>
        </is>
      </c>
      <c r="L671" s="11" t="n">
        <v>3</v>
      </c>
      <c r="M671" s="12" t="n"/>
      <c r="N671" s="12" t="n">
        <v>5000</v>
      </c>
      <c r="O671" s="12" t="n">
        <v>10000</v>
      </c>
      <c r="P671" s="12" t="n">
        <v>20000</v>
      </c>
      <c r="Q671" s="12" t="n"/>
      <c r="R671" s="13">
        <f>IF(ISNUMBER(M671),ROUND(M671/(1-Settings!$B$2)/Settings!$B$3,0)*Settings!$B$3,"")</f>
        <v/>
      </c>
      <c r="S671" s="13">
        <f>IF(ISNUMBER(N671),ROUND(N671/(1-Settings!$B$2)/Settings!$B$3,0)*Settings!$B$3,"")</f>
        <v/>
      </c>
      <c r="T671" s="13">
        <f>IF(ISNUMBER(O671),ROUND(O671/(1-Settings!$B$2)/Settings!$B$3,0)*Settings!$B$3,"")</f>
        <v/>
      </c>
      <c r="U671" s="13">
        <f>IF(ISNUMBER(P671),ROUND(P671/(1-Settings!$B$2)/Settings!$B$3,0)*Settings!$B$3,"")</f>
        <v/>
      </c>
      <c r="V671" s="13">
        <f>IF(ISNUMBER(Q671),ROUND(Q671/(1-Settings!$B$2)/Settings!$B$3,0)*Settings!$B$3,"")</f>
        <v/>
      </c>
      <c r="W671" s="14" t="n">
        <v>15057</v>
      </c>
      <c r="X671" s="14" t="n">
        <v>18965</v>
      </c>
      <c r="Y671" s="11" t="inlineStr"/>
      <c r="Z671" s="11" t="inlineStr"/>
      <c r="AA671" s="8" t="inlineStr"/>
      <c r="AB671" s="8" t="inlineStr"/>
      <c r="AC671" s="11" t="inlineStr">
        <is>
          <t>MasterMilitaryOnBaseList 12.2.25 NS.xlsx</t>
        </is>
      </c>
      <c r="AD671" s="11" t="inlineStr">
        <is>
          <t>MCBHI Updated Pricing.docx</t>
        </is>
      </c>
      <c r="AE671" s="15" t="inlineStr">
        <is>
          <t>Open in Box</t>
        </is>
      </c>
      <c r="AF671" s="15" t="inlineStr">
        <is>
          <t>Open in Box</t>
        </is>
      </c>
    </row>
    <row r="672">
      <c r="A672" s="11" t="inlineStr">
        <is>
          <t>HI-USAGHAWA-022</t>
        </is>
      </c>
      <c r="B672" s="8" t="inlineStr">
        <is>
          <t>USAG Hawaii</t>
        </is>
      </c>
      <c r="C672" s="11" t="inlineStr">
        <is>
          <t>Schofield Barracks / Fort Shafter / Wheeler AAF</t>
        </is>
      </c>
      <c r="D672" s="11" t="inlineStr">
        <is>
          <t>HI</t>
        </is>
      </c>
      <c r="E672" s="11" t="inlineStr">
        <is>
          <t>Honolulu</t>
        </is>
      </c>
      <c r="F672" s="11" t="inlineStr">
        <is>
          <t>96815</t>
        </is>
      </c>
      <c r="G672" s="11" t="inlineStr">
        <is>
          <t>Army</t>
        </is>
      </c>
      <c r="H672" s="11" t="inlineStr">
        <is>
          <t>Print &amp; Publications</t>
        </is>
      </c>
      <c r="I672" s="8" t="inlineStr">
        <is>
          <t>Guidebook Ad - Inside Front Cover</t>
        </is>
      </c>
      <c r="J672" s="11" t="inlineStr">
        <is>
          <t>6.25" x 6.25", 0.25" bleed all around 9JPG format)</t>
        </is>
      </c>
      <c r="K672" s="8" t="inlineStr">
        <is>
          <t>Your ad will appear in the Family and MWR Guidebook. [Price is per issue - come out every 3-4 months, 10K copies of each issue]</t>
        </is>
      </c>
      <c r="L672" s="11" t="n">
        <v>3</v>
      </c>
      <c r="M672" s="12" t="n"/>
      <c r="N672" s="12" t="n">
        <v>5000</v>
      </c>
      <c r="O672" s="12" t="n">
        <v>10000</v>
      </c>
      <c r="P672" s="12" t="n">
        <v>20000</v>
      </c>
      <c r="Q672" s="12" t="n"/>
      <c r="R672" s="13">
        <f>IF(ISNUMBER(M672),ROUND(M672/(1-Settings!$B$2)/Settings!$B$3,0)*Settings!$B$3,"")</f>
        <v/>
      </c>
      <c r="S672" s="13">
        <f>IF(ISNUMBER(N672),ROUND(N672/(1-Settings!$B$2)/Settings!$B$3,0)*Settings!$B$3,"")</f>
        <v/>
      </c>
      <c r="T672" s="13">
        <f>IF(ISNUMBER(O672),ROUND(O672/(1-Settings!$B$2)/Settings!$B$3,0)*Settings!$B$3,"")</f>
        <v/>
      </c>
      <c r="U672" s="13">
        <f>IF(ISNUMBER(P672),ROUND(P672/(1-Settings!$B$2)/Settings!$B$3,0)*Settings!$B$3,"")</f>
        <v/>
      </c>
      <c r="V672" s="13">
        <f>IF(ISNUMBER(Q672),ROUND(Q672/(1-Settings!$B$2)/Settings!$B$3,0)*Settings!$B$3,"")</f>
        <v/>
      </c>
      <c r="W672" s="14" t="n">
        <v>15057</v>
      </c>
      <c r="X672" s="14" t="n">
        <v>18965</v>
      </c>
      <c r="Y672" s="11" t="inlineStr"/>
      <c r="Z672" s="11" t="inlineStr"/>
      <c r="AA672" s="8" t="inlineStr"/>
      <c r="AB672" s="8" t="inlineStr"/>
      <c r="AC672" s="11" t="inlineStr">
        <is>
          <t>MasterMilitaryOnBaseList 12.2.25 NS.xlsx</t>
        </is>
      </c>
      <c r="AD672" s="11" t="inlineStr">
        <is>
          <t>MCBHI Updated Pricing.docx</t>
        </is>
      </c>
      <c r="AE672" s="15" t="inlineStr">
        <is>
          <t>Open in Box</t>
        </is>
      </c>
      <c r="AF672" s="15" t="inlineStr">
        <is>
          <t>Open in Box</t>
        </is>
      </c>
    </row>
    <row r="673">
      <c r="A673" s="11" t="inlineStr">
        <is>
          <t>HI-USAGHAWA-023</t>
        </is>
      </c>
      <c r="B673" s="8" t="inlineStr">
        <is>
          <t>USAG Hawaii</t>
        </is>
      </c>
      <c r="C673" s="11" t="inlineStr">
        <is>
          <t>Schofield Barracks / Fort Shafter / Wheeler AAF</t>
        </is>
      </c>
      <c r="D673" s="11" t="inlineStr">
        <is>
          <t>HI</t>
        </is>
      </c>
      <c r="E673" s="11" t="inlineStr">
        <is>
          <t>Honolulu</t>
        </is>
      </c>
      <c r="F673" s="11" t="inlineStr">
        <is>
          <t>96815</t>
        </is>
      </c>
      <c r="G673" s="11" t="inlineStr">
        <is>
          <t>Army</t>
        </is>
      </c>
      <c r="H673" s="11" t="inlineStr">
        <is>
          <t>Print &amp; Publications</t>
        </is>
      </c>
      <c r="I673" s="8" t="inlineStr">
        <is>
          <t>Guidebook Ad -Back side of second page</t>
        </is>
      </c>
      <c r="J673" s="11" t="inlineStr">
        <is>
          <t>6.25" x 6.25", 0.25" bleed all around 9JPG format)</t>
        </is>
      </c>
      <c r="K673" s="8" t="inlineStr">
        <is>
          <t>Your ad will appear in the Family and MWR Guidebook. [Price is per issue - come out every 3-4 months, 10K copies of each issue]</t>
        </is>
      </c>
      <c r="L673" s="11" t="n">
        <v>3</v>
      </c>
      <c r="M673" s="12" t="n"/>
      <c r="N673" s="12" t="n">
        <v>4000</v>
      </c>
      <c r="O673" s="12" t="n">
        <v>8000</v>
      </c>
      <c r="P673" s="12" t="n">
        <v>16000</v>
      </c>
      <c r="Q673" s="12" t="n"/>
      <c r="R673" s="13">
        <f>IF(ISNUMBER(M673),ROUND(M673/(1-Settings!$B$2)/Settings!$B$3,0)*Settings!$B$3,"")</f>
        <v/>
      </c>
      <c r="S673" s="13">
        <f>IF(ISNUMBER(N673),ROUND(N673/(1-Settings!$B$2)/Settings!$B$3,0)*Settings!$B$3,"")</f>
        <v/>
      </c>
      <c r="T673" s="13">
        <f>IF(ISNUMBER(O673),ROUND(O673/(1-Settings!$B$2)/Settings!$B$3,0)*Settings!$B$3,"")</f>
        <v/>
      </c>
      <c r="U673" s="13">
        <f>IF(ISNUMBER(P673),ROUND(P673/(1-Settings!$B$2)/Settings!$B$3,0)*Settings!$B$3,"")</f>
        <v/>
      </c>
      <c r="V673" s="13">
        <f>IF(ISNUMBER(Q673),ROUND(Q673/(1-Settings!$B$2)/Settings!$B$3,0)*Settings!$B$3,"")</f>
        <v/>
      </c>
      <c r="W673" s="14" t="n">
        <v>15057</v>
      </c>
      <c r="X673" s="14" t="n">
        <v>18965</v>
      </c>
      <c r="Y673" s="11" t="inlineStr"/>
      <c r="Z673" s="11" t="inlineStr"/>
      <c r="AA673" s="8" t="inlineStr"/>
      <c r="AB673" s="8" t="inlineStr"/>
      <c r="AC673" s="11" t="inlineStr">
        <is>
          <t>MasterMilitaryOnBaseList 12.2.25 NS.xlsx</t>
        </is>
      </c>
      <c r="AD673" s="11" t="inlineStr">
        <is>
          <t>MCBHI Updated Pricing.docx</t>
        </is>
      </c>
      <c r="AE673" s="15" t="inlineStr">
        <is>
          <t>Open in Box</t>
        </is>
      </c>
      <c r="AF673" s="15" t="inlineStr">
        <is>
          <t>Open in Box</t>
        </is>
      </c>
    </row>
    <row r="674">
      <c r="A674" s="11" t="inlineStr">
        <is>
          <t>HI-USAGHAWA-024</t>
        </is>
      </c>
      <c r="B674" s="8" t="inlineStr">
        <is>
          <t>USAG Hawaii</t>
        </is>
      </c>
      <c r="C674" s="11" t="inlineStr">
        <is>
          <t>Schofield Barracks / Fort Shafter / Wheeler AAF</t>
        </is>
      </c>
      <c r="D674" s="11" t="inlineStr">
        <is>
          <t>HI</t>
        </is>
      </c>
      <c r="E674" s="11" t="inlineStr">
        <is>
          <t>Honolulu</t>
        </is>
      </c>
      <c r="F674" s="11" t="inlineStr">
        <is>
          <t>96815</t>
        </is>
      </c>
      <c r="G674" s="11" t="inlineStr">
        <is>
          <t>Army</t>
        </is>
      </c>
      <c r="H674" s="11" t="inlineStr">
        <is>
          <t>Print &amp; Publications</t>
        </is>
      </c>
      <c r="I674" s="8" t="inlineStr">
        <is>
          <t>Publication Display</t>
        </is>
      </c>
      <c r="J674" s="11" t="inlineStr">
        <is>
          <t>TBD</t>
        </is>
      </c>
      <c r="K674" s="8" t="inlineStr">
        <is>
          <t>Your ad will appear in 15 approved locations on the installation.</t>
        </is>
      </c>
      <c r="L674" s="11" t="n">
        <v>3</v>
      </c>
      <c r="M674" s="12" t="n"/>
      <c r="N674" s="12" t="n">
        <v>2250</v>
      </c>
      <c r="O674" s="12" t="n">
        <v>4050</v>
      </c>
      <c r="P674" s="12" t="n">
        <v>7656</v>
      </c>
      <c r="Q674" s="12" t="n"/>
      <c r="R674" s="13">
        <f>IF(ISNUMBER(M674),ROUND(M674/(1-Settings!$B$2)/Settings!$B$3,0)*Settings!$B$3,"")</f>
        <v/>
      </c>
      <c r="S674" s="13">
        <f>IF(ISNUMBER(N674),ROUND(N674/(1-Settings!$B$2)/Settings!$B$3,0)*Settings!$B$3,"")</f>
        <v/>
      </c>
      <c r="T674" s="13">
        <f>IF(ISNUMBER(O674),ROUND(O674/(1-Settings!$B$2)/Settings!$B$3,0)*Settings!$B$3,"")</f>
        <v/>
      </c>
      <c r="U674" s="13">
        <f>IF(ISNUMBER(P674),ROUND(P674/(1-Settings!$B$2)/Settings!$B$3,0)*Settings!$B$3,"")</f>
        <v/>
      </c>
      <c r="V674" s="13">
        <f>IF(ISNUMBER(Q674),ROUND(Q674/(1-Settings!$B$2)/Settings!$B$3,0)*Settings!$B$3,"")</f>
        <v/>
      </c>
      <c r="W674" s="14" t="n">
        <v>15057</v>
      </c>
      <c r="X674" s="14" t="n">
        <v>18965</v>
      </c>
      <c r="Y674" s="11" t="inlineStr"/>
      <c r="Z674" s="11" t="inlineStr"/>
      <c r="AA674" s="8" t="inlineStr"/>
      <c r="AB674" s="8" t="inlineStr"/>
      <c r="AC674" s="11" t="inlineStr">
        <is>
          <t>MasterMilitaryOnBaseList 12.2.25 NS.xlsx</t>
        </is>
      </c>
      <c r="AD674" s="11" t="inlineStr">
        <is>
          <t>MCBHI Updated Pricing.docx</t>
        </is>
      </c>
      <c r="AE674" s="15" t="inlineStr">
        <is>
          <t>Open in Box</t>
        </is>
      </c>
      <c r="AF674" s="15" t="inlineStr">
        <is>
          <t>Open in Box</t>
        </is>
      </c>
    </row>
    <row r="675">
      <c r="A675" s="11" t="inlineStr">
        <is>
          <t>HI-USAGHAWA-008</t>
        </is>
      </c>
      <c r="B675" s="8" t="inlineStr">
        <is>
          <t>USAG Hawaii</t>
        </is>
      </c>
      <c r="C675" s="11" t="inlineStr">
        <is>
          <t>Schofield Barracks / Fort Shafter / Wheeler AAF</t>
        </is>
      </c>
      <c r="D675" s="11" t="inlineStr">
        <is>
          <t>HI</t>
        </is>
      </c>
      <c r="E675" s="11" t="inlineStr">
        <is>
          <t>Honolulu</t>
        </is>
      </c>
      <c r="F675" s="11" t="inlineStr">
        <is>
          <t>96815</t>
        </is>
      </c>
      <c r="G675" s="11" t="inlineStr">
        <is>
          <t>Army</t>
        </is>
      </c>
      <c r="H675" s="11" t="inlineStr">
        <is>
          <t>Standard Media</t>
        </is>
      </c>
      <c r="I675" s="8" t="inlineStr">
        <is>
          <t>Banner</t>
        </is>
      </c>
      <c r="J675" s="11" t="inlineStr">
        <is>
          <t>TBD</t>
        </is>
      </c>
      <c r="K675" s="8" t="inlineStr">
        <is>
          <t>Your ad will appear in the fitness center.</t>
        </is>
      </c>
      <c r="L675" s="11" t="n">
        <v>1</v>
      </c>
      <c r="M675" s="12" t="n">
        <v>1200</v>
      </c>
      <c r="N675" s="12" t="n">
        <v>3600</v>
      </c>
      <c r="O675" s="12" t="n">
        <v>7200</v>
      </c>
      <c r="P675" s="12" t="n">
        <v>14400</v>
      </c>
      <c r="Q675" s="12" t="n"/>
      <c r="R675" s="13">
        <f>IF(ISNUMBER(M675),ROUND(M675/(1-Settings!$B$2)/Settings!$B$3,0)*Settings!$B$3,"")</f>
        <v/>
      </c>
      <c r="S675" s="13">
        <f>IF(ISNUMBER(N675),ROUND(N675/(1-Settings!$B$2)/Settings!$B$3,0)*Settings!$B$3,"")</f>
        <v/>
      </c>
      <c r="T675" s="13">
        <f>IF(ISNUMBER(O675),ROUND(O675/(1-Settings!$B$2)/Settings!$B$3,0)*Settings!$B$3,"")</f>
        <v/>
      </c>
      <c r="U675" s="13">
        <f>IF(ISNUMBER(P675),ROUND(P675/(1-Settings!$B$2)/Settings!$B$3,0)*Settings!$B$3,"")</f>
        <v/>
      </c>
      <c r="V675" s="13">
        <f>IF(ISNUMBER(Q675),ROUND(Q675/(1-Settings!$B$2)/Settings!$B$3,0)*Settings!$B$3,"")</f>
        <v/>
      </c>
      <c r="W675" s="14" t="n">
        <v>15057</v>
      </c>
      <c r="X675" s="14" t="n">
        <v>18965</v>
      </c>
      <c r="Y675" s="11" t="inlineStr"/>
      <c r="Z675" s="11" t="inlineStr"/>
      <c r="AA675" s="8" t="inlineStr"/>
      <c r="AB675" s="8" t="inlineStr"/>
      <c r="AC675" s="11" t="inlineStr">
        <is>
          <t>MasterMilitaryOnBaseList 12.2.25 NS.xlsx</t>
        </is>
      </c>
      <c r="AD675" s="11" t="inlineStr">
        <is>
          <t>MCBHI Updated Pricing.docx</t>
        </is>
      </c>
      <c r="AE675" s="15" t="inlineStr">
        <is>
          <t>Open in Box</t>
        </is>
      </c>
      <c r="AF675" s="15" t="inlineStr">
        <is>
          <t>Open in Box</t>
        </is>
      </c>
    </row>
    <row r="676">
      <c r="A676" s="11" t="inlineStr">
        <is>
          <t>HI-USAGHAWA-009</t>
        </is>
      </c>
      <c r="B676" s="8" t="inlineStr">
        <is>
          <t>USAG Hawaii</t>
        </is>
      </c>
      <c r="C676" s="11" t="inlineStr">
        <is>
          <t>Schofield Barracks / Fort Shafter / Wheeler AAF</t>
        </is>
      </c>
      <c r="D676" s="11" t="inlineStr">
        <is>
          <t>HI</t>
        </is>
      </c>
      <c r="E676" s="11" t="inlineStr">
        <is>
          <t>Honolulu</t>
        </is>
      </c>
      <c r="F676" s="11" t="inlineStr">
        <is>
          <t>96815</t>
        </is>
      </c>
      <c r="G676" s="11" t="inlineStr">
        <is>
          <t>Army</t>
        </is>
      </c>
      <c r="H676" s="11" t="inlineStr">
        <is>
          <t>Standard Media</t>
        </is>
      </c>
      <c r="I676" s="8" t="inlineStr">
        <is>
          <t>Banners (Desktop Stands)</t>
        </is>
      </c>
      <c r="J676" s="11" t="inlineStr">
        <is>
          <t>4'</t>
        </is>
      </c>
      <c r="K676" s="8" t="inlineStr">
        <is>
          <t>Your ad will appear in an approved area on the installation.</t>
        </is>
      </c>
      <c r="L676" s="11" t="n">
        <v>1</v>
      </c>
      <c r="M676" s="12" t="n">
        <v>160</v>
      </c>
      <c r="N676" s="12" t="n">
        <v>480</v>
      </c>
      <c r="O676" s="12" t="n">
        <v>960</v>
      </c>
      <c r="P676" s="12" t="n">
        <v>1632</v>
      </c>
      <c r="Q676" s="12" t="n">
        <v>200</v>
      </c>
      <c r="R676" s="13">
        <f>IF(ISNUMBER(M676),ROUND(M676/(1-Settings!$B$2)/Settings!$B$3,0)*Settings!$B$3,"")</f>
        <v/>
      </c>
      <c r="S676" s="13">
        <f>IF(ISNUMBER(N676),ROUND(N676/(1-Settings!$B$2)/Settings!$B$3,0)*Settings!$B$3,"")</f>
        <v/>
      </c>
      <c r="T676" s="13">
        <f>IF(ISNUMBER(O676),ROUND(O676/(1-Settings!$B$2)/Settings!$B$3,0)*Settings!$B$3,"")</f>
        <v/>
      </c>
      <c r="U676" s="13">
        <f>IF(ISNUMBER(P676),ROUND(P676/(1-Settings!$B$2)/Settings!$B$3,0)*Settings!$B$3,"")</f>
        <v/>
      </c>
      <c r="V676" s="13">
        <f>IF(ISNUMBER(Q676),ROUND(Q676/(1-Settings!$B$2)/Settings!$B$3,0)*Settings!$B$3,"")</f>
        <v/>
      </c>
      <c r="W676" s="14" t="n">
        <v>15057</v>
      </c>
      <c r="X676" s="14" t="n">
        <v>18965</v>
      </c>
      <c r="Y676" s="11" t="inlineStr"/>
      <c r="Z676" s="11" t="inlineStr"/>
      <c r="AA676" s="8" t="inlineStr"/>
      <c r="AB676" s="8" t="inlineStr"/>
      <c r="AC676" s="11" t="inlineStr">
        <is>
          <t>MasterMilitaryOnBaseList 12.2.25 NS.xlsx</t>
        </is>
      </c>
      <c r="AD676" s="11" t="inlineStr">
        <is>
          <t>MCBHI Updated Pricing.docx</t>
        </is>
      </c>
      <c r="AE676" s="15" t="inlineStr">
        <is>
          <t>Open in Box</t>
        </is>
      </c>
      <c r="AF676" s="15" t="inlineStr">
        <is>
          <t>Open in Box</t>
        </is>
      </c>
    </row>
    <row r="677">
      <c r="A677" s="11" t="inlineStr">
        <is>
          <t>HI-USAGHAWA-010</t>
        </is>
      </c>
      <c r="B677" s="8" t="inlineStr">
        <is>
          <t>USAG Hawaii</t>
        </is>
      </c>
      <c r="C677" s="11" t="inlineStr">
        <is>
          <t>Schofield Barracks / Fort Shafter / Wheeler AAF</t>
        </is>
      </c>
      <c r="D677" s="11" t="inlineStr">
        <is>
          <t>HI</t>
        </is>
      </c>
      <c r="E677" s="11" t="inlineStr">
        <is>
          <t>Honolulu</t>
        </is>
      </c>
      <c r="F677" s="11" t="inlineStr">
        <is>
          <t>96815</t>
        </is>
      </c>
      <c r="G677" s="11" t="inlineStr">
        <is>
          <t>Army</t>
        </is>
      </c>
      <c r="H677" s="11" t="inlineStr">
        <is>
          <t>Standard Media</t>
        </is>
      </c>
      <c r="I677" s="8" t="inlineStr">
        <is>
          <t>Banners (Oversize Size)</t>
        </is>
      </c>
      <c r="J677" s="11" t="inlineStr">
        <is>
          <t>8' x 3'</t>
        </is>
      </c>
      <c r="K677" s="8" t="inlineStr">
        <is>
          <t>Your ad will appear in an approved area on the installation.</t>
        </is>
      </c>
      <c r="L677" s="11" t="n">
        <v>1</v>
      </c>
      <c r="M677" s="12" t="n">
        <v>320</v>
      </c>
      <c r="N677" s="12" t="n">
        <v>960</v>
      </c>
      <c r="O677" s="12" t="n">
        <v>1920</v>
      </c>
      <c r="P677" s="12" t="n">
        <v>3264</v>
      </c>
      <c r="Q677" s="12" t="n">
        <v>200</v>
      </c>
      <c r="R677" s="13">
        <f>IF(ISNUMBER(M677),ROUND(M677/(1-Settings!$B$2)/Settings!$B$3,0)*Settings!$B$3,"")</f>
        <v/>
      </c>
      <c r="S677" s="13">
        <f>IF(ISNUMBER(N677),ROUND(N677/(1-Settings!$B$2)/Settings!$B$3,0)*Settings!$B$3,"")</f>
        <v/>
      </c>
      <c r="T677" s="13">
        <f>IF(ISNUMBER(O677),ROUND(O677/(1-Settings!$B$2)/Settings!$B$3,0)*Settings!$B$3,"")</f>
        <v/>
      </c>
      <c r="U677" s="13">
        <f>IF(ISNUMBER(P677),ROUND(P677/(1-Settings!$B$2)/Settings!$B$3,0)*Settings!$B$3,"")</f>
        <v/>
      </c>
      <c r="V677" s="13">
        <f>IF(ISNUMBER(Q677),ROUND(Q677/(1-Settings!$B$2)/Settings!$B$3,0)*Settings!$B$3,"")</f>
        <v/>
      </c>
      <c r="W677" s="14" t="n">
        <v>15057</v>
      </c>
      <c r="X677" s="14" t="n">
        <v>18965</v>
      </c>
      <c r="Y677" s="11" t="inlineStr"/>
      <c r="Z677" s="11" t="inlineStr"/>
      <c r="AA677" s="8" t="inlineStr"/>
      <c r="AB677" s="8" t="inlineStr"/>
      <c r="AC677" s="11" t="inlineStr">
        <is>
          <t>MasterMilitaryOnBaseList 12.2.25 NS.xlsx</t>
        </is>
      </c>
      <c r="AD677" s="11" t="inlineStr">
        <is>
          <t>MCBHI Updated Pricing.docx</t>
        </is>
      </c>
      <c r="AE677" s="15" t="inlineStr">
        <is>
          <t>Open in Box</t>
        </is>
      </c>
      <c r="AF677" s="15" t="inlineStr">
        <is>
          <t>Open in Box</t>
        </is>
      </c>
    </row>
    <row r="678">
      <c r="A678" s="11" t="inlineStr">
        <is>
          <t>HI-USAGHAWA-011</t>
        </is>
      </c>
      <c r="B678" s="8" t="inlineStr">
        <is>
          <t>USAG Hawaii</t>
        </is>
      </c>
      <c r="C678" s="11" t="inlineStr">
        <is>
          <t>Schofield Barracks / Fort Shafter / Wheeler AAF</t>
        </is>
      </c>
      <c r="D678" s="11" t="inlineStr">
        <is>
          <t>HI</t>
        </is>
      </c>
      <c r="E678" s="11" t="inlineStr">
        <is>
          <t>Honolulu</t>
        </is>
      </c>
      <c r="F678" s="11" t="inlineStr">
        <is>
          <t>96815</t>
        </is>
      </c>
      <c r="G678" s="11" t="inlineStr">
        <is>
          <t>Army</t>
        </is>
      </c>
      <c r="H678" s="11" t="inlineStr">
        <is>
          <t>Standard Media</t>
        </is>
      </c>
      <c r="I678" s="8" t="inlineStr">
        <is>
          <t>Banners (Oversize Size)</t>
        </is>
      </c>
      <c r="J678" s="11" t="inlineStr">
        <is>
          <t>10' x 3'</t>
        </is>
      </c>
      <c r="K678" s="8" t="inlineStr">
        <is>
          <t>Your ad will appear in an approved area on the installation.</t>
        </is>
      </c>
      <c r="L678" s="11" t="n">
        <v>1</v>
      </c>
      <c r="M678" s="12" t="n">
        <v>400</v>
      </c>
      <c r="N678" s="12" t="n">
        <v>1200</v>
      </c>
      <c r="O678" s="12" t="n">
        <v>2400</v>
      </c>
      <c r="P678" s="12" t="n">
        <v>4080</v>
      </c>
      <c r="Q678" s="12" t="n">
        <v>200</v>
      </c>
      <c r="R678" s="13">
        <f>IF(ISNUMBER(M678),ROUND(M678/(1-Settings!$B$2)/Settings!$B$3,0)*Settings!$B$3,"")</f>
        <v/>
      </c>
      <c r="S678" s="13">
        <f>IF(ISNUMBER(N678),ROUND(N678/(1-Settings!$B$2)/Settings!$B$3,0)*Settings!$B$3,"")</f>
        <v/>
      </c>
      <c r="T678" s="13">
        <f>IF(ISNUMBER(O678),ROUND(O678/(1-Settings!$B$2)/Settings!$B$3,0)*Settings!$B$3,"")</f>
        <v/>
      </c>
      <c r="U678" s="13">
        <f>IF(ISNUMBER(P678),ROUND(P678/(1-Settings!$B$2)/Settings!$B$3,0)*Settings!$B$3,"")</f>
        <v/>
      </c>
      <c r="V678" s="13">
        <f>IF(ISNUMBER(Q678),ROUND(Q678/(1-Settings!$B$2)/Settings!$B$3,0)*Settings!$B$3,"")</f>
        <v/>
      </c>
      <c r="W678" s="14" t="n">
        <v>15057</v>
      </c>
      <c r="X678" s="14" t="n">
        <v>18965</v>
      </c>
      <c r="Y678" s="11" t="inlineStr"/>
      <c r="Z678" s="11" t="inlineStr"/>
      <c r="AA678" s="8" t="inlineStr"/>
      <c r="AB678" s="8" t="inlineStr"/>
      <c r="AC678" s="11" t="inlineStr">
        <is>
          <t>MasterMilitaryOnBaseList 12.2.25 NS.xlsx</t>
        </is>
      </c>
      <c r="AD678" s="11" t="inlineStr">
        <is>
          <t>MCBHI Updated Pricing.docx</t>
        </is>
      </c>
      <c r="AE678" s="15" t="inlineStr">
        <is>
          <t>Open in Box</t>
        </is>
      </c>
      <c r="AF678" s="15" t="inlineStr">
        <is>
          <t>Open in Box</t>
        </is>
      </c>
    </row>
    <row r="679">
      <c r="A679" s="11" t="inlineStr">
        <is>
          <t>HI-USAGHAWA-012</t>
        </is>
      </c>
      <c r="B679" s="8" t="inlineStr">
        <is>
          <t>USAG Hawaii</t>
        </is>
      </c>
      <c r="C679" s="11" t="inlineStr">
        <is>
          <t>Schofield Barracks / Fort Shafter / Wheeler AAF</t>
        </is>
      </c>
      <c r="D679" s="11" t="inlineStr">
        <is>
          <t>HI</t>
        </is>
      </c>
      <c r="E679" s="11" t="inlineStr">
        <is>
          <t>Honolulu</t>
        </is>
      </c>
      <c r="F679" s="11" t="inlineStr">
        <is>
          <t>96815</t>
        </is>
      </c>
      <c r="G679" s="11" t="inlineStr">
        <is>
          <t>Army</t>
        </is>
      </c>
      <c r="H679" s="11" t="inlineStr">
        <is>
          <t>Standard Media</t>
        </is>
      </c>
      <c r="I679" s="8" t="inlineStr">
        <is>
          <t>Banners (Oversize Size)</t>
        </is>
      </c>
      <c r="J679" s="11" t="inlineStr">
        <is>
          <t>12' x 3'</t>
        </is>
      </c>
      <c r="K679" s="8" t="inlineStr">
        <is>
          <t>Your ad will appear in an approved area on the installation.</t>
        </is>
      </c>
      <c r="L679" s="11" t="n">
        <v>1</v>
      </c>
      <c r="M679" s="12" t="n">
        <v>480</v>
      </c>
      <c r="N679" s="12" t="n">
        <v>1140</v>
      </c>
      <c r="O679" s="12" t="n">
        <v>2880</v>
      </c>
      <c r="P679" s="12" t="n">
        <v>4896</v>
      </c>
      <c r="Q679" s="12" t="n">
        <v>200</v>
      </c>
      <c r="R679" s="13">
        <f>IF(ISNUMBER(M679),ROUND(M679/(1-Settings!$B$2)/Settings!$B$3,0)*Settings!$B$3,"")</f>
        <v/>
      </c>
      <c r="S679" s="13">
        <f>IF(ISNUMBER(N679),ROUND(N679/(1-Settings!$B$2)/Settings!$B$3,0)*Settings!$B$3,"")</f>
        <v/>
      </c>
      <c r="T679" s="13">
        <f>IF(ISNUMBER(O679),ROUND(O679/(1-Settings!$B$2)/Settings!$B$3,0)*Settings!$B$3,"")</f>
        <v/>
      </c>
      <c r="U679" s="13">
        <f>IF(ISNUMBER(P679),ROUND(P679/(1-Settings!$B$2)/Settings!$B$3,0)*Settings!$B$3,"")</f>
        <v/>
      </c>
      <c r="V679" s="13">
        <f>IF(ISNUMBER(Q679),ROUND(Q679/(1-Settings!$B$2)/Settings!$B$3,0)*Settings!$B$3,"")</f>
        <v/>
      </c>
      <c r="W679" s="14" t="n">
        <v>15057</v>
      </c>
      <c r="X679" s="14" t="n">
        <v>18965</v>
      </c>
      <c r="Y679" s="11" t="inlineStr"/>
      <c r="Z679" s="11" t="inlineStr"/>
      <c r="AA679" s="8" t="inlineStr"/>
      <c r="AB679" s="8" t="inlineStr"/>
      <c r="AC679" s="11" t="inlineStr">
        <is>
          <t>MasterMilitaryOnBaseList 12.2.25 NS.xlsx</t>
        </is>
      </c>
      <c r="AD679" s="11" t="inlineStr">
        <is>
          <t>MCBHI Updated Pricing.docx</t>
        </is>
      </c>
      <c r="AE679" s="15" t="inlineStr">
        <is>
          <t>Open in Box</t>
        </is>
      </c>
      <c r="AF679" s="15" t="inlineStr">
        <is>
          <t>Open in Box</t>
        </is>
      </c>
    </row>
    <row r="680">
      <c r="A680" s="11" t="inlineStr">
        <is>
          <t>HI-USAGHAWA-013</t>
        </is>
      </c>
      <c r="B680" s="8" t="inlineStr">
        <is>
          <t>USAG Hawaii</t>
        </is>
      </c>
      <c r="C680" s="11" t="inlineStr">
        <is>
          <t>Schofield Barracks / Fort Shafter / Wheeler AAF</t>
        </is>
      </c>
      <c r="D680" s="11" t="inlineStr">
        <is>
          <t>HI</t>
        </is>
      </c>
      <c r="E680" s="11" t="inlineStr">
        <is>
          <t>Honolulu</t>
        </is>
      </c>
      <c r="F680" s="11" t="inlineStr">
        <is>
          <t>96815</t>
        </is>
      </c>
      <c r="G680" s="11" t="inlineStr">
        <is>
          <t>Army</t>
        </is>
      </c>
      <c r="H680" s="11" t="inlineStr">
        <is>
          <t>Standard Media</t>
        </is>
      </c>
      <c r="I680" s="8" t="inlineStr">
        <is>
          <t>Banners (Standard Size)</t>
        </is>
      </c>
      <c r="J680" s="11" t="inlineStr">
        <is>
          <t>6' x 3</t>
        </is>
      </c>
      <c r="K680" s="8" t="inlineStr">
        <is>
          <t>Your ad will appear in an approved area on the installation.</t>
        </is>
      </c>
      <c r="L680" s="11" t="n">
        <v>1</v>
      </c>
      <c r="M680" s="12" t="n">
        <v>240</v>
      </c>
      <c r="N680" s="12" t="n">
        <v>720</v>
      </c>
      <c r="O680" s="12" t="n">
        <v>1440</v>
      </c>
      <c r="P680" s="12" t="n">
        <v>2448</v>
      </c>
      <c r="Q680" s="12" t="n">
        <v>200</v>
      </c>
      <c r="R680" s="13">
        <f>IF(ISNUMBER(M680),ROUND(M680/(1-Settings!$B$2)/Settings!$B$3,0)*Settings!$B$3,"")</f>
        <v/>
      </c>
      <c r="S680" s="13">
        <f>IF(ISNUMBER(N680),ROUND(N680/(1-Settings!$B$2)/Settings!$B$3,0)*Settings!$B$3,"")</f>
        <v/>
      </c>
      <c r="T680" s="13">
        <f>IF(ISNUMBER(O680),ROUND(O680/(1-Settings!$B$2)/Settings!$B$3,0)*Settings!$B$3,"")</f>
        <v/>
      </c>
      <c r="U680" s="13">
        <f>IF(ISNUMBER(P680),ROUND(P680/(1-Settings!$B$2)/Settings!$B$3,0)*Settings!$B$3,"")</f>
        <v/>
      </c>
      <c r="V680" s="13">
        <f>IF(ISNUMBER(Q680),ROUND(Q680/(1-Settings!$B$2)/Settings!$B$3,0)*Settings!$B$3,"")</f>
        <v/>
      </c>
      <c r="W680" s="14" t="n">
        <v>15057</v>
      </c>
      <c r="X680" s="14" t="n">
        <v>18965</v>
      </c>
      <c r="Y680" s="11" t="inlineStr"/>
      <c r="Z680" s="11" t="inlineStr"/>
      <c r="AA680" s="8" t="inlineStr"/>
      <c r="AB680" s="8" t="inlineStr"/>
      <c r="AC680" s="11" t="inlineStr">
        <is>
          <t>MasterMilitaryOnBaseList 12.2.25 NS.xlsx</t>
        </is>
      </c>
      <c r="AD680" s="11" t="inlineStr">
        <is>
          <t>MCBHI Updated Pricing.docx</t>
        </is>
      </c>
      <c r="AE680" s="15" t="inlineStr">
        <is>
          <t>Open in Box</t>
        </is>
      </c>
      <c r="AF680" s="15" t="inlineStr">
        <is>
          <t>Open in Box</t>
        </is>
      </c>
    </row>
    <row r="681">
      <c r="A681" s="11" t="inlineStr">
        <is>
          <t>HI-USAGHAWA-014</t>
        </is>
      </c>
      <c r="B681" s="8" t="inlineStr">
        <is>
          <t>USAG Hawaii</t>
        </is>
      </c>
      <c r="C681" s="11" t="inlineStr">
        <is>
          <t>Schofield Barracks / Fort Shafter / Wheeler AAF</t>
        </is>
      </c>
      <c r="D681" s="11" t="inlineStr">
        <is>
          <t>HI</t>
        </is>
      </c>
      <c r="E681" s="11" t="inlineStr">
        <is>
          <t>Honolulu</t>
        </is>
      </c>
      <c r="F681" s="11" t="inlineStr">
        <is>
          <t>96815</t>
        </is>
      </c>
      <c r="G681" s="11" t="inlineStr">
        <is>
          <t>Army</t>
        </is>
      </c>
      <c r="H681" s="11" t="inlineStr">
        <is>
          <t>Standard Media</t>
        </is>
      </c>
      <c r="I681" s="8" t="inlineStr">
        <is>
          <t>Premium Banner - CYS Parental Central Services</t>
        </is>
      </c>
      <c r="J681" s="11" t="inlineStr">
        <is>
          <t>8'W x 3'H</t>
        </is>
      </c>
      <c r="K681" s="8" t="inlineStr">
        <is>
          <t>Your ad will appear in the CYS Parent Central Services Center. [Minimum of 3 months]</t>
        </is>
      </c>
      <c r="L681" s="11" t="n">
        <v>3</v>
      </c>
      <c r="M681" s="12" t="n"/>
      <c r="N681" s="12" t="n">
        <v>1500</v>
      </c>
      <c r="O681" s="12" t="n">
        <v>3000</v>
      </c>
      <c r="P681" s="12" t="n">
        <v>6000</v>
      </c>
      <c r="Q681" s="12" t="n">
        <v>200</v>
      </c>
      <c r="R681" s="13">
        <f>IF(ISNUMBER(M681),ROUND(M681/(1-Settings!$B$2)/Settings!$B$3,0)*Settings!$B$3,"")</f>
        <v/>
      </c>
      <c r="S681" s="13">
        <f>IF(ISNUMBER(N681),ROUND(N681/(1-Settings!$B$2)/Settings!$B$3,0)*Settings!$B$3,"")</f>
        <v/>
      </c>
      <c r="T681" s="13">
        <f>IF(ISNUMBER(O681),ROUND(O681/(1-Settings!$B$2)/Settings!$B$3,0)*Settings!$B$3,"")</f>
        <v/>
      </c>
      <c r="U681" s="13">
        <f>IF(ISNUMBER(P681),ROUND(P681/(1-Settings!$B$2)/Settings!$B$3,0)*Settings!$B$3,"")</f>
        <v/>
      </c>
      <c r="V681" s="13">
        <f>IF(ISNUMBER(Q681),ROUND(Q681/(1-Settings!$B$2)/Settings!$B$3,0)*Settings!$B$3,"")</f>
        <v/>
      </c>
      <c r="W681" s="14" t="n">
        <v>15057</v>
      </c>
      <c r="X681" s="14" t="n">
        <v>18965</v>
      </c>
      <c r="Y681" s="11" t="inlineStr"/>
      <c r="Z681" s="11" t="inlineStr"/>
      <c r="AA681" s="8" t="inlineStr"/>
      <c r="AB681" s="8" t="inlineStr"/>
      <c r="AC681" s="11" t="inlineStr">
        <is>
          <t>MasterMilitaryOnBaseList 12.2.25 NS.xlsx</t>
        </is>
      </c>
      <c r="AD681" s="11" t="inlineStr">
        <is>
          <t>MCBHI Updated Pricing.docx</t>
        </is>
      </c>
      <c r="AE681" s="15" t="inlineStr">
        <is>
          <t>Open in Box</t>
        </is>
      </c>
      <c r="AF681" s="15" t="inlineStr">
        <is>
          <t>Open in Box</t>
        </is>
      </c>
    </row>
    <row r="682">
      <c r="A682" s="11" t="inlineStr">
        <is>
          <t>HI-USAGHAWA-015</t>
        </is>
      </c>
      <c r="B682" s="8" t="inlineStr">
        <is>
          <t>USAG Hawaii</t>
        </is>
      </c>
      <c r="C682" s="11" t="inlineStr">
        <is>
          <t>Schofield Barracks / Fort Shafter / Wheeler AAF</t>
        </is>
      </c>
      <c r="D682" s="11" t="inlineStr">
        <is>
          <t>HI</t>
        </is>
      </c>
      <c r="E682" s="11" t="inlineStr">
        <is>
          <t>Honolulu</t>
        </is>
      </c>
      <c r="F682" s="11" t="inlineStr">
        <is>
          <t>96815</t>
        </is>
      </c>
      <c r="G682" s="11" t="inlineStr">
        <is>
          <t>Army</t>
        </is>
      </c>
      <c r="H682" s="11" t="inlineStr">
        <is>
          <t>Standard Media</t>
        </is>
      </c>
      <c r="I682" s="8" t="inlineStr">
        <is>
          <t>Premium Banner - Hangar Entertainment Center</t>
        </is>
      </c>
      <c r="J682" s="11" t="inlineStr">
        <is>
          <t>8'W x 6'H</t>
        </is>
      </c>
      <c r="K682" s="8" t="inlineStr">
        <is>
          <t>Your ad will appear in the Hangar Entertainment Center. [Minimum of 3 months]</t>
        </is>
      </c>
      <c r="L682" s="11" t="n">
        <v>3</v>
      </c>
      <c r="M682" s="12" t="n"/>
      <c r="N682" s="12" t="n">
        <v>1500</v>
      </c>
      <c r="O682" s="12" t="n">
        <v>3000</v>
      </c>
      <c r="P682" s="12" t="n">
        <v>6000</v>
      </c>
      <c r="Q682" s="12" t="n">
        <v>200</v>
      </c>
      <c r="R682" s="13">
        <f>IF(ISNUMBER(M682),ROUND(M682/(1-Settings!$B$2)/Settings!$B$3,0)*Settings!$B$3,"")</f>
        <v/>
      </c>
      <c r="S682" s="13">
        <f>IF(ISNUMBER(N682),ROUND(N682/(1-Settings!$B$2)/Settings!$B$3,0)*Settings!$B$3,"")</f>
        <v/>
      </c>
      <c r="T682" s="13">
        <f>IF(ISNUMBER(O682),ROUND(O682/(1-Settings!$B$2)/Settings!$B$3,0)*Settings!$B$3,"")</f>
        <v/>
      </c>
      <c r="U682" s="13">
        <f>IF(ISNUMBER(P682),ROUND(P682/(1-Settings!$B$2)/Settings!$B$3,0)*Settings!$B$3,"")</f>
        <v/>
      </c>
      <c r="V682" s="13">
        <f>IF(ISNUMBER(Q682),ROUND(Q682/(1-Settings!$B$2)/Settings!$B$3,0)*Settings!$B$3,"")</f>
        <v/>
      </c>
      <c r="W682" s="14" t="n">
        <v>15057</v>
      </c>
      <c r="X682" s="14" t="n">
        <v>18965</v>
      </c>
      <c r="Y682" s="11" t="inlineStr"/>
      <c r="Z682" s="11" t="inlineStr"/>
      <c r="AA682" s="8" t="inlineStr"/>
      <c r="AB682" s="8" t="inlineStr"/>
      <c r="AC682" s="11" t="inlineStr">
        <is>
          <t>MasterMilitaryOnBaseList 12.2.25 NS.xlsx</t>
        </is>
      </c>
      <c r="AD682" s="11" t="inlineStr">
        <is>
          <t>MCBHI Updated Pricing.docx</t>
        </is>
      </c>
      <c r="AE682" s="15" t="inlineStr">
        <is>
          <t>Open in Box</t>
        </is>
      </c>
      <c r="AF682" s="15" t="inlineStr">
        <is>
          <t>Open in Box</t>
        </is>
      </c>
    </row>
    <row r="683">
      <c r="A683" s="11" t="inlineStr">
        <is>
          <t>HI-USAGHAWA-016</t>
        </is>
      </c>
      <c r="B683" s="8" t="inlineStr">
        <is>
          <t>USAG Hawaii</t>
        </is>
      </c>
      <c r="C683" s="11" t="inlineStr">
        <is>
          <t>Schofield Barracks / Fort Shafter / Wheeler AAF</t>
        </is>
      </c>
      <c r="D683" s="11" t="inlineStr">
        <is>
          <t>HI</t>
        </is>
      </c>
      <c r="E683" s="11" t="inlineStr">
        <is>
          <t>Honolulu</t>
        </is>
      </c>
      <c r="F683" s="11" t="inlineStr">
        <is>
          <t>96815</t>
        </is>
      </c>
      <c r="G683" s="11" t="inlineStr">
        <is>
          <t>Army</t>
        </is>
      </c>
      <c r="H683" s="11" t="inlineStr">
        <is>
          <t>Standard Media</t>
        </is>
      </c>
      <c r="I683" s="8" t="inlineStr">
        <is>
          <t>Premium Banner - Health Fitness Center</t>
        </is>
      </c>
      <c r="J683" s="11" t="inlineStr">
        <is>
          <t>8'W x 6'H</t>
        </is>
      </c>
      <c r="K683" s="8" t="inlineStr">
        <is>
          <t>Your ad will appear in the Health Fitness Center. [Minimum of 3 months]</t>
        </is>
      </c>
      <c r="L683" s="11" t="n">
        <v>3</v>
      </c>
      <c r="M683" s="12" t="n"/>
      <c r="N683" s="12" t="n">
        <v>1500</v>
      </c>
      <c r="O683" s="12" t="n">
        <v>3000</v>
      </c>
      <c r="P683" s="12" t="n">
        <v>6000</v>
      </c>
      <c r="Q683" s="12" t="n">
        <v>200</v>
      </c>
      <c r="R683" s="13">
        <f>IF(ISNUMBER(M683),ROUND(M683/(1-Settings!$B$2)/Settings!$B$3,0)*Settings!$B$3,"")</f>
        <v/>
      </c>
      <c r="S683" s="13">
        <f>IF(ISNUMBER(N683),ROUND(N683/(1-Settings!$B$2)/Settings!$B$3,0)*Settings!$B$3,"")</f>
        <v/>
      </c>
      <c r="T683" s="13">
        <f>IF(ISNUMBER(O683),ROUND(O683/(1-Settings!$B$2)/Settings!$B$3,0)*Settings!$B$3,"")</f>
        <v/>
      </c>
      <c r="U683" s="13">
        <f>IF(ISNUMBER(P683),ROUND(P683/(1-Settings!$B$2)/Settings!$B$3,0)*Settings!$B$3,"")</f>
        <v/>
      </c>
      <c r="V683" s="13">
        <f>IF(ISNUMBER(Q683),ROUND(Q683/(1-Settings!$B$2)/Settings!$B$3,0)*Settings!$B$3,"")</f>
        <v/>
      </c>
      <c r="W683" s="14" t="n">
        <v>15057</v>
      </c>
      <c r="X683" s="14" t="n">
        <v>18965</v>
      </c>
      <c r="Y683" s="11" t="inlineStr"/>
      <c r="Z683" s="11" t="inlineStr"/>
      <c r="AA683" s="8" t="inlineStr"/>
      <c r="AB683" s="8" t="inlineStr"/>
      <c r="AC683" s="11" t="inlineStr">
        <is>
          <t>MasterMilitaryOnBaseList 12.2.25 NS.xlsx</t>
        </is>
      </c>
      <c r="AD683" s="11" t="inlineStr">
        <is>
          <t>MCBHI Updated Pricing.docx</t>
        </is>
      </c>
      <c r="AE683" s="15" t="inlineStr">
        <is>
          <t>Open in Box</t>
        </is>
      </c>
      <c r="AF683" s="15" t="inlineStr">
        <is>
          <t>Open in Box</t>
        </is>
      </c>
    </row>
    <row r="684">
      <c r="A684" s="11" t="inlineStr">
        <is>
          <t>HI-USAGHAWA-017</t>
        </is>
      </c>
      <c r="B684" s="8" t="inlineStr">
        <is>
          <t>USAG Hawaii</t>
        </is>
      </c>
      <c r="C684" s="11" t="inlineStr">
        <is>
          <t>Schofield Barracks / Fort Shafter / Wheeler AAF</t>
        </is>
      </c>
      <c r="D684" s="11" t="inlineStr">
        <is>
          <t>HI</t>
        </is>
      </c>
      <c r="E684" s="11" t="inlineStr">
        <is>
          <t>Honolulu</t>
        </is>
      </c>
      <c r="F684" s="11" t="inlineStr">
        <is>
          <t>96815</t>
        </is>
      </c>
      <c r="G684" s="11" t="inlineStr">
        <is>
          <t>Army</t>
        </is>
      </c>
      <c r="H684" s="11" t="inlineStr">
        <is>
          <t>Standard Media</t>
        </is>
      </c>
      <c r="I684" s="8" t="inlineStr">
        <is>
          <t>Premium Banner - Physical Fitness Center</t>
        </is>
      </c>
      <c r="J684" s="11" t="inlineStr">
        <is>
          <t>8'W x 6'H</t>
        </is>
      </c>
      <c r="K684" s="8" t="inlineStr">
        <is>
          <t>Your ad will appear in the Physical Fitness Center. [Minimum of 3 months]</t>
        </is>
      </c>
      <c r="L684" s="11" t="n">
        <v>3</v>
      </c>
      <c r="M684" s="12" t="n"/>
      <c r="N684" s="12" t="n">
        <v>1800</v>
      </c>
      <c r="O684" s="12" t="n">
        <v>3600</v>
      </c>
      <c r="P684" s="12" t="n">
        <v>7200</v>
      </c>
      <c r="Q684" s="12" t="n">
        <v>200</v>
      </c>
      <c r="R684" s="13">
        <f>IF(ISNUMBER(M684),ROUND(M684/(1-Settings!$B$2)/Settings!$B$3,0)*Settings!$B$3,"")</f>
        <v/>
      </c>
      <c r="S684" s="13">
        <f>IF(ISNUMBER(N684),ROUND(N684/(1-Settings!$B$2)/Settings!$B$3,0)*Settings!$B$3,"")</f>
        <v/>
      </c>
      <c r="T684" s="13">
        <f>IF(ISNUMBER(O684),ROUND(O684/(1-Settings!$B$2)/Settings!$B$3,0)*Settings!$B$3,"")</f>
        <v/>
      </c>
      <c r="U684" s="13">
        <f>IF(ISNUMBER(P684),ROUND(P684/(1-Settings!$B$2)/Settings!$B$3,0)*Settings!$B$3,"")</f>
        <v/>
      </c>
      <c r="V684" s="13">
        <f>IF(ISNUMBER(Q684),ROUND(Q684/(1-Settings!$B$2)/Settings!$B$3,0)*Settings!$B$3,"")</f>
        <v/>
      </c>
      <c r="W684" s="14" t="n">
        <v>15057</v>
      </c>
      <c r="X684" s="14" t="n">
        <v>18965</v>
      </c>
      <c r="Y684" s="11" t="inlineStr"/>
      <c r="Z684" s="11" t="inlineStr"/>
      <c r="AA684" s="8" t="inlineStr"/>
      <c r="AB684" s="8" t="inlineStr"/>
      <c r="AC684" s="11" t="inlineStr">
        <is>
          <t>MasterMilitaryOnBaseList 12.2.25 NS.xlsx</t>
        </is>
      </c>
      <c r="AD684" s="11" t="inlineStr">
        <is>
          <t>MCBHI Updated Pricing.docx</t>
        </is>
      </c>
      <c r="AE684" s="15" t="inlineStr">
        <is>
          <t>Open in Box</t>
        </is>
      </c>
      <c r="AF684" s="15" t="inlineStr">
        <is>
          <t>Open in Box</t>
        </is>
      </c>
    </row>
    <row r="685">
      <c r="A685" s="11" t="inlineStr">
        <is>
          <t>HI-USAGHAWA-018</t>
        </is>
      </c>
      <c r="B685" s="8" t="inlineStr">
        <is>
          <t>USAG Hawaii</t>
        </is>
      </c>
      <c r="C685" s="11" t="inlineStr">
        <is>
          <t>Schofield Barracks / Fort Shafter / Wheeler AAF</t>
        </is>
      </c>
      <c r="D685" s="11" t="inlineStr">
        <is>
          <t>HI</t>
        </is>
      </c>
      <c r="E685" s="11" t="inlineStr">
        <is>
          <t>Honolulu</t>
        </is>
      </c>
      <c r="F685" s="11" t="inlineStr">
        <is>
          <t>96815</t>
        </is>
      </c>
      <c r="G685" s="11" t="inlineStr">
        <is>
          <t>Army</t>
        </is>
      </c>
      <c r="H685" s="11" t="inlineStr">
        <is>
          <t>Standard Media</t>
        </is>
      </c>
      <c r="I685" s="8" t="inlineStr">
        <is>
          <t>Premium Banner - Travel Services</t>
        </is>
      </c>
      <c r="J685" s="11" t="inlineStr">
        <is>
          <t>8'W x 6'H</t>
        </is>
      </c>
      <c r="K685" s="8" t="inlineStr">
        <is>
          <t>Your ad will appear in the Leisure Travel Services Center. [Minimum of 3 months]</t>
        </is>
      </c>
      <c r="L685" s="11" t="n">
        <v>3</v>
      </c>
      <c r="M685" s="12" t="n"/>
      <c r="N685" s="12" t="n">
        <v>2400</v>
      </c>
      <c r="O685" s="12" t="n">
        <v>4800</v>
      </c>
      <c r="P685" s="12" t="n">
        <v>9600</v>
      </c>
      <c r="Q685" s="12" t="n">
        <v>200</v>
      </c>
      <c r="R685" s="13">
        <f>IF(ISNUMBER(M685),ROUND(M685/(1-Settings!$B$2)/Settings!$B$3,0)*Settings!$B$3,"")</f>
        <v/>
      </c>
      <c r="S685" s="13">
        <f>IF(ISNUMBER(N685),ROUND(N685/(1-Settings!$B$2)/Settings!$B$3,0)*Settings!$B$3,"")</f>
        <v/>
      </c>
      <c r="T685" s="13">
        <f>IF(ISNUMBER(O685),ROUND(O685/(1-Settings!$B$2)/Settings!$B$3,0)*Settings!$B$3,"")</f>
        <v/>
      </c>
      <c r="U685" s="13">
        <f>IF(ISNUMBER(P685),ROUND(P685/(1-Settings!$B$2)/Settings!$B$3,0)*Settings!$B$3,"")</f>
        <v/>
      </c>
      <c r="V685" s="13">
        <f>IF(ISNUMBER(Q685),ROUND(Q685/(1-Settings!$B$2)/Settings!$B$3,0)*Settings!$B$3,"")</f>
        <v/>
      </c>
      <c r="W685" s="14" t="n">
        <v>15057</v>
      </c>
      <c r="X685" s="14" t="n">
        <v>18965</v>
      </c>
      <c r="Y685" s="11" t="inlineStr"/>
      <c r="Z685" s="11" t="inlineStr"/>
      <c r="AA685" s="8" t="inlineStr"/>
      <c r="AB685" s="8" t="inlineStr"/>
      <c r="AC685" s="11" t="inlineStr">
        <is>
          <t>MasterMilitaryOnBaseList 12.2.25 NS.xlsx</t>
        </is>
      </c>
      <c r="AD685" s="11" t="inlineStr">
        <is>
          <t>MCBHI Updated Pricing.docx</t>
        </is>
      </c>
      <c r="AE685" s="15" t="inlineStr">
        <is>
          <t>Open in Box</t>
        </is>
      </c>
      <c r="AF685" s="15" t="inlineStr">
        <is>
          <t>Open in Box</t>
        </is>
      </c>
    </row>
    <row r="686">
      <c r="A686" s="11" t="inlineStr">
        <is>
          <t>HI-USAGHAWA-019</t>
        </is>
      </c>
      <c r="B686" s="8" t="inlineStr">
        <is>
          <t>USAG Hawaii</t>
        </is>
      </c>
      <c r="C686" s="11" t="inlineStr">
        <is>
          <t>Schofield Barracks / Fort Shafter / Wheeler AAF</t>
        </is>
      </c>
      <c r="D686" s="11" t="inlineStr">
        <is>
          <t>HI</t>
        </is>
      </c>
      <c r="E686" s="11" t="inlineStr">
        <is>
          <t>Honolulu</t>
        </is>
      </c>
      <c r="F686" s="11" t="inlineStr">
        <is>
          <t>96815</t>
        </is>
      </c>
      <c r="G686" s="11" t="inlineStr">
        <is>
          <t>Army</t>
        </is>
      </c>
      <c r="H686" s="11" t="inlineStr">
        <is>
          <t>Standard Media</t>
        </is>
      </c>
      <c r="I686" s="8" t="inlineStr">
        <is>
          <t>Premium Banner - Tropics Recreation Center</t>
        </is>
      </c>
      <c r="J686" s="11" t="inlineStr">
        <is>
          <t>8'W x 6'H</t>
        </is>
      </c>
      <c r="K686" s="8" t="inlineStr">
        <is>
          <t>Your ad will appear in the Tropic Recreation Center. [Minimum of 3 months]</t>
        </is>
      </c>
      <c r="L686" s="11" t="n">
        <v>3</v>
      </c>
      <c r="M686" s="12" t="n"/>
      <c r="N686" s="12" t="n">
        <v>1500</v>
      </c>
      <c r="O686" s="12" t="n">
        <v>3000</v>
      </c>
      <c r="P686" s="12" t="n">
        <v>6000</v>
      </c>
      <c r="Q686" s="12" t="n">
        <v>200</v>
      </c>
      <c r="R686" s="13">
        <f>IF(ISNUMBER(M686),ROUND(M686/(1-Settings!$B$2)/Settings!$B$3,0)*Settings!$B$3,"")</f>
        <v/>
      </c>
      <c r="S686" s="13">
        <f>IF(ISNUMBER(N686),ROUND(N686/(1-Settings!$B$2)/Settings!$B$3,0)*Settings!$B$3,"")</f>
        <v/>
      </c>
      <c r="T686" s="13">
        <f>IF(ISNUMBER(O686),ROUND(O686/(1-Settings!$B$2)/Settings!$B$3,0)*Settings!$B$3,"")</f>
        <v/>
      </c>
      <c r="U686" s="13">
        <f>IF(ISNUMBER(P686),ROUND(P686/(1-Settings!$B$2)/Settings!$B$3,0)*Settings!$B$3,"")</f>
        <v/>
      </c>
      <c r="V686" s="13">
        <f>IF(ISNUMBER(Q686),ROUND(Q686/(1-Settings!$B$2)/Settings!$B$3,0)*Settings!$B$3,"")</f>
        <v/>
      </c>
      <c r="W686" s="14" t="n">
        <v>15057</v>
      </c>
      <c r="X686" s="14" t="n">
        <v>18965</v>
      </c>
      <c r="Y686" s="11" t="inlineStr"/>
      <c r="Z686" s="11" t="inlineStr"/>
      <c r="AA686" s="8" t="inlineStr"/>
      <c r="AB686" s="8" t="inlineStr"/>
      <c r="AC686" s="11" t="inlineStr">
        <is>
          <t>MasterMilitaryOnBaseList 12.2.25 NS.xlsx</t>
        </is>
      </c>
      <c r="AD686" s="11" t="inlineStr">
        <is>
          <t>MCBHI Updated Pricing.docx</t>
        </is>
      </c>
      <c r="AE686" s="15" t="inlineStr">
        <is>
          <t>Open in Box</t>
        </is>
      </c>
      <c r="AF686" s="15" t="inlineStr">
        <is>
          <t>Open in Box</t>
        </is>
      </c>
    </row>
    <row r="687">
      <c r="A687" s="11" t="inlineStr">
        <is>
          <t>HI-USAGHAWA-025</t>
        </is>
      </c>
      <c r="B687" s="8" t="inlineStr">
        <is>
          <t>USAG Hawaii</t>
        </is>
      </c>
      <c r="C687" s="11" t="inlineStr">
        <is>
          <t>Schofield Barracks / Fort Shafter / Wheeler AAF</t>
        </is>
      </c>
      <c r="D687" s="11" t="inlineStr">
        <is>
          <t>HI</t>
        </is>
      </c>
      <c r="E687" s="11" t="inlineStr">
        <is>
          <t>Honolulu</t>
        </is>
      </c>
      <c r="F687" s="11" t="inlineStr">
        <is>
          <t>96815</t>
        </is>
      </c>
      <c r="G687" s="11" t="inlineStr">
        <is>
          <t>Army</t>
        </is>
      </c>
      <c r="H687" s="11" t="inlineStr">
        <is>
          <t>Web &amp; Email</t>
        </is>
      </c>
      <c r="I687" s="8" t="inlineStr">
        <is>
          <t>Facebook Advertising</t>
        </is>
      </c>
      <c r="J687" s="11" t="inlineStr"/>
      <c r="K687" s="8" t="inlineStr">
        <is>
          <t>Your ad will appear on the US Army Garrison Hawaii Family and MWR's Facebook page [Pricing is per post, 3 posts/month MAX]</t>
        </is>
      </c>
      <c r="L687" s="11" t="n">
        <v>3</v>
      </c>
      <c r="M687" s="12" t="n"/>
      <c r="N687" s="12" t="n">
        <v>500</v>
      </c>
      <c r="O687" s="12" t="n">
        <v>450</v>
      </c>
      <c r="P687" s="12" t="n">
        <v>400</v>
      </c>
      <c r="Q687" s="12" t="n"/>
      <c r="R687" s="13">
        <f>IF(ISNUMBER(M687),ROUND(M687/(1-Settings!$B$2)/Settings!$B$3,0)*Settings!$B$3,"")</f>
        <v/>
      </c>
      <c r="S687" s="13">
        <f>IF(ISNUMBER(N687),ROUND(N687/(1-Settings!$B$2)/Settings!$B$3,0)*Settings!$B$3,"")</f>
        <v/>
      </c>
      <c r="T687" s="13">
        <f>IF(ISNUMBER(O687),ROUND(O687/(1-Settings!$B$2)/Settings!$B$3,0)*Settings!$B$3,"")</f>
        <v/>
      </c>
      <c r="U687" s="13">
        <f>IF(ISNUMBER(P687),ROUND(P687/(1-Settings!$B$2)/Settings!$B$3,0)*Settings!$B$3,"")</f>
        <v/>
      </c>
      <c r="V687" s="13">
        <f>IF(ISNUMBER(Q687),ROUND(Q687/(1-Settings!$B$2)/Settings!$B$3,0)*Settings!$B$3,"")</f>
        <v/>
      </c>
      <c r="W687" s="14" t="n">
        <v>15057</v>
      </c>
      <c r="X687" s="14" t="n">
        <v>18965</v>
      </c>
      <c r="Y687" s="11" t="inlineStr"/>
      <c r="Z687" s="11" t="inlineStr"/>
      <c r="AA687" s="8" t="inlineStr"/>
      <c r="AB687" s="8" t="inlineStr"/>
      <c r="AC687" s="11" t="inlineStr">
        <is>
          <t>MasterMilitaryOnBaseList 12.2.25 NS.xlsx</t>
        </is>
      </c>
      <c r="AD687" s="11" t="inlineStr">
        <is>
          <t>MCBHI Updated Pricing.docx</t>
        </is>
      </c>
      <c r="AE687" s="15" t="inlineStr">
        <is>
          <t>Open in Box</t>
        </is>
      </c>
      <c r="AF687" s="15" t="inlineStr">
        <is>
          <t>Open in Box</t>
        </is>
      </c>
    </row>
    <row r="688">
      <c r="A688" s="11" t="inlineStr">
        <is>
          <t>HI-USAGHAWA-026</t>
        </is>
      </c>
      <c r="B688" s="8" t="inlineStr">
        <is>
          <t>USAG Hawaii</t>
        </is>
      </c>
      <c r="C688" s="11" t="inlineStr"/>
      <c r="D688" s="11" t="inlineStr">
        <is>
          <t>HI</t>
        </is>
      </c>
      <c r="E688" s="11" t="inlineStr">
        <is>
          <t>Honolulu</t>
        </is>
      </c>
      <c r="F688" s="11" t="inlineStr"/>
      <c r="G688" s="11" t="inlineStr">
        <is>
          <t>Army</t>
        </is>
      </c>
      <c r="H688" s="11" t="inlineStr">
        <is>
          <t>Web &amp; Email</t>
        </is>
      </c>
      <c r="I688" s="8" t="inlineStr">
        <is>
          <t>Web Ad</t>
        </is>
      </c>
      <c r="J688" s="11" t="inlineStr"/>
      <c r="K688" s="8" t="inlineStr">
        <is>
          <t>Your ad will appear on the installation MWR / FSS website.</t>
        </is>
      </c>
      <c r="L688" s="11" t="n">
        <v>1</v>
      </c>
      <c r="M688" s="12" t="n">
        <v>700</v>
      </c>
      <c r="N688" s="12" t="n"/>
      <c r="O688" s="12" t="n"/>
      <c r="P688" s="12" t="n"/>
      <c r="Q688" s="12" t="n"/>
      <c r="R688" s="13">
        <f>IF(ISNUMBER(M688),ROUND(M688/(1-Settings!$B$2)/Settings!$B$3,0)*Settings!$B$3,"")</f>
        <v/>
      </c>
      <c r="S688" s="13">
        <f>IF(ISNUMBER(N688),ROUND(N688/(1-Settings!$B$2)/Settings!$B$3,0)*Settings!$B$3,"")</f>
        <v/>
      </c>
      <c r="T688" s="13">
        <f>IF(ISNUMBER(O688),ROUND(O688/(1-Settings!$B$2)/Settings!$B$3,0)*Settings!$B$3,"")</f>
        <v/>
      </c>
      <c r="U688" s="13">
        <f>IF(ISNUMBER(P688),ROUND(P688/(1-Settings!$B$2)/Settings!$B$3,0)*Settings!$B$3,"")</f>
        <v/>
      </c>
      <c r="V688" s="13">
        <f>IF(ISNUMBER(Q688),ROUND(Q688/(1-Settings!$B$2)/Settings!$B$3,0)*Settings!$B$3,"")</f>
        <v/>
      </c>
      <c r="W688" s="14" t="n">
        <v>19406</v>
      </c>
      <c r="X688" s="14" t="n">
        <v>26348</v>
      </c>
      <c r="Y688" s="11" t="inlineStr">
        <is>
          <t>2026</t>
        </is>
      </c>
      <c r="Z688" s="11" t="inlineStr">
        <is>
          <t>2026-06</t>
        </is>
      </c>
      <c r="AA688" s="8" t="inlineStr">
        <is>
          <t>10K printed</t>
        </is>
      </c>
      <c r="AB688" s="8" t="inlineStr"/>
      <c r="AC688" s="11" t="inlineStr">
        <is>
          <t>Military - National Publication Inventory Master_June 2026.xlsx</t>
        </is>
      </c>
      <c r="AD688" s="11" t="inlineStr">
        <is>
          <t>MCBHI Updated Pricing.docx</t>
        </is>
      </c>
      <c r="AE688" s="15" t="inlineStr">
        <is>
          <t>Open in Box</t>
        </is>
      </c>
      <c r="AF688" s="15" t="inlineStr">
        <is>
          <t>Open in Box</t>
        </is>
      </c>
    </row>
    <row r="689">
      <c r="A689" s="11" t="inlineStr">
        <is>
          <t>HI-WHEELERA-001</t>
        </is>
      </c>
      <c r="B689" s="8" t="inlineStr">
        <is>
          <t>Wheeler Army Airfield</t>
        </is>
      </c>
      <c r="C689" s="11" t="inlineStr"/>
      <c r="D689" s="11" t="inlineStr">
        <is>
          <t>HI</t>
        </is>
      </c>
      <c r="E689" s="11" t="inlineStr">
        <is>
          <t>Honolulu, HI</t>
        </is>
      </c>
      <c r="F689" s="11" t="inlineStr"/>
      <c r="G689" s="11" t="inlineStr">
        <is>
          <t>Army</t>
        </is>
      </c>
      <c r="H689" s="11" t="inlineStr">
        <is>
          <t>Print &amp; Publications</t>
        </is>
      </c>
      <c r="I689" s="8" t="inlineStr">
        <is>
          <t>Golf Scorecard Ad</t>
        </is>
      </c>
      <c r="J689" s="11" t="inlineStr"/>
      <c r="K689" s="8" t="inlineStr">
        <is>
          <t>Your ad will appear on the golf course scorecard.</t>
        </is>
      </c>
      <c r="L689" s="11" t="n">
        <v>1</v>
      </c>
      <c r="M689" s="12" t="n">
        <v>900</v>
      </c>
      <c r="N689" s="12" t="n"/>
      <c r="O689" s="12" t="n"/>
      <c r="P689" s="12" t="n"/>
      <c r="Q689" s="12" t="n"/>
      <c r="R689" s="13">
        <f>IF(ISNUMBER(M689),ROUND(M689/(1-Settings!$B$2)/Settings!$B$3,0)*Settings!$B$3,"")</f>
        <v/>
      </c>
      <c r="S689" s="13">
        <f>IF(ISNUMBER(N689),ROUND(N689/(1-Settings!$B$2)/Settings!$B$3,0)*Settings!$B$3,"")</f>
        <v/>
      </c>
      <c r="T689" s="13">
        <f>IF(ISNUMBER(O689),ROUND(O689/(1-Settings!$B$2)/Settings!$B$3,0)*Settings!$B$3,"")</f>
        <v/>
      </c>
      <c r="U689" s="13">
        <f>IF(ISNUMBER(P689),ROUND(P689/(1-Settings!$B$2)/Settings!$B$3,0)*Settings!$B$3,"")</f>
        <v/>
      </c>
      <c r="V689" s="13">
        <f>IF(ISNUMBER(Q689),ROUND(Q689/(1-Settings!$B$2)/Settings!$B$3,0)*Settings!$B$3,"")</f>
        <v/>
      </c>
      <c r="W689" s="14" t="n"/>
      <c r="X689" s="14" t="n"/>
      <c r="Y689" s="11" t="inlineStr">
        <is>
          <t>2026</t>
        </is>
      </c>
      <c r="Z689" s="11" t="inlineStr">
        <is>
          <t>2026-06</t>
        </is>
      </c>
      <c r="AA689" s="8" t="inlineStr"/>
      <c r="AB689" s="8" t="inlineStr"/>
      <c r="AC689" s="11" t="inlineStr">
        <is>
          <t>Military - National Publication Inventory Master_June 2026.xlsx</t>
        </is>
      </c>
      <c r="AD689" s="11" t="inlineStr">
        <is>
          <t>FY27 Premium Advertising Options.pdf</t>
        </is>
      </c>
      <c r="AE689" s="15" t="inlineStr">
        <is>
          <t>Open in Box</t>
        </is>
      </c>
      <c r="AF689" s="15" t="inlineStr">
        <is>
          <t>Open in Box</t>
        </is>
      </c>
    </row>
    <row r="690">
      <c r="A690" s="11" t="inlineStr">
        <is>
          <t>ID-MOUNTAIN-001</t>
        </is>
      </c>
      <c r="B690" s="8" t="inlineStr">
        <is>
          <t>Mountain Home AFB</t>
        </is>
      </c>
      <c r="C690" s="11" t="inlineStr"/>
      <c r="D690" s="11" t="inlineStr">
        <is>
          <t>ID</t>
        </is>
      </c>
      <c r="E690" s="11" t="inlineStr">
        <is>
          <t>Boise</t>
        </is>
      </c>
      <c r="F690" s="11" t="inlineStr">
        <is>
          <t>83648</t>
        </is>
      </c>
      <c r="G690" s="11" t="inlineStr">
        <is>
          <t>Air Force</t>
        </is>
      </c>
      <c r="H690" s="11" t="inlineStr">
        <is>
          <t>Digital</t>
        </is>
      </c>
      <c r="I690" s="8" t="inlineStr">
        <is>
          <t>Bowling Lane Rake</t>
        </is>
      </c>
      <c r="J690" s="11" t="inlineStr">
        <is>
          <t>TBD</t>
        </is>
      </c>
      <c r="K690" s="8" t="inlineStr">
        <is>
          <t>Your ad will appear at the bowling center.</t>
        </is>
      </c>
      <c r="L690" s="11" t="n">
        <v>3</v>
      </c>
      <c r="M690" s="12" t="n"/>
      <c r="N690" s="12" t="n">
        <v>150</v>
      </c>
      <c r="O690" s="12" t="n">
        <v>250</v>
      </c>
      <c r="P690" s="12" t="n">
        <v>450</v>
      </c>
      <c r="Q690" s="12" t="n"/>
      <c r="R690" s="13">
        <f>IF(ISNUMBER(M690),ROUND(M690/(1-Settings!$B$2)/Settings!$B$3,0)*Settings!$B$3,"")</f>
        <v/>
      </c>
      <c r="S690" s="13">
        <f>IF(ISNUMBER(N690),ROUND(N690/(1-Settings!$B$2)/Settings!$B$3,0)*Settings!$B$3,"")</f>
        <v/>
      </c>
      <c r="T690" s="13">
        <f>IF(ISNUMBER(O690),ROUND(O690/(1-Settings!$B$2)/Settings!$B$3,0)*Settings!$B$3,"")</f>
        <v/>
      </c>
      <c r="U690" s="13">
        <f>IF(ISNUMBER(P690),ROUND(P690/(1-Settings!$B$2)/Settings!$B$3,0)*Settings!$B$3,"")</f>
        <v/>
      </c>
      <c r="V690" s="13">
        <f>IF(ISNUMBER(Q690),ROUND(Q690/(1-Settings!$B$2)/Settings!$B$3,0)*Settings!$B$3,"")</f>
        <v/>
      </c>
      <c r="W690" s="14" t="n">
        <v>3387</v>
      </c>
      <c r="X690" s="14" t="n">
        <v>3784</v>
      </c>
      <c r="Y690" s="11" t="inlineStr"/>
      <c r="Z690" s="11" t="inlineStr"/>
      <c r="AA690" s="8" t="inlineStr"/>
      <c r="AB690" s="16" t="inlineStr">
        <is>
          <t>Source formula errors</t>
        </is>
      </c>
      <c r="AC690" s="11" t="inlineStr">
        <is>
          <t>MasterMilitaryOnBaseList 12.2.25 NS.xlsx</t>
        </is>
      </c>
      <c r="AD690" s="11" t="inlineStr">
        <is>
          <t>Sponsorship &amp; Advertising Opportunties_2025.pdf</t>
        </is>
      </c>
      <c r="AE690" s="15" t="inlineStr">
        <is>
          <t>Open in Box</t>
        </is>
      </c>
      <c r="AF690" s="15" t="inlineStr">
        <is>
          <t>Open in Box</t>
        </is>
      </c>
    </row>
    <row r="691">
      <c r="A691" s="11" t="inlineStr">
        <is>
          <t>ID-MOUNTAIN-002</t>
        </is>
      </c>
      <c r="B691" s="8" t="inlineStr">
        <is>
          <t>Mountain Home AFB</t>
        </is>
      </c>
      <c r="C691" s="11" t="inlineStr"/>
      <c r="D691" s="11" t="inlineStr">
        <is>
          <t>ID</t>
        </is>
      </c>
      <c r="E691" s="11" t="inlineStr">
        <is>
          <t>Boise</t>
        </is>
      </c>
      <c r="F691" s="11" t="inlineStr">
        <is>
          <t>83648</t>
        </is>
      </c>
      <c r="G691" s="11" t="inlineStr">
        <is>
          <t>Air Force</t>
        </is>
      </c>
      <c r="H691" s="11" t="inlineStr">
        <is>
          <t>Digital</t>
        </is>
      </c>
      <c r="I691" s="8" t="inlineStr">
        <is>
          <t>Bowling Scoring Monitors</t>
        </is>
      </c>
      <c r="J691" s="11" t="inlineStr">
        <is>
          <t>TBD</t>
        </is>
      </c>
      <c r="K691" s="8" t="inlineStr">
        <is>
          <t>Your ad will appear on the digital bowling scoring monitors.</t>
        </is>
      </c>
      <c r="L691" s="11" t="n">
        <v>1</v>
      </c>
      <c r="M691" s="12" t="n">
        <v>100</v>
      </c>
      <c r="N691" s="12" t="n">
        <v>275</v>
      </c>
      <c r="O691" s="12" t="n">
        <v>550</v>
      </c>
      <c r="P691" s="12" t="n">
        <v>1100</v>
      </c>
      <c r="Q691" s="12" t="n">
        <v>0</v>
      </c>
      <c r="R691" s="13">
        <f>IF(ISNUMBER(M691),ROUND(M691/(1-Settings!$B$2)/Settings!$B$3,0)*Settings!$B$3,"")</f>
        <v/>
      </c>
      <c r="S691" s="13">
        <f>IF(ISNUMBER(N691),ROUND(N691/(1-Settings!$B$2)/Settings!$B$3,0)*Settings!$B$3,"")</f>
        <v/>
      </c>
      <c r="T691" s="13">
        <f>IF(ISNUMBER(O691),ROUND(O691/(1-Settings!$B$2)/Settings!$B$3,0)*Settings!$B$3,"")</f>
        <v/>
      </c>
      <c r="U691" s="13">
        <f>IF(ISNUMBER(P691),ROUND(P691/(1-Settings!$B$2)/Settings!$B$3,0)*Settings!$B$3,"")</f>
        <v/>
      </c>
      <c r="V691" s="13">
        <f>IF(ISNUMBER(Q691),ROUND(Q691/(1-Settings!$B$2)/Settings!$B$3,0)*Settings!$B$3,"")</f>
        <v/>
      </c>
      <c r="W691" s="14" t="n">
        <v>3387</v>
      </c>
      <c r="X691" s="14" t="n">
        <v>3784</v>
      </c>
      <c r="Y691" s="11" t="inlineStr"/>
      <c r="Z691" s="11" t="inlineStr"/>
      <c r="AA691" s="8" t="inlineStr"/>
      <c r="AB691" s="8" t="inlineStr"/>
      <c r="AC691" s="11" t="inlineStr">
        <is>
          <t>MasterMilitaryOnBaseList 12.2.25 NS.xlsx</t>
        </is>
      </c>
      <c r="AD691" s="11" t="inlineStr">
        <is>
          <t>Sponsorship &amp; Advertising Opportunties_2025.pdf</t>
        </is>
      </c>
      <c r="AE691" s="15" t="inlineStr">
        <is>
          <t>Open in Box</t>
        </is>
      </c>
      <c r="AF691" s="15" t="inlineStr">
        <is>
          <t>Open in Box</t>
        </is>
      </c>
    </row>
    <row r="692">
      <c r="A692" s="11" t="inlineStr">
        <is>
          <t>ID-MOUNTAIN-003</t>
        </is>
      </c>
      <c r="B692" s="8" t="inlineStr">
        <is>
          <t>Mountain Home AFB</t>
        </is>
      </c>
      <c r="C692" s="11" t="inlineStr"/>
      <c r="D692" s="11" t="inlineStr">
        <is>
          <t>ID</t>
        </is>
      </c>
      <c r="E692" s="11" t="inlineStr">
        <is>
          <t>Boise</t>
        </is>
      </c>
      <c r="F692" s="11" t="inlineStr">
        <is>
          <t>83648</t>
        </is>
      </c>
      <c r="G692" s="11" t="inlineStr">
        <is>
          <t>Air Force</t>
        </is>
      </c>
      <c r="H692" s="11" t="inlineStr">
        <is>
          <t>Digital</t>
        </is>
      </c>
      <c r="I692" s="8" t="inlineStr">
        <is>
          <t>Digital Media</t>
        </is>
      </c>
      <c r="J692" s="11" t="inlineStr">
        <is>
          <t>TBD</t>
        </is>
      </c>
      <c r="K692" s="8" t="inlineStr">
        <is>
          <t>Your ad will appear in approved digital media.</t>
        </is>
      </c>
      <c r="L692" s="11" t="n">
        <v>1</v>
      </c>
      <c r="M692" s="12" t="n">
        <v>150</v>
      </c>
      <c r="N692" s="12" t="n">
        <v>400</v>
      </c>
      <c r="O692" s="12" t="n">
        <v>700</v>
      </c>
      <c r="P692" s="12" t="n">
        <v>1300</v>
      </c>
      <c r="Q692" s="12" t="n">
        <v>0</v>
      </c>
      <c r="R692" s="13">
        <f>IF(ISNUMBER(M692),ROUND(M692/(1-Settings!$B$2)/Settings!$B$3,0)*Settings!$B$3,"")</f>
        <v/>
      </c>
      <c r="S692" s="13">
        <f>IF(ISNUMBER(N692),ROUND(N692/(1-Settings!$B$2)/Settings!$B$3,0)*Settings!$B$3,"")</f>
        <v/>
      </c>
      <c r="T692" s="13">
        <f>IF(ISNUMBER(O692),ROUND(O692/(1-Settings!$B$2)/Settings!$B$3,0)*Settings!$B$3,"")</f>
        <v/>
      </c>
      <c r="U692" s="13">
        <f>IF(ISNUMBER(P692),ROUND(P692/(1-Settings!$B$2)/Settings!$B$3,0)*Settings!$B$3,"")</f>
        <v/>
      </c>
      <c r="V692" s="13">
        <f>IF(ISNUMBER(Q692),ROUND(Q692/(1-Settings!$B$2)/Settings!$B$3,0)*Settings!$B$3,"")</f>
        <v/>
      </c>
      <c r="W692" s="14" t="n">
        <v>3387</v>
      </c>
      <c r="X692" s="14" t="n">
        <v>3784</v>
      </c>
      <c r="Y692" s="11" t="inlineStr"/>
      <c r="Z692" s="11" t="inlineStr"/>
      <c r="AA692" s="8" t="inlineStr"/>
      <c r="AB692" s="8" t="inlineStr"/>
      <c r="AC692" s="11" t="inlineStr">
        <is>
          <t>MasterMilitaryOnBaseList 12.2.25 NS.xlsx</t>
        </is>
      </c>
      <c r="AD692" s="11" t="inlineStr">
        <is>
          <t>Sponsorship &amp; Advertising Opportunties_2025.pdf</t>
        </is>
      </c>
      <c r="AE692" s="15" t="inlineStr">
        <is>
          <t>Open in Box</t>
        </is>
      </c>
      <c r="AF692" s="15" t="inlineStr">
        <is>
          <t>Open in Box</t>
        </is>
      </c>
    </row>
    <row r="693">
      <c r="A693" s="11" t="inlineStr">
        <is>
          <t>ID-MOUNTAIN-004</t>
        </is>
      </c>
      <c r="B693" s="8" t="inlineStr">
        <is>
          <t>Mountain Home AFB</t>
        </is>
      </c>
      <c r="C693" s="11" t="inlineStr"/>
      <c r="D693" s="11" t="inlineStr">
        <is>
          <t>ID</t>
        </is>
      </c>
      <c r="E693" s="11" t="inlineStr">
        <is>
          <t>Boise</t>
        </is>
      </c>
      <c r="F693" s="11" t="inlineStr">
        <is>
          <t>83648</t>
        </is>
      </c>
      <c r="G693" s="11" t="inlineStr">
        <is>
          <t>Air Force</t>
        </is>
      </c>
      <c r="H693" s="11" t="inlineStr">
        <is>
          <t>Digital</t>
        </is>
      </c>
      <c r="I693" s="8" t="inlineStr">
        <is>
          <t>Digital Monitor Network</t>
        </is>
      </c>
      <c r="J693" s="11" t="inlineStr">
        <is>
          <t>TBD</t>
        </is>
      </c>
      <c r="K693" s="8" t="inlineStr">
        <is>
          <t>Your ad will appear on digital monitors in approved installation facilities.</t>
        </is>
      </c>
      <c r="L693" s="11" t="n">
        <v>1</v>
      </c>
      <c r="M693" s="12" t="n">
        <v>100</v>
      </c>
      <c r="N693" s="12" t="n">
        <v>275</v>
      </c>
      <c r="O693" s="12" t="n">
        <v>550</v>
      </c>
      <c r="P693" s="12" t="n">
        <v>1100</v>
      </c>
      <c r="Q693" s="12" t="n">
        <v>0</v>
      </c>
      <c r="R693" s="13">
        <f>IF(ISNUMBER(M693),ROUND(M693/(1-Settings!$B$2)/Settings!$B$3,0)*Settings!$B$3,"")</f>
        <v/>
      </c>
      <c r="S693" s="13">
        <f>IF(ISNUMBER(N693),ROUND(N693/(1-Settings!$B$2)/Settings!$B$3,0)*Settings!$B$3,"")</f>
        <v/>
      </c>
      <c r="T693" s="13">
        <f>IF(ISNUMBER(O693),ROUND(O693/(1-Settings!$B$2)/Settings!$B$3,0)*Settings!$B$3,"")</f>
        <v/>
      </c>
      <c r="U693" s="13">
        <f>IF(ISNUMBER(P693),ROUND(P693/(1-Settings!$B$2)/Settings!$B$3,0)*Settings!$B$3,"")</f>
        <v/>
      </c>
      <c r="V693" s="13">
        <f>IF(ISNUMBER(Q693),ROUND(Q693/(1-Settings!$B$2)/Settings!$B$3,0)*Settings!$B$3,"")</f>
        <v/>
      </c>
      <c r="W693" s="14" t="n">
        <v>3387</v>
      </c>
      <c r="X693" s="14" t="n">
        <v>3784</v>
      </c>
      <c r="Y693" s="11" t="inlineStr"/>
      <c r="Z693" s="11" t="inlineStr"/>
      <c r="AA693" s="8" t="inlineStr"/>
      <c r="AB693" s="8" t="inlineStr"/>
      <c r="AC693" s="11" t="inlineStr">
        <is>
          <t>MasterMilitaryOnBaseList 12.2.25 NS.xlsx</t>
        </is>
      </c>
      <c r="AD693" s="11" t="inlineStr">
        <is>
          <t>Sponsorship &amp; Advertising Opportunties_2025.pdf</t>
        </is>
      </c>
      <c r="AE693" s="15" t="inlineStr">
        <is>
          <t>Open in Box</t>
        </is>
      </c>
      <c r="AF693" s="15" t="inlineStr">
        <is>
          <t>Open in Box</t>
        </is>
      </c>
    </row>
    <row r="694">
      <c r="A694" s="11" t="inlineStr">
        <is>
          <t>ID-MOUNTAIN-005</t>
        </is>
      </c>
      <c r="B694" s="8" t="inlineStr">
        <is>
          <t>Mountain Home AFB</t>
        </is>
      </c>
      <c r="C694" s="11" t="inlineStr"/>
      <c r="D694" s="11" t="inlineStr">
        <is>
          <t>ID</t>
        </is>
      </c>
      <c r="E694" s="11" t="inlineStr">
        <is>
          <t>Boise</t>
        </is>
      </c>
      <c r="F694" s="11" t="inlineStr">
        <is>
          <t>83648</t>
        </is>
      </c>
      <c r="G694" s="11" t="inlineStr">
        <is>
          <t>Air Force</t>
        </is>
      </c>
      <c r="H694" s="11" t="inlineStr">
        <is>
          <t>Digital</t>
        </is>
      </c>
      <c r="I694" s="8" t="inlineStr">
        <is>
          <t>Digital Monitor Network</t>
        </is>
      </c>
      <c r="J694" s="11" t="inlineStr">
        <is>
          <t>TBD</t>
        </is>
      </c>
      <c r="K694" s="8" t="inlineStr">
        <is>
          <t>Your ad will appear on digital monitors in approved installation facilities.</t>
        </is>
      </c>
      <c r="L694" s="11" t="n">
        <v>1</v>
      </c>
      <c r="M694" s="12" t="n">
        <v>150</v>
      </c>
      <c r="N694" s="12" t="n">
        <v>400</v>
      </c>
      <c r="O694" s="12" t="n">
        <v>700</v>
      </c>
      <c r="P694" s="12" t="n">
        <v>1300</v>
      </c>
      <c r="Q694" s="12" t="n">
        <v>0</v>
      </c>
      <c r="R694" s="13">
        <f>IF(ISNUMBER(M694),ROUND(M694/(1-Settings!$B$2)/Settings!$B$3,0)*Settings!$B$3,"")</f>
        <v/>
      </c>
      <c r="S694" s="13">
        <f>IF(ISNUMBER(N694),ROUND(N694/(1-Settings!$B$2)/Settings!$B$3,0)*Settings!$B$3,"")</f>
        <v/>
      </c>
      <c r="T694" s="13">
        <f>IF(ISNUMBER(O694),ROUND(O694/(1-Settings!$B$2)/Settings!$B$3,0)*Settings!$B$3,"")</f>
        <v/>
      </c>
      <c r="U694" s="13">
        <f>IF(ISNUMBER(P694),ROUND(P694/(1-Settings!$B$2)/Settings!$B$3,0)*Settings!$B$3,"")</f>
        <v/>
      </c>
      <c r="V694" s="13">
        <f>IF(ISNUMBER(Q694),ROUND(Q694/(1-Settings!$B$2)/Settings!$B$3,0)*Settings!$B$3,"")</f>
        <v/>
      </c>
      <c r="W694" s="14" t="n">
        <v>3387</v>
      </c>
      <c r="X694" s="14" t="n">
        <v>3784</v>
      </c>
      <c r="Y694" s="11" t="inlineStr"/>
      <c r="Z694" s="11" t="inlineStr"/>
      <c r="AA694" s="8" t="inlineStr"/>
      <c r="AB694" s="8" t="inlineStr"/>
      <c r="AC694" s="11" t="inlineStr">
        <is>
          <t>MasterMilitaryOnBaseList 12.2.25 NS.xlsx</t>
        </is>
      </c>
      <c r="AD694" s="11" t="inlineStr">
        <is>
          <t>Sponsorship &amp; Advertising Opportunties_2025.pdf</t>
        </is>
      </c>
      <c r="AE694" s="15" t="inlineStr">
        <is>
          <t>Open in Box</t>
        </is>
      </c>
      <c r="AF694" s="15" t="inlineStr">
        <is>
          <t>Open in Box</t>
        </is>
      </c>
    </row>
    <row r="695">
      <c r="A695" s="11" t="inlineStr">
        <is>
          <t>ID-MOUNTAIN-006</t>
        </is>
      </c>
      <c r="B695" s="8" t="inlineStr">
        <is>
          <t>Mountain Home AFB</t>
        </is>
      </c>
      <c r="C695" s="11" t="inlineStr"/>
      <c r="D695" s="11" t="inlineStr">
        <is>
          <t>ID</t>
        </is>
      </c>
      <c r="E695" s="11" t="inlineStr">
        <is>
          <t>Boise</t>
        </is>
      </c>
      <c r="F695" s="11" t="inlineStr">
        <is>
          <t>83648</t>
        </is>
      </c>
      <c r="G695" s="11" t="inlineStr">
        <is>
          <t>Air Force</t>
        </is>
      </c>
      <c r="H695" s="11" t="inlineStr">
        <is>
          <t>Digital</t>
        </is>
      </c>
      <c r="I695" s="8" t="inlineStr">
        <is>
          <t>Inn or Bowling Monitors</t>
        </is>
      </c>
      <c r="J695" s="11" t="inlineStr">
        <is>
          <t>TBD</t>
        </is>
      </c>
      <c r="K695" s="8" t="inlineStr">
        <is>
          <t>Your ad will appear on approved monitors in the Inn or Bowling Alley.</t>
        </is>
      </c>
      <c r="L695" s="11" t="n">
        <v>1</v>
      </c>
      <c r="M695" s="12" t="n">
        <v>100</v>
      </c>
      <c r="N695" s="12" t="n">
        <v>275</v>
      </c>
      <c r="O695" s="12" t="n">
        <v>550</v>
      </c>
      <c r="P695" s="12" t="n">
        <v>1100</v>
      </c>
      <c r="Q695" s="12" t="n"/>
      <c r="R695" s="13">
        <f>IF(ISNUMBER(M695),ROUND(M695/(1-Settings!$B$2)/Settings!$B$3,0)*Settings!$B$3,"")</f>
        <v/>
      </c>
      <c r="S695" s="13">
        <f>IF(ISNUMBER(N695),ROUND(N695/(1-Settings!$B$2)/Settings!$B$3,0)*Settings!$B$3,"")</f>
        <v/>
      </c>
      <c r="T695" s="13">
        <f>IF(ISNUMBER(O695),ROUND(O695/(1-Settings!$B$2)/Settings!$B$3,0)*Settings!$B$3,"")</f>
        <v/>
      </c>
      <c r="U695" s="13">
        <f>IF(ISNUMBER(P695),ROUND(P695/(1-Settings!$B$2)/Settings!$B$3,0)*Settings!$B$3,"")</f>
        <v/>
      </c>
      <c r="V695" s="13">
        <f>IF(ISNUMBER(Q695),ROUND(Q695/(1-Settings!$B$2)/Settings!$B$3,0)*Settings!$B$3,"")</f>
        <v/>
      </c>
      <c r="W695" s="14" t="n">
        <v>3387</v>
      </c>
      <c r="X695" s="14" t="n">
        <v>3784</v>
      </c>
      <c r="Y695" s="11" t="inlineStr"/>
      <c r="Z695" s="11" t="inlineStr"/>
      <c r="AA695" s="8" t="inlineStr"/>
      <c r="AB695" s="8" t="inlineStr"/>
      <c r="AC695" s="11" t="inlineStr">
        <is>
          <t>MasterMilitaryOnBaseList 12.2.25 NS.xlsx</t>
        </is>
      </c>
      <c r="AD695" s="11" t="inlineStr">
        <is>
          <t>Sponsorship &amp; Advertising Opportunties_2025.pdf</t>
        </is>
      </c>
      <c r="AE695" s="15" t="inlineStr">
        <is>
          <t>Open in Box</t>
        </is>
      </c>
      <c r="AF695" s="15" t="inlineStr">
        <is>
          <t>Open in Box</t>
        </is>
      </c>
    </row>
    <row r="696">
      <c r="A696" s="11" t="inlineStr">
        <is>
          <t>ID-MOUNTAIN-007</t>
        </is>
      </c>
      <c r="B696" s="8" t="inlineStr">
        <is>
          <t>Mountain Home AFB</t>
        </is>
      </c>
      <c r="C696" s="11" t="inlineStr"/>
      <c r="D696" s="11" t="inlineStr">
        <is>
          <t>ID</t>
        </is>
      </c>
      <c r="E696" s="11" t="inlineStr">
        <is>
          <t>Boise</t>
        </is>
      </c>
      <c r="F696" s="11" t="inlineStr">
        <is>
          <t>83648</t>
        </is>
      </c>
      <c r="G696" s="11" t="inlineStr">
        <is>
          <t>Air Force</t>
        </is>
      </c>
      <c r="H696" s="11" t="inlineStr">
        <is>
          <t>Digital</t>
        </is>
      </c>
      <c r="I696" s="8" t="inlineStr">
        <is>
          <t>Lane Rake</t>
        </is>
      </c>
      <c r="J696" s="11" t="inlineStr">
        <is>
          <t>TBD</t>
        </is>
      </c>
      <c r="K696" s="8" t="inlineStr">
        <is>
          <t>Your ad will appear in approved locations on the installation.</t>
        </is>
      </c>
      <c r="L696" s="11" t="n">
        <v>6</v>
      </c>
      <c r="M696" s="12" t="n"/>
      <c r="N696" s="12" t="n"/>
      <c r="O696" s="12" t="n">
        <v>150</v>
      </c>
      <c r="P696" s="12" t="n">
        <v>300</v>
      </c>
      <c r="Q696" s="12" t="n">
        <v>0</v>
      </c>
      <c r="R696" s="13">
        <f>IF(ISNUMBER(M696),ROUND(M696/(1-Settings!$B$2)/Settings!$B$3,0)*Settings!$B$3,"")</f>
        <v/>
      </c>
      <c r="S696" s="13">
        <f>IF(ISNUMBER(N696),ROUND(N696/(1-Settings!$B$2)/Settings!$B$3,0)*Settings!$B$3,"")</f>
        <v/>
      </c>
      <c r="T696" s="13">
        <f>IF(ISNUMBER(O696),ROUND(O696/(1-Settings!$B$2)/Settings!$B$3,0)*Settings!$B$3,"")</f>
        <v/>
      </c>
      <c r="U696" s="13">
        <f>IF(ISNUMBER(P696),ROUND(P696/(1-Settings!$B$2)/Settings!$B$3,0)*Settings!$B$3,"")</f>
        <v/>
      </c>
      <c r="V696" s="13">
        <f>IF(ISNUMBER(Q696),ROUND(Q696/(1-Settings!$B$2)/Settings!$B$3,0)*Settings!$B$3,"")</f>
        <v/>
      </c>
      <c r="W696" s="14" t="n">
        <v>3387</v>
      </c>
      <c r="X696" s="14" t="n">
        <v>3784</v>
      </c>
      <c r="Y696" s="11" t="inlineStr"/>
      <c r="Z696" s="11" t="inlineStr"/>
      <c r="AA696" s="8" t="inlineStr"/>
      <c r="AB696" s="8" t="inlineStr"/>
      <c r="AC696" s="11" t="inlineStr">
        <is>
          <t>MasterMilitaryOnBaseList 12.2.25 NS.xlsx</t>
        </is>
      </c>
      <c r="AD696" s="11" t="inlineStr">
        <is>
          <t>Sponsorship &amp; Advertising Opportunties_2025.pdf</t>
        </is>
      </c>
      <c r="AE696" s="15" t="inlineStr">
        <is>
          <t>Open in Box</t>
        </is>
      </c>
      <c r="AF696" s="15" t="inlineStr">
        <is>
          <t>Open in Box</t>
        </is>
      </c>
    </row>
    <row r="697">
      <c r="A697" s="11" t="inlineStr">
        <is>
          <t>ID-MOUNTAIN-013</t>
        </is>
      </c>
      <c r="B697" s="8" t="inlineStr">
        <is>
          <t>Mountain Home AFB</t>
        </is>
      </c>
      <c r="C697" s="11" t="inlineStr"/>
      <c r="D697" s="11" t="inlineStr">
        <is>
          <t>ID</t>
        </is>
      </c>
      <c r="E697" s="11" t="inlineStr">
        <is>
          <t>Boise</t>
        </is>
      </c>
      <c r="F697" s="11" t="inlineStr">
        <is>
          <t>83648</t>
        </is>
      </c>
      <c r="G697" s="11" t="inlineStr">
        <is>
          <t>Air Force</t>
        </is>
      </c>
      <c r="H697" s="11" t="inlineStr">
        <is>
          <t>Print &amp; Publications</t>
        </is>
      </c>
      <c r="I697" s="8" t="inlineStr">
        <is>
          <t>1/2 Page Magazine Ad</t>
        </is>
      </c>
      <c r="J697" s="11" t="inlineStr">
        <is>
          <t>TBD</t>
        </is>
      </c>
      <c r="K697" s="8" t="inlineStr">
        <is>
          <t>Your 1/2 page ad will appear in The Force Source magazine.</t>
        </is>
      </c>
      <c r="L697" s="11" t="n">
        <v>1</v>
      </c>
      <c r="M697" s="12" t="n">
        <v>175</v>
      </c>
      <c r="N697" s="12" t="n">
        <v>525</v>
      </c>
      <c r="O697" s="12" t="n">
        <v>1050</v>
      </c>
      <c r="P697" s="12" t="n">
        <v>2100</v>
      </c>
      <c r="Q697" s="12" t="n">
        <v>0</v>
      </c>
      <c r="R697" s="13">
        <f>IF(ISNUMBER(M697),ROUND(M697/(1-Settings!$B$2)/Settings!$B$3,0)*Settings!$B$3,"")</f>
        <v/>
      </c>
      <c r="S697" s="13">
        <f>IF(ISNUMBER(N697),ROUND(N697/(1-Settings!$B$2)/Settings!$B$3,0)*Settings!$B$3,"")</f>
        <v/>
      </c>
      <c r="T697" s="13">
        <f>IF(ISNUMBER(O697),ROUND(O697/(1-Settings!$B$2)/Settings!$B$3,0)*Settings!$B$3,"")</f>
        <v/>
      </c>
      <c r="U697" s="13">
        <f>IF(ISNUMBER(P697),ROUND(P697/(1-Settings!$B$2)/Settings!$B$3,0)*Settings!$B$3,"")</f>
        <v/>
      </c>
      <c r="V697" s="13">
        <f>IF(ISNUMBER(Q697),ROUND(Q697/(1-Settings!$B$2)/Settings!$B$3,0)*Settings!$B$3,"")</f>
        <v/>
      </c>
      <c r="W697" s="14" t="n">
        <v>3387</v>
      </c>
      <c r="X697" s="14" t="n">
        <v>3784</v>
      </c>
      <c r="Y697" s="11" t="inlineStr"/>
      <c r="Z697" s="11" t="inlineStr"/>
      <c r="AA697" s="8" t="inlineStr"/>
      <c r="AB697" s="8" t="inlineStr"/>
      <c r="AC697" s="11" t="inlineStr">
        <is>
          <t>MasterMilitaryOnBaseList 12.2.25 NS.xlsx</t>
        </is>
      </c>
      <c r="AD697" s="11" t="inlineStr">
        <is>
          <t>Sponsorship &amp; Advertising Opportunties_2025.pdf</t>
        </is>
      </c>
      <c r="AE697" s="15" t="inlineStr">
        <is>
          <t>Open in Box</t>
        </is>
      </c>
      <c r="AF697" s="15" t="inlineStr">
        <is>
          <t>Open in Box</t>
        </is>
      </c>
    </row>
    <row r="698">
      <c r="A698" s="11" t="inlineStr">
        <is>
          <t>ID-MOUNTAIN-014</t>
        </is>
      </c>
      <c r="B698" s="8" t="inlineStr">
        <is>
          <t>Mountain Home AFB</t>
        </is>
      </c>
      <c r="C698" s="11" t="inlineStr"/>
      <c r="D698" s="11" t="inlineStr">
        <is>
          <t>ID</t>
        </is>
      </c>
      <c r="E698" s="11" t="inlineStr">
        <is>
          <t>Boise</t>
        </is>
      </c>
      <c r="F698" s="11" t="inlineStr">
        <is>
          <t>83648</t>
        </is>
      </c>
      <c r="G698" s="11" t="inlineStr">
        <is>
          <t>Air Force</t>
        </is>
      </c>
      <c r="H698" s="11" t="inlineStr">
        <is>
          <t>Print &amp; Publications</t>
        </is>
      </c>
      <c r="I698" s="8" t="inlineStr">
        <is>
          <t>1/2 Page Newcomer's Guide Ad</t>
        </is>
      </c>
      <c r="J698" s="11" t="inlineStr">
        <is>
          <t>TBD</t>
        </is>
      </c>
      <c r="K698" s="8" t="inlineStr">
        <is>
          <t>Your 1/2 page ad will appear in the Mountain Home Newcomer's Guide.</t>
        </is>
      </c>
      <c r="L698" s="11" t="n">
        <v>12</v>
      </c>
      <c r="M698" s="12" t="n"/>
      <c r="N698" s="12" t="n"/>
      <c r="O698" s="12" t="n"/>
      <c r="P698" s="12" t="n">
        <v>1750</v>
      </c>
      <c r="Q698" s="12" t="n"/>
      <c r="R698" s="13">
        <f>IF(ISNUMBER(M698),ROUND(M698/(1-Settings!$B$2)/Settings!$B$3,0)*Settings!$B$3,"")</f>
        <v/>
      </c>
      <c r="S698" s="13">
        <f>IF(ISNUMBER(N698),ROUND(N698/(1-Settings!$B$2)/Settings!$B$3,0)*Settings!$B$3,"")</f>
        <v/>
      </c>
      <c r="T698" s="13">
        <f>IF(ISNUMBER(O698),ROUND(O698/(1-Settings!$B$2)/Settings!$B$3,0)*Settings!$B$3,"")</f>
        <v/>
      </c>
      <c r="U698" s="13">
        <f>IF(ISNUMBER(P698),ROUND(P698/(1-Settings!$B$2)/Settings!$B$3,0)*Settings!$B$3,"")</f>
        <v/>
      </c>
      <c r="V698" s="13">
        <f>IF(ISNUMBER(Q698),ROUND(Q698/(1-Settings!$B$2)/Settings!$B$3,0)*Settings!$B$3,"")</f>
        <v/>
      </c>
      <c r="W698" s="14" t="n">
        <v>3387</v>
      </c>
      <c r="X698" s="14" t="n">
        <v>3784</v>
      </c>
      <c r="Y698" s="11" t="inlineStr"/>
      <c r="Z698" s="11" t="inlineStr"/>
      <c r="AA698" s="8" t="inlineStr"/>
      <c r="AB698" s="8" t="inlineStr"/>
      <c r="AC698" s="11" t="inlineStr">
        <is>
          <t>MasterMilitaryOnBaseList 12.2.25 NS.xlsx</t>
        </is>
      </c>
      <c r="AD698" s="11" t="inlineStr">
        <is>
          <t>Sponsorship &amp; Advertising Opportunties_2025.pdf</t>
        </is>
      </c>
      <c r="AE698" s="15" t="inlineStr">
        <is>
          <t>Open in Box</t>
        </is>
      </c>
      <c r="AF698" s="15" t="inlineStr">
        <is>
          <t>Open in Box</t>
        </is>
      </c>
    </row>
    <row r="699">
      <c r="A699" s="11" t="inlineStr">
        <is>
          <t>ID-MOUNTAIN-015</t>
        </is>
      </c>
      <c r="B699" s="8" t="inlineStr">
        <is>
          <t>Mountain Home AFB</t>
        </is>
      </c>
      <c r="C699" s="11" t="inlineStr"/>
      <c r="D699" s="11" t="inlineStr">
        <is>
          <t>ID</t>
        </is>
      </c>
      <c r="E699" s="11" t="inlineStr">
        <is>
          <t>Boise</t>
        </is>
      </c>
      <c r="F699" s="11" t="inlineStr">
        <is>
          <t>83648</t>
        </is>
      </c>
      <c r="G699" s="11" t="inlineStr">
        <is>
          <t>Air Force</t>
        </is>
      </c>
      <c r="H699" s="11" t="inlineStr">
        <is>
          <t>Print &amp; Publications</t>
        </is>
      </c>
      <c r="I699" s="8" t="inlineStr">
        <is>
          <t>Full Page Magazine Ad</t>
        </is>
      </c>
      <c r="J699" s="11" t="inlineStr">
        <is>
          <t>TBD</t>
        </is>
      </c>
      <c r="K699" s="8" t="inlineStr">
        <is>
          <t>Your full page ad will appear in The Force Source magazine.</t>
        </is>
      </c>
      <c r="L699" s="11" t="n">
        <v>1</v>
      </c>
      <c r="M699" s="12" t="n">
        <v>275</v>
      </c>
      <c r="N699" s="12" t="n">
        <v>825</v>
      </c>
      <c r="O699" s="12" t="n">
        <v>1650</v>
      </c>
      <c r="P699" s="12" t="n">
        <v>3300</v>
      </c>
      <c r="Q699" s="12" t="n">
        <v>0</v>
      </c>
      <c r="R699" s="13">
        <f>IF(ISNUMBER(M699),ROUND(M699/(1-Settings!$B$2)/Settings!$B$3,0)*Settings!$B$3,"")</f>
        <v/>
      </c>
      <c r="S699" s="13">
        <f>IF(ISNUMBER(N699),ROUND(N699/(1-Settings!$B$2)/Settings!$B$3,0)*Settings!$B$3,"")</f>
        <v/>
      </c>
      <c r="T699" s="13">
        <f>IF(ISNUMBER(O699),ROUND(O699/(1-Settings!$B$2)/Settings!$B$3,0)*Settings!$B$3,"")</f>
        <v/>
      </c>
      <c r="U699" s="13">
        <f>IF(ISNUMBER(P699),ROUND(P699/(1-Settings!$B$2)/Settings!$B$3,0)*Settings!$B$3,"")</f>
        <v/>
      </c>
      <c r="V699" s="13">
        <f>IF(ISNUMBER(Q699),ROUND(Q699/(1-Settings!$B$2)/Settings!$B$3,0)*Settings!$B$3,"")</f>
        <v/>
      </c>
      <c r="W699" s="14" t="n">
        <v>3387</v>
      </c>
      <c r="X699" s="14" t="n">
        <v>3784</v>
      </c>
      <c r="Y699" s="11" t="inlineStr"/>
      <c r="Z699" s="11" t="inlineStr"/>
      <c r="AA699" s="8" t="inlineStr"/>
      <c r="AB699" s="8" t="inlineStr"/>
      <c r="AC699" s="11" t="inlineStr">
        <is>
          <t>MasterMilitaryOnBaseList 12.2.25 NS.xlsx</t>
        </is>
      </c>
      <c r="AD699" s="11" t="inlineStr">
        <is>
          <t>Sponsorship &amp; Advertising Opportunties_2025.pdf</t>
        </is>
      </c>
      <c r="AE699" s="15" t="inlineStr">
        <is>
          <t>Open in Box</t>
        </is>
      </c>
      <c r="AF699" s="15" t="inlineStr">
        <is>
          <t>Open in Box</t>
        </is>
      </c>
    </row>
    <row r="700">
      <c r="A700" s="11" t="inlineStr">
        <is>
          <t>ID-MOUNTAIN-016</t>
        </is>
      </c>
      <c r="B700" s="8" t="inlineStr">
        <is>
          <t>Mountain Home AFB</t>
        </is>
      </c>
      <c r="C700" s="11" t="inlineStr"/>
      <c r="D700" s="11" t="inlineStr">
        <is>
          <t>ID</t>
        </is>
      </c>
      <c r="E700" s="11" t="inlineStr">
        <is>
          <t>Boise</t>
        </is>
      </c>
      <c r="F700" s="11" t="inlineStr">
        <is>
          <t>83648</t>
        </is>
      </c>
      <c r="G700" s="11" t="inlineStr">
        <is>
          <t>Air Force</t>
        </is>
      </c>
      <c r="H700" s="11" t="inlineStr">
        <is>
          <t>Print &amp; Publications</t>
        </is>
      </c>
      <c r="I700" s="8" t="inlineStr">
        <is>
          <t>Full Page Newcomer's Guide Ad</t>
        </is>
      </c>
      <c r="J700" s="11" t="inlineStr">
        <is>
          <t>TBD</t>
        </is>
      </c>
      <c r="K700" s="8" t="inlineStr">
        <is>
          <t>Your full page ad will appear in the Mountain Home Newcomer's Guide.</t>
        </is>
      </c>
      <c r="L700" s="11" t="n">
        <v>12</v>
      </c>
      <c r="M700" s="12" t="n"/>
      <c r="N700" s="12" t="n"/>
      <c r="O700" s="12" t="n"/>
      <c r="P700" s="12" t="n">
        <v>2250</v>
      </c>
      <c r="Q700" s="12" t="n"/>
      <c r="R700" s="13">
        <f>IF(ISNUMBER(M700),ROUND(M700/(1-Settings!$B$2)/Settings!$B$3,0)*Settings!$B$3,"")</f>
        <v/>
      </c>
      <c r="S700" s="13">
        <f>IF(ISNUMBER(N700),ROUND(N700/(1-Settings!$B$2)/Settings!$B$3,0)*Settings!$B$3,"")</f>
        <v/>
      </c>
      <c r="T700" s="13">
        <f>IF(ISNUMBER(O700),ROUND(O700/(1-Settings!$B$2)/Settings!$B$3,0)*Settings!$B$3,"")</f>
        <v/>
      </c>
      <c r="U700" s="13">
        <f>IF(ISNUMBER(P700),ROUND(P700/(1-Settings!$B$2)/Settings!$B$3,0)*Settings!$B$3,"")</f>
        <v/>
      </c>
      <c r="V700" s="13">
        <f>IF(ISNUMBER(Q700),ROUND(Q700/(1-Settings!$B$2)/Settings!$B$3,0)*Settings!$B$3,"")</f>
        <v/>
      </c>
      <c r="W700" s="14" t="n">
        <v>3387</v>
      </c>
      <c r="X700" s="14" t="n">
        <v>3784</v>
      </c>
      <c r="Y700" s="11" t="inlineStr"/>
      <c r="Z700" s="11" t="inlineStr"/>
      <c r="AA700" s="8" t="inlineStr"/>
      <c r="AB700" s="8" t="inlineStr"/>
      <c r="AC700" s="11" t="inlineStr">
        <is>
          <t>MasterMilitaryOnBaseList 12.2.25 NS.xlsx</t>
        </is>
      </c>
      <c r="AD700" s="11" t="inlineStr">
        <is>
          <t>Sponsorship &amp; Advertising Opportunties_2025.pdf</t>
        </is>
      </c>
      <c r="AE700" s="15" t="inlineStr">
        <is>
          <t>Open in Box</t>
        </is>
      </c>
      <c r="AF700" s="15" t="inlineStr">
        <is>
          <t>Open in Box</t>
        </is>
      </c>
    </row>
    <row r="701">
      <c r="A701" s="11" t="inlineStr">
        <is>
          <t>ID-MOUNTAIN-017</t>
        </is>
      </c>
      <c r="B701" s="8" t="inlineStr">
        <is>
          <t>Mountain Home AFB</t>
        </is>
      </c>
      <c r="C701" s="11" t="inlineStr"/>
      <c r="D701" s="11" t="inlineStr">
        <is>
          <t>ID</t>
        </is>
      </c>
      <c r="E701" s="11" t="inlineStr">
        <is>
          <t>Boise</t>
        </is>
      </c>
      <c r="F701" s="11" t="inlineStr">
        <is>
          <t>83648</t>
        </is>
      </c>
      <c r="G701" s="11" t="inlineStr">
        <is>
          <t>Air Force</t>
        </is>
      </c>
      <c r="H701" s="11" t="inlineStr">
        <is>
          <t>Print &amp; Publications</t>
        </is>
      </c>
      <c r="I701" s="8" t="inlineStr">
        <is>
          <t>Golf Scorecard</t>
        </is>
      </c>
      <c r="J701" s="11" t="inlineStr">
        <is>
          <t>TBD</t>
        </is>
      </c>
      <c r="K701" s="8" t="inlineStr">
        <is>
          <t>Your ad will appear on the golf course score card.</t>
        </is>
      </c>
      <c r="L701" s="11" t="n">
        <v>12</v>
      </c>
      <c r="M701" s="12" t="n"/>
      <c r="N701" s="12" t="n"/>
      <c r="O701" s="12" t="n"/>
      <c r="P701" s="12" t="n">
        <v>1500</v>
      </c>
      <c r="Q701" s="12" t="n">
        <v>0</v>
      </c>
      <c r="R701" s="13">
        <f>IF(ISNUMBER(M701),ROUND(M701/(1-Settings!$B$2)/Settings!$B$3,0)*Settings!$B$3,"")</f>
        <v/>
      </c>
      <c r="S701" s="13">
        <f>IF(ISNUMBER(N701),ROUND(N701/(1-Settings!$B$2)/Settings!$B$3,0)*Settings!$B$3,"")</f>
        <v/>
      </c>
      <c r="T701" s="13">
        <f>IF(ISNUMBER(O701),ROUND(O701/(1-Settings!$B$2)/Settings!$B$3,0)*Settings!$B$3,"")</f>
        <v/>
      </c>
      <c r="U701" s="13">
        <f>IF(ISNUMBER(P701),ROUND(P701/(1-Settings!$B$2)/Settings!$B$3,0)*Settings!$B$3,"")</f>
        <v/>
      </c>
      <c r="V701" s="13">
        <f>IF(ISNUMBER(Q701),ROUND(Q701/(1-Settings!$B$2)/Settings!$B$3,0)*Settings!$B$3,"")</f>
        <v/>
      </c>
      <c r="W701" s="14" t="n">
        <v>3387</v>
      </c>
      <c r="X701" s="14" t="n">
        <v>3784</v>
      </c>
      <c r="Y701" s="11" t="inlineStr"/>
      <c r="Z701" s="11" t="inlineStr"/>
      <c r="AA701" s="8" t="inlineStr">
        <is>
          <t>Inventory master 6/2026 lists Golf Scorecard Ad at $1,500 (12 mo)</t>
        </is>
      </c>
      <c r="AB701" s="16" t="inlineStr">
        <is>
          <t>Source formula errors</t>
        </is>
      </c>
      <c r="AC701" s="11" t="inlineStr">
        <is>
          <t>MasterMilitaryOnBaseList 12.2.25 NS.xlsx</t>
        </is>
      </c>
      <c r="AD701" s="11" t="inlineStr">
        <is>
          <t>Sponsorship &amp; Advertising Opportunties_2025.pdf</t>
        </is>
      </c>
      <c r="AE701" s="15" t="inlineStr">
        <is>
          <t>Open in Box</t>
        </is>
      </c>
      <c r="AF701" s="15" t="inlineStr">
        <is>
          <t>Open in Box</t>
        </is>
      </c>
    </row>
    <row r="702">
      <c r="A702" s="11" t="inlineStr">
        <is>
          <t>ID-MOUNTAIN-018</t>
        </is>
      </c>
      <c r="B702" s="8" t="inlineStr">
        <is>
          <t>Mountain Home AFB</t>
        </is>
      </c>
      <c r="C702" s="11" t="inlineStr"/>
      <c r="D702" s="11" t="inlineStr">
        <is>
          <t>ID</t>
        </is>
      </c>
      <c r="E702" s="11" t="inlineStr">
        <is>
          <t>Boise</t>
        </is>
      </c>
      <c r="F702" s="11" t="inlineStr">
        <is>
          <t>83648</t>
        </is>
      </c>
      <c r="G702" s="11" t="inlineStr">
        <is>
          <t>Air Force</t>
        </is>
      </c>
      <c r="H702" s="11" t="inlineStr">
        <is>
          <t>Print &amp; Publications</t>
        </is>
      </c>
      <c r="I702" s="8" t="inlineStr">
        <is>
          <t>Golf Scorecards</t>
        </is>
      </c>
      <c r="J702" s="11" t="inlineStr">
        <is>
          <t>TBD</t>
        </is>
      </c>
      <c r="K702" s="8" t="inlineStr">
        <is>
          <t>Your ad will appear on golf scorecards on the installation golf course.</t>
        </is>
      </c>
      <c r="L702" s="11" t="n">
        <v>12</v>
      </c>
      <c r="M702" s="12" t="n"/>
      <c r="N702" s="12" t="n"/>
      <c r="O702" s="12" t="n"/>
      <c r="P702" s="12" t="n">
        <v>1500</v>
      </c>
      <c r="Q702" s="12" t="n"/>
      <c r="R702" s="13">
        <f>IF(ISNUMBER(M702),ROUND(M702/(1-Settings!$B$2)/Settings!$B$3,0)*Settings!$B$3,"")</f>
        <v/>
      </c>
      <c r="S702" s="13">
        <f>IF(ISNUMBER(N702),ROUND(N702/(1-Settings!$B$2)/Settings!$B$3,0)*Settings!$B$3,"")</f>
        <v/>
      </c>
      <c r="T702" s="13">
        <f>IF(ISNUMBER(O702),ROUND(O702/(1-Settings!$B$2)/Settings!$B$3,0)*Settings!$B$3,"")</f>
        <v/>
      </c>
      <c r="U702" s="13">
        <f>IF(ISNUMBER(P702),ROUND(P702/(1-Settings!$B$2)/Settings!$B$3,0)*Settings!$B$3,"")</f>
        <v/>
      </c>
      <c r="V702" s="13">
        <f>IF(ISNUMBER(Q702),ROUND(Q702/(1-Settings!$B$2)/Settings!$B$3,0)*Settings!$B$3,"")</f>
        <v/>
      </c>
      <c r="W702" s="14" t="n">
        <v>3387</v>
      </c>
      <c r="X702" s="14" t="n">
        <v>3784</v>
      </c>
      <c r="Y702" s="11" t="inlineStr"/>
      <c r="Z702" s="11" t="inlineStr"/>
      <c r="AA702" s="8" t="inlineStr">
        <is>
          <t>Inventory master 6/2026 lists Golf Scorecard Ad at $1,500 (12 mo)</t>
        </is>
      </c>
      <c r="AB702" s="8" t="inlineStr"/>
      <c r="AC702" s="11" t="inlineStr">
        <is>
          <t>MasterMilitaryOnBaseList 12.2.25 NS.xlsx</t>
        </is>
      </c>
      <c r="AD702" s="11" t="inlineStr">
        <is>
          <t>Sponsorship &amp; Advertising Opportunties_2025.pdf</t>
        </is>
      </c>
      <c r="AE702" s="15" t="inlineStr">
        <is>
          <t>Open in Box</t>
        </is>
      </c>
      <c r="AF702" s="15" t="inlineStr">
        <is>
          <t>Open in Box</t>
        </is>
      </c>
    </row>
    <row r="703">
      <c r="A703" s="11" t="inlineStr">
        <is>
          <t>ID-MOUNTAIN-019</t>
        </is>
      </c>
      <c r="B703" s="8" t="inlineStr">
        <is>
          <t>Mountain Home AFB</t>
        </is>
      </c>
      <c r="C703" s="11" t="inlineStr"/>
      <c r="D703" s="11" t="inlineStr">
        <is>
          <t>ID</t>
        </is>
      </c>
      <c r="E703" s="11" t="inlineStr">
        <is>
          <t>Boise</t>
        </is>
      </c>
      <c r="F703" s="11" t="inlineStr">
        <is>
          <t>83648</t>
        </is>
      </c>
      <c r="G703" s="11" t="inlineStr">
        <is>
          <t>Air Force</t>
        </is>
      </c>
      <c r="H703" s="11" t="inlineStr">
        <is>
          <t>Print &amp; Publications</t>
        </is>
      </c>
      <c r="I703" s="8" t="inlineStr">
        <is>
          <t>Hot Spot Magazine Ad</t>
        </is>
      </c>
      <c r="J703" s="11" t="inlineStr">
        <is>
          <t>TBD</t>
        </is>
      </c>
      <c r="K703" s="8" t="inlineStr">
        <is>
          <t>Your hot spot ad will appear in The Force Source magazine.</t>
        </is>
      </c>
      <c r="L703" s="11" t="n">
        <v>1</v>
      </c>
      <c r="M703" s="12" t="n">
        <v>325</v>
      </c>
      <c r="N703" s="12" t="n">
        <v>975</v>
      </c>
      <c r="O703" s="12" t="n">
        <v>1950</v>
      </c>
      <c r="P703" s="12" t="n">
        <v>3900</v>
      </c>
      <c r="Q703" s="12" t="n">
        <v>0</v>
      </c>
      <c r="R703" s="13">
        <f>IF(ISNUMBER(M703),ROUND(M703/(1-Settings!$B$2)/Settings!$B$3,0)*Settings!$B$3,"")</f>
        <v/>
      </c>
      <c r="S703" s="13">
        <f>IF(ISNUMBER(N703),ROUND(N703/(1-Settings!$B$2)/Settings!$B$3,0)*Settings!$B$3,"")</f>
        <v/>
      </c>
      <c r="T703" s="13">
        <f>IF(ISNUMBER(O703),ROUND(O703/(1-Settings!$B$2)/Settings!$B$3,0)*Settings!$B$3,"")</f>
        <v/>
      </c>
      <c r="U703" s="13">
        <f>IF(ISNUMBER(P703),ROUND(P703/(1-Settings!$B$2)/Settings!$B$3,0)*Settings!$B$3,"")</f>
        <v/>
      </c>
      <c r="V703" s="13">
        <f>IF(ISNUMBER(Q703),ROUND(Q703/(1-Settings!$B$2)/Settings!$B$3,0)*Settings!$B$3,"")</f>
        <v/>
      </c>
      <c r="W703" s="14" t="n">
        <v>3387</v>
      </c>
      <c r="X703" s="14" t="n">
        <v>3784</v>
      </c>
      <c r="Y703" s="11" t="inlineStr"/>
      <c r="Z703" s="11" t="inlineStr"/>
      <c r="AA703" s="8" t="inlineStr"/>
      <c r="AB703" s="8" t="inlineStr"/>
      <c r="AC703" s="11" t="inlineStr">
        <is>
          <t>MasterMilitaryOnBaseList 12.2.25 NS.xlsx</t>
        </is>
      </c>
      <c r="AD703" s="11" t="inlineStr">
        <is>
          <t>Sponsorship &amp; Advertising Opportunties_2025.pdf</t>
        </is>
      </c>
      <c r="AE703" s="15" t="inlineStr">
        <is>
          <t>Open in Box</t>
        </is>
      </c>
      <c r="AF703" s="15" t="inlineStr">
        <is>
          <t>Open in Box</t>
        </is>
      </c>
    </row>
    <row r="704">
      <c r="A704" s="11" t="inlineStr">
        <is>
          <t>ID-MOUNTAIN-020</t>
        </is>
      </c>
      <c r="B704" s="8" t="inlineStr">
        <is>
          <t>Mountain Home AFB</t>
        </is>
      </c>
      <c r="C704" s="11" t="inlineStr"/>
      <c r="D704" s="11" t="inlineStr">
        <is>
          <t>ID</t>
        </is>
      </c>
      <c r="E704" s="11" t="inlineStr">
        <is>
          <t>Boise</t>
        </is>
      </c>
      <c r="F704" s="11" t="inlineStr">
        <is>
          <t>83648</t>
        </is>
      </c>
      <c r="G704" s="11" t="inlineStr">
        <is>
          <t>Air Force</t>
        </is>
      </c>
      <c r="H704" s="11" t="inlineStr">
        <is>
          <t>Print &amp; Publications</t>
        </is>
      </c>
      <c r="I704" s="8" t="inlineStr">
        <is>
          <t>Hot Spot Newcomer's Guide Ad</t>
        </is>
      </c>
      <c r="J704" s="11" t="inlineStr">
        <is>
          <t>TBD</t>
        </is>
      </c>
      <c r="K704" s="8" t="inlineStr">
        <is>
          <t>Your hot spot ad will appear in the Mountain Home Newcomer's Guide.</t>
        </is>
      </c>
      <c r="L704" s="11" t="n">
        <v>12</v>
      </c>
      <c r="M704" s="12" t="n"/>
      <c r="N704" s="12" t="n"/>
      <c r="O704" s="12" t="n"/>
      <c r="P704" s="12" t="n">
        <v>2500</v>
      </c>
      <c r="Q704" s="12" t="n"/>
      <c r="R704" s="13">
        <f>IF(ISNUMBER(M704),ROUND(M704/(1-Settings!$B$2)/Settings!$B$3,0)*Settings!$B$3,"")</f>
        <v/>
      </c>
      <c r="S704" s="13">
        <f>IF(ISNUMBER(N704),ROUND(N704/(1-Settings!$B$2)/Settings!$B$3,0)*Settings!$B$3,"")</f>
        <v/>
      </c>
      <c r="T704" s="13">
        <f>IF(ISNUMBER(O704),ROUND(O704/(1-Settings!$B$2)/Settings!$B$3,0)*Settings!$B$3,"")</f>
        <v/>
      </c>
      <c r="U704" s="13">
        <f>IF(ISNUMBER(P704),ROUND(P704/(1-Settings!$B$2)/Settings!$B$3,0)*Settings!$B$3,"")</f>
        <v/>
      </c>
      <c r="V704" s="13">
        <f>IF(ISNUMBER(Q704),ROUND(Q704/(1-Settings!$B$2)/Settings!$B$3,0)*Settings!$B$3,"")</f>
        <v/>
      </c>
      <c r="W704" s="14" t="n">
        <v>3387</v>
      </c>
      <c r="X704" s="14" t="n">
        <v>3784</v>
      </c>
      <c r="Y704" s="11" t="inlineStr"/>
      <c r="Z704" s="11" t="inlineStr"/>
      <c r="AA704" s="8" t="inlineStr"/>
      <c r="AB704" s="8" t="inlineStr"/>
      <c r="AC704" s="11" t="inlineStr">
        <is>
          <t>MasterMilitaryOnBaseList 12.2.25 NS.xlsx</t>
        </is>
      </c>
      <c r="AD704" s="11" t="inlineStr">
        <is>
          <t>Sponsorship &amp; Advertising Opportunties_2025.pdf</t>
        </is>
      </c>
      <c r="AE704" s="15" t="inlineStr">
        <is>
          <t>Open in Box</t>
        </is>
      </c>
      <c r="AF704" s="15" t="inlineStr">
        <is>
          <t>Open in Box</t>
        </is>
      </c>
    </row>
    <row r="705">
      <c r="A705" s="11" t="inlineStr">
        <is>
          <t>ID-MOUNTAIN-021</t>
        </is>
      </c>
      <c r="B705" s="8" t="inlineStr">
        <is>
          <t>Mountain Home AFB</t>
        </is>
      </c>
      <c r="C705" s="11" t="inlineStr"/>
      <c r="D705" s="11" t="inlineStr">
        <is>
          <t>ID</t>
        </is>
      </c>
      <c r="E705" s="11" t="inlineStr">
        <is>
          <t>Boise</t>
        </is>
      </c>
      <c r="F705" s="11" t="inlineStr">
        <is>
          <t>83648</t>
        </is>
      </c>
      <c r="G705" s="11" t="inlineStr">
        <is>
          <t>Air Force</t>
        </is>
      </c>
      <c r="H705" s="11" t="inlineStr">
        <is>
          <t>Sponsorship &amp; Other</t>
        </is>
      </c>
      <c r="I705" s="8" t="inlineStr">
        <is>
          <t>Dorm Mailer</t>
        </is>
      </c>
      <c r="J705" s="11" t="inlineStr">
        <is>
          <t>TBD</t>
        </is>
      </c>
      <c r="K705" s="8" t="inlineStr">
        <is>
          <t>Your ad will appear on Dorm Mailers.</t>
        </is>
      </c>
      <c r="L705" s="11" t="n">
        <v>1</v>
      </c>
      <c r="M705" s="12" t="n">
        <v>200</v>
      </c>
      <c r="N705" s="12" t="n">
        <v>500</v>
      </c>
      <c r="O705" s="12" t="n"/>
      <c r="P705" s="12" t="n"/>
      <c r="Q705" s="12" t="n"/>
      <c r="R705" s="13">
        <f>IF(ISNUMBER(M705),ROUND(M705/(1-Settings!$B$2)/Settings!$B$3,0)*Settings!$B$3,"")</f>
        <v/>
      </c>
      <c r="S705" s="13">
        <f>IF(ISNUMBER(N705),ROUND(N705/(1-Settings!$B$2)/Settings!$B$3,0)*Settings!$B$3,"")</f>
        <v/>
      </c>
      <c r="T705" s="13">
        <f>IF(ISNUMBER(O705),ROUND(O705/(1-Settings!$B$2)/Settings!$B$3,0)*Settings!$B$3,"")</f>
        <v/>
      </c>
      <c r="U705" s="13">
        <f>IF(ISNUMBER(P705),ROUND(P705/(1-Settings!$B$2)/Settings!$B$3,0)*Settings!$B$3,"")</f>
        <v/>
      </c>
      <c r="V705" s="13">
        <f>IF(ISNUMBER(Q705),ROUND(Q705/(1-Settings!$B$2)/Settings!$B$3,0)*Settings!$B$3,"")</f>
        <v/>
      </c>
      <c r="W705" s="14" t="n">
        <v>3387</v>
      </c>
      <c r="X705" s="14" t="n">
        <v>3784</v>
      </c>
      <c r="Y705" s="11" t="inlineStr"/>
      <c r="Z705" s="11" t="inlineStr"/>
      <c r="AA705" s="8" t="inlineStr"/>
      <c r="AB705" s="8" t="inlineStr"/>
      <c r="AC705" s="11" t="inlineStr">
        <is>
          <t>MasterMilitaryOnBaseList 12.2.25 NS.xlsx</t>
        </is>
      </c>
      <c r="AD705" s="11" t="inlineStr">
        <is>
          <t>Sponsorship &amp; Advertising Opportunties_2025.pdf</t>
        </is>
      </c>
      <c r="AE705" s="15" t="inlineStr">
        <is>
          <t>Open in Box</t>
        </is>
      </c>
      <c r="AF705" s="15" t="inlineStr">
        <is>
          <t>Open in Box</t>
        </is>
      </c>
    </row>
    <row r="706">
      <c r="A706" s="11" t="inlineStr">
        <is>
          <t>ID-MOUNTAIN-022</t>
        </is>
      </c>
      <c r="B706" s="8" t="inlineStr">
        <is>
          <t>Mountain Home AFB</t>
        </is>
      </c>
      <c r="C706" s="11" t="inlineStr"/>
      <c r="D706" s="11" t="inlineStr">
        <is>
          <t>ID</t>
        </is>
      </c>
      <c r="E706" s="11" t="inlineStr">
        <is>
          <t>Boise</t>
        </is>
      </c>
      <c r="F706" s="11" t="inlineStr">
        <is>
          <t>83648</t>
        </is>
      </c>
      <c r="G706" s="11" t="inlineStr">
        <is>
          <t>Air Force</t>
        </is>
      </c>
      <c r="H706" s="11" t="inlineStr">
        <is>
          <t>Sponsorship &amp; Other</t>
        </is>
      </c>
      <c r="I706" s="8" t="inlineStr">
        <is>
          <t>Fridge Magnet</t>
        </is>
      </c>
      <c r="J706" s="11" t="inlineStr">
        <is>
          <t>TBD</t>
        </is>
      </c>
      <c r="K706" s="8" t="inlineStr">
        <is>
          <t>Your ad will appear in approved locations on the installation. (Price is per magnet)</t>
        </is>
      </c>
      <c r="L706" s="11" t="n">
        <v>12</v>
      </c>
      <c r="M706" s="12" t="n"/>
      <c r="N706" s="12" t="n"/>
      <c r="O706" s="12" t="n"/>
      <c r="P706" s="12" t="n">
        <v>3</v>
      </c>
      <c r="Q706" s="12" t="n">
        <v>0</v>
      </c>
      <c r="R706" s="13">
        <f>IF(ISNUMBER(M706),ROUND(M706/(1-Settings!$B$2)/Settings!$B$3,0)*Settings!$B$3,"")</f>
        <v/>
      </c>
      <c r="S706" s="13">
        <f>IF(ISNUMBER(N706),ROUND(N706/(1-Settings!$B$2)/Settings!$B$3,0)*Settings!$B$3,"")</f>
        <v/>
      </c>
      <c r="T706" s="13">
        <f>IF(ISNUMBER(O706),ROUND(O706/(1-Settings!$B$2)/Settings!$B$3,0)*Settings!$B$3,"")</f>
        <v/>
      </c>
      <c r="U706" s="13">
        <f>IF(ISNUMBER(P706),ROUND(P706/(1-Settings!$B$2)/Settings!$B$3,0)*Settings!$B$3,"")</f>
        <v/>
      </c>
      <c r="V706" s="13">
        <f>IF(ISNUMBER(Q706),ROUND(Q706/(1-Settings!$B$2)/Settings!$B$3,0)*Settings!$B$3,"")</f>
        <v/>
      </c>
      <c r="W706" s="14" t="n">
        <v>3387</v>
      </c>
      <c r="X706" s="14" t="n">
        <v>3784</v>
      </c>
      <c r="Y706" s="11" t="inlineStr"/>
      <c r="Z706" s="11" t="inlineStr"/>
      <c r="AA706" s="8" t="inlineStr"/>
      <c r="AB706" s="8" t="inlineStr"/>
      <c r="AC706" s="11" t="inlineStr">
        <is>
          <t>MasterMilitaryOnBaseList 12.2.25 NS.xlsx</t>
        </is>
      </c>
      <c r="AD706" s="11" t="inlineStr">
        <is>
          <t>Sponsorship &amp; Advertising Opportunties_2025.pdf</t>
        </is>
      </c>
      <c r="AE706" s="15" t="inlineStr">
        <is>
          <t>Open in Box</t>
        </is>
      </c>
      <c r="AF706" s="15" t="inlineStr">
        <is>
          <t>Open in Box</t>
        </is>
      </c>
    </row>
    <row r="707">
      <c r="A707" s="11" t="inlineStr">
        <is>
          <t>ID-MOUNTAIN-023</t>
        </is>
      </c>
      <c r="B707" s="8" t="inlineStr">
        <is>
          <t>Mountain Home AFB</t>
        </is>
      </c>
      <c r="C707" s="11" t="inlineStr"/>
      <c r="D707" s="11" t="inlineStr">
        <is>
          <t>ID</t>
        </is>
      </c>
      <c r="E707" s="11" t="inlineStr">
        <is>
          <t>Boise</t>
        </is>
      </c>
      <c r="F707" s="11" t="inlineStr">
        <is>
          <t>83648</t>
        </is>
      </c>
      <c r="G707" s="11" t="inlineStr">
        <is>
          <t>Air Force</t>
        </is>
      </c>
      <c r="H707" s="11" t="inlineStr">
        <is>
          <t>Sponsorship &amp; Other</t>
        </is>
      </c>
      <c r="I707" s="8" t="inlineStr">
        <is>
          <t>Golf Flag</t>
        </is>
      </c>
      <c r="J707" s="11" t="inlineStr">
        <is>
          <t>TBD</t>
        </is>
      </c>
      <c r="K707" s="8" t="inlineStr">
        <is>
          <t>Your ad will appear on a golf flag on the installation golf course. (Price per flag)</t>
        </is>
      </c>
      <c r="L707" s="11" t="n">
        <v>6</v>
      </c>
      <c r="M707" s="12" t="n"/>
      <c r="N707" s="12" t="n"/>
      <c r="O707" s="12" t="n">
        <v>100</v>
      </c>
      <c r="P707" s="12" t="n"/>
      <c r="Q707" s="12" t="n"/>
      <c r="R707" s="13">
        <f>IF(ISNUMBER(M707),ROUND(M707/(1-Settings!$B$2)/Settings!$B$3,0)*Settings!$B$3,"")</f>
        <v/>
      </c>
      <c r="S707" s="13">
        <f>IF(ISNUMBER(N707),ROUND(N707/(1-Settings!$B$2)/Settings!$B$3,0)*Settings!$B$3,"")</f>
        <v/>
      </c>
      <c r="T707" s="13">
        <f>IF(ISNUMBER(O707),ROUND(O707/(1-Settings!$B$2)/Settings!$B$3,0)*Settings!$B$3,"")</f>
        <v/>
      </c>
      <c r="U707" s="13">
        <f>IF(ISNUMBER(P707),ROUND(P707/(1-Settings!$B$2)/Settings!$B$3,0)*Settings!$B$3,"")</f>
        <v/>
      </c>
      <c r="V707" s="13">
        <f>IF(ISNUMBER(Q707),ROUND(Q707/(1-Settings!$B$2)/Settings!$B$3,0)*Settings!$B$3,"")</f>
        <v/>
      </c>
      <c r="W707" s="14" t="n">
        <v>3387</v>
      </c>
      <c r="X707" s="14" t="n">
        <v>3784</v>
      </c>
      <c r="Y707" s="11" t="inlineStr"/>
      <c r="Z707" s="11" t="inlineStr"/>
      <c r="AA707" s="8" t="inlineStr"/>
      <c r="AB707" s="8" t="inlineStr"/>
      <c r="AC707" s="11" t="inlineStr">
        <is>
          <t>MasterMilitaryOnBaseList 12.2.25 NS.xlsx</t>
        </is>
      </c>
      <c r="AD707" s="11" t="inlineStr">
        <is>
          <t>Sponsorship &amp; Advertising Opportunties_2025.pdf</t>
        </is>
      </c>
      <c r="AE707" s="15" t="inlineStr">
        <is>
          <t>Open in Box</t>
        </is>
      </c>
      <c r="AF707" s="15" t="inlineStr">
        <is>
          <t>Open in Box</t>
        </is>
      </c>
    </row>
    <row r="708">
      <c r="A708" s="11" t="inlineStr">
        <is>
          <t>ID-MOUNTAIN-024</t>
        </is>
      </c>
      <c r="B708" s="8" t="inlineStr">
        <is>
          <t>Mountain Home AFB</t>
        </is>
      </c>
      <c r="C708" s="11" t="inlineStr"/>
      <c r="D708" s="11" t="inlineStr">
        <is>
          <t>ID</t>
        </is>
      </c>
      <c r="E708" s="11" t="inlineStr">
        <is>
          <t>Boise</t>
        </is>
      </c>
      <c r="F708" s="11" t="inlineStr">
        <is>
          <t>83648</t>
        </is>
      </c>
      <c r="G708" s="11" t="inlineStr">
        <is>
          <t>Air Force</t>
        </is>
      </c>
      <c r="H708" s="11" t="inlineStr">
        <is>
          <t>Sponsorship &amp; Other</t>
        </is>
      </c>
      <c r="I708" s="8" t="inlineStr">
        <is>
          <t>Golf Pencils</t>
        </is>
      </c>
      <c r="J708" s="11" t="inlineStr">
        <is>
          <t>TBD</t>
        </is>
      </c>
      <c r="K708" s="8" t="inlineStr">
        <is>
          <t>Your ad will appear on golf pencils on the installation golf course.</t>
        </is>
      </c>
      <c r="L708" s="11" t="n">
        <v>6</v>
      </c>
      <c r="M708" s="12" t="n"/>
      <c r="N708" s="12" t="n"/>
      <c r="O708" s="12" t="n">
        <v>500</v>
      </c>
      <c r="P708" s="12" t="n"/>
      <c r="Q708" s="12" t="n"/>
      <c r="R708" s="13">
        <f>IF(ISNUMBER(M708),ROUND(M708/(1-Settings!$B$2)/Settings!$B$3,0)*Settings!$B$3,"")</f>
        <v/>
      </c>
      <c r="S708" s="13">
        <f>IF(ISNUMBER(N708),ROUND(N708/(1-Settings!$B$2)/Settings!$B$3,0)*Settings!$B$3,"")</f>
        <v/>
      </c>
      <c r="T708" s="13">
        <f>IF(ISNUMBER(O708),ROUND(O708/(1-Settings!$B$2)/Settings!$B$3,0)*Settings!$B$3,"")</f>
        <v/>
      </c>
      <c r="U708" s="13">
        <f>IF(ISNUMBER(P708),ROUND(P708/(1-Settings!$B$2)/Settings!$B$3,0)*Settings!$B$3,"")</f>
        <v/>
      </c>
      <c r="V708" s="13">
        <f>IF(ISNUMBER(Q708),ROUND(Q708/(1-Settings!$B$2)/Settings!$B$3,0)*Settings!$B$3,"")</f>
        <v/>
      </c>
      <c r="W708" s="14" t="n">
        <v>3387</v>
      </c>
      <c r="X708" s="14" t="n">
        <v>3784</v>
      </c>
      <c r="Y708" s="11" t="inlineStr"/>
      <c r="Z708" s="11" t="inlineStr"/>
      <c r="AA708" s="8" t="inlineStr"/>
      <c r="AB708" s="8" t="inlineStr"/>
      <c r="AC708" s="11" t="inlineStr">
        <is>
          <t>MasterMilitaryOnBaseList 12.2.25 NS.xlsx</t>
        </is>
      </c>
      <c r="AD708" s="11" t="inlineStr">
        <is>
          <t>Sponsorship &amp; Advertising Opportunties_2025.pdf</t>
        </is>
      </c>
      <c r="AE708" s="15" t="inlineStr">
        <is>
          <t>Open in Box</t>
        </is>
      </c>
      <c r="AF708" s="15" t="inlineStr">
        <is>
          <t>Open in Box</t>
        </is>
      </c>
    </row>
    <row r="709">
      <c r="A709" s="11" t="inlineStr">
        <is>
          <t>ID-MOUNTAIN-025</t>
        </is>
      </c>
      <c r="B709" s="8" t="inlineStr">
        <is>
          <t>Mountain Home AFB</t>
        </is>
      </c>
      <c r="C709" s="11" t="inlineStr"/>
      <c r="D709" s="11" t="inlineStr">
        <is>
          <t>ID</t>
        </is>
      </c>
      <c r="E709" s="11" t="inlineStr">
        <is>
          <t>Boise</t>
        </is>
      </c>
      <c r="F709" s="11" t="inlineStr">
        <is>
          <t>83648</t>
        </is>
      </c>
      <c r="G709" s="11" t="inlineStr">
        <is>
          <t>Air Force</t>
        </is>
      </c>
      <c r="H709" s="11" t="inlineStr">
        <is>
          <t>Sponsorship &amp; Other</t>
        </is>
      </c>
      <c r="I709" s="8" t="inlineStr">
        <is>
          <t>Golf Scoring Pencils</t>
        </is>
      </c>
      <c r="J709" s="11" t="inlineStr">
        <is>
          <t>TBD</t>
        </is>
      </c>
      <c r="K709" s="8" t="inlineStr">
        <is>
          <t>Your ad will appear on the golf course pencils.</t>
        </is>
      </c>
      <c r="L709" s="11" t="n">
        <v>6</v>
      </c>
      <c r="M709" s="12" t="n"/>
      <c r="N709" s="12" t="n"/>
      <c r="O709" s="12" t="n">
        <v>500</v>
      </c>
      <c r="P709" s="12" t="n"/>
      <c r="Q709" s="12" t="n">
        <v>0</v>
      </c>
      <c r="R709" s="13">
        <f>IF(ISNUMBER(M709),ROUND(M709/(1-Settings!$B$2)/Settings!$B$3,0)*Settings!$B$3,"")</f>
        <v/>
      </c>
      <c r="S709" s="13">
        <f>IF(ISNUMBER(N709),ROUND(N709/(1-Settings!$B$2)/Settings!$B$3,0)*Settings!$B$3,"")</f>
        <v/>
      </c>
      <c r="T709" s="13">
        <f>IF(ISNUMBER(O709),ROUND(O709/(1-Settings!$B$2)/Settings!$B$3,0)*Settings!$B$3,"")</f>
        <v/>
      </c>
      <c r="U709" s="13">
        <f>IF(ISNUMBER(P709),ROUND(P709/(1-Settings!$B$2)/Settings!$B$3,0)*Settings!$B$3,"")</f>
        <v/>
      </c>
      <c r="V709" s="13">
        <f>IF(ISNUMBER(Q709),ROUND(Q709/(1-Settings!$B$2)/Settings!$B$3,0)*Settings!$B$3,"")</f>
        <v/>
      </c>
      <c r="W709" s="14" t="n">
        <v>3387</v>
      </c>
      <c r="X709" s="14" t="n">
        <v>3784</v>
      </c>
      <c r="Y709" s="11" t="inlineStr"/>
      <c r="Z709" s="11" t="inlineStr"/>
      <c r="AA709" s="8" t="inlineStr">
        <is>
          <t>Inventory master 6/2026 lists Golf Scorecard Ad at $1,500 (12 mo)</t>
        </is>
      </c>
      <c r="AB709" s="16" t="inlineStr">
        <is>
          <t>Source formula errors</t>
        </is>
      </c>
      <c r="AC709" s="11" t="inlineStr">
        <is>
          <t>MasterMilitaryOnBaseList 12.2.25 NS.xlsx</t>
        </is>
      </c>
      <c r="AD709" s="11" t="inlineStr">
        <is>
          <t>Sponsorship &amp; Advertising Opportunties_2025.pdf</t>
        </is>
      </c>
      <c r="AE709" s="15" t="inlineStr">
        <is>
          <t>Open in Box</t>
        </is>
      </c>
      <c r="AF709" s="15" t="inlineStr">
        <is>
          <t>Open in Box</t>
        </is>
      </c>
    </row>
    <row r="710">
      <c r="A710" s="11" t="inlineStr">
        <is>
          <t>ID-MOUNTAIN-026</t>
        </is>
      </c>
      <c r="B710" s="8" t="inlineStr">
        <is>
          <t>Mountain Home AFB</t>
        </is>
      </c>
      <c r="C710" s="11" t="inlineStr"/>
      <c r="D710" s="11" t="inlineStr">
        <is>
          <t>ID</t>
        </is>
      </c>
      <c r="E710" s="11" t="inlineStr">
        <is>
          <t>Boise</t>
        </is>
      </c>
      <c r="F710" s="11" t="inlineStr">
        <is>
          <t>83648</t>
        </is>
      </c>
      <c r="G710" s="11" t="inlineStr">
        <is>
          <t>Air Force</t>
        </is>
      </c>
      <c r="H710" s="11" t="inlineStr">
        <is>
          <t>Sponsorship &amp; Other</t>
        </is>
      </c>
      <c r="I710" s="8" t="inlineStr">
        <is>
          <t>Housing Mailer</t>
        </is>
      </c>
      <c r="J710" s="11" t="inlineStr">
        <is>
          <t>TBD</t>
        </is>
      </c>
      <c r="K710" s="8" t="inlineStr">
        <is>
          <t>Your ad will appear on Housing Mailers.</t>
        </is>
      </c>
      <c r="L710" s="11" t="n">
        <v>1</v>
      </c>
      <c r="M710" s="12" t="n">
        <v>300</v>
      </c>
      <c r="N710" s="12" t="n">
        <v>800</v>
      </c>
      <c r="O710" s="12" t="n"/>
      <c r="P710" s="12" t="n"/>
      <c r="Q710" s="12" t="n"/>
      <c r="R710" s="13">
        <f>IF(ISNUMBER(M710),ROUND(M710/(1-Settings!$B$2)/Settings!$B$3,0)*Settings!$B$3,"")</f>
        <v/>
      </c>
      <c r="S710" s="13">
        <f>IF(ISNUMBER(N710),ROUND(N710/(1-Settings!$B$2)/Settings!$B$3,0)*Settings!$B$3,"")</f>
        <v/>
      </c>
      <c r="T710" s="13">
        <f>IF(ISNUMBER(O710),ROUND(O710/(1-Settings!$B$2)/Settings!$B$3,0)*Settings!$B$3,"")</f>
        <v/>
      </c>
      <c r="U710" s="13">
        <f>IF(ISNUMBER(P710),ROUND(P710/(1-Settings!$B$2)/Settings!$B$3,0)*Settings!$B$3,"")</f>
        <v/>
      </c>
      <c r="V710" s="13">
        <f>IF(ISNUMBER(Q710),ROUND(Q710/(1-Settings!$B$2)/Settings!$B$3,0)*Settings!$B$3,"")</f>
        <v/>
      </c>
      <c r="W710" s="14" t="n">
        <v>3387</v>
      </c>
      <c r="X710" s="14" t="n">
        <v>3784</v>
      </c>
      <c r="Y710" s="11" t="inlineStr"/>
      <c r="Z710" s="11" t="inlineStr"/>
      <c r="AA710" s="8" t="inlineStr"/>
      <c r="AB710" s="8" t="inlineStr"/>
      <c r="AC710" s="11" t="inlineStr">
        <is>
          <t>MasterMilitaryOnBaseList 12.2.25 NS.xlsx</t>
        </is>
      </c>
      <c r="AD710" s="11" t="inlineStr">
        <is>
          <t>Sponsorship &amp; Advertising Opportunties_2025.pdf</t>
        </is>
      </c>
      <c r="AE710" s="15" t="inlineStr">
        <is>
          <t>Open in Box</t>
        </is>
      </c>
      <c r="AF710" s="15" t="inlineStr">
        <is>
          <t>Open in Box</t>
        </is>
      </c>
    </row>
    <row r="711">
      <c r="A711" s="11" t="inlineStr">
        <is>
          <t>ID-MOUNTAIN-027</t>
        </is>
      </c>
      <c r="B711" s="8" t="inlineStr">
        <is>
          <t>Mountain Home AFB</t>
        </is>
      </c>
      <c r="C711" s="11" t="inlineStr"/>
      <c r="D711" s="11" t="inlineStr">
        <is>
          <t>ID</t>
        </is>
      </c>
      <c r="E711" s="11" t="inlineStr">
        <is>
          <t>Boise</t>
        </is>
      </c>
      <c r="F711" s="11" t="inlineStr">
        <is>
          <t>83648</t>
        </is>
      </c>
      <c r="G711" s="11" t="inlineStr">
        <is>
          <t>Air Force</t>
        </is>
      </c>
      <c r="H711" s="11" t="inlineStr">
        <is>
          <t>Sponsorship &amp; Other</t>
        </is>
      </c>
      <c r="I711" s="8" t="inlineStr">
        <is>
          <t>Notepads</t>
        </is>
      </c>
      <c r="J711" s="11" t="inlineStr">
        <is>
          <t>TBD</t>
        </is>
      </c>
      <c r="K711" s="8" t="inlineStr">
        <is>
          <t>Your ad will appear on notepads given out on the installation.</t>
        </is>
      </c>
      <c r="L711" s="11" t="n">
        <v>12</v>
      </c>
      <c r="M711" s="12" t="n"/>
      <c r="N711" s="12" t="n"/>
      <c r="O711" s="12" t="n"/>
      <c r="P711" s="12" t="n">
        <v>500</v>
      </c>
      <c r="Q711" s="12" t="n">
        <v>0</v>
      </c>
      <c r="R711" s="13">
        <f>IF(ISNUMBER(M711),ROUND(M711/(1-Settings!$B$2)/Settings!$B$3,0)*Settings!$B$3,"")</f>
        <v/>
      </c>
      <c r="S711" s="13">
        <f>IF(ISNUMBER(N711),ROUND(N711/(1-Settings!$B$2)/Settings!$B$3,0)*Settings!$B$3,"")</f>
        <v/>
      </c>
      <c r="T711" s="13">
        <f>IF(ISNUMBER(O711),ROUND(O711/(1-Settings!$B$2)/Settings!$B$3,0)*Settings!$B$3,"")</f>
        <v/>
      </c>
      <c r="U711" s="13">
        <f>IF(ISNUMBER(P711),ROUND(P711/(1-Settings!$B$2)/Settings!$B$3,0)*Settings!$B$3,"")</f>
        <v/>
      </c>
      <c r="V711" s="13">
        <f>IF(ISNUMBER(Q711),ROUND(Q711/(1-Settings!$B$2)/Settings!$B$3,0)*Settings!$B$3,"")</f>
        <v/>
      </c>
      <c r="W711" s="14" t="n">
        <v>3387</v>
      </c>
      <c r="X711" s="14" t="n">
        <v>3784</v>
      </c>
      <c r="Y711" s="11" t="inlineStr"/>
      <c r="Z711" s="11" t="inlineStr"/>
      <c r="AA711" s="8" t="inlineStr"/>
      <c r="AB711" s="8" t="inlineStr"/>
      <c r="AC711" s="11" t="inlineStr">
        <is>
          <t>MasterMilitaryOnBaseList 12.2.25 NS.xlsx</t>
        </is>
      </c>
      <c r="AD711" s="11" t="inlineStr">
        <is>
          <t>Sponsorship &amp; Advertising Opportunties_2025.pdf</t>
        </is>
      </c>
      <c r="AE711" s="15" t="inlineStr">
        <is>
          <t>Open in Box</t>
        </is>
      </c>
      <c r="AF711" s="15" t="inlineStr">
        <is>
          <t>Open in Box</t>
        </is>
      </c>
    </row>
    <row r="712">
      <c r="A712" s="11" t="inlineStr">
        <is>
          <t>ID-MOUNTAIN-028</t>
        </is>
      </c>
      <c r="B712" s="8" t="inlineStr">
        <is>
          <t>Mountain Home AFB</t>
        </is>
      </c>
      <c r="C712" s="11" t="inlineStr"/>
      <c r="D712" s="11" t="inlineStr">
        <is>
          <t>ID</t>
        </is>
      </c>
      <c r="E712" s="11" t="inlineStr">
        <is>
          <t>Boise</t>
        </is>
      </c>
      <c r="F712" s="11" t="inlineStr">
        <is>
          <t>83648</t>
        </is>
      </c>
      <c r="G712" s="11" t="inlineStr">
        <is>
          <t>Air Force</t>
        </is>
      </c>
      <c r="H712" s="11" t="inlineStr">
        <is>
          <t>Sponsorship &amp; Other</t>
        </is>
      </c>
      <c r="I712" s="8" t="inlineStr">
        <is>
          <t>Pens</t>
        </is>
      </c>
      <c r="J712" s="11" t="inlineStr">
        <is>
          <t>TBD</t>
        </is>
      </c>
      <c r="K712" s="8" t="inlineStr">
        <is>
          <t>Your ad will appear will appear on pens given out on the intallation.</t>
        </is>
      </c>
      <c r="L712" s="11" t="n">
        <v>12</v>
      </c>
      <c r="M712" s="12" t="n"/>
      <c r="N712" s="12" t="n"/>
      <c r="O712" s="12" t="n"/>
      <c r="P712" s="12" t="n">
        <v>500</v>
      </c>
      <c r="Q712" s="12" t="n">
        <v>0</v>
      </c>
      <c r="R712" s="13">
        <f>IF(ISNUMBER(M712),ROUND(M712/(1-Settings!$B$2)/Settings!$B$3,0)*Settings!$B$3,"")</f>
        <v/>
      </c>
      <c r="S712" s="13">
        <f>IF(ISNUMBER(N712),ROUND(N712/(1-Settings!$B$2)/Settings!$B$3,0)*Settings!$B$3,"")</f>
        <v/>
      </c>
      <c r="T712" s="13">
        <f>IF(ISNUMBER(O712),ROUND(O712/(1-Settings!$B$2)/Settings!$B$3,0)*Settings!$B$3,"")</f>
        <v/>
      </c>
      <c r="U712" s="13">
        <f>IF(ISNUMBER(P712),ROUND(P712/(1-Settings!$B$2)/Settings!$B$3,0)*Settings!$B$3,"")</f>
        <v/>
      </c>
      <c r="V712" s="13">
        <f>IF(ISNUMBER(Q712),ROUND(Q712/(1-Settings!$B$2)/Settings!$B$3,0)*Settings!$B$3,"")</f>
        <v/>
      </c>
      <c r="W712" s="14" t="n">
        <v>3387</v>
      </c>
      <c r="X712" s="14" t="n">
        <v>3784</v>
      </c>
      <c r="Y712" s="11" t="inlineStr"/>
      <c r="Z712" s="11" t="inlineStr"/>
      <c r="AA712" s="8" t="inlineStr"/>
      <c r="AB712" s="8" t="inlineStr"/>
      <c r="AC712" s="11" t="inlineStr">
        <is>
          <t>MasterMilitaryOnBaseList 12.2.25 NS.xlsx</t>
        </is>
      </c>
      <c r="AD712" s="11" t="inlineStr">
        <is>
          <t>Sponsorship &amp; Advertising Opportunties_2025.pdf</t>
        </is>
      </c>
      <c r="AE712" s="15" t="inlineStr">
        <is>
          <t>Open in Box</t>
        </is>
      </c>
      <c r="AF712" s="15" t="inlineStr">
        <is>
          <t>Open in Box</t>
        </is>
      </c>
    </row>
    <row r="713">
      <c r="A713" s="11" t="inlineStr">
        <is>
          <t>ID-MOUNTAIN-008</t>
        </is>
      </c>
      <c r="B713" s="8" t="inlineStr">
        <is>
          <t>Mountain Home AFB</t>
        </is>
      </c>
      <c r="C713" s="11" t="inlineStr"/>
      <c r="D713" s="11" t="inlineStr">
        <is>
          <t>ID</t>
        </is>
      </c>
      <c r="E713" s="11" t="inlineStr">
        <is>
          <t>Boise</t>
        </is>
      </c>
      <c r="F713" s="11" t="inlineStr">
        <is>
          <t>83648</t>
        </is>
      </c>
      <c r="G713" s="11" t="inlineStr">
        <is>
          <t>Air Force</t>
        </is>
      </c>
      <c r="H713" s="11" t="inlineStr">
        <is>
          <t>Standard Media</t>
        </is>
      </c>
      <c r="I713" s="8" t="inlineStr">
        <is>
          <t>Banner</t>
        </is>
      </c>
      <c r="J713" s="11" t="inlineStr">
        <is>
          <t>TBD</t>
        </is>
      </c>
      <c r="K713" s="8" t="inlineStr">
        <is>
          <t>Your ad will appear in approved locations on the installation.</t>
        </is>
      </c>
      <c r="L713" s="11" t="n">
        <v>3</v>
      </c>
      <c r="M713" s="12" t="n"/>
      <c r="N713" s="12" t="n">
        <v>500</v>
      </c>
      <c r="O713" s="12" t="n">
        <v>1000</v>
      </c>
      <c r="P713" s="12" t="n">
        <v>2000</v>
      </c>
      <c r="Q713" s="12" t="n">
        <v>200</v>
      </c>
      <c r="R713" s="13">
        <f>IF(ISNUMBER(M713),ROUND(M713/(1-Settings!$B$2)/Settings!$B$3,0)*Settings!$B$3,"")</f>
        <v/>
      </c>
      <c r="S713" s="13">
        <f>IF(ISNUMBER(N713),ROUND(N713/(1-Settings!$B$2)/Settings!$B$3,0)*Settings!$B$3,"")</f>
        <v/>
      </c>
      <c r="T713" s="13">
        <f>IF(ISNUMBER(O713),ROUND(O713/(1-Settings!$B$2)/Settings!$B$3,0)*Settings!$B$3,"")</f>
        <v/>
      </c>
      <c r="U713" s="13">
        <f>IF(ISNUMBER(P713),ROUND(P713/(1-Settings!$B$2)/Settings!$B$3,0)*Settings!$B$3,"")</f>
        <v/>
      </c>
      <c r="V713" s="13">
        <f>IF(ISNUMBER(Q713),ROUND(Q713/(1-Settings!$B$2)/Settings!$B$3,0)*Settings!$B$3,"")</f>
        <v/>
      </c>
      <c r="W713" s="14" t="n">
        <v>3387</v>
      </c>
      <c r="X713" s="14" t="n">
        <v>3784</v>
      </c>
      <c r="Y713" s="11" t="inlineStr"/>
      <c r="Z713" s="11" t="inlineStr"/>
      <c r="AA713" s="8" t="inlineStr"/>
      <c r="AB713" s="8" t="inlineStr"/>
      <c r="AC713" s="11" t="inlineStr">
        <is>
          <t>MasterMilitaryOnBaseList 12.2.25 NS.xlsx</t>
        </is>
      </c>
      <c r="AD713" s="11" t="inlineStr">
        <is>
          <t>Sponsorship &amp; Advertising Opportunties_2025.pdf</t>
        </is>
      </c>
      <c r="AE713" s="15" t="inlineStr">
        <is>
          <t>Open in Box</t>
        </is>
      </c>
      <c r="AF713" s="15" t="inlineStr">
        <is>
          <t>Open in Box</t>
        </is>
      </c>
    </row>
    <row r="714">
      <c r="A714" s="11" t="inlineStr">
        <is>
          <t>ID-MOUNTAIN-009</t>
        </is>
      </c>
      <c r="B714" s="8" t="inlineStr">
        <is>
          <t>Mountain Home AFB</t>
        </is>
      </c>
      <c r="C714" s="11" t="inlineStr"/>
      <c r="D714" s="11" t="inlineStr">
        <is>
          <t>ID</t>
        </is>
      </c>
      <c r="E714" s="11" t="inlineStr">
        <is>
          <t>Boise</t>
        </is>
      </c>
      <c r="F714" s="11" t="inlineStr">
        <is>
          <t>83648</t>
        </is>
      </c>
      <c r="G714" s="11" t="inlineStr">
        <is>
          <t>Air Force</t>
        </is>
      </c>
      <c r="H714" s="11" t="inlineStr">
        <is>
          <t>Standard Media</t>
        </is>
      </c>
      <c r="I714" s="8" t="inlineStr">
        <is>
          <t>Banner</t>
        </is>
      </c>
      <c r="J714" s="11" t="inlineStr">
        <is>
          <t>6'W x 3'H</t>
        </is>
      </c>
      <c r="K714" s="8" t="inlineStr">
        <is>
          <t>Your ad will appear in an approved installation facility.</t>
        </is>
      </c>
      <c r="L714" s="11" t="n">
        <v>1</v>
      </c>
      <c r="M714" s="12" t="n">
        <v>100</v>
      </c>
      <c r="N714" s="12" t="n">
        <v>250</v>
      </c>
      <c r="O714" s="12" t="n">
        <v>500</v>
      </c>
      <c r="P714" s="12" t="n">
        <v>1000</v>
      </c>
      <c r="Q714" s="12" t="n">
        <v>200</v>
      </c>
      <c r="R714" s="13">
        <f>IF(ISNUMBER(M714),ROUND(M714/(1-Settings!$B$2)/Settings!$B$3,0)*Settings!$B$3,"")</f>
        <v/>
      </c>
      <c r="S714" s="13">
        <f>IF(ISNUMBER(N714),ROUND(N714/(1-Settings!$B$2)/Settings!$B$3,0)*Settings!$B$3,"")</f>
        <v/>
      </c>
      <c r="T714" s="13">
        <f>IF(ISNUMBER(O714),ROUND(O714/(1-Settings!$B$2)/Settings!$B$3,0)*Settings!$B$3,"")</f>
        <v/>
      </c>
      <c r="U714" s="13">
        <f>IF(ISNUMBER(P714),ROUND(P714/(1-Settings!$B$2)/Settings!$B$3,0)*Settings!$B$3,"")</f>
        <v/>
      </c>
      <c r="V714" s="13">
        <f>IF(ISNUMBER(Q714),ROUND(Q714/(1-Settings!$B$2)/Settings!$B$3,0)*Settings!$B$3,"")</f>
        <v/>
      </c>
      <c r="W714" s="14" t="n">
        <v>3387</v>
      </c>
      <c r="X714" s="14" t="n">
        <v>3784</v>
      </c>
      <c r="Y714" s="11" t="inlineStr"/>
      <c r="Z714" s="11" t="inlineStr"/>
      <c r="AA714" s="8" t="inlineStr"/>
      <c r="AB714" s="8" t="inlineStr"/>
      <c r="AC714" s="11" t="inlineStr">
        <is>
          <t>MasterMilitaryOnBaseList 12.2.25 NS.xlsx</t>
        </is>
      </c>
      <c r="AD714" s="11" t="inlineStr">
        <is>
          <t>Sponsorship &amp; Advertising Opportunties_2025.pdf</t>
        </is>
      </c>
      <c r="AE714" s="15" t="inlineStr">
        <is>
          <t>Open in Box</t>
        </is>
      </c>
      <c r="AF714" s="15" t="inlineStr">
        <is>
          <t>Open in Box</t>
        </is>
      </c>
    </row>
    <row r="715">
      <c r="A715" s="11" t="inlineStr">
        <is>
          <t>ID-MOUNTAIN-010</t>
        </is>
      </c>
      <c r="B715" s="8" t="inlineStr">
        <is>
          <t>Mountain Home AFB</t>
        </is>
      </c>
      <c r="C715" s="11" t="inlineStr"/>
      <c r="D715" s="11" t="inlineStr">
        <is>
          <t>ID</t>
        </is>
      </c>
      <c r="E715" s="11" t="inlineStr">
        <is>
          <t>Boise</t>
        </is>
      </c>
      <c r="F715" s="11" t="inlineStr">
        <is>
          <t>83648</t>
        </is>
      </c>
      <c r="G715" s="11" t="inlineStr">
        <is>
          <t>Air Force</t>
        </is>
      </c>
      <c r="H715" s="11" t="inlineStr">
        <is>
          <t>Standard Media</t>
        </is>
      </c>
      <c r="I715" s="8" t="inlineStr">
        <is>
          <t>Golf Flag Signage</t>
        </is>
      </c>
      <c r="J715" s="11" t="inlineStr">
        <is>
          <t>TBD</t>
        </is>
      </c>
      <c r="K715" s="8" t="inlineStr">
        <is>
          <t>Your ad will appear on one golf course flag stick.</t>
        </is>
      </c>
      <c r="L715" s="11" t="n">
        <v>6</v>
      </c>
      <c r="M715" s="12" t="n"/>
      <c r="N715" s="12" t="n"/>
      <c r="O715" s="12" t="n">
        <v>100</v>
      </c>
      <c r="P715" s="12" t="n"/>
      <c r="Q715" s="12" t="n"/>
      <c r="R715" s="13">
        <f>IF(ISNUMBER(M715),ROUND(M715/(1-Settings!$B$2)/Settings!$B$3,0)*Settings!$B$3,"")</f>
        <v/>
      </c>
      <c r="S715" s="13">
        <f>IF(ISNUMBER(N715),ROUND(N715/(1-Settings!$B$2)/Settings!$B$3,0)*Settings!$B$3,"")</f>
        <v/>
      </c>
      <c r="T715" s="13">
        <f>IF(ISNUMBER(O715),ROUND(O715/(1-Settings!$B$2)/Settings!$B$3,0)*Settings!$B$3,"")</f>
        <v/>
      </c>
      <c r="U715" s="13">
        <f>IF(ISNUMBER(P715),ROUND(P715/(1-Settings!$B$2)/Settings!$B$3,0)*Settings!$B$3,"")</f>
        <v/>
      </c>
      <c r="V715" s="13">
        <f>IF(ISNUMBER(Q715),ROUND(Q715/(1-Settings!$B$2)/Settings!$B$3,0)*Settings!$B$3,"")</f>
        <v/>
      </c>
      <c r="W715" s="14" t="n">
        <v>3387</v>
      </c>
      <c r="X715" s="14" t="n">
        <v>3784</v>
      </c>
      <c r="Y715" s="11" t="inlineStr"/>
      <c r="Z715" s="11" t="inlineStr"/>
      <c r="AA715" s="8" t="inlineStr"/>
      <c r="AB715" s="16" t="inlineStr">
        <is>
          <t>Source formula errors</t>
        </is>
      </c>
      <c r="AC715" s="11" t="inlineStr">
        <is>
          <t>MasterMilitaryOnBaseList 12.2.25 NS.xlsx</t>
        </is>
      </c>
      <c r="AD715" s="11" t="inlineStr">
        <is>
          <t>Sponsorship &amp; Advertising Opportunties_2025.pdf</t>
        </is>
      </c>
      <c r="AE715" s="15" t="inlineStr">
        <is>
          <t>Open in Box</t>
        </is>
      </c>
      <c r="AF715" s="15" t="inlineStr">
        <is>
          <t>Open in Box</t>
        </is>
      </c>
    </row>
    <row r="716">
      <c r="A716" s="11" t="inlineStr">
        <is>
          <t>ID-MOUNTAIN-011</t>
        </is>
      </c>
      <c r="B716" s="8" t="inlineStr">
        <is>
          <t>Mountain Home AFB</t>
        </is>
      </c>
      <c r="C716" s="11" t="inlineStr"/>
      <c r="D716" s="11" t="inlineStr">
        <is>
          <t>ID</t>
        </is>
      </c>
      <c r="E716" s="11" t="inlineStr">
        <is>
          <t>Boise</t>
        </is>
      </c>
      <c r="F716" s="11" t="inlineStr">
        <is>
          <t>83648</t>
        </is>
      </c>
      <c r="G716" s="11" t="inlineStr">
        <is>
          <t>Air Force</t>
        </is>
      </c>
      <c r="H716" s="11" t="inlineStr">
        <is>
          <t>Standard Media</t>
        </is>
      </c>
      <c r="I716" s="8" t="inlineStr">
        <is>
          <t>Poster</t>
        </is>
      </c>
      <c r="J716" s="11" t="inlineStr">
        <is>
          <t>22"W x 28"H</t>
        </is>
      </c>
      <c r="K716" s="8" t="inlineStr">
        <is>
          <t>Your ad will appear in an approved installation facility.</t>
        </is>
      </c>
      <c r="L716" s="11" t="n">
        <v>1</v>
      </c>
      <c r="M716" s="12" t="n">
        <v>100</v>
      </c>
      <c r="N716" s="12" t="n">
        <v>250</v>
      </c>
      <c r="O716" s="12" t="n">
        <v>500</v>
      </c>
      <c r="P716" s="12" t="n">
        <v>1000</v>
      </c>
      <c r="Q716" s="12" t="n">
        <v>100</v>
      </c>
      <c r="R716" s="13">
        <f>IF(ISNUMBER(M716),ROUND(M716/(1-Settings!$B$2)/Settings!$B$3,0)*Settings!$B$3,"")</f>
        <v/>
      </c>
      <c r="S716" s="13">
        <f>IF(ISNUMBER(N716),ROUND(N716/(1-Settings!$B$2)/Settings!$B$3,0)*Settings!$B$3,"")</f>
        <v/>
      </c>
      <c r="T716" s="13">
        <f>IF(ISNUMBER(O716),ROUND(O716/(1-Settings!$B$2)/Settings!$B$3,0)*Settings!$B$3,"")</f>
        <v/>
      </c>
      <c r="U716" s="13">
        <f>IF(ISNUMBER(P716),ROUND(P716/(1-Settings!$B$2)/Settings!$B$3,0)*Settings!$B$3,"")</f>
        <v/>
      </c>
      <c r="V716" s="13">
        <f>IF(ISNUMBER(Q716),ROUND(Q716/(1-Settings!$B$2)/Settings!$B$3,0)*Settings!$B$3,"")</f>
        <v/>
      </c>
      <c r="W716" s="14" t="n">
        <v>3387</v>
      </c>
      <c r="X716" s="14" t="n">
        <v>3784</v>
      </c>
      <c r="Y716" s="11" t="inlineStr"/>
      <c r="Z716" s="11" t="inlineStr"/>
      <c r="AA716" s="8" t="inlineStr"/>
      <c r="AB716" s="8" t="inlineStr"/>
      <c r="AC716" s="11" t="inlineStr">
        <is>
          <t>MasterMilitaryOnBaseList 12.2.25 NS.xlsx</t>
        </is>
      </c>
      <c r="AD716" s="11" t="inlineStr">
        <is>
          <t>Sponsorship &amp; Advertising Opportunties_2025.pdf</t>
        </is>
      </c>
      <c r="AE716" s="15" t="inlineStr">
        <is>
          <t>Open in Box</t>
        </is>
      </c>
      <c r="AF716" s="15" t="inlineStr">
        <is>
          <t>Open in Box</t>
        </is>
      </c>
    </row>
    <row r="717">
      <c r="A717" s="11" t="inlineStr">
        <is>
          <t>ID-MOUNTAIN-012</t>
        </is>
      </c>
      <c r="B717" s="8" t="inlineStr">
        <is>
          <t>Mountain Home AFB</t>
        </is>
      </c>
      <c r="C717" s="11" t="inlineStr"/>
      <c r="D717" s="11" t="inlineStr">
        <is>
          <t>ID</t>
        </is>
      </c>
      <c r="E717" s="11" t="inlineStr">
        <is>
          <t>Boise</t>
        </is>
      </c>
      <c r="F717" s="11" t="inlineStr">
        <is>
          <t>83648</t>
        </is>
      </c>
      <c r="G717" s="11" t="inlineStr">
        <is>
          <t>Air Force</t>
        </is>
      </c>
      <c r="H717" s="11" t="inlineStr">
        <is>
          <t>Standard Media</t>
        </is>
      </c>
      <c r="I717" s="8" t="inlineStr">
        <is>
          <t>Table Tents</t>
        </is>
      </c>
      <c r="J717" s="11" t="inlineStr">
        <is>
          <t>TBD</t>
        </is>
      </c>
      <c r="K717" s="8" t="inlineStr">
        <is>
          <t>Your ad will appear on approved tables.</t>
        </is>
      </c>
      <c r="L717" s="11" t="n">
        <v>1</v>
      </c>
      <c r="M717" s="12" t="n">
        <v>150</v>
      </c>
      <c r="N717" s="12" t="n">
        <v>400</v>
      </c>
      <c r="O717" s="12" t="n">
        <v>700</v>
      </c>
      <c r="P717" s="12" t="n">
        <v>1300</v>
      </c>
      <c r="Q717" s="12" t="n"/>
      <c r="R717" s="13">
        <f>IF(ISNUMBER(M717),ROUND(M717/(1-Settings!$B$2)/Settings!$B$3,0)*Settings!$B$3,"")</f>
        <v/>
      </c>
      <c r="S717" s="13">
        <f>IF(ISNUMBER(N717),ROUND(N717/(1-Settings!$B$2)/Settings!$B$3,0)*Settings!$B$3,"")</f>
        <v/>
      </c>
      <c r="T717" s="13">
        <f>IF(ISNUMBER(O717),ROUND(O717/(1-Settings!$B$2)/Settings!$B$3,0)*Settings!$B$3,"")</f>
        <v/>
      </c>
      <c r="U717" s="13">
        <f>IF(ISNUMBER(P717),ROUND(P717/(1-Settings!$B$2)/Settings!$B$3,0)*Settings!$B$3,"")</f>
        <v/>
      </c>
      <c r="V717" s="13">
        <f>IF(ISNUMBER(Q717),ROUND(Q717/(1-Settings!$B$2)/Settings!$B$3,0)*Settings!$B$3,"")</f>
        <v/>
      </c>
      <c r="W717" s="14" t="n">
        <v>3387</v>
      </c>
      <c r="X717" s="14" t="n">
        <v>3784</v>
      </c>
      <c r="Y717" s="11" t="inlineStr"/>
      <c r="Z717" s="11" t="inlineStr"/>
      <c r="AA717" s="8" t="inlineStr"/>
      <c r="AB717" s="8" t="inlineStr"/>
      <c r="AC717" s="11" t="inlineStr">
        <is>
          <t>MasterMilitaryOnBaseList 12.2.25 NS.xlsx</t>
        </is>
      </c>
      <c r="AD717" s="11" t="inlineStr">
        <is>
          <t>Sponsorship &amp; Advertising Opportunties_2025.pdf</t>
        </is>
      </c>
      <c r="AE717" s="15" t="inlineStr">
        <is>
          <t>Open in Box</t>
        </is>
      </c>
      <c r="AF717" s="15" t="inlineStr">
        <is>
          <t>Open in Box</t>
        </is>
      </c>
    </row>
    <row r="718">
      <c r="A718" s="11" t="inlineStr">
        <is>
          <t>ID-MOUNTAIN-029</t>
        </is>
      </c>
      <c r="B718" s="8" t="inlineStr">
        <is>
          <t>Mountain Home AFB</t>
        </is>
      </c>
      <c r="C718" s="11" t="inlineStr"/>
      <c r="D718" s="11" t="inlineStr">
        <is>
          <t>ID</t>
        </is>
      </c>
      <c r="E718" s="11" t="inlineStr">
        <is>
          <t>Boise</t>
        </is>
      </c>
      <c r="F718" s="11" t="inlineStr"/>
      <c r="G718" s="11" t="inlineStr">
        <is>
          <t>Air Force</t>
        </is>
      </c>
      <c r="H718" s="11" t="inlineStr">
        <is>
          <t>Web &amp; Email</t>
        </is>
      </c>
      <c r="I718" s="8" t="inlineStr">
        <is>
          <t>Web Ad</t>
        </is>
      </c>
      <c r="J718" s="11" t="inlineStr"/>
      <c r="K718" s="8" t="inlineStr">
        <is>
          <t>Your ad will appear on the installation MWR / FSS website.</t>
        </is>
      </c>
      <c r="L718" s="11" t="n">
        <v>12</v>
      </c>
      <c r="M718" s="12" t="n"/>
      <c r="N718" s="12" t="n"/>
      <c r="O718" s="12" t="n"/>
      <c r="P718" s="12" t="n">
        <v>250</v>
      </c>
      <c r="Q718" s="12" t="n"/>
      <c r="R718" s="13">
        <f>IF(ISNUMBER(M718),ROUND(M718/(1-Settings!$B$2)/Settings!$B$3,0)*Settings!$B$3,"")</f>
        <v/>
      </c>
      <c r="S718" s="13">
        <f>IF(ISNUMBER(N718),ROUND(N718/(1-Settings!$B$2)/Settings!$B$3,0)*Settings!$B$3,"")</f>
        <v/>
      </c>
      <c r="T718" s="13">
        <f>IF(ISNUMBER(O718),ROUND(O718/(1-Settings!$B$2)/Settings!$B$3,0)*Settings!$B$3,"")</f>
        <v/>
      </c>
      <c r="U718" s="13">
        <f>IF(ISNUMBER(P718),ROUND(P718/(1-Settings!$B$2)/Settings!$B$3,0)*Settings!$B$3,"")</f>
        <v/>
      </c>
      <c r="V718" s="13">
        <f>IF(ISNUMBER(Q718),ROUND(Q718/(1-Settings!$B$2)/Settings!$B$3,0)*Settings!$B$3,"")</f>
        <v/>
      </c>
      <c r="W718" s="14" t="n">
        <v>3387</v>
      </c>
      <c r="X718" s="14" t="n">
        <v>3784</v>
      </c>
      <c r="Y718" s="11" t="inlineStr">
        <is>
          <t>2026</t>
        </is>
      </c>
      <c r="Z718" s="11" t="inlineStr">
        <is>
          <t>2026-06</t>
        </is>
      </c>
      <c r="AA718" s="8" t="inlineStr">
        <is>
          <t>Annual commitment required</t>
        </is>
      </c>
      <c r="AB718" s="8" t="inlineStr"/>
      <c r="AC718" s="11" t="inlineStr">
        <is>
          <t>Military - National Publication Inventory Master_June 2026.xlsx</t>
        </is>
      </c>
      <c r="AD718" s="11" t="inlineStr">
        <is>
          <t>Sponsorship &amp; Advertising Opportunties_2025.pdf</t>
        </is>
      </c>
      <c r="AE718" s="15" t="inlineStr">
        <is>
          <t>Open in Box</t>
        </is>
      </c>
      <c r="AF718" s="15" t="inlineStr">
        <is>
          <t>Open in Box</t>
        </is>
      </c>
    </row>
    <row r="719">
      <c r="A719" s="11" t="inlineStr">
        <is>
          <t>IL-NAVALSTA-003</t>
        </is>
      </c>
      <c r="B719" s="8" t="inlineStr">
        <is>
          <t>Naval Station Great Lakes</t>
        </is>
      </c>
      <c r="C719" s="11" t="inlineStr"/>
      <c r="D719" s="11" t="inlineStr">
        <is>
          <t>IL</t>
        </is>
      </c>
      <c r="E719" s="11" t="inlineStr">
        <is>
          <t>Chicago</t>
        </is>
      </c>
      <c r="F719" s="11" t="inlineStr"/>
      <c r="G719" s="11" t="inlineStr">
        <is>
          <t>Navy</t>
        </is>
      </c>
      <c r="H719" s="11" t="inlineStr">
        <is>
          <t>Print &amp; Publications</t>
        </is>
      </c>
      <c r="I719" s="8" t="inlineStr">
        <is>
          <t>Golf Scorecard Ad</t>
        </is>
      </c>
      <c r="J719" s="11" t="inlineStr"/>
      <c r="K719" s="8" t="inlineStr">
        <is>
          <t>Your ad will appear on the golf course scorecard.</t>
        </is>
      </c>
      <c r="L719" s="11" t="n">
        <v>1</v>
      </c>
      <c r="M719" s="12" t="n">
        <v>500</v>
      </c>
      <c r="N719" s="12" t="n"/>
      <c r="O719" s="12" t="n"/>
      <c r="P719" s="12" t="n"/>
      <c r="Q719" s="12" t="n"/>
      <c r="R719" s="13">
        <f>IF(ISNUMBER(M719),ROUND(M719/(1-Settings!$B$2)/Settings!$B$3,0)*Settings!$B$3,"")</f>
        <v/>
      </c>
      <c r="S719" s="13">
        <f>IF(ISNUMBER(N719),ROUND(N719/(1-Settings!$B$2)/Settings!$B$3,0)*Settings!$B$3,"")</f>
        <v/>
      </c>
      <c r="T719" s="13">
        <f>IF(ISNUMBER(O719),ROUND(O719/(1-Settings!$B$2)/Settings!$B$3,0)*Settings!$B$3,"")</f>
        <v/>
      </c>
      <c r="U719" s="13">
        <f>IF(ISNUMBER(P719),ROUND(P719/(1-Settings!$B$2)/Settings!$B$3,0)*Settings!$B$3,"")</f>
        <v/>
      </c>
      <c r="V719" s="13">
        <f>IF(ISNUMBER(Q719),ROUND(Q719/(1-Settings!$B$2)/Settings!$B$3,0)*Settings!$B$3,"")</f>
        <v/>
      </c>
      <c r="W719" s="14" t="n">
        <v>15726</v>
      </c>
      <c r="X719" s="14" t="n">
        <v>6149</v>
      </c>
      <c r="Y719" s="11" t="inlineStr">
        <is>
          <t>2026</t>
        </is>
      </c>
      <c r="Z719" s="11" t="inlineStr">
        <is>
          <t>2026-06</t>
        </is>
      </c>
      <c r="AA719" s="8" t="inlineStr"/>
      <c r="AB719" s="8" t="inlineStr"/>
      <c r="AC719" s="11" t="inlineStr">
        <is>
          <t>Military - National Publication Inventory Master_June 2026.xlsx</t>
        </is>
      </c>
      <c r="AD719" s="11" t="inlineStr">
        <is>
          <t>NAVSTA Great Lakes Advertising Rate Card_2026.pdf</t>
        </is>
      </c>
      <c r="AE719" s="15" t="inlineStr">
        <is>
          <t>Open in Box</t>
        </is>
      </c>
      <c r="AF719" s="15" t="inlineStr">
        <is>
          <t>Open in Box</t>
        </is>
      </c>
    </row>
    <row r="720">
      <c r="A720" s="11" t="inlineStr">
        <is>
          <t>IL-NAVALSTA-001</t>
        </is>
      </c>
      <c r="B720" s="8" t="inlineStr">
        <is>
          <t>Naval Station Great Lakes</t>
        </is>
      </c>
      <c r="C720" s="11" t="inlineStr"/>
      <c r="D720" s="11" t="inlineStr">
        <is>
          <t>IL</t>
        </is>
      </c>
      <c r="E720" s="11" t="inlineStr">
        <is>
          <t>Chicago</t>
        </is>
      </c>
      <c r="F720" s="11" t="inlineStr"/>
      <c r="G720" s="11" t="inlineStr">
        <is>
          <t>Navy</t>
        </is>
      </c>
      <c r="H720" s="11" t="inlineStr">
        <is>
          <t>Web &amp; Email</t>
        </is>
      </c>
      <c r="I720" s="8" t="inlineStr">
        <is>
          <t>Monthly E-Newsletter Ad</t>
        </is>
      </c>
      <c r="J720" s="11" t="inlineStr"/>
      <c r="K720" s="8" t="inlineStr">
        <is>
          <t>Your ad will appear in the monthly e-newsletter emailed to the installation community.</t>
        </is>
      </c>
      <c r="L720" s="11" t="n">
        <v>1</v>
      </c>
      <c r="M720" s="12" t="n">
        <v>350</v>
      </c>
      <c r="N720" s="12" t="n"/>
      <c r="O720" s="12" t="n"/>
      <c r="P720" s="12" t="n"/>
      <c r="Q720" s="12" t="n"/>
      <c r="R720" s="13">
        <f>IF(ISNUMBER(M720),ROUND(M720/(1-Settings!$B$2)/Settings!$B$3,0)*Settings!$B$3,"")</f>
        <v/>
      </c>
      <c r="S720" s="13">
        <f>IF(ISNUMBER(N720),ROUND(N720/(1-Settings!$B$2)/Settings!$B$3,0)*Settings!$B$3,"")</f>
        <v/>
      </c>
      <c r="T720" s="13">
        <f>IF(ISNUMBER(O720),ROUND(O720/(1-Settings!$B$2)/Settings!$B$3,0)*Settings!$B$3,"")</f>
        <v/>
      </c>
      <c r="U720" s="13">
        <f>IF(ISNUMBER(P720),ROUND(P720/(1-Settings!$B$2)/Settings!$B$3,0)*Settings!$B$3,"")</f>
        <v/>
      </c>
      <c r="V720" s="13">
        <f>IF(ISNUMBER(Q720),ROUND(Q720/(1-Settings!$B$2)/Settings!$B$3,0)*Settings!$B$3,"")</f>
        <v/>
      </c>
      <c r="W720" s="14" t="n">
        <v>15726</v>
      </c>
      <c r="X720" s="14" t="n">
        <v>6149</v>
      </c>
      <c r="Y720" s="11" t="inlineStr">
        <is>
          <t>2026</t>
        </is>
      </c>
      <c r="Z720" s="11" t="inlineStr">
        <is>
          <t>2026-06</t>
        </is>
      </c>
      <c r="AA720" s="8" t="inlineStr"/>
      <c r="AB720" s="8" t="inlineStr"/>
      <c r="AC720" s="11" t="inlineStr">
        <is>
          <t>Military - National Publication Inventory Master_June 2026.xlsx</t>
        </is>
      </c>
      <c r="AD720" s="11" t="inlineStr">
        <is>
          <t>NAVSTA Great Lakes Advertising Rate Card_2026.pdf</t>
        </is>
      </c>
      <c r="AE720" s="15" t="inlineStr">
        <is>
          <t>Open in Box</t>
        </is>
      </c>
      <c r="AF720" s="15" t="inlineStr">
        <is>
          <t>Open in Box</t>
        </is>
      </c>
    </row>
    <row r="721">
      <c r="A721" s="11" t="inlineStr">
        <is>
          <t>IL-NAVALSTA-002</t>
        </is>
      </c>
      <c r="B721" s="8" t="inlineStr">
        <is>
          <t>Naval Station Great Lakes</t>
        </is>
      </c>
      <c r="C721" s="11" t="inlineStr"/>
      <c r="D721" s="11" t="inlineStr">
        <is>
          <t>IL</t>
        </is>
      </c>
      <c r="E721" s="11" t="inlineStr">
        <is>
          <t>Chicago</t>
        </is>
      </c>
      <c r="F721" s="11" t="inlineStr"/>
      <c r="G721" s="11" t="inlineStr">
        <is>
          <t>Navy</t>
        </is>
      </c>
      <c r="H721" s="11" t="inlineStr">
        <is>
          <t>Web &amp; Email</t>
        </is>
      </c>
      <c r="I721" s="8" t="inlineStr">
        <is>
          <t>Web Ad</t>
        </is>
      </c>
      <c r="J721" s="11" t="inlineStr"/>
      <c r="K721" s="8" t="inlineStr">
        <is>
          <t>Your ad will appear on the installation MWR / FSS website.</t>
        </is>
      </c>
      <c r="L721" s="11" t="n">
        <v>1</v>
      </c>
      <c r="M721" s="12" t="n">
        <v>750</v>
      </c>
      <c r="N721" s="12" t="n"/>
      <c r="O721" s="12" t="n"/>
      <c r="P721" s="12" t="n"/>
      <c r="Q721" s="12" t="n"/>
      <c r="R721" s="13">
        <f>IF(ISNUMBER(M721),ROUND(M721/(1-Settings!$B$2)/Settings!$B$3,0)*Settings!$B$3,"")</f>
        <v/>
      </c>
      <c r="S721" s="13">
        <f>IF(ISNUMBER(N721),ROUND(N721/(1-Settings!$B$2)/Settings!$B$3,0)*Settings!$B$3,"")</f>
        <v/>
      </c>
      <c r="T721" s="13">
        <f>IF(ISNUMBER(O721),ROUND(O721/(1-Settings!$B$2)/Settings!$B$3,0)*Settings!$B$3,"")</f>
        <v/>
      </c>
      <c r="U721" s="13">
        <f>IF(ISNUMBER(P721),ROUND(P721/(1-Settings!$B$2)/Settings!$B$3,0)*Settings!$B$3,"")</f>
        <v/>
      </c>
      <c r="V721" s="13">
        <f>IF(ISNUMBER(Q721),ROUND(Q721/(1-Settings!$B$2)/Settings!$B$3,0)*Settings!$B$3,"")</f>
        <v/>
      </c>
      <c r="W721" s="14" t="n">
        <v>15726</v>
      </c>
      <c r="X721" s="14" t="n">
        <v>6149</v>
      </c>
      <c r="Y721" s="11" t="inlineStr">
        <is>
          <t>2026</t>
        </is>
      </c>
      <c r="Z721" s="11" t="inlineStr">
        <is>
          <t>2026-06</t>
        </is>
      </c>
      <c r="AA721" s="8" t="inlineStr"/>
      <c r="AB721" s="8" t="inlineStr"/>
      <c r="AC721" s="11" t="inlineStr">
        <is>
          <t>Military - National Publication Inventory Master_June 2026.xlsx</t>
        </is>
      </c>
      <c r="AD721" s="11" t="inlineStr">
        <is>
          <t>NAVSTA Great Lakes Advertising Rate Card_2026.pdf</t>
        </is>
      </c>
      <c r="AE721" s="15" t="inlineStr">
        <is>
          <t>Open in Box</t>
        </is>
      </c>
      <c r="AF721" s="15" t="inlineStr">
        <is>
          <t>Open in Box</t>
        </is>
      </c>
    </row>
    <row r="722">
      <c r="A722" s="11" t="inlineStr">
        <is>
          <t>IL-SCOTTAFB-001</t>
        </is>
      </c>
      <c r="B722" s="8" t="inlineStr">
        <is>
          <t>Scott AFB</t>
        </is>
      </c>
      <c r="C722" s="11" t="inlineStr"/>
      <c r="D722" s="11" t="inlineStr">
        <is>
          <t>IL</t>
        </is>
      </c>
      <c r="E722" s="11" t="inlineStr">
        <is>
          <t>St. Louis</t>
        </is>
      </c>
      <c r="F722" s="11" t="inlineStr">
        <is>
          <t>62225</t>
        </is>
      </c>
      <c r="G722" s="11" t="inlineStr">
        <is>
          <t>Air Force</t>
        </is>
      </c>
      <c r="H722" s="11" t="inlineStr">
        <is>
          <t>Digital</t>
        </is>
      </c>
      <c r="I722" s="8" t="inlineStr">
        <is>
          <t>Bowling Sweep</t>
        </is>
      </c>
      <c r="J722" s="11" t="inlineStr">
        <is>
          <t>TBD</t>
        </is>
      </c>
      <c r="K722" s="8" t="inlineStr">
        <is>
          <t>Your ad will appear on the pin sweep at the bowling alley on the installation.</t>
        </is>
      </c>
      <c r="L722" s="11" t="n">
        <v>12</v>
      </c>
      <c r="M722" s="12" t="n"/>
      <c r="N722" s="12" t="n"/>
      <c r="O722" s="12" t="n"/>
      <c r="P722" s="12" t="n">
        <v>150</v>
      </c>
      <c r="Q722" s="12" t="n">
        <v>0</v>
      </c>
      <c r="R722" s="13">
        <f>IF(ISNUMBER(M722),ROUND(M722/(1-Settings!$B$2)/Settings!$B$3,0)*Settings!$B$3,"")</f>
        <v/>
      </c>
      <c r="S722" s="13">
        <f>IF(ISNUMBER(N722),ROUND(N722/(1-Settings!$B$2)/Settings!$B$3,0)*Settings!$B$3,"")</f>
        <v/>
      </c>
      <c r="T722" s="13">
        <f>IF(ISNUMBER(O722),ROUND(O722/(1-Settings!$B$2)/Settings!$B$3,0)*Settings!$B$3,"")</f>
        <v/>
      </c>
      <c r="U722" s="13">
        <f>IF(ISNUMBER(P722),ROUND(P722/(1-Settings!$B$2)/Settings!$B$3,0)*Settings!$B$3,"")</f>
        <v/>
      </c>
      <c r="V722" s="13">
        <f>IF(ISNUMBER(Q722),ROUND(Q722/(1-Settings!$B$2)/Settings!$B$3,0)*Settings!$B$3,"")</f>
        <v/>
      </c>
      <c r="W722" s="14" t="n">
        <v>4610</v>
      </c>
      <c r="X722" s="14" t="n">
        <v>7686</v>
      </c>
      <c r="Y722" s="11" t="inlineStr"/>
      <c r="Z722" s="11" t="inlineStr"/>
      <c r="AA722" s="8" t="inlineStr"/>
      <c r="AB722" s="8" t="inlineStr"/>
      <c r="AC722" s="11" t="inlineStr">
        <is>
          <t>MasterMilitaryOnBaseList 12.2.25 NS.xlsx</t>
        </is>
      </c>
      <c r="AD722" s="11" t="inlineStr">
        <is>
          <t>Advertising 2026.jpg</t>
        </is>
      </c>
      <c r="AE722" s="15" t="inlineStr">
        <is>
          <t>Open in Box</t>
        </is>
      </c>
      <c r="AF722" s="15" t="inlineStr">
        <is>
          <t>Open in Box</t>
        </is>
      </c>
    </row>
    <row r="723">
      <c r="A723" s="11" t="inlineStr">
        <is>
          <t>IL-SCOTTAFB-002</t>
        </is>
      </c>
      <c r="B723" s="8" t="inlineStr">
        <is>
          <t>Scott AFB</t>
        </is>
      </c>
      <c r="C723" s="11" t="inlineStr"/>
      <c r="D723" s="11" t="inlineStr">
        <is>
          <t>IL</t>
        </is>
      </c>
      <c r="E723" s="11" t="inlineStr">
        <is>
          <t>St. Louis</t>
        </is>
      </c>
      <c r="F723" s="11" t="inlineStr">
        <is>
          <t>62225</t>
        </is>
      </c>
      <c r="G723" s="11" t="inlineStr">
        <is>
          <t>Air Force</t>
        </is>
      </c>
      <c r="H723" s="11" t="inlineStr">
        <is>
          <t>Digital</t>
        </is>
      </c>
      <c r="I723" s="8" t="inlineStr">
        <is>
          <t>Digital Monitor</t>
        </is>
      </c>
      <c r="J723" s="11" t="inlineStr">
        <is>
          <t>2400px x 1575px (Landscape, JPG)</t>
        </is>
      </c>
      <c r="K723" s="8" t="inlineStr">
        <is>
          <t>Your ad will appear on screens in approved installation facilities.</t>
        </is>
      </c>
      <c r="L723" s="11" t="n">
        <v>3</v>
      </c>
      <c r="M723" s="12" t="n"/>
      <c r="N723" s="12" t="n">
        <v>300</v>
      </c>
      <c r="O723" s="12" t="n">
        <v>600</v>
      </c>
      <c r="P723" s="12" t="n">
        <v>1200</v>
      </c>
      <c r="Q723" s="12" t="n"/>
      <c r="R723" s="13">
        <f>IF(ISNUMBER(M723),ROUND(M723/(1-Settings!$B$2)/Settings!$B$3,0)*Settings!$B$3,"")</f>
        <v/>
      </c>
      <c r="S723" s="13">
        <f>IF(ISNUMBER(N723),ROUND(N723/(1-Settings!$B$2)/Settings!$B$3,0)*Settings!$B$3,"")</f>
        <v/>
      </c>
      <c r="T723" s="13">
        <f>IF(ISNUMBER(O723),ROUND(O723/(1-Settings!$B$2)/Settings!$B$3,0)*Settings!$B$3,"")</f>
        <v/>
      </c>
      <c r="U723" s="13">
        <f>IF(ISNUMBER(P723),ROUND(P723/(1-Settings!$B$2)/Settings!$B$3,0)*Settings!$B$3,"")</f>
        <v/>
      </c>
      <c r="V723" s="13">
        <f>IF(ISNUMBER(Q723),ROUND(Q723/(1-Settings!$B$2)/Settings!$B$3,0)*Settings!$B$3,"")</f>
        <v/>
      </c>
      <c r="W723" s="14" t="n">
        <v>4610</v>
      </c>
      <c r="X723" s="14" t="n">
        <v>7686</v>
      </c>
      <c r="Y723" s="11" t="inlineStr"/>
      <c r="Z723" s="11" t="inlineStr"/>
      <c r="AA723" s="8" t="inlineStr"/>
      <c r="AB723" s="8" t="inlineStr"/>
      <c r="AC723" s="11" t="inlineStr">
        <is>
          <t>MasterMilitaryOnBaseList 12.2.25 NS.xlsx</t>
        </is>
      </c>
      <c r="AD723" s="11" t="inlineStr">
        <is>
          <t>Advertising 2026.jpg</t>
        </is>
      </c>
      <c r="AE723" s="15" t="inlineStr">
        <is>
          <t>Open in Box</t>
        </is>
      </c>
      <c r="AF723" s="15" t="inlineStr">
        <is>
          <t>Open in Box</t>
        </is>
      </c>
    </row>
    <row r="724">
      <c r="A724" s="11" t="inlineStr">
        <is>
          <t>IL-SCOTTAFB-003</t>
        </is>
      </c>
      <c r="B724" s="8" t="inlineStr">
        <is>
          <t>Scott AFB</t>
        </is>
      </c>
      <c r="C724" s="11" t="inlineStr"/>
      <c r="D724" s="11" t="inlineStr">
        <is>
          <t>IL</t>
        </is>
      </c>
      <c r="E724" s="11" t="inlineStr">
        <is>
          <t>St. Louis</t>
        </is>
      </c>
      <c r="F724" s="11" t="inlineStr">
        <is>
          <t>62225</t>
        </is>
      </c>
      <c r="G724" s="11" t="inlineStr">
        <is>
          <t>Air Force</t>
        </is>
      </c>
      <c r="H724" s="11" t="inlineStr">
        <is>
          <t>Digital</t>
        </is>
      </c>
      <c r="I724" s="8" t="inlineStr">
        <is>
          <t>Full Page Bowling Center Magazine Ad</t>
        </is>
      </c>
      <c r="J724" s="11" t="inlineStr"/>
      <c r="K724" s="8" t="inlineStr">
        <is>
          <t>Your full page ad will appear in the annual Bowling Center magazine.</t>
        </is>
      </c>
      <c r="L724" s="11" t="n">
        <v>12</v>
      </c>
      <c r="M724" s="12" t="n"/>
      <c r="N724" s="12" t="n"/>
      <c r="O724" s="12" t="n"/>
      <c r="P724" s="12" t="n">
        <v>500</v>
      </c>
      <c r="Q724" s="12" t="n"/>
      <c r="R724" s="13">
        <f>IF(ISNUMBER(M724),ROUND(M724/(1-Settings!$B$2)/Settings!$B$3,0)*Settings!$B$3,"")</f>
        <v/>
      </c>
      <c r="S724" s="13">
        <f>IF(ISNUMBER(N724),ROUND(N724/(1-Settings!$B$2)/Settings!$B$3,0)*Settings!$B$3,"")</f>
        <v/>
      </c>
      <c r="T724" s="13">
        <f>IF(ISNUMBER(O724),ROUND(O724/(1-Settings!$B$2)/Settings!$B$3,0)*Settings!$B$3,"")</f>
        <v/>
      </c>
      <c r="U724" s="13">
        <f>IF(ISNUMBER(P724),ROUND(P724/(1-Settings!$B$2)/Settings!$B$3,0)*Settings!$B$3,"")</f>
        <v/>
      </c>
      <c r="V724" s="13">
        <f>IF(ISNUMBER(Q724),ROUND(Q724/(1-Settings!$B$2)/Settings!$B$3,0)*Settings!$B$3,"")</f>
        <v/>
      </c>
      <c r="W724" s="14" t="n">
        <v>4610</v>
      </c>
      <c r="X724" s="14" t="n">
        <v>7686</v>
      </c>
      <c r="Y724" s="11" t="inlineStr"/>
      <c r="Z724" s="11" t="inlineStr"/>
      <c r="AA724" s="8" t="inlineStr">
        <is>
          <t>Inventory master 6/2026 lists Magazine Ad at $500 (12 mo)</t>
        </is>
      </c>
      <c r="AB724" s="8" t="inlineStr"/>
      <c r="AC724" s="11" t="inlineStr">
        <is>
          <t>MasterMilitaryOnBaseList 12.2.25 NS.xlsx</t>
        </is>
      </c>
      <c r="AD724" s="11" t="inlineStr">
        <is>
          <t>Advertising 2026.jpg</t>
        </is>
      </c>
      <c r="AE724" s="15" t="inlineStr">
        <is>
          <t>Open in Box</t>
        </is>
      </c>
      <c r="AF724" s="15" t="inlineStr">
        <is>
          <t>Open in Box</t>
        </is>
      </c>
    </row>
    <row r="725">
      <c r="A725" s="11" t="inlineStr">
        <is>
          <t>IL-SCOTTAFB-007</t>
        </is>
      </c>
      <c r="B725" s="8" t="inlineStr">
        <is>
          <t>Scott AFB</t>
        </is>
      </c>
      <c r="C725" s="11" t="inlineStr"/>
      <c r="D725" s="11" t="inlineStr">
        <is>
          <t>IL</t>
        </is>
      </c>
      <c r="E725" s="11" t="inlineStr">
        <is>
          <t>St. Louis</t>
        </is>
      </c>
      <c r="F725" s="11" t="inlineStr">
        <is>
          <t>62225</t>
        </is>
      </c>
      <c r="G725" s="11" t="inlineStr">
        <is>
          <t>Air Force</t>
        </is>
      </c>
      <c r="H725" s="11" t="inlineStr">
        <is>
          <t>Large Format</t>
        </is>
      </c>
      <c r="I725" s="8" t="inlineStr">
        <is>
          <t>Counter Wrap</t>
        </is>
      </c>
      <c r="J725" s="11" t="inlineStr">
        <is>
          <t>TBD</t>
        </is>
      </c>
      <c r="K725" s="8" t="inlineStr">
        <is>
          <t>Your ad will appear on approved counters in the installation.</t>
        </is>
      </c>
      <c r="L725" s="11" t="n">
        <v>12</v>
      </c>
      <c r="M725" s="12" t="n"/>
      <c r="N725" s="12" t="n"/>
      <c r="O725" s="12" t="n"/>
      <c r="P725" s="12" t="n">
        <v>5000</v>
      </c>
      <c r="Q725" s="12" t="n"/>
      <c r="R725" s="13">
        <f>IF(ISNUMBER(M725),ROUND(M725/(1-Settings!$B$2)/Settings!$B$3,0)*Settings!$B$3,"")</f>
        <v/>
      </c>
      <c r="S725" s="13">
        <f>IF(ISNUMBER(N725),ROUND(N725/(1-Settings!$B$2)/Settings!$B$3,0)*Settings!$B$3,"")</f>
        <v/>
      </c>
      <c r="T725" s="13">
        <f>IF(ISNUMBER(O725),ROUND(O725/(1-Settings!$B$2)/Settings!$B$3,0)*Settings!$B$3,"")</f>
        <v/>
      </c>
      <c r="U725" s="13">
        <f>IF(ISNUMBER(P725),ROUND(P725/(1-Settings!$B$2)/Settings!$B$3,0)*Settings!$B$3,"")</f>
        <v/>
      </c>
      <c r="V725" s="13">
        <f>IF(ISNUMBER(Q725),ROUND(Q725/(1-Settings!$B$2)/Settings!$B$3,0)*Settings!$B$3,"")</f>
        <v/>
      </c>
      <c r="W725" s="14" t="n">
        <v>4610</v>
      </c>
      <c r="X725" s="14" t="n">
        <v>7686</v>
      </c>
      <c r="Y725" s="11" t="inlineStr"/>
      <c r="Z725" s="11" t="inlineStr"/>
      <c r="AA725" s="8" t="inlineStr"/>
      <c r="AB725" s="8" t="inlineStr"/>
      <c r="AC725" s="11" t="inlineStr">
        <is>
          <t>MasterMilitaryOnBaseList 12.2.25 NS.xlsx</t>
        </is>
      </c>
      <c r="AD725" s="11" t="inlineStr">
        <is>
          <t>Advertising 2026.jpg</t>
        </is>
      </c>
      <c r="AE725" s="15" t="inlineStr">
        <is>
          <t>Open in Box</t>
        </is>
      </c>
      <c r="AF725" s="15" t="inlineStr">
        <is>
          <t>Open in Box</t>
        </is>
      </c>
    </row>
    <row r="726">
      <c r="A726" s="11" t="inlineStr">
        <is>
          <t>IL-SCOTTAFB-008</t>
        </is>
      </c>
      <c r="B726" s="8" t="inlineStr">
        <is>
          <t>Scott AFB</t>
        </is>
      </c>
      <c r="C726" s="11" t="inlineStr"/>
      <c r="D726" s="11" t="inlineStr">
        <is>
          <t>IL</t>
        </is>
      </c>
      <c r="E726" s="11" t="inlineStr">
        <is>
          <t>St. Louis</t>
        </is>
      </c>
      <c r="F726" s="11" t="inlineStr">
        <is>
          <t>62225</t>
        </is>
      </c>
      <c r="G726" s="11" t="inlineStr">
        <is>
          <t>Air Force</t>
        </is>
      </c>
      <c r="H726" s="11" t="inlineStr">
        <is>
          <t>Print &amp; Publications</t>
        </is>
      </c>
      <c r="I726" s="8" t="inlineStr">
        <is>
          <t>1/2 Page Golf Course Magazine Ad</t>
        </is>
      </c>
      <c r="J726" s="11" t="inlineStr"/>
      <c r="K726" s="8" t="inlineStr">
        <is>
          <t>Your 1/2 page ad will appear in the Scott AFB Golf Course Magazine.</t>
        </is>
      </c>
      <c r="L726" s="11" t="n">
        <v>12</v>
      </c>
      <c r="M726" s="12" t="n"/>
      <c r="N726" s="12" t="n"/>
      <c r="O726" s="12" t="n"/>
      <c r="P726" s="12" t="n">
        <v>250</v>
      </c>
      <c r="Q726" s="12" t="n"/>
      <c r="R726" s="13">
        <f>IF(ISNUMBER(M726),ROUND(M726/(1-Settings!$B$2)/Settings!$B$3,0)*Settings!$B$3,"")</f>
        <v/>
      </c>
      <c r="S726" s="13">
        <f>IF(ISNUMBER(N726),ROUND(N726/(1-Settings!$B$2)/Settings!$B$3,0)*Settings!$B$3,"")</f>
        <v/>
      </c>
      <c r="T726" s="13">
        <f>IF(ISNUMBER(O726),ROUND(O726/(1-Settings!$B$2)/Settings!$B$3,0)*Settings!$B$3,"")</f>
        <v/>
      </c>
      <c r="U726" s="13">
        <f>IF(ISNUMBER(P726),ROUND(P726/(1-Settings!$B$2)/Settings!$B$3,0)*Settings!$B$3,"")</f>
        <v/>
      </c>
      <c r="V726" s="13">
        <f>IF(ISNUMBER(Q726),ROUND(Q726/(1-Settings!$B$2)/Settings!$B$3,0)*Settings!$B$3,"")</f>
        <v/>
      </c>
      <c r="W726" s="14" t="n">
        <v>4610</v>
      </c>
      <c r="X726" s="14" t="n">
        <v>7686</v>
      </c>
      <c r="Y726" s="11" t="inlineStr"/>
      <c r="Z726" s="11" t="inlineStr"/>
      <c r="AA726" s="8" t="inlineStr">
        <is>
          <t>Inventory master 6/2026 lists Magazine Ad at $500 (12 mo)</t>
        </is>
      </c>
      <c r="AB726" s="8" t="inlineStr"/>
      <c r="AC726" s="11" t="inlineStr">
        <is>
          <t>MasterMilitaryOnBaseList 12.2.25 NS.xlsx</t>
        </is>
      </c>
      <c r="AD726" s="11" t="inlineStr">
        <is>
          <t>Advertising 2026.jpg</t>
        </is>
      </c>
      <c r="AE726" s="15" t="inlineStr">
        <is>
          <t>Open in Box</t>
        </is>
      </c>
      <c r="AF726" s="15" t="inlineStr">
        <is>
          <t>Open in Box</t>
        </is>
      </c>
    </row>
    <row r="727">
      <c r="A727" s="11" t="inlineStr">
        <is>
          <t>IL-SCOTTAFB-009</t>
        </is>
      </c>
      <c r="B727" s="8" t="inlineStr">
        <is>
          <t>Scott AFB</t>
        </is>
      </c>
      <c r="C727" s="11" t="inlineStr"/>
      <c r="D727" s="11" t="inlineStr">
        <is>
          <t>IL</t>
        </is>
      </c>
      <c r="E727" s="11" t="inlineStr">
        <is>
          <t>St. Louis</t>
        </is>
      </c>
      <c r="F727" s="11" t="inlineStr">
        <is>
          <t>62225</t>
        </is>
      </c>
      <c r="G727" s="11" t="inlineStr">
        <is>
          <t>Air Force</t>
        </is>
      </c>
      <c r="H727" s="11" t="inlineStr">
        <is>
          <t>Print &amp; Publications</t>
        </is>
      </c>
      <c r="I727" s="8" t="inlineStr">
        <is>
          <t>1/4 Page Golf Course Magazine Ad</t>
        </is>
      </c>
      <c r="J727" s="11" t="inlineStr"/>
      <c r="K727" s="8" t="inlineStr">
        <is>
          <t>Your 1/4 page ad will appear in the Scott AFB Golf Course Magazine.</t>
        </is>
      </c>
      <c r="L727" s="11" t="n">
        <v>12</v>
      </c>
      <c r="M727" s="12" t="n"/>
      <c r="N727" s="12" t="n"/>
      <c r="O727" s="12" t="n"/>
      <c r="P727" s="12" t="n">
        <v>150</v>
      </c>
      <c r="Q727" s="12" t="n"/>
      <c r="R727" s="13">
        <f>IF(ISNUMBER(M727),ROUND(M727/(1-Settings!$B$2)/Settings!$B$3,0)*Settings!$B$3,"")</f>
        <v/>
      </c>
      <c r="S727" s="13">
        <f>IF(ISNUMBER(N727),ROUND(N727/(1-Settings!$B$2)/Settings!$B$3,0)*Settings!$B$3,"")</f>
        <v/>
      </c>
      <c r="T727" s="13">
        <f>IF(ISNUMBER(O727),ROUND(O727/(1-Settings!$B$2)/Settings!$B$3,0)*Settings!$B$3,"")</f>
        <v/>
      </c>
      <c r="U727" s="13">
        <f>IF(ISNUMBER(P727),ROUND(P727/(1-Settings!$B$2)/Settings!$B$3,0)*Settings!$B$3,"")</f>
        <v/>
      </c>
      <c r="V727" s="13">
        <f>IF(ISNUMBER(Q727),ROUND(Q727/(1-Settings!$B$2)/Settings!$B$3,0)*Settings!$B$3,"")</f>
        <v/>
      </c>
      <c r="W727" s="14" t="n">
        <v>4610</v>
      </c>
      <c r="X727" s="14" t="n">
        <v>7686</v>
      </c>
      <c r="Y727" s="11" t="inlineStr"/>
      <c r="Z727" s="11" t="inlineStr"/>
      <c r="AA727" s="8" t="inlineStr">
        <is>
          <t>Inventory master 6/2026 lists Magazine Ad at $500 (12 mo)</t>
        </is>
      </c>
      <c r="AB727" s="8" t="inlineStr"/>
      <c r="AC727" s="11" t="inlineStr">
        <is>
          <t>MasterMilitaryOnBaseList 12.2.25 NS.xlsx</t>
        </is>
      </c>
      <c r="AD727" s="11" t="inlineStr">
        <is>
          <t>Advertising 2026.jpg</t>
        </is>
      </c>
      <c r="AE727" s="15" t="inlineStr">
        <is>
          <t>Open in Box</t>
        </is>
      </c>
      <c r="AF727" s="15" t="inlineStr">
        <is>
          <t>Open in Box</t>
        </is>
      </c>
    </row>
    <row r="728">
      <c r="A728" s="11" t="inlineStr">
        <is>
          <t>IL-SCOTTAFB-010</t>
        </is>
      </c>
      <c r="B728" s="8" t="inlineStr">
        <is>
          <t>Scott AFB</t>
        </is>
      </c>
      <c r="C728" s="11" t="inlineStr"/>
      <c r="D728" s="11" t="inlineStr">
        <is>
          <t>IL</t>
        </is>
      </c>
      <c r="E728" s="11" t="inlineStr">
        <is>
          <t>St. Louis</t>
        </is>
      </c>
      <c r="F728" s="11" t="inlineStr">
        <is>
          <t>62225</t>
        </is>
      </c>
      <c r="G728" s="11" t="inlineStr">
        <is>
          <t>Air Force</t>
        </is>
      </c>
      <c r="H728" s="11" t="inlineStr">
        <is>
          <t>Print &amp; Publications</t>
        </is>
      </c>
      <c r="I728" s="8" t="inlineStr">
        <is>
          <t>Full Page Golf Course Magazine Ad</t>
        </is>
      </c>
      <c r="J728" s="11" t="inlineStr"/>
      <c r="K728" s="8" t="inlineStr">
        <is>
          <t>Your full page ad will appear in the annual Scott AFB Golf Course Magazine.</t>
        </is>
      </c>
      <c r="L728" s="11" t="n">
        <v>12</v>
      </c>
      <c r="M728" s="12" t="n"/>
      <c r="N728" s="12" t="n"/>
      <c r="O728" s="12" t="n"/>
      <c r="P728" s="12" t="n">
        <v>500</v>
      </c>
      <c r="Q728" s="12" t="n"/>
      <c r="R728" s="13">
        <f>IF(ISNUMBER(M728),ROUND(M728/(1-Settings!$B$2)/Settings!$B$3,0)*Settings!$B$3,"")</f>
        <v/>
      </c>
      <c r="S728" s="13">
        <f>IF(ISNUMBER(N728),ROUND(N728/(1-Settings!$B$2)/Settings!$B$3,0)*Settings!$B$3,"")</f>
        <v/>
      </c>
      <c r="T728" s="13">
        <f>IF(ISNUMBER(O728),ROUND(O728/(1-Settings!$B$2)/Settings!$B$3,0)*Settings!$B$3,"")</f>
        <v/>
      </c>
      <c r="U728" s="13">
        <f>IF(ISNUMBER(P728),ROUND(P728/(1-Settings!$B$2)/Settings!$B$3,0)*Settings!$B$3,"")</f>
        <v/>
      </c>
      <c r="V728" s="13">
        <f>IF(ISNUMBER(Q728),ROUND(Q728/(1-Settings!$B$2)/Settings!$B$3,0)*Settings!$B$3,"")</f>
        <v/>
      </c>
      <c r="W728" s="14" t="n">
        <v>4610</v>
      </c>
      <c r="X728" s="14" t="n">
        <v>7686</v>
      </c>
      <c r="Y728" s="11" t="inlineStr"/>
      <c r="Z728" s="11" t="inlineStr"/>
      <c r="AA728" s="8" t="inlineStr">
        <is>
          <t>Inventory master 6/2026 lists Magazine Ad at $500 (12 mo)</t>
        </is>
      </c>
      <c r="AB728" s="8" t="inlineStr"/>
      <c r="AC728" s="11" t="inlineStr">
        <is>
          <t>MasterMilitaryOnBaseList 12.2.25 NS.xlsx</t>
        </is>
      </c>
      <c r="AD728" s="11" t="inlineStr">
        <is>
          <t>Advertising 2026.jpg</t>
        </is>
      </c>
      <c r="AE728" s="15" t="inlineStr">
        <is>
          <t>Open in Box</t>
        </is>
      </c>
      <c r="AF728" s="15" t="inlineStr">
        <is>
          <t>Open in Box</t>
        </is>
      </c>
    </row>
    <row r="729">
      <c r="A729" s="11" t="inlineStr">
        <is>
          <t>IL-SCOTTAFB-013</t>
        </is>
      </c>
      <c r="B729" s="8" t="inlineStr">
        <is>
          <t>Scott AFB</t>
        </is>
      </c>
      <c r="C729" s="11" t="inlineStr"/>
      <c r="D729" s="11" t="inlineStr">
        <is>
          <t>IL</t>
        </is>
      </c>
      <c r="E729" s="11" t="inlineStr">
        <is>
          <t>St. Louis</t>
        </is>
      </c>
      <c r="F729" s="11" t="inlineStr"/>
      <c r="G729" s="11" t="inlineStr">
        <is>
          <t>Air Force</t>
        </is>
      </c>
      <c r="H729" s="11" t="inlineStr">
        <is>
          <t>Print &amp; Publications</t>
        </is>
      </c>
      <c r="I729" s="8" t="inlineStr">
        <is>
          <t>Golf Scorecard Ad</t>
        </is>
      </c>
      <c r="J729" s="11" t="inlineStr"/>
      <c r="K729" s="8" t="inlineStr">
        <is>
          <t>Your ad will appear on the golf course scorecard.</t>
        </is>
      </c>
      <c r="L729" s="11" t="n">
        <v>12</v>
      </c>
      <c r="M729" s="12" t="n"/>
      <c r="N729" s="12" t="n"/>
      <c r="O729" s="12" t="n"/>
      <c r="P729" s="12" t="n">
        <v>2000</v>
      </c>
      <c r="Q729" s="12" t="n"/>
      <c r="R729" s="13">
        <f>IF(ISNUMBER(M729),ROUND(M729/(1-Settings!$B$2)/Settings!$B$3,0)*Settings!$B$3,"")</f>
        <v/>
      </c>
      <c r="S729" s="13">
        <f>IF(ISNUMBER(N729),ROUND(N729/(1-Settings!$B$2)/Settings!$B$3,0)*Settings!$B$3,"")</f>
        <v/>
      </c>
      <c r="T729" s="13">
        <f>IF(ISNUMBER(O729),ROUND(O729/(1-Settings!$B$2)/Settings!$B$3,0)*Settings!$B$3,"")</f>
        <v/>
      </c>
      <c r="U729" s="13">
        <f>IF(ISNUMBER(P729),ROUND(P729/(1-Settings!$B$2)/Settings!$B$3,0)*Settings!$B$3,"")</f>
        <v/>
      </c>
      <c r="V729" s="13">
        <f>IF(ISNUMBER(Q729),ROUND(Q729/(1-Settings!$B$2)/Settings!$B$3,0)*Settings!$B$3,"")</f>
        <v/>
      </c>
      <c r="W729" s="14" t="n">
        <v>4610</v>
      </c>
      <c r="X729" s="14" t="n">
        <v>7686</v>
      </c>
      <c r="Y729" s="11" t="inlineStr">
        <is>
          <t>2026</t>
        </is>
      </c>
      <c r="Z729" s="11" t="inlineStr">
        <is>
          <t>2026-06</t>
        </is>
      </c>
      <c r="AA729" s="8" t="inlineStr">
        <is>
          <t>3-month commitment | Annual price for Score Cards Golf Course Magazine</t>
        </is>
      </c>
      <c r="AB729" s="8" t="inlineStr"/>
      <c r="AC729" s="11" t="inlineStr">
        <is>
          <t>Military - National Publication Inventory Master_June 2026.xlsx</t>
        </is>
      </c>
      <c r="AD729" s="11" t="inlineStr">
        <is>
          <t>Advertising 2026.jpg</t>
        </is>
      </c>
      <c r="AE729" s="15" t="inlineStr">
        <is>
          <t>Open in Box</t>
        </is>
      </c>
      <c r="AF729" s="15" t="inlineStr">
        <is>
          <t>Open in Box</t>
        </is>
      </c>
    </row>
    <row r="730">
      <c r="A730" s="11" t="inlineStr">
        <is>
          <t>IL-SCOTTAFB-011</t>
        </is>
      </c>
      <c r="B730" s="8" t="inlineStr">
        <is>
          <t>Scott AFB</t>
        </is>
      </c>
      <c r="C730" s="11" t="inlineStr"/>
      <c r="D730" s="11" t="inlineStr">
        <is>
          <t>IL</t>
        </is>
      </c>
      <c r="E730" s="11" t="inlineStr">
        <is>
          <t>St. Louis</t>
        </is>
      </c>
      <c r="F730" s="11" t="inlineStr">
        <is>
          <t>62225</t>
        </is>
      </c>
      <c r="G730" s="11" t="inlineStr">
        <is>
          <t>Air Force</t>
        </is>
      </c>
      <c r="H730" s="11" t="inlineStr">
        <is>
          <t>Sponsorship &amp; Other</t>
        </is>
      </c>
      <c r="I730" s="8" t="inlineStr">
        <is>
          <t>Golf Cart Advertisement</t>
        </is>
      </c>
      <c r="J730" s="11" t="inlineStr">
        <is>
          <t>TBD</t>
        </is>
      </c>
      <c r="K730" s="8" t="inlineStr">
        <is>
          <t>Your ad will appear on golf carts on the installation.</t>
        </is>
      </c>
      <c r="L730" s="11" t="n">
        <v>12</v>
      </c>
      <c r="M730" s="12" t="n"/>
      <c r="N730" s="12" t="n"/>
      <c r="O730" s="12" t="n"/>
      <c r="P730" s="12" t="n">
        <v>1000</v>
      </c>
      <c r="Q730" s="12" t="n">
        <v>0</v>
      </c>
      <c r="R730" s="13">
        <f>IF(ISNUMBER(M730),ROUND(M730/(1-Settings!$B$2)/Settings!$B$3,0)*Settings!$B$3,"")</f>
        <v/>
      </c>
      <c r="S730" s="13">
        <f>IF(ISNUMBER(N730),ROUND(N730/(1-Settings!$B$2)/Settings!$B$3,0)*Settings!$B$3,"")</f>
        <v/>
      </c>
      <c r="T730" s="13">
        <f>IF(ISNUMBER(O730),ROUND(O730/(1-Settings!$B$2)/Settings!$B$3,0)*Settings!$B$3,"")</f>
        <v/>
      </c>
      <c r="U730" s="13">
        <f>IF(ISNUMBER(P730),ROUND(P730/(1-Settings!$B$2)/Settings!$B$3,0)*Settings!$B$3,"")</f>
        <v/>
      </c>
      <c r="V730" s="13">
        <f>IF(ISNUMBER(Q730),ROUND(Q730/(1-Settings!$B$2)/Settings!$B$3,0)*Settings!$B$3,"")</f>
        <v/>
      </c>
      <c r="W730" s="14" t="n">
        <v>4610</v>
      </c>
      <c r="X730" s="14" t="n">
        <v>7686</v>
      </c>
      <c r="Y730" s="11" t="inlineStr"/>
      <c r="Z730" s="11" t="inlineStr"/>
      <c r="AA730" s="8" t="inlineStr"/>
      <c r="AB730" s="8" t="inlineStr"/>
      <c r="AC730" s="11" t="inlineStr">
        <is>
          <t>MasterMilitaryOnBaseList 12.2.25 NS.xlsx</t>
        </is>
      </c>
      <c r="AD730" s="11" t="inlineStr">
        <is>
          <t>Advertising 2026.jpg</t>
        </is>
      </c>
      <c r="AE730" s="15" t="inlineStr">
        <is>
          <t>Open in Box</t>
        </is>
      </c>
      <c r="AF730" s="15" t="inlineStr">
        <is>
          <t>Open in Box</t>
        </is>
      </c>
    </row>
    <row r="731">
      <c r="A731" s="11" t="inlineStr">
        <is>
          <t>IL-SCOTTAFB-004</t>
        </is>
      </c>
      <c r="B731" s="8" t="inlineStr">
        <is>
          <t>Scott AFB</t>
        </is>
      </c>
      <c r="C731" s="11" t="inlineStr"/>
      <c r="D731" s="11" t="inlineStr">
        <is>
          <t>IL</t>
        </is>
      </c>
      <c r="E731" s="11" t="inlineStr">
        <is>
          <t>St. Louis</t>
        </is>
      </c>
      <c r="F731" s="11" t="inlineStr">
        <is>
          <t>62225</t>
        </is>
      </c>
      <c r="G731" s="11" t="inlineStr">
        <is>
          <t>Air Force</t>
        </is>
      </c>
      <c r="H731" s="11" t="inlineStr">
        <is>
          <t>Standard Media</t>
        </is>
      </c>
      <c r="I731" s="8" t="inlineStr">
        <is>
          <t>Banner</t>
        </is>
      </c>
      <c r="J731" s="11" t="inlineStr">
        <is>
          <t>4' x 6'</t>
        </is>
      </c>
      <c r="K731" s="8" t="inlineStr">
        <is>
          <t>Your ad will appear in an approved area on the installation.</t>
        </is>
      </c>
      <c r="L731" s="11" t="n">
        <v>3</v>
      </c>
      <c r="M731" s="12" t="n"/>
      <c r="N731" s="12" t="n">
        <v>300</v>
      </c>
      <c r="O731" s="12" t="n">
        <v>600</v>
      </c>
      <c r="P731" s="12" t="n">
        <v>1200</v>
      </c>
      <c r="Q731" s="12" t="n">
        <v>200</v>
      </c>
      <c r="R731" s="13">
        <f>IF(ISNUMBER(M731),ROUND(M731/(1-Settings!$B$2)/Settings!$B$3,0)*Settings!$B$3,"")</f>
        <v/>
      </c>
      <c r="S731" s="13">
        <f>IF(ISNUMBER(N731),ROUND(N731/(1-Settings!$B$2)/Settings!$B$3,0)*Settings!$B$3,"")</f>
        <v/>
      </c>
      <c r="T731" s="13">
        <f>IF(ISNUMBER(O731),ROUND(O731/(1-Settings!$B$2)/Settings!$B$3,0)*Settings!$B$3,"")</f>
        <v/>
      </c>
      <c r="U731" s="13">
        <f>IF(ISNUMBER(P731),ROUND(P731/(1-Settings!$B$2)/Settings!$B$3,0)*Settings!$B$3,"")</f>
        <v/>
      </c>
      <c r="V731" s="13">
        <f>IF(ISNUMBER(Q731),ROUND(Q731/(1-Settings!$B$2)/Settings!$B$3,0)*Settings!$B$3,"")</f>
        <v/>
      </c>
      <c r="W731" s="14" t="n">
        <v>4610</v>
      </c>
      <c r="X731" s="14" t="n">
        <v>7686</v>
      </c>
      <c r="Y731" s="11" t="inlineStr"/>
      <c r="Z731" s="11" t="inlineStr"/>
      <c r="AA731" s="8" t="inlineStr"/>
      <c r="AB731" s="8" t="inlineStr"/>
      <c r="AC731" s="11" t="inlineStr">
        <is>
          <t>MasterMilitaryOnBaseList 12.2.25 NS.xlsx</t>
        </is>
      </c>
      <c r="AD731" s="11" t="inlineStr">
        <is>
          <t>Advertising 2026.jpg</t>
        </is>
      </c>
      <c r="AE731" s="15" t="inlineStr">
        <is>
          <t>Open in Box</t>
        </is>
      </c>
      <c r="AF731" s="15" t="inlineStr">
        <is>
          <t>Open in Box</t>
        </is>
      </c>
    </row>
    <row r="732">
      <c r="A732" s="11" t="inlineStr">
        <is>
          <t>IL-SCOTTAFB-005</t>
        </is>
      </c>
      <c r="B732" s="8" t="inlineStr">
        <is>
          <t>Scott AFB</t>
        </is>
      </c>
      <c r="C732" s="11" t="inlineStr"/>
      <c r="D732" s="11" t="inlineStr">
        <is>
          <t>IL</t>
        </is>
      </c>
      <c r="E732" s="11" t="inlineStr">
        <is>
          <t>St. Louis</t>
        </is>
      </c>
      <c r="F732" s="11" t="inlineStr">
        <is>
          <t>62225</t>
        </is>
      </c>
      <c r="G732" s="11" t="inlineStr">
        <is>
          <t>Air Force</t>
        </is>
      </c>
      <c r="H732" s="11" t="inlineStr">
        <is>
          <t>Standard Media</t>
        </is>
      </c>
      <c r="I732" s="8" t="inlineStr">
        <is>
          <t>Banner (Pool)</t>
        </is>
      </c>
      <c r="J732" s="11" t="inlineStr">
        <is>
          <t>3' x 8'</t>
        </is>
      </c>
      <c r="K732" s="8" t="inlineStr">
        <is>
          <t>Your ad will appear at the pool on the installation.</t>
        </is>
      </c>
      <c r="L732" s="11" t="n">
        <v>3</v>
      </c>
      <c r="M732" s="12" t="n"/>
      <c r="N732" s="12" t="n">
        <v>300</v>
      </c>
      <c r="O732" s="12" t="n">
        <v>600</v>
      </c>
      <c r="P732" s="12" t="n">
        <v>1200</v>
      </c>
      <c r="Q732" s="12" t="n">
        <v>200</v>
      </c>
      <c r="R732" s="13">
        <f>IF(ISNUMBER(M732),ROUND(M732/(1-Settings!$B$2)/Settings!$B$3,0)*Settings!$B$3,"")</f>
        <v/>
      </c>
      <c r="S732" s="13">
        <f>IF(ISNUMBER(N732),ROUND(N732/(1-Settings!$B$2)/Settings!$B$3,0)*Settings!$B$3,"")</f>
        <v/>
      </c>
      <c r="T732" s="13">
        <f>IF(ISNUMBER(O732),ROUND(O732/(1-Settings!$B$2)/Settings!$B$3,0)*Settings!$B$3,"")</f>
        <v/>
      </c>
      <c r="U732" s="13">
        <f>IF(ISNUMBER(P732),ROUND(P732/(1-Settings!$B$2)/Settings!$B$3,0)*Settings!$B$3,"")</f>
        <v/>
      </c>
      <c r="V732" s="13">
        <f>IF(ISNUMBER(Q732),ROUND(Q732/(1-Settings!$B$2)/Settings!$B$3,0)*Settings!$B$3,"")</f>
        <v/>
      </c>
      <c r="W732" s="14" t="n">
        <v>4610</v>
      </c>
      <c r="X732" s="14" t="n">
        <v>7686</v>
      </c>
      <c r="Y732" s="11" t="inlineStr"/>
      <c r="Z732" s="11" t="inlineStr"/>
      <c r="AA732" s="8" t="inlineStr"/>
      <c r="AB732" s="8" t="inlineStr"/>
      <c r="AC732" s="11" t="inlineStr">
        <is>
          <t>MasterMilitaryOnBaseList 12.2.25 NS.xlsx</t>
        </is>
      </c>
      <c r="AD732" s="11" t="inlineStr">
        <is>
          <t>Advertising 2026.jpg</t>
        </is>
      </c>
      <c r="AE732" s="15" t="inlineStr">
        <is>
          <t>Open in Box</t>
        </is>
      </c>
      <c r="AF732" s="15" t="inlineStr">
        <is>
          <t>Open in Box</t>
        </is>
      </c>
    </row>
    <row r="733">
      <c r="A733" s="11" t="inlineStr">
        <is>
          <t>IL-SCOTTAFB-006</t>
        </is>
      </c>
      <c r="B733" s="8" t="inlineStr">
        <is>
          <t>Scott AFB</t>
        </is>
      </c>
      <c r="C733" s="11" t="inlineStr"/>
      <c r="D733" s="11" t="inlineStr">
        <is>
          <t>IL</t>
        </is>
      </c>
      <c r="E733" s="11" t="inlineStr">
        <is>
          <t>St. Louis</t>
        </is>
      </c>
      <c r="F733" s="11" t="inlineStr">
        <is>
          <t>62225</t>
        </is>
      </c>
      <c r="G733" s="11" t="inlineStr">
        <is>
          <t>Air Force</t>
        </is>
      </c>
      <c r="H733" s="11" t="inlineStr">
        <is>
          <t>Standard Media</t>
        </is>
      </c>
      <c r="I733" s="8" t="inlineStr">
        <is>
          <t>Poster</t>
        </is>
      </c>
      <c r="J733" s="11" t="inlineStr">
        <is>
          <t>22" x 28"</t>
        </is>
      </c>
      <c r="K733" s="8" t="inlineStr">
        <is>
          <t>Your ad will appear in an approved location on the installation.</t>
        </is>
      </c>
      <c r="L733" s="11" t="n">
        <v>1</v>
      </c>
      <c r="M733" s="12" t="n">
        <v>100</v>
      </c>
      <c r="N733" s="12" t="n">
        <v>300</v>
      </c>
      <c r="O733" s="12" t="n">
        <v>600</v>
      </c>
      <c r="P733" s="12" t="n">
        <v>1200</v>
      </c>
      <c r="Q733" s="12" t="n">
        <v>100</v>
      </c>
      <c r="R733" s="13">
        <f>IF(ISNUMBER(M733),ROUND(M733/(1-Settings!$B$2)/Settings!$B$3,0)*Settings!$B$3,"")</f>
        <v/>
      </c>
      <c r="S733" s="13">
        <f>IF(ISNUMBER(N733),ROUND(N733/(1-Settings!$B$2)/Settings!$B$3,0)*Settings!$B$3,"")</f>
        <v/>
      </c>
      <c r="T733" s="13">
        <f>IF(ISNUMBER(O733),ROUND(O733/(1-Settings!$B$2)/Settings!$B$3,0)*Settings!$B$3,"")</f>
        <v/>
      </c>
      <c r="U733" s="13">
        <f>IF(ISNUMBER(P733),ROUND(P733/(1-Settings!$B$2)/Settings!$B$3,0)*Settings!$B$3,"")</f>
        <v/>
      </c>
      <c r="V733" s="13">
        <f>IF(ISNUMBER(Q733),ROUND(Q733/(1-Settings!$B$2)/Settings!$B$3,0)*Settings!$B$3,"")</f>
        <v/>
      </c>
      <c r="W733" s="14" t="n">
        <v>4610</v>
      </c>
      <c r="X733" s="14" t="n">
        <v>7686</v>
      </c>
      <c r="Y733" s="11" t="inlineStr"/>
      <c r="Z733" s="11" t="inlineStr"/>
      <c r="AA733" s="8" t="inlineStr"/>
      <c r="AB733" s="8" t="inlineStr"/>
      <c r="AC733" s="11" t="inlineStr">
        <is>
          <t>MasterMilitaryOnBaseList 12.2.25 NS.xlsx</t>
        </is>
      </c>
      <c r="AD733" s="11" t="inlineStr">
        <is>
          <t>Advertising 2026.jpg</t>
        </is>
      </c>
      <c r="AE733" s="15" t="inlineStr">
        <is>
          <t>Open in Box</t>
        </is>
      </c>
      <c r="AF733" s="15" t="inlineStr">
        <is>
          <t>Open in Box</t>
        </is>
      </c>
    </row>
    <row r="734">
      <c r="A734" s="11" t="inlineStr">
        <is>
          <t>IL-SCOTTAFB-012</t>
        </is>
      </c>
      <c r="B734" s="8" t="inlineStr">
        <is>
          <t>Scott AFB</t>
        </is>
      </c>
      <c r="C734" s="11" t="inlineStr"/>
      <c r="D734" s="11" t="inlineStr">
        <is>
          <t>IL</t>
        </is>
      </c>
      <c r="E734" s="11" t="inlineStr">
        <is>
          <t>St. Louis</t>
        </is>
      </c>
      <c r="F734" s="11" t="inlineStr"/>
      <c r="G734" s="11" t="inlineStr">
        <is>
          <t>Air Force</t>
        </is>
      </c>
      <c r="H734" s="11" t="inlineStr">
        <is>
          <t>Web &amp; Email</t>
        </is>
      </c>
      <c r="I734" s="8" t="inlineStr">
        <is>
          <t>Web Ad</t>
        </is>
      </c>
      <c r="J734" s="11" t="inlineStr"/>
      <c r="K734" s="8" t="inlineStr">
        <is>
          <t>Your ad will appear on the installation MWR / FSS website.</t>
        </is>
      </c>
      <c r="L734" s="11" t="n">
        <v>12</v>
      </c>
      <c r="M734" s="12" t="n"/>
      <c r="N734" s="12" t="n"/>
      <c r="O734" s="12" t="n"/>
      <c r="P734" s="12" t="n">
        <v>450</v>
      </c>
      <c r="Q734" s="12" t="n"/>
      <c r="R734" s="13">
        <f>IF(ISNUMBER(M734),ROUND(M734/(1-Settings!$B$2)/Settings!$B$3,0)*Settings!$B$3,"")</f>
        <v/>
      </c>
      <c r="S734" s="13">
        <f>IF(ISNUMBER(N734),ROUND(N734/(1-Settings!$B$2)/Settings!$B$3,0)*Settings!$B$3,"")</f>
        <v/>
      </c>
      <c r="T734" s="13">
        <f>IF(ISNUMBER(O734),ROUND(O734/(1-Settings!$B$2)/Settings!$B$3,0)*Settings!$B$3,"")</f>
        <v/>
      </c>
      <c r="U734" s="13">
        <f>IF(ISNUMBER(P734),ROUND(P734/(1-Settings!$B$2)/Settings!$B$3,0)*Settings!$B$3,"")</f>
        <v/>
      </c>
      <c r="V734" s="13">
        <f>IF(ISNUMBER(Q734),ROUND(Q734/(1-Settings!$B$2)/Settings!$B$3,0)*Settings!$B$3,"")</f>
        <v/>
      </c>
      <c r="W734" s="14" t="n">
        <v>4610</v>
      </c>
      <c r="X734" s="14" t="n">
        <v>7686</v>
      </c>
      <c r="Y734" s="11" t="inlineStr">
        <is>
          <t>2026</t>
        </is>
      </c>
      <c r="Z734" s="11" t="inlineStr">
        <is>
          <t>2026-06</t>
        </is>
      </c>
      <c r="AA734" s="8" t="inlineStr">
        <is>
          <t>3-month commitment | Annual price for Score Cards Golf Course Magazine</t>
        </is>
      </c>
      <c r="AB734" s="8" t="inlineStr"/>
      <c r="AC734" s="11" t="inlineStr">
        <is>
          <t>Military - National Publication Inventory Master_June 2026.xlsx</t>
        </is>
      </c>
      <c r="AD734" s="11" t="inlineStr">
        <is>
          <t>Advertising 2026.jpg</t>
        </is>
      </c>
      <c r="AE734" s="15" t="inlineStr">
        <is>
          <t>Open in Box</t>
        </is>
      </c>
      <c r="AF734" s="15" t="inlineStr">
        <is>
          <t>Open in Box</t>
        </is>
      </c>
    </row>
    <row r="735">
      <c r="A735" s="11" t="inlineStr">
        <is>
          <t>IN-CRANENAV-001</t>
        </is>
      </c>
      <c r="B735" s="8" t="inlineStr">
        <is>
          <t>Crane Naval Support Activity</t>
        </is>
      </c>
      <c r="C735" s="11" t="inlineStr"/>
      <c r="D735" s="11" t="inlineStr">
        <is>
          <t>IN</t>
        </is>
      </c>
      <c r="E735" s="11" t="inlineStr">
        <is>
          <t>Terre Haute</t>
        </is>
      </c>
      <c r="F735" s="11" t="inlineStr">
        <is>
          <t>47522</t>
        </is>
      </c>
      <c r="G735" s="11" t="inlineStr">
        <is>
          <t>Navy</t>
        </is>
      </c>
      <c r="H735" s="11" t="inlineStr">
        <is>
          <t>Digital</t>
        </is>
      </c>
      <c r="I735" s="8" t="inlineStr">
        <is>
          <t>Outdoor LED Banner (Main Road)</t>
        </is>
      </c>
      <c r="J735" s="11" t="inlineStr">
        <is>
          <t>6' x 3'</t>
        </is>
      </c>
      <c r="K735" s="8" t="inlineStr">
        <is>
          <t>Your ad will appear on the Main Road of the installation.</t>
        </is>
      </c>
      <c r="L735" s="11" t="n">
        <v>1</v>
      </c>
      <c r="M735" s="12" t="n">
        <v>800</v>
      </c>
      <c r="N735" s="12" t="n">
        <v>2400</v>
      </c>
      <c r="O735" s="12" t="n">
        <v>4800</v>
      </c>
      <c r="P735" s="12" t="n">
        <v>9600</v>
      </c>
      <c r="Q735" s="12" t="n">
        <v>200</v>
      </c>
      <c r="R735" s="13">
        <f>IF(ISNUMBER(M735),ROUND(M735/(1-Settings!$B$2)/Settings!$B$3,0)*Settings!$B$3,"")</f>
        <v/>
      </c>
      <c r="S735" s="13">
        <f>IF(ISNUMBER(N735),ROUND(N735/(1-Settings!$B$2)/Settings!$B$3,0)*Settings!$B$3,"")</f>
        <v/>
      </c>
      <c r="T735" s="13">
        <f>IF(ISNUMBER(O735),ROUND(O735/(1-Settings!$B$2)/Settings!$B$3,0)*Settings!$B$3,"")</f>
        <v/>
      </c>
      <c r="U735" s="13">
        <f>IF(ISNUMBER(P735),ROUND(P735/(1-Settings!$B$2)/Settings!$B$3,0)*Settings!$B$3,"")</f>
        <v/>
      </c>
      <c r="V735" s="13">
        <f>IF(ISNUMBER(Q735),ROUND(Q735/(1-Settings!$B$2)/Settings!$B$3,0)*Settings!$B$3,"")</f>
        <v/>
      </c>
      <c r="W735" s="14" t="n">
        <v>3600</v>
      </c>
      <c r="X735" s="14" t="n"/>
      <c r="Y735" s="11" t="inlineStr"/>
      <c r="Z735" s="11" t="inlineStr"/>
      <c r="AA735" s="8" t="inlineStr"/>
      <c r="AB735" s="8" t="inlineStr"/>
      <c r="AC735" s="11" t="inlineStr">
        <is>
          <t>MasterMilitaryOnBaseList 12.2.25 NS.xlsx</t>
        </is>
      </c>
      <c r="AD735" s="11" t="inlineStr">
        <is>
          <t>NWS Crane Advertising Rate Card.pdf</t>
        </is>
      </c>
      <c r="AE735" s="15" t="inlineStr">
        <is>
          <t>Open in Box</t>
        </is>
      </c>
      <c r="AF735" s="15" t="inlineStr">
        <is>
          <t>Open in Box</t>
        </is>
      </c>
    </row>
    <row r="736">
      <c r="A736" s="11" t="inlineStr">
        <is>
          <t>IN-CRANENAV-007</t>
        </is>
      </c>
      <c r="B736" s="8" t="inlineStr">
        <is>
          <t>Crane Naval Support Activity</t>
        </is>
      </c>
      <c r="C736" s="11" t="inlineStr"/>
      <c r="D736" s="11" t="inlineStr">
        <is>
          <t>IN</t>
        </is>
      </c>
      <c r="E736" s="11" t="inlineStr">
        <is>
          <t>Terre Haute</t>
        </is>
      </c>
      <c r="F736" s="11" t="inlineStr">
        <is>
          <t>47522</t>
        </is>
      </c>
      <c r="G736" s="11" t="inlineStr">
        <is>
          <t>Navy</t>
        </is>
      </c>
      <c r="H736" s="11" t="inlineStr">
        <is>
          <t>Large Format</t>
        </is>
      </c>
      <c r="I736" s="8" t="inlineStr">
        <is>
          <t>Banner (Ballfield)</t>
        </is>
      </c>
      <c r="J736" s="11" t="inlineStr">
        <is>
          <t>6' x 3'</t>
        </is>
      </c>
      <c r="K736" s="8" t="inlineStr">
        <is>
          <t>Your ad will appear on the Ballfield on the installation.</t>
        </is>
      </c>
      <c r="L736" s="11" t="n">
        <v>1</v>
      </c>
      <c r="M736" s="12" t="n">
        <v>250</v>
      </c>
      <c r="N736" s="12" t="n">
        <v>750</v>
      </c>
      <c r="O736" s="12" t="n">
        <v>1500</v>
      </c>
      <c r="P736" s="12" t="n">
        <v>3000</v>
      </c>
      <c r="Q736" s="12" t="n">
        <v>200</v>
      </c>
      <c r="R736" s="13">
        <f>IF(ISNUMBER(M736),ROUND(M736/(1-Settings!$B$2)/Settings!$B$3,0)*Settings!$B$3,"")</f>
        <v/>
      </c>
      <c r="S736" s="13">
        <f>IF(ISNUMBER(N736),ROUND(N736/(1-Settings!$B$2)/Settings!$B$3,0)*Settings!$B$3,"")</f>
        <v/>
      </c>
      <c r="T736" s="13">
        <f>IF(ISNUMBER(O736),ROUND(O736/(1-Settings!$B$2)/Settings!$B$3,0)*Settings!$B$3,"")</f>
        <v/>
      </c>
      <c r="U736" s="13">
        <f>IF(ISNUMBER(P736),ROUND(P736/(1-Settings!$B$2)/Settings!$B$3,0)*Settings!$B$3,"")</f>
        <v/>
      </c>
      <c r="V736" s="13">
        <f>IF(ISNUMBER(Q736),ROUND(Q736/(1-Settings!$B$2)/Settings!$B$3,0)*Settings!$B$3,"")</f>
        <v/>
      </c>
      <c r="W736" s="14" t="n">
        <v>3600</v>
      </c>
      <c r="X736" s="14" t="n"/>
      <c r="Y736" s="11" t="inlineStr"/>
      <c r="Z736" s="11" t="inlineStr"/>
      <c r="AA736" s="8" t="inlineStr"/>
      <c r="AB736" s="8" t="inlineStr"/>
      <c r="AC736" s="11" t="inlineStr">
        <is>
          <t>MasterMilitaryOnBaseList 12.2.25 NS.xlsx</t>
        </is>
      </c>
      <c r="AD736" s="11" t="inlineStr">
        <is>
          <t>NWS Crane Advertising Rate Card.pdf</t>
        </is>
      </c>
      <c r="AE736" s="15" t="inlineStr">
        <is>
          <t>Open in Box</t>
        </is>
      </c>
      <c r="AF736" s="15" t="inlineStr">
        <is>
          <t>Open in Box</t>
        </is>
      </c>
    </row>
    <row r="737">
      <c r="A737" s="11" t="inlineStr">
        <is>
          <t>IN-CRANENAV-002</t>
        </is>
      </c>
      <c r="B737" s="8" t="inlineStr">
        <is>
          <t>Crane Naval Support Activity</t>
        </is>
      </c>
      <c r="C737" s="11" t="inlineStr"/>
      <c r="D737" s="11" t="inlineStr">
        <is>
          <t>IN</t>
        </is>
      </c>
      <c r="E737" s="11" t="inlineStr">
        <is>
          <t>Terre Haute</t>
        </is>
      </c>
      <c r="F737" s="11" t="inlineStr">
        <is>
          <t>47522</t>
        </is>
      </c>
      <c r="G737" s="11" t="inlineStr">
        <is>
          <t>Navy</t>
        </is>
      </c>
      <c r="H737" s="11" t="inlineStr">
        <is>
          <t>Standard Media</t>
        </is>
      </c>
      <c r="I737" s="8" t="inlineStr">
        <is>
          <t>Banner (Cafeteria)</t>
        </is>
      </c>
      <c r="J737" s="11" t="inlineStr">
        <is>
          <t>6' x 3'</t>
        </is>
      </c>
      <c r="K737" s="8" t="inlineStr">
        <is>
          <t>Your ad will appear in the Cafeteria building on the installation.</t>
        </is>
      </c>
      <c r="L737" s="11" t="n">
        <v>1</v>
      </c>
      <c r="M737" s="12" t="n">
        <v>500</v>
      </c>
      <c r="N737" s="12" t="n">
        <v>1500</v>
      </c>
      <c r="O737" s="12" t="n">
        <v>3000</v>
      </c>
      <c r="P737" s="12" t="n">
        <v>6000</v>
      </c>
      <c r="Q737" s="12" t="n">
        <v>200</v>
      </c>
      <c r="R737" s="13">
        <f>IF(ISNUMBER(M737),ROUND(M737/(1-Settings!$B$2)/Settings!$B$3,0)*Settings!$B$3,"")</f>
        <v/>
      </c>
      <c r="S737" s="13">
        <f>IF(ISNUMBER(N737),ROUND(N737/(1-Settings!$B$2)/Settings!$B$3,0)*Settings!$B$3,"")</f>
        <v/>
      </c>
      <c r="T737" s="13">
        <f>IF(ISNUMBER(O737),ROUND(O737/(1-Settings!$B$2)/Settings!$B$3,0)*Settings!$B$3,"")</f>
        <v/>
      </c>
      <c r="U737" s="13">
        <f>IF(ISNUMBER(P737),ROUND(P737/(1-Settings!$B$2)/Settings!$B$3,0)*Settings!$B$3,"")</f>
        <v/>
      </c>
      <c r="V737" s="13">
        <f>IF(ISNUMBER(Q737),ROUND(Q737/(1-Settings!$B$2)/Settings!$B$3,0)*Settings!$B$3,"")</f>
        <v/>
      </c>
      <c r="W737" s="14" t="n">
        <v>3600</v>
      </c>
      <c r="X737" s="14" t="n"/>
      <c r="Y737" s="11" t="inlineStr"/>
      <c r="Z737" s="11" t="inlineStr"/>
      <c r="AA737" s="8" t="inlineStr"/>
      <c r="AB737" s="8" t="inlineStr"/>
      <c r="AC737" s="11" t="inlineStr">
        <is>
          <t>MasterMilitaryOnBaseList 12.2.25 NS.xlsx</t>
        </is>
      </c>
      <c r="AD737" s="11" t="inlineStr">
        <is>
          <t>NWS Crane Advertising Rate Card.pdf</t>
        </is>
      </c>
      <c r="AE737" s="15" t="inlineStr">
        <is>
          <t>Open in Box</t>
        </is>
      </c>
      <c r="AF737" s="15" t="inlineStr">
        <is>
          <t>Open in Box</t>
        </is>
      </c>
    </row>
    <row r="738">
      <c r="A738" s="11" t="inlineStr">
        <is>
          <t>IN-CRANENAV-003</t>
        </is>
      </c>
      <c r="B738" s="8" t="inlineStr">
        <is>
          <t>Crane Naval Support Activity</t>
        </is>
      </c>
      <c r="C738" s="11" t="inlineStr"/>
      <c r="D738" s="11" t="inlineStr">
        <is>
          <t>IN</t>
        </is>
      </c>
      <c r="E738" s="11" t="inlineStr">
        <is>
          <t>Terre Haute</t>
        </is>
      </c>
      <c r="F738" s="11" t="inlineStr">
        <is>
          <t>47522</t>
        </is>
      </c>
      <c r="G738" s="11" t="inlineStr">
        <is>
          <t>Navy</t>
        </is>
      </c>
      <c r="H738" s="11" t="inlineStr">
        <is>
          <t>Standard Media</t>
        </is>
      </c>
      <c r="I738" s="8" t="inlineStr">
        <is>
          <t>Banner (Fitness Center)</t>
        </is>
      </c>
      <c r="J738" s="11" t="inlineStr">
        <is>
          <t>6' x 3'</t>
        </is>
      </c>
      <c r="K738" s="8" t="inlineStr">
        <is>
          <t>Your ad will appear in the Fitness Center on the installation.</t>
        </is>
      </c>
      <c r="L738" s="11" t="n">
        <v>1</v>
      </c>
      <c r="M738" s="12" t="n">
        <v>250</v>
      </c>
      <c r="N738" s="12" t="n">
        <v>750</v>
      </c>
      <c r="O738" s="12" t="n">
        <v>1500</v>
      </c>
      <c r="P738" s="12" t="n">
        <v>3000</v>
      </c>
      <c r="Q738" s="12" t="n">
        <v>200</v>
      </c>
      <c r="R738" s="13">
        <f>IF(ISNUMBER(M738),ROUND(M738/(1-Settings!$B$2)/Settings!$B$3,0)*Settings!$B$3,"")</f>
        <v/>
      </c>
      <c r="S738" s="13">
        <f>IF(ISNUMBER(N738),ROUND(N738/(1-Settings!$B$2)/Settings!$B$3,0)*Settings!$B$3,"")</f>
        <v/>
      </c>
      <c r="T738" s="13">
        <f>IF(ISNUMBER(O738),ROUND(O738/(1-Settings!$B$2)/Settings!$B$3,0)*Settings!$B$3,"")</f>
        <v/>
      </c>
      <c r="U738" s="13">
        <f>IF(ISNUMBER(P738),ROUND(P738/(1-Settings!$B$2)/Settings!$B$3,0)*Settings!$B$3,"")</f>
        <v/>
      </c>
      <c r="V738" s="13">
        <f>IF(ISNUMBER(Q738),ROUND(Q738/(1-Settings!$B$2)/Settings!$B$3,0)*Settings!$B$3,"")</f>
        <v/>
      </c>
      <c r="W738" s="14" t="n">
        <v>3600</v>
      </c>
      <c r="X738" s="14" t="n"/>
      <c r="Y738" s="11" t="inlineStr"/>
      <c r="Z738" s="11" t="inlineStr"/>
      <c r="AA738" s="8" t="inlineStr"/>
      <c r="AB738" s="8" t="inlineStr"/>
      <c r="AC738" s="11" t="inlineStr">
        <is>
          <t>MasterMilitaryOnBaseList 12.2.25 NS.xlsx</t>
        </is>
      </c>
      <c r="AD738" s="11" t="inlineStr">
        <is>
          <t>NWS Crane Advertising Rate Card.pdf</t>
        </is>
      </c>
      <c r="AE738" s="15" t="inlineStr">
        <is>
          <t>Open in Box</t>
        </is>
      </c>
      <c r="AF738" s="15" t="inlineStr">
        <is>
          <t>Open in Box</t>
        </is>
      </c>
    </row>
    <row r="739">
      <c r="A739" s="11" t="inlineStr">
        <is>
          <t>IN-CRANENAV-004</t>
        </is>
      </c>
      <c r="B739" s="8" t="inlineStr">
        <is>
          <t>Crane Naval Support Activity</t>
        </is>
      </c>
      <c r="C739" s="11" t="inlineStr"/>
      <c r="D739" s="11" t="inlineStr">
        <is>
          <t>IN</t>
        </is>
      </c>
      <c r="E739" s="11" t="inlineStr">
        <is>
          <t>Terre Haute</t>
        </is>
      </c>
      <c r="F739" s="11" t="inlineStr">
        <is>
          <t>47522</t>
        </is>
      </c>
      <c r="G739" s="11" t="inlineStr">
        <is>
          <t>Navy</t>
        </is>
      </c>
      <c r="H739" s="11" t="inlineStr">
        <is>
          <t>Standard Media</t>
        </is>
      </c>
      <c r="I739" s="8" t="inlineStr">
        <is>
          <t>Banner (Lakeview Catering + Conference Center)</t>
        </is>
      </c>
      <c r="J739" s="11" t="inlineStr">
        <is>
          <t>6' x 3'</t>
        </is>
      </c>
      <c r="K739" s="8" t="inlineStr">
        <is>
          <t>Your ad will appear in the Lakeview Catering + Conference Center on the installation.</t>
        </is>
      </c>
      <c r="L739" s="11" t="n">
        <v>1</v>
      </c>
      <c r="M739" s="12" t="n">
        <v>250</v>
      </c>
      <c r="N739" s="12" t="n">
        <v>750</v>
      </c>
      <c r="O739" s="12" t="n">
        <v>1500</v>
      </c>
      <c r="P739" s="12" t="n">
        <v>3000</v>
      </c>
      <c r="Q739" s="12" t="n">
        <v>200</v>
      </c>
      <c r="R739" s="13">
        <f>IF(ISNUMBER(M739),ROUND(M739/(1-Settings!$B$2)/Settings!$B$3,0)*Settings!$B$3,"")</f>
        <v/>
      </c>
      <c r="S739" s="13">
        <f>IF(ISNUMBER(N739),ROUND(N739/(1-Settings!$B$2)/Settings!$B$3,0)*Settings!$B$3,"")</f>
        <v/>
      </c>
      <c r="T739" s="13">
        <f>IF(ISNUMBER(O739),ROUND(O739/(1-Settings!$B$2)/Settings!$B$3,0)*Settings!$B$3,"")</f>
        <v/>
      </c>
      <c r="U739" s="13">
        <f>IF(ISNUMBER(P739),ROUND(P739/(1-Settings!$B$2)/Settings!$B$3,0)*Settings!$B$3,"")</f>
        <v/>
      </c>
      <c r="V739" s="13">
        <f>IF(ISNUMBER(Q739),ROUND(Q739/(1-Settings!$B$2)/Settings!$B$3,0)*Settings!$B$3,"")</f>
        <v/>
      </c>
      <c r="W739" s="14" t="n">
        <v>3600</v>
      </c>
      <c r="X739" s="14" t="n"/>
      <c r="Y739" s="11" t="inlineStr"/>
      <c r="Z739" s="11" t="inlineStr"/>
      <c r="AA739" s="8" t="inlineStr"/>
      <c r="AB739" s="8" t="inlineStr"/>
      <c r="AC739" s="11" t="inlineStr">
        <is>
          <t>MasterMilitaryOnBaseList 12.2.25 NS.xlsx</t>
        </is>
      </c>
      <c r="AD739" s="11" t="inlineStr">
        <is>
          <t>NWS Crane Advertising Rate Card.pdf</t>
        </is>
      </c>
      <c r="AE739" s="15" t="inlineStr">
        <is>
          <t>Open in Box</t>
        </is>
      </c>
      <c r="AF739" s="15" t="inlineStr">
        <is>
          <t>Open in Box</t>
        </is>
      </c>
    </row>
    <row r="740">
      <c r="A740" s="11" t="inlineStr">
        <is>
          <t>IN-CRANENAV-005</t>
        </is>
      </c>
      <c r="B740" s="8" t="inlineStr">
        <is>
          <t>Crane Naval Support Activity</t>
        </is>
      </c>
      <c r="C740" s="11" t="inlineStr"/>
      <c r="D740" s="11" t="inlineStr">
        <is>
          <t>IN</t>
        </is>
      </c>
      <c r="E740" s="11" t="inlineStr">
        <is>
          <t>Terre Haute</t>
        </is>
      </c>
      <c r="F740" s="11" t="inlineStr">
        <is>
          <t>47522</t>
        </is>
      </c>
      <c r="G740" s="11" t="inlineStr">
        <is>
          <t>Navy</t>
        </is>
      </c>
      <c r="H740" s="11" t="inlineStr">
        <is>
          <t>Standard Media</t>
        </is>
      </c>
      <c r="I740" s="8" t="inlineStr">
        <is>
          <t>Banner (Marina/Navy Getaways)</t>
        </is>
      </c>
      <c r="J740" s="11" t="inlineStr">
        <is>
          <t>6' x 3'</t>
        </is>
      </c>
      <c r="K740" s="8" t="inlineStr">
        <is>
          <t>Your ad will appear in the Marina/Navy Getaway on the installation.</t>
        </is>
      </c>
      <c r="L740" s="11" t="n">
        <v>1</v>
      </c>
      <c r="M740" s="12" t="n">
        <v>150</v>
      </c>
      <c r="N740" s="12" t="n">
        <v>450</v>
      </c>
      <c r="O740" s="12" t="n">
        <v>900</v>
      </c>
      <c r="P740" s="12" t="n">
        <v>1800</v>
      </c>
      <c r="Q740" s="12" t="n">
        <v>200</v>
      </c>
      <c r="R740" s="13">
        <f>IF(ISNUMBER(M740),ROUND(M740/(1-Settings!$B$2)/Settings!$B$3,0)*Settings!$B$3,"")</f>
        <v/>
      </c>
      <c r="S740" s="13">
        <f>IF(ISNUMBER(N740),ROUND(N740/(1-Settings!$B$2)/Settings!$B$3,0)*Settings!$B$3,"")</f>
        <v/>
      </c>
      <c r="T740" s="13">
        <f>IF(ISNUMBER(O740),ROUND(O740/(1-Settings!$B$2)/Settings!$B$3,0)*Settings!$B$3,"")</f>
        <v/>
      </c>
      <c r="U740" s="13">
        <f>IF(ISNUMBER(P740),ROUND(P740/(1-Settings!$B$2)/Settings!$B$3,0)*Settings!$B$3,"")</f>
        <v/>
      </c>
      <c r="V740" s="13">
        <f>IF(ISNUMBER(Q740),ROUND(Q740/(1-Settings!$B$2)/Settings!$B$3,0)*Settings!$B$3,"")</f>
        <v/>
      </c>
      <c r="W740" s="14" t="n">
        <v>3600</v>
      </c>
      <c r="X740" s="14" t="n"/>
      <c r="Y740" s="11" t="inlineStr"/>
      <c r="Z740" s="11" t="inlineStr"/>
      <c r="AA740" s="8" t="inlineStr"/>
      <c r="AB740" s="8" t="inlineStr"/>
      <c r="AC740" s="11" t="inlineStr">
        <is>
          <t>MasterMilitaryOnBaseList 12.2.25 NS.xlsx</t>
        </is>
      </c>
      <c r="AD740" s="11" t="inlineStr">
        <is>
          <t>NWS Crane Advertising Rate Card.pdf</t>
        </is>
      </c>
      <c r="AE740" s="15" t="inlineStr">
        <is>
          <t>Open in Box</t>
        </is>
      </c>
      <c r="AF740" s="15" t="inlineStr">
        <is>
          <t>Open in Box</t>
        </is>
      </c>
    </row>
    <row r="741">
      <c r="A741" s="11" t="inlineStr">
        <is>
          <t>IN-CRANENAV-006</t>
        </is>
      </c>
      <c r="B741" s="8" t="inlineStr">
        <is>
          <t>Crane Naval Support Activity</t>
        </is>
      </c>
      <c r="C741" s="11" t="inlineStr"/>
      <c r="D741" s="11" t="inlineStr">
        <is>
          <t>IN</t>
        </is>
      </c>
      <c r="E741" s="11" t="inlineStr">
        <is>
          <t>Terre Haute</t>
        </is>
      </c>
      <c r="F741" s="11" t="inlineStr">
        <is>
          <t>47522</t>
        </is>
      </c>
      <c r="G741" s="11" t="inlineStr">
        <is>
          <t>Navy</t>
        </is>
      </c>
      <c r="H741" s="11" t="inlineStr">
        <is>
          <t>Standard Media</t>
        </is>
      </c>
      <c r="I741" s="8" t="inlineStr">
        <is>
          <t>Banner (Outdoor Pool)</t>
        </is>
      </c>
      <c r="J741" s="11" t="inlineStr">
        <is>
          <t>6' x 3'</t>
        </is>
      </c>
      <c r="K741" s="8" t="inlineStr">
        <is>
          <t>Your ad will appear at the Outdoor Pool on the installation.</t>
        </is>
      </c>
      <c r="L741" s="11" t="n">
        <v>1</v>
      </c>
      <c r="M741" s="12" t="n">
        <v>100</v>
      </c>
      <c r="N741" s="12" t="n">
        <v>300</v>
      </c>
      <c r="O741" s="12" t="n">
        <v>600</v>
      </c>
      <c r="P741" s="12" t="n">
        <v>1200</v>
      </c>
      <c r="Q741" s="12" t="n">
        <v>200</v>
      </c>
      <c r="R741" s="13">
        <f>IF(ISNUMBER(M741),ROUND(M741/(1-Settings!$B$2)/Settings!$B$3,0)*Settings!$B$3,"")</f>
        <v/>
      </c>
      <c r="S741" s="13">
        <f>IF(ISNUMBER(N741),ROUND(N741/(1-Settings!$B$2)/Settings!$B$3,0)*Settings!$B$3,"")</f>
        <v/>
      </c>
      <c r="T741" s="13">
        <f>IF(ISNUMBER(O741),ROUND(O741/(1-Settings!$B$2)/Settings!$B$3,0)*Settings!$B$3,"")</f>
        <v/>
      </c>
      <c r="U741" s="13">
        <f>IF(ISNUMBER(P741),ROUND(P741/(1-Settings!$B$2)/Settings!$B$3,0)*Settings!$B$3,"")</f>
        <v/>
      </c>
      <c r="V741" s="13">
        <f>IF(ISNUMBER(Q741),ROUND(Q741/(1-Settings!$B$2)/Settings!$B$3,0)*Settings!$B$3,"")</f>
        <v/>
      </c>
      <c r="W741" s="14" t="n">
        <v>3600</v>
      </c>
      <c r="X741" s="14" t="n"/>
      <c r="Y741" s="11" t="inlineStr"/>
      <c r="Z741" s="11" t="inlineStr"/>
      <c r="AA741" s="8" t="inlineStr"/>
      <c r="AB741" s="8" t="inlineStr"/>
      <c r="AC741" s="11" t="inlineStr">
        <is>
          <t>MasterMilitaryOnBaseList 12.2.25 NS.xlsx</t>
        </is>
      </c>
      <c r="AD741" s="11" t="inlineStr">
        <is>
          <t>NWS Crane Advertising Rate Card.pdf</t>
        </is>
      </c>
      <c r="AE741" s="15" t="inlineStr">
        <is>
          <t>Open in Box</t>
        </is>
      </c>
      <c r="AF741" s="15" t="inlineStr">
        <is>
          <t>Open in Box</t>
        </is>
      </c>
    </row>
    <row r="742">
      <c r="A742" s="11" t="inlineStr">
        <is>
          <t>IN-CRANENAV-008</t>
        </is>
      </c>
      <c r="B742" s="8" t="inlineStr">
        <is>
          <t>Crane Naval Support Activity</t>
        </is>
      </c>
      <c r="C742" s="11" t="inlineStr"/>
      <c r="D742" s="11" t="inlineStr">
        <is>
          <t>IN</t>
        </is>
      </c>
      <c r="E742" s="11" t="inlineStr">
        <is>
          <t>Terre Haute</t>
        </is>
      </c>
      <c r="F742" s="11" t="inlineStr"/>
      <c r="G742" s="11" t="inlineStr">
        <is>
          <t>Navy</t>
        </is>
      </c>
      <c r="H742" s="11" t="inlineStr">
        <is>
          <t>Web &amp; Email</t>
        </is>
      </c>
      <c r="I742" s="8" t="inlineStr">
        <is>
          <t>Web Ad</t>
        </is>
      </c>
      <c r="J742" s="11" t="inlineStr"/>
      <c r="K742" s="8" t="inlineStr">
        <is>
          <t>Your ad will appear on the installation MWR / FSS website.</t>
        </is>
      </c>
      <c r="L742" s="11" t="n">
        <v>1</v>
      </c>
      <c r="M742" s="12" t="n">
        <v>200</v>
      </c>
      <c r="N742" s="12" t="n"/>
      <c r="O742" s="12" t="n"/>
      <c r="P742" s="12" t="n"/>
      <c r="Q742" s="12" t="n"/>
      <c r="R742" s="13">
        <f>IF(ISNUMBER(M742),ROUND(M742/(1-Settings!$B$2)/Settings!$B$3,0)*Settings!$B$3,"")</f>
        <v/>
      </c>
      <c r="S742" s="13">
        <f>IF(ISNUMBER(N742),ROUND(N742/(1-Settings!$B$2)/Settings!$B$3,0)*Settings!$B$3,"")</f>
        <v/>
      </c>
      <c r="T742" s="13">
        <f>IF(ISNUMBER(O742),ROUND(O742/(1-Settings!$B$2)/Settings!$B$3,0)*Settings!$B$3,"")</f>
        <v/>
      </c>
      <c r="U742" s="13">
        <f>IF(ISNUMBER(P742),ROUND(P742/(1-Settings!$B$2)/Settings!$B$3,0)*Settings!$B$3,"")</f>
        <v/>
      </c>
      <c r="V742" s="13">
        <f>IF(ISNUMBER(Q742),ROUND(Q742/(1-Settings!$B$2)/Settings!$B$3,0)*Settings!$B$3,"")</f>
        <v/>
      </c>
      <c r="W742" s="14" t="n">
        <v>3600</v>
      </c>
      <c r="X742" s="14" t="n"/>
      <c r="Y742" s="11" t="inlineStr">
        <is>
          <t>2026</t>
        </is>
      </c>
      <c r="Z742" s="11" t="inlineStr">
        <is>
          <t>2026-06</t>
        </is>
      </c>
      <c r="AA742" s="8" t="inlineStr"/>
      <c r="AB742" s="8" t="inlineStr"/>
      <c r="AC742" s="11" t="inlineStr">
        <is>
          <t>Military - National Publication Inventory Master_June 2026.xlsx</t>
        </is>
      </c>
      <c r="AD742" s="11" t="inlineStr">
        <is>
          <t>NWS Crane Advertising Rate Card.pdf</t>
        </is>
      </c>
      <c r="AE742" s="15" t="inlineStr">
        <is>
          <t>Open in Box</t>
        </is>
      </c>
      <c r="AF742" s="15" t="inlineStr">
        <is>
          <t>Open in Box</t>
        </is>
      </c>
    </row>
    <row r="743">
      <c r="A743" s="11" t="inlineStr">
        <is>
          <t>KS-FORTLEAV-001</t>
        </is>
      </c>
      <c r="B743" s="8" t="inlineStr">
        <is>
          <t>Fort Leavenworth</t>
        </is>
      </c>
      <c r="C743" s="11" t="inlineStr"/>
      <c r="D743" s="11" t="inlineStr">
        <is>
          <t>KS</t>
        </is>
      </c>
      <c r="E743" s="11" t="inlineStr">
        <is>
          <t>Kansas City</t>
        </is>
      </c>
      <c r="F743" s="11" t="inlineStr">
        <is>
          <t>66027</t>
        </is>
      </c>
      <c r="G743" s="11" t="inlineStr">
        <is>
          <t>Army</t>
        </is>
      </c>
      <c r="H743" s="11" t="inlineStr">
        <is>
          <t>Digital</t>
        </is>
      </c>
      <c r="I743" s="8" t="inlineStr">
        <is>
          <t>Digital Monitors (30-second commercial)</t>
        </is>
      </c>
      <c r="J743" s="11" t="inlineStr">
        <is>
          <t>1920px x 1080px</t>
        </is>
      </c>
      <c r="K743" s="8" t="inlineStr">
        <is>
          <t>Your ad will appear in the Post Theater on the installation.</t>
        </is>
      </c>
      <c r="L743" s="11" t="n">
        <v>3</v>
      </c>
      <c r="M743" s="12" t="n"/>
      <c r="N743" s="12" t="n">
        <v>500</v>
      </c>
      <c r="O743" s="12" t="n">
        <v>1000</v>
      </c>
      <c r="P743" s="12" t="n">
        <v>1500</v>
      </c>
      <c r="Q743" s="12" t="n"/>
      <c r="R743" s="13">
        <f>IF(ISNUMBER(M743),ROUND(M743/(1-Settings!$B$2)/Settings!$B$3,0)*Settings!$B$3,"")</f>
        <v/>
      </c>
      <c r="S743" s="13">
        <f>IF(ISNUMBER(N743),ROUND(N743/(1-Settings!$B$2)/Settings!$B$3,0)*Settings!$B$3,"")</f>
        <v/>
      </c>
      <c r="T743" s="13">
        <f>IF(ISNUMBER(O743),ROUND(O743/(1-Settings!$B$2)/Settings!$B$3,0)*Settings!$B$3,"")</f>
        <v/>
      </c>
      <c r="U743" s="13">
        <f>IF(ISNUMBER(P743),ROUND(P743/(1-Settings!$B$2)/Settings!$B$3,0)*Settings!$B$3,"")</f>
        <v/>
      </c>
      <c r="V743" s="13">
        <f>IF(ISNUMBER(Q743),ROUND(Q743/(1-Settings!$B$2)/Settings!$B$3,0)*Settings!$B$3,"")</f>
        <v/>
      </c>
      <c r="W743" s="14" t="n">
        <v>3438</v>
      </c>
      <c r="X743" s="14" t="n">
        <v>7470</v>
      </c>
      <c r="Y743" s="11" t="inlineStr"/>
      <c r="Z743" s="11" t="inlineStr"/>
      <c r="AA743" s="8" t="inlineStr"/>
      <c r="AB743" s="8" t="inlineStr"/>
      <c r="AC743" s="11" t="inlineStr">
        <is>
          <t>MasterMilitaryOnBaseList 12.2.25 NS.xlsx</t>
        </is>
      </c>
      <c r="AD743" s="11" t="inlineStr">
        <is>
          <t>2020_Rate_Card_R.pdf</t>
        </is>
      </c>
      <c r="AE743" s="15" t="inlineStr">
        <is>
          <t>Open in Box</t>
        </is>
      </c>
      <c r="AF743" s="15" t="inlineStr">
        <is>
          <t>Open in Box</t>
        </is>
      </c>
    </row>
    <row r="744">
      <c r="A744" s="11" t="inlineStr">
        <is>
          <t>KS-FORTLEAV-002</t>
        </is>
      </c>
      <c r="B744" s="8" t="inlineStr">
        <is>
          <t>Fort Leavenworth</t>
        </is>
      </c>
      <c r="C744" s="11" t="inlineStr"/>
      <c r="D744" s="11" t="inlineStr">
        <is>
          <t>KS</t>
        </is>
      </c>
      <c r="E744" s="11" t="inlineStr">
        <is>
          <t>Kansas City</t>
        </is>
      </c>
      <c r="F744" s="11" t="inlineStr">
        <is>
          <t>66027</t>
        </is>
      </c>
      <c r="G744" s="11" t="inlineStr">
        <is>
          <t>Army</t>
        </is>
      </c>
      <c r="H744" s="11" t="inlineStr">
        <is>
          <t>Digital</t>
        </is>
      </c>
      <c r="I744" s="8" t="inlineStr">
        <is>
          <t>Digital Monitors (Static Ad)</t>
        </is>
      </c>
      <c r="J744" s="11" t="inlineStr">
        <is>
          <t>1360px x 768px</t>
        </is>
      </c>
      <c r="K744" s="8" t="inlineStr">
        <is>
          <t>Your ad will appear in four approved locations on the installation.</t>
        </is>
      </c>
      <c r="L744" s="11" t="n">
        <v>3</v>
      </c>
      <c r="M744" s="12" t="n"/>
      <c r="N744" s="12" t="n">
        <v>900</v>
      </c>
      <c r="O744" s="12" t="n">
        <v>1800</v>
      </c>
      <c r="P744" s="12" t="n">
        <v>3600</v>
      </c>
      <c r="Q744" s="12" t="n">
        <v>0</v>
      </c>
      <c r="R744" s="13">
        <f>IF(ISNUMBER(M744),ROUND(M744/(1-Settings!$B$2)/Settings!$B$3,0)*Settings!$B$3,"")</f>
        <v/>
      </c>
      <c r="S744" s="13">
        <f>IF(ISNUMBER(N744),ROUND(N744/(1-Settings!$B$2)/Settings!$B$3,0)*Settings!$B$3,"")</f>
        <v/>
      </c>
      <c r="T744" s="13">
        <f>IF(ISNUMBER(O744),ROUND(O744/(1-Settings!$B$2)/Settings!$B$3,0)*Settings!$B$3,"")</f>
        <v/>
      </c>
      <c r="U744" s="13">
        <f>IF(ISNUMBER(P744),ROUND(P744/(1-Settings!$B$2)/Settings!$B$3,0)*Settings!$B$3,"")</f>
        <v/>
      </c>
      <c r="V744" s="13">
        <f>IF(ISNUMBER(Q744),ROUND(Q744/(1-Settings!$B$2)/Settings!$B$3,0)*Settings!$B$3,"")</f>
        <v/>
      </c>
      <c r="W744" s="14" t="n">
        <v>3438</v>
      </c>
      <c r="X744" s="14" t="n">
        <v>7470</v>
      </c>
      <c r="Y744" s="11" t="inlineStr"/>
      <c r="Z744" s="11" t="inlineStr"/>
      <c r="AA744" s="8" t="inlineStr"/>
      <c r="AB744" s="8" t="inlineStr"/>
      <c r="AC744" s="11" t="inlineStr">
        <is>
          <t>MasterMilitaryOnBaseList 12.2.25 NS.xlsx</t>
        </is>
      </c>
      <c r="AD744" s="11" t="inlineStr">
        <is>
          <t>2020_Rate_Card_R.pdf</t>
        </is>
      </c>
      <c r="AE744" s="15" t="inlineStr">
        <is>
          <t>Open in Box</t>
        </is>
      </c>
      <c r="AF744" s="15" t="inlineStr">
        <is>
          <t>Open in Box</t>
        </is>
      </c>
    </row>
    <row r="745">
      <c r="A745" s="11" t="inlineStr">
        <is>
          <t>KS-FORTLEAV-003</t>
        </is>
      </c>
      <c r="B745" s="8" t="inlineStr">
        <is>
          <t>Fort Leavenworth</t>
        </is>
      </c>
      <c r="C745" s="11" t="inlineStr"/>
      <c r="D745" s="11" t="inlineStr">
        <is>
          <t>KS</t>
        </is>
      </c>
      <c r="E745" s="11" t="inlineStr">
        <is>
          <t>Kansas City</t>
        </is>
      </c>
      <c r="F745" s="11" t="inlineStr">
        <is>
          <t>66027</t>
        </is>
      </c>
      <c r="G745" s="11" t="inlineStr">
        <is>
          <t>Army</t>
        </is>
      </c>
      <c r="H745" s="11" t="inlineStr">
        <is>
          <t>Digital</t>
        </is>
      </c>
      <c r="I745" s="8" t="inlineStr">
        <is>
          <t>Golf Scoreboard Sign</t>
        </is>
      </c>
      <c r="J745" s="11" t="inlineStr">
        <is>
          <t>12" x 12"</t>
        </is>
      </c>
      <c r="K745" s="8" t="inlineStr">
        <is>
          <t>Your ad will appear on the golf course scoreboard sign on the installation.</t>
        </is>
      </c>
      <c r="L745" s="11" t="n">
        <v>12</v>
      </c>
      <c r="M745" s="12" t="n"/>
      <c r="N745" s="12" t="n"/>
      <c r="O745" s="12" t="n"/>
      <c r="P745" s="12" t="n">
        <v>600</v>
      </c>
      <c r="Q745" s="12" t="n"/>
      <c r="R745" s="13">
        <f>IF(ISNUMBER(M745),ROUND(M745/(1-Settings!$B$2)/Settings!$B$3,0)*Settings!$B$3,"")</f>
        <v/>
      </c>
      <c r="S745" s="13">
        <f>IF(ISNUMBER(N745),ROUND(N745/(1-Settings!$B$2)/Settings!$B$3,0)*Settings!$B$3,"")</f>
        <v/>
      </c>
      <c r="T745" s="13">
        <f>IF(ISNUMBER(O745),ROUND(O745/(1-Settings!$B$2)/Settings!$B$3,0)*Settings!$B$3,"")</f>
        <v/>
      </c>
      <c r="U745" s="13">
        <f>IF(ISNUMBER(P745),ROUND(P745/(1-Settings!$B$2)/Settings!$B$3,0)*Settings!$B$3,"")</f>
        <v/>
      </c>
      <c r="V745" s="13">
        <f>IF(ISNUMBER(Q745),ROUND(Q745/(1-Settings!$B$2)/Settings!$B$3,0)*Settings!$B$3,"")</f>
        <v/>
      </c>
      <c r="W745" s="14" t="n">
        <v>3438</v>
      </c>
      <c r="X745" s="14" t="n">
        <v>7470</v>
      </c>
      <c r="Y745" s="11" t="inlineStr"/>
      <c r="Z745" s="11" t="inlineStr"/>
      <c r="AA745" s="8" t="inlineStr"/>
      <c r="AB745" s="8" t="inlineStr"/>
      <c r="AC745" s="11" t="inlineStr">
        <is>
          <t>MasterMilitaryOnBaseList 12.2.25 NS.xlsx</t>
        </is>
      </c>
      <c r="AD745" s="11" t="inlineStr">
        <is>
          <t>2020_Rate_Card_R.pdf</t>
        </is>
      </c>
      <c r="AE745" s="15" t="inlineStr">
        <is>
          <t>Open in Box</t>
        </is>
      </c>
      <c r="AF745" s="15" t="inlineStr">
        <is>
          <t>Open in Box</t>
        </is>
      </c>
    </row>
    <row r="746">
      <c r="A746" s="11" t="inlineStr">
        <is>
          <t>KS-FORTLEAV-004</t>
        </is>
      </c>
      <c r="B746" s="8" t="inlineStr">
        <is>
          <t>Fort Leavenworth</t>
        </is>
      </c>
      <c r="C746" s="11" t="inlineStr"/>
      <c r="D746" s="11" t="inlineStr">
        <is>
          <t>KS</t>
        </is>
      </c>
      <c r="E746" s="11" t="inlineStr">
        <is>
          <t>Kansas City</t>
        </is>
      </c>
      <c r="F746" s="11" t="inlineStr">
        <is>
          <t>66027</t>
        </is>
      </c>
      <c r="G746" s="11" t="inlineStr">
        <is>
          <t>Army</t>
        </is>
      </c>
      <c r="H746" s="11" t="inlineStr">
        <is>
          <t>Digital</t>
        </is>
      </c>
      <c r="I746" s="8" t="inlineStr">
        <is>
          <t>Grant Marquee</t>
        </is>
      </c>
      <c r="J746" s="11" t="inlineStr">
        <is>
          <t>TBD</t>
        </is>
      </c>
      <c r="K746" s="8" t="inlineStr">
        <is>
          <t>Your ad will appear in two approved locations on grant marquees.</t>
        </is>
      </c>
      <c r="L746" s="11" t="n">
        <v>3</v>
      </c>
      <c r="M746" s="12" t="n"/>
      <c r="N746" s="12" t="n">
        <v>1250</v>
      </c>
      <c r="O746" s="12" t="n">
        <v>2500</v>
      </c>
      <c r="P746" s="12" t="n">
        <v>5000</v>
      </c>
      <c r="Q746" s="12" t="n"/>
      <c r="R746" s="13">
        <f>IF(ISNUMBER(M746),ROUND(M746/(1-Settings!$B$2)/Settings!$B$3,0)*Settings!$B$3,"")</f>
        <v/>
      </c>
      <c r="S746" s="13">
        <f>IF(ISNUMBER(N746),ROUND(N746/(1-Settings!$B$2)/Settings!$B$3,0)*Settings!$B$3,"")</f>
        <v/>
      </c>
      <c r="T746" s="13">
        <f>IF(ISNUMBER(O746),ROUND(O746/(1-Settings!$B$2)/Settings!$B$3,0)*Settings!$B$3,"")</f>
        <v/>
      </c>
      <c r="U746" s="13">
        <f>IF(ISNUMBER(P746),ROUND(P746/(1-Settings!$B$2)/Settings!$B$3,0)*Settings!$B$3,"")</f>
        <v/>
      </c>
      <c r="V746" s="13">
        <f>IF(ISNUMBER(Q746),ROUND(Q746/(1-Settings!$B$2)/Settings!$B$3,0)*Settings!$B$3,"")</f>
        <v/>
      </c>
      <c r="W746" s="14" t="n">
        <v>3438</v>
      </c>
      <c r="X746" s="14" t="n">
        <v>7470</v>
      </c>
      <c r="Y746" s="11" t="inlineStr"/>
      <c r="Z746" s="11" t="inlineStr"/>
      <c r="AA746" s="8" t="inlineStr"/>
      <c r="AB746" s="8" t="inlineStr"/>
      <c r="AC746" s="11" t="inlineStr">
        <is>
          <t>MasterMilitaryOnBaseList 12.2.25 NS.xlsx</t>
        </is>
      </c>
      <c r="AD746" s="11" t="inlineStr">
        <is>
          <t>2020_Rate_Card_R.pdf</t>
        </is>
      </c>
      <c r="AE746" s="15" t="inlineStr">
        <is>
          <t>Open in Box</t>
        </is>
      </c>
      <c r="AF746" s="15" t="inlineStr">
        <is>
          <t>Open in Box</t>
        </is>
      </c>
    </row>
    <row r="747">
      <c r="A747" s="11" t="inlineStr">
        <is>
          <t>KS-FORTLEAV-024</t>
        </is>
      </c>
      <c r="B747" s="8" t="inlineStr">
        <is>
          <t>Fort Leavenworth</t>
        </is>
      </c>
      <c r="C747" s="11" t="inlineStr"/>
      <c r="D747" s="11" t="inlineStr">
        <is>
          <t>KS</t>
        </is>
      </c>
      <c r="E747" s="11" t="inlineStr">
        <is>
          <t>Kansas City</t>
        </is>
      </c>
      <c r="F747" s="11" t="inlineStr"/>
      <c r="G747" s="11" t="inlineStr">
        <is>
          <t>Army</t>
        </is>
      </c>
      <c r="H747" s="11" t="inlineStr">
        <is>
          <t>Digital</t>
        </is>
      </c>
      <c r="I747" s="8" t="inlineStr">
        <is>
          <t>Movie Theater Ad</t>
        </is>
      </c>
      <c r="J747" s="11" t="inlineStr">
        <is>
          <t>1 screens</t>
        </is>
      </c>
      <c r="K747" s="8" t="inlineStr">
        <is>
          <t>Your ad will appear on screen before movies at the installation theater (1-screen screens).</t>
        </is>
      </c>
      <c r="L747" s="11" t="n">
        <v>1</v>
      </c>
      <c r="M747" s="12" t="n">
        <v>500</v>
      </c>
      <c r="N747" s="12" t="n"/>
      <c r="O747" s="12" t="n"/>
      <c r="P747" s="12" t="n"/>
      <c r="Q747" s="12" t="n"/>
      <c r="R747" s="13">
        <f>IF(ISNUMBER(M747),ROUND(M747/(1-Settings!$B$2)/Settings!$B$3,0)*Settings!$B$3,"")</f>
        <v/>
      </c>
      <c r="S747" s="13">
        <f>IF(ISNUMBER(N747),ROUND(N747/(1-Settings!$B$2)/Settings!$B$3,0)*Settings!$B$3,"")</f>
        <v/>
      </c>
      <c r="T747" s="13">
        <f>IF(ISNUMBER(O747),ROUND(O747/(1-Settings!$B$2)/Settings!$B$3,0)*Settings!$B$3,"")</f>
        <v/>
      </c>
      <c r="U747" s="13">
        <f>IF(ISNUMBER(P747),ROUND(P747/(1-Settings!$B$2)/Settings!$B$3,0)*Settings!$B$3,"")</f>
        <v/>
      </c>
      <c r="V747" s="13">
        <f>IF(ISNUMBER(Q747),ROUND(Q747/(1-Settings!$B$2)/Settings!$B$3,0)*Settings!$B$3,"")</f>
        <v/>
      </c>
      <c r="W747" s="14" t="n">
        <v>3438</v>
      </c>
      <c r="X747" s="14" t="n">
        <v>7470</v>
      </c>
      <c r="Y747" s="11" t="inlineStr">
        <is>
          <t>2026</t>
        </is>
      </c>
      <c r="Z747" s="11" t="inlineStr">
        <is>
          <t>2026-06</t>
        </is>
      </c>
      <c r="AA747" s="8" t="inlineStr"/>
      <c r="AB747" s="8" t="inlineStr"/>
      <c r="AC747" s="11" t="inlineStr">
        <is>
          <t>Military - National Digital Inventory Master 6.3.26.xlsx</t>
        </is>
      </c>
      <c r="AD747" s="11" t="inlineStr">
        <is>
          <t>2020_Rate_Card_R.pdf</t>
        </is>
      </c>
      <c r="AE747" s="15" t="inlineStr">
        <is>
          <t>Open in Box</t>
        </is>
      </c>
      <c r="AF747" s="15" t="inlineStr">
        <is>
          <t>Open in Box</t>
        </is>
      </c>
    </row>
    <row r="748">
      <c r="A748" s="11" t="inlineStr">
        <is>
          <t>KS-FORTLEAV-008</t>
        </is>
      </c>
      <c r="B748" s="8" t="inlineStr">
        <is>
          <t>Fort Leavenworth</t>
        </is>
      </c>
      <c r="C748" s="11" t="inlineStr"/>
      <c r="D748" s="11" t="inlineStr">
        <is>
          <t>KS</t>
        </is>
      </c>
      <c r="E748" s="11" t="inlineStr">
        <is>
          <t>Kansas City</t>
        </is>
      </c>
      <c r="F748" s="11" t="inlineStr">
        <is>
          <t>66027</t>
        </is>
      </c>
      <c r="G748" s="11" t="inlineStr">
        <is>
          <t>Army</t>
        </is>
      </c>
      <c r="H748" s="11" t="inlineStr">
        <is>
          <t>Large Format</t>
        </is>
      </c>
      <c r="I748" s="8" t="inlineStr">
        <is>
          <t>Business Card Ad in Fort Leavenworth Lamp Publication</t>
        </is>
      </c>
      <c r="J748" s="11" t="inlineStr">
        <is>
          <t>558px x 315px</t>
        </is>
      </c>
      <c r="K748" s="8" t="inlineStr">
        <is>
          <t>Your ad will appear in the Fort Leavenworth Lamp publication. (Pricing per publication) - $75</t>
        </is>
      </c>
      <c r="L748" s="11" t="n">
        <v>1</v>
      </c>
      <c r="M748" s="12" t="n">
        <v>75</v>
      </c>
      <c r="N748" s="12" t="n"/>
      <c r="O748" s="12" t="n"/>
      <c r="P748" s="12" t="n"/>
      <c r="Q748" s="12" t="n"/>
      <c r="R748" s="13">
        <f>IF(ISNUMBER(M748),ROUND(M748/(1-Settings!$B$2)/Settings!$B$3,0)*Settings!$B$3,"")</f>
        <v/>
      </c>
      <c r="S748" s="13">
        <f>IF(ISNUMBER(N748),ROUND(N748/(1-Settings!$B$2)/Settings!$B$3,0)*Settings!$B$3,"")</f>
        <v/>
      </c>
      <c r="T748" s="13">
        <f>IF(ISNUMBER(O748),ROUND(O748/(1-Settings!$B$2)/Settings!$B$3,0)*Settings!$B$3,"")</f>
        <v/>
      </c>
      <c r="U748" s="13">
        <f>IF(ISNUMBER(P748),ROUND(P748/(1-Settings!$B$2)/Settings!$B$3,0)*Settings!$B$3,"")</f>
        <v/>
      </c>
      <c r="V748" s="13">
        <f>IF(ISNUMBER(Q748),ROUND(Q748/(1-Settings!$B$2)/Settings!$B$3,0)*Settings!$B$3,"")</f>
        <v/>
      </c>
      <c r="W748" s="14" t="n">
        <v>3438</v>
      </c>
      <c r="X748" s="14" t="n">
        <v>7470</v>
      </c>
      <c r="Y748" s="11" t="inlineStr"/>
      <c r="Z748" s="11" t="inlineStr"/>
      <c r="AA748" s="8" t="inlineStr"/>
      <c r="AB748" s="8" t="inlineStr"/>
      <c r="AC748" s="11" t="inlineStr">
        <is>
          <t>MasterMilitaryOnBaseList 12.2.25 NS.xlsx</t>
        </is>
      </c>
      <c r="AD748" s="11" t="inlineStr">
        <is>
          <t>2020_Rate_Card_R.pdf</t>
        </is>
      </c>
      <c r="AE748" s="15" t="inlineStr">
        <is>
          <t>Open in Box</t>
        </is>
      </c>
      <c r="AF748" s="15" t="inlineStr">
        <is>
          <t>Open in Box</t>
        </is>
      </c>
    </row>
    <row r="749">
      <c r="A749" s="11" t="inlineStr">
        <is>
          <t>KS-FORTLEAV-009</t>
        </is>
      </c>
      <c r="B749" s="8" t="inlineStr">
        <is>
          <t>Fort Leavenworth</t>
        </is>
      </c>
      <c r="C749" s="11" t="inlineStr"/>
      <c r="D749" s="11" t="inlineStr">
        <is>
          <t>KS</t>
        </is>
      </c>
      <c r="E749" s="11" t="inlineStr">
        <is>
          <t>Kansas City</t>
        </is>
      </c>
      <c r="F749" s="11" t="inlineStr">
        <is>
          <t>66027</t>
        </is>
      </c>
      <c r="G749" s="11" t="inlineStr">
        <is>
          <t>Army</t>
        </is>
      </c>
      <c r="H749" s="11" t="inlineStr">
        <is>
          <t>Large Format</t>
        </is>
      </c>
      <c r="I749" s="8" t="inlineStr">
        <is>
          <t>Large Banner</t>
        </is>
      </c>
      <c r="J749" s="11" t="inlineStr">
        <is>
          <t>4' x 8'</t>
        </is>
      </c>
      <c r="K749" s="8" t="inlineStr">
        <is>
          <t>Your ad will appear in an approved location on the installation.</t>
        </is>
      </c>
      <c r="L749" s="11" t="n">
        <v>3</v>
      </c>
      <c r="M749" s="12" t="n"/>
      <c r="N749" s="12" t="n">
        <v>500</v>
      </c>
      <c r="O749" s="12" t="n">
        <v>1000</v>
      </c>
      <c r="P749" s="12" t="n">
        <v>1500</v>
      </c>
      <c r="Q749" s="12" t="n">
        <v>200</v>
      </c>
      <c r="R749" s="13">
        <f>IF(ISNUMBER(M749),ROUND(M749/(1-Settings!$B$2)/Settings!$B$3,0)*Settings!$B$3,"")</f>
        <v/>
      </c>
      <c r="S749" s="13">
        <f>IF(ISNUMBER(N749),ROUND(N749/(1-Settings!$B$2)/Settings!$B$3,0)*Settings!$B$3,"")</f>
        <v/>
      </c>
      <c r="T749" s="13">
        <f>IF(ISNUMBER(O749),ROUND(O749/(1-Settings!$B$2)/Settings!$B$3,0)*Settings!$B$3,"")</f>
        <v/>
      </c>
      <c r="U749" s="13">
        <f>IF(ISNUMBER(P749),ROUND(P749/(1-Settings!$B$2)/Settings!$B$3,0)*Settings!$B$3,"")</f>
        <v/>
      </c>
      <c r="V749" s="13">
        <f>IF(ISNUMBER(Q749),ROUND(Q749/(1-Settings!$B$2)/Settings!$B$3,0)*Settings!$B$3,"")</f>
        <v/>
      </c>
      <c r="W749" s="14" t="n">
        <v>3438</v>
      </c>
      <c r="X749" s="14" t="n">
        <v>7470</v>
      </c>
      <c r="Y749" s="11" t="inlineStr"/>
      <c r="Z749" s="11" t="inlineStr"/>
      <c r="AA749" s="8" t="inlineStr"/>
      <c r="AB749" s="8" t="inlineStr"/>
      <c r="AC749" s="11" t="inlineStr">
        <is>
          <t>MasterMilitaryOnBaseList 12.2.25 NS.xlsx</t>
        </is>
      </c>
      <c r="AD749" s="11" t="inlineStr">
        <is>
          <t>2020_Rate_Card_R.pdf</t>
        </is>
      </c>
      <c r="AE749" s="15" t="inlineStr">
        <is>
          <t>Open in Box</t>
        </is>
      </c>
      <c r="AF749" s="15" t="inlineStr">
        <is>
          <t>Open in Box</t>
        </is>
      </c>
    </row>
    <row r="750">
      <c r="A750" s="11" t="inlineStr">
        <is>
          <t>KS-FORTLEAV-010</t>
        </is>
      </c>
      <c r="B750" s="8" t="inlineStr">
        <is>
          <t>Fort Leavenworth</t>
        </is>
      </c>
      <c r="C750" s="11" t="inlineStr"/>
      <c r="D750" s="11" t="inlineStr">
        <is>
          <t>KS</t>
        </is>
      </c>
      <c r="E750" s="11" t="inlineStr">
        <is>
          <t>Kansas City</t>
        </is>
      </c>
      <c r="F750" s="11" t="inlineStr">
        <is>
          <t>66027</t>
        </is>
      </c>
      <c r="G750" s="11" t="inlineStr">
        <is>
          <t>Army</t>
        </is>
      </c>
      <c r="H750" s="11" t="inlineStr">
        <is>
          <t>Print &amp; Publications</t>
        </is>
      </c>
      <c r="I750" s="8" t="inlineStr">
        <is>
          <t>1/2 Page Ad (Annual Welcome Guide)</t>
        </is>
      </c>
      <c r="J750" s="11" t="inlineStr">
        <is>
          <t>7.25” x 4.75”</t>
        </is>
      </c>
      <c r="K750" s="8" t="inlineStr">
        <is>
          <t>Your 1/2 ad will appear in the Fort Leavenworth Welcome Guide.</t>
        </is>
      </c>
      <c r="L750" s="11" t="n">
        <v>12</v>
      </c>
      <c r="M750" s="12" t="n"/>
      <c r="N750" s="12" t="n"/>
      <c r="O750" s="12" t="n"/>
      <c r="P750" s="12" t="n">
        <v>500</v>
      </c>
      <c r="Q750" s="12" t="n"/>
      <c r="R750" s="13">
        <f>IF(ISNUMBER(M750),ROUND(M750/(1-Settings!$B$2)/Settings!$B$3,0)*Settings!$B$3,"")</f>
        <v/>
      </c>
      <c r="S750" s="13">
        <f>IF(ISNUMBER(N750),ROUND(N750/(1-Settings!$B$2)/Settings!$B$3,0)*Settings!$B$3,"")</f>
        <v/>
      </c>
      <c r="T750" s="13">
        <f>IF(ISNUMBER(O750),ROUND(O750/(1-Settings!$B$2)/Settings!$B$3,0)*Settings!$B$3,"")</f>
        <v/>
      </c>
      <c r="U750" s="13">
        <f>IF(ISNUMBER(P750),ROUND(P750/(1-Settings!$B$2)/Settings!$B$3,0)*Settings!$B$3,"")</f>
        <v/>
      </c>
      <c r="V750" s="13">
        <f>IF(ISNUMBER(Q750),ROUND(Q750/(1-Settings!$B$2)/Settings!$B$3,0)*Settings!$B$3,"")</f>
        <v/>
      </c>
      <c r="W750" s="14" t="n">
        <v>3438</v>
      </c>
      <c r="X750" s="14" t="n">
        <v>7470</v>
      </c>
      <c r="Y750" s="11" t="inlineStr"/>
      <c r="Z750" s="11" t="inlineStr"/>
      <c r="AA750" s="8" t="inlineStr"/>
      <c r="AB750" s="8" t="inlineStr"/>
      <c r="AC750" s="11" t="inlineStr">
        <is>
          <t>MasterMilitaryOnBaseList 12.2.25 NS.xlsx</t>
        </is>
      </c>
      <c r="AD750" s="11" t="inlineStr">
        <is>
          <t>2020_Rate_Card_R.pdf</t>
        </is>
      </c>
      <c r="AE750" s="15" t="inlineStr">
        <is>
          <t>Open in Box</t>
        </is>
      </c>
      <c r="AF750" s="15" t="inlineStr">
        <is>
          <t>Open in Box</t>
        </is>
      </c>
    </row>
    <row r="751">
      <c r="A751" s="11" t="inlineStr">
        <is>
          <t>KS-FORTLEAV-011</t>
        </is>
      </c>
      <c r="B751" s="8" t="inlineStr">
        <is>
          <t>Fort Leavenworth</t>
        </is>
      </c>
      <c r="C751" s="11" t="inlineStr"/>
      <c r="D751" s="11" t="inlineStr">
        <is>
          <t>KS</t>
        </is>
      </c>
      <c r="E751" s="11" t="inlineStr">
        <is>
          <t>Kansas City</t>
        </is>
      </c>
      <c r="F751" s="11" t="inlineStr">
        <is>
          <t>66027</t>
        </is>
      </c>
      <c r="G751" s="11" t="inlineStr">
        <is>
          <t>Army</t>
        </is>
      </c>
      <c r="H751" s="11" t="inlineStr">
        <is>
          <t>Print &amp; Publications</t>
        </is>
      </c>
      <c r="I751" s="8" t="inlineStr">
        <is>
          <t>1/2 Page Ad in Fort Leavenworth Lamp Publication</t>
        </is>
      </c>
      <c r="J751" s="11" t="inlineStr">
        <is>
          <t>558px x 760px</t>
        </is>
      </c>
      <c r="K751" s="8" t="inlineStr">
        <is>
          <t>Your ad will appear in the Fort Leavenworth Lamp publication. (Pricing per publication) - $150</t>
        </is>
      </c>
      <c r="L751" s="11" t="n"/>
      <c r="M751" s="12" t="n"/>
      <c r="N751" s="12" t="n"/>
      <c r="O751" s="12" t="n"/>
      <c r="P751" s="12" t="n"/>
      <c r="Q751" s="12" t="n"/>
      <c r="R751" s="13">
        <f>IF(ISNUMBER(M751),ROUND(M751/(1-Settings!$B$2)/Settings!$B$3,0)*Settings!$B$3,"")</f>
        <v/>
      </c>
      <c r="S751" s="13">
        <f>IF(ISNUMBER(N751),ROUND(N751/(1-Settings!$B$2)/Settings!$B$3,0)*Settings!$B$3,"")</f>
        <v/>
      </c>
      <c r="T751" s="13">
        <f>IF(ISNUMBER(O751),ROUND(O751/(1-Settings!$B$2)/Settings!$B$3,0)*Settings!$B$3,"")</f>
        <v/>
      </c>
      <c r="U751" s="13">
        <f>IF(ISNUMBER(P751),ROUND(P751/(1-Settings!$B$2)/Settings!$B$3,0)*Settings!$B$3,"")</f>
        <v/>
      </c>
      <c r="V751" s="13">
        <f>IF(ISNUMBER(Q751),ROUND(Q751/(1-Settings!$B$2)/Settings!$B$3,0)*Settings!$B$3,"")</f>
        <v/>
      </c>
      <c r="W751" s="14" t="n">
        <v>3438</v>
      </c>
      <c r="X751" s="14" t="n">
        <v>7470</v>
      </c>
      <c r="Y751" s="11" t="inlineStr"/>
      <c r="Z751" s="11" t="inlineStr"/>
      <c r="AA751" s="8" t="inlineStr"/>
      <c r="AB751" s="16" t="inlineStr">
        <is>
          <t>No price on file - inquire</t>
        </is>
      </c>
      <c r="AC751" s="11" t="inlineStr">
        <is>
          <t>MasterMilitaryOnBaseList 12.2.25 NS.xlsx</t>
        </is>
      </c>
      <c r="AD751" s="11" t="inlineStr">
        <is>
          <t>2020_Rate_Card_R.pdf</t>
        </is>
      </c>
      <c r="AE751" s="15" t="inlineStr">
        <is>
          <t>Open in Box</t>
        </is>
      </c>
      <c r="AF751" s="15" t="inlineStr">
        <is>
          <t>Open in Box</t>
        </is>
      </c>
    </row>
    <row r="752">
      <c r="A752" s="11" t="inlineStr">
        <is>
          <t>KS-FORTLEAV-012</t>
        </is>
      </c>
      <c r="B752" s="8" t="inlineStr">
        <is>
          <t>Fort Leavenworth</t>
        </is>
      </c>
      <c r="C752" s="11" t="inlineStr"/>
      <c r="D752" s="11" t="inlineStr">
        <is>
          <t>KS</t>
        </is>
      </c>
      <c r="E752" s="11" t="inlineStr">
        <is>
          <t>Kansas City</t>
        </is>
      </c>
      <c r="F752" s="11" t="inlineStr">
        <is>
          <t>66027</t>
        </is>
      </c>
      <c r="G752" s="11" t="inlineStr">
        <is>
          <t>Army</t>
        </is>
      </c>
      <c r="H752" s="11" t="inlineStr">
        <is>
          <t>Print &amp; Publications</t>
        </is>
      </c>
      <c r="I752" s="8" t="inlineStr">
        <is>
          <t>1/4 Page Ad (Annual Welcome Guide)</t>
        </is>
      </c>
      <c r="J752" s="11" t="inlineStr">
        <is>
          <t>3.5” x 4.75”</t>
        </is>
      </c>
      <c r="K752" s="8" t="inlineStr">
        <is>
          <t>Your 1/4 page ad will appear in the Fort Leavenworth Welcome Guide.</t>
        </is>
      </c>
      <c r="L752" s="11" t="n">
        <v>12</v>
      </c>
      <c r="M752" s="12" t="n"/>
      <c r="N752" s="12" t="n"/>
      <c r="O752" s="12" t="n"/>
      <c r="P752" s="12" t="n">
        <v>350</v>
      </c>
      <c r="Q752" s="12" t="n"/>
      <c r="R752" s="13">
        <f>IF(ISNUMBER(M752),ROUND(M752/(1-Settings!$B$2)/Settings!$B$3,0)*Settings!$B$3,"")</f>
        <v/>
      </c>
      <c r="S752" s="13">
        <f>IF(ISNUMBER(N752),ROUND(N752/(1-Settings!$B$2)/Settings!$B$3,0)*Settings!$B$3,"")</f>
        <v/>
      </c>
      <c r="T752" s="13">
        <f>IF(ISNUMBER(O752),ROUND(O752/(1-Settings!$B$2)/Settings!$B$3,0)*Settings!$B$3,"")</f>
        <v/>
      </c>
      <c r="U752" s="13">
        <f>IF(ISNUMBER(P752),ROUND(P752/(1-Settings!$B$2)/Settings!$B$3,0)*Settings!$B$3,"")</f>
        <v/>
      </c>
      <c r="V752" s="13">
        <f>IF(ISNUMBER(Q752),ROUND(Q752/(1-Settings!$B$2)/Settings!$B$3,0)*Settings!$B$3,"")</f>
        <v/>
      </c>
      <c r="W752" s="14" t="n">
        <v>3438</v>
      </c>
      <c r="X752" s="14" t="n">
        <v>7470</v>
      </c>
      <c r="Y752" s="11" t="inlineStr"/>
      <c r="Z752" s="11" t="inlineStr"/>
      <c r="AA752" s="8" t="inlineStr"/>
      <c r="AB752" s="8" t="inlineStr"/>
      <c r="AC752" s="11" t="inlineStr">
        <is>
          <t>MasterMilitaryOnBaseList 12.2.25 NS.xlsx</t>
        </is>
      </c>
      <c r="AD752" s="11" t="inlineStr">
        <is>
          <t>2020_Rate_Card_R.pdf</t>
        </is>
      </c>
      <c r="AE752" s="15" t="inlineStr">
        <is>
          <t>Open in Box</t>
        </is>
      </c>
      <c r="AF752" s="15" t="inlineStr">
        <is>
          <t>Open in Box</t>
        </is>
      </c>
    </row>
    <row r="753">
      <c r="A753" s="11" t="inlineStr">
        <is>
          <t>KS-FORTLEAV-013</t>
        </is>
      </c>
      <c r="B753" s="8" t="inlineStr">
        <is>
          <t>Fort Leavenworth</t>
        </is>
      </c>
      <c r="C753" s="11" t="inlineStr"/>
      <c r="D753" s="11" t="inlineStr">
        <is>
          <t>KS</t>
        </is>
      </c>
      <c r="E753" s="11" t="inlineStr">
        <is>
          <t>Kansas City</t>
        </is>
      </c>
      <c r="F753" s="11" t="inlineStr">
        <is>
          <t>66027</t>
        </is>
      </c>
      <c r="G753" s="11" t="inlineStr">
        <is>
          <t>Army</t>
        </is>
      </c>
      <c r="H753" s="11" t="inlineStr">
        <is>
          <t>Print &amp; Publications</t>
        </is>
      </c>
      <c r="I753" s="8" t="inlineStr">
        <is>
          <t>Inside Back Cover Ad (Annual Welcome Guide)</t>
        </is>
      </c>
      <c r="J753" s="11" t="inlineStr">
        <is>
          <t>8” x 10.875” with .125” bleed)</t>
        </is>
      </c>
      <c r="K753" s="8" t="inlineStr">
        <is>
          <t>Your ad will appear on the inside back cover of the Fort Leavenworth Welcome Guide.</t>
        </is>
      </c>
      <c r="L753" s="11" t="n">
        <v>12</v>
      </c>
      <c r="M753" s="12" t="n"/>
      <c r="N753" s="12" t="n"/>
      <c r="O753" s="12" t="n"/>
      <c r="P753" s="12" t="n">
        <v>1250</v>
      </c>
      <c r="Q753" s="12" t="n"/>
      <c r="R753" s="13">
        <f>IF(ISNUMBER(M753),ROUND(M753/(1-Settings!$B$2)/Settings!$B$3,0)*Settings!$B$3,"")</f>
        <v/>
      </c>
      <c r="S753" s="13">
        <f>IF(ISNUMBER(N753),ROUND(N753/(1-Settings!$B$2)/Settings!$B$3,0)*Settings!$B$3,"")</f>
        <v/>
      </c>
      <c r="T753" s="13">
        <f>IF(ISNUMBER(O753),ROUND(O753/(1-Settings!$B$2)/Settings!$B$3,0)*Settings!$B$3,"")</f>
        <v/>
      </c>
      <c r="U753" s="13">
        <f>IF(ISNUMBER(P753),ROUND(P753/(1-Settings!$B$2)/Settings!$B$3,0)*Settings!$B$3,"")</f>
        <v/>
      </c>
      <c r="V753" s="13">
        <f>IF(ISNUMBER(Q753),ROUND(Q753/(1-Settings!$B$2)/Settings!$B$3,0)*Settings!$B$3,"")</f>
        <v/>
      </c>
      <c r="W753" s="14" t="n">
        <v>3438</v>
      </c>
      <c r="X753" s="14" t="n">
        <v>7470</v>
      </c>
      <c r="Y753" s="11" t="inlineStr"/>
      <c r="Z753" s="11" t="inlineStr"/>
      <c r="AA753" s="8" t="inlineStr"/>
      <c r="AB753" s="8" t="inlineStr"/>
      <c r="AC753" s="11" t="inlineStr">
        <is>
          <t>MasterMilitaryOnBaseList 12.2.25 NS.xlsx</t>
        </is>
      </c>
      <c r="AD753" s="11" t="inlineStr">
        <is>
          <t>2020_Rate_Card_R.pdf</t>
        </is>
      </c>
      <c r="AE753" s="15" t="inlineStr">
        <is>
          <t>Open in Box</t>
        </is>
      </c>
      <c r="AF753" s="15" t="inlineStr">
        <is>
          <t>Open in Box</t>
        </is>
      </c>
    </row>
    <row r="754">
      <c r="A754" s="11" t="inlineStr">
        <is>
          <t>KS-FORTLEAV-014</t>
        </is>
      </c>
      <c r="B754" s="8" t="inlineStr">
        <is>
          <t>Fort Leavenworth</t>
        </is>
      </c>
      <c r="C754" s="11" t="inlineStr"/>
      <c r="D754" s="11" t="inlineStr">
        <is>
          <t>KS</t>
        </is>
      </c>
      <c r="E754" s="11" t="inlineStr">
        <is>
          <t>Kansas City</t>
        </is>
      </c>
      <c r="F754" s="11" t="inlineStr">
        <is>
          <t>66027</t>
        </is>
      </c>
      <c r="G754" s="11" t="inlineStr">
        <is>
          <t>Army</t>
        </is>
      </c>
      <c r="H754" s="11" t="inlineStr">
        <is>
          <t>Print &amp; Publications</t>
        </is>
      </c>
      <c r="I754" s="8" t="inlineStr">
        <is>
          <t>Inside Front Cover Ad (Annual Welcome Guide)</t>
        </is>
      </c>
      <c r="J754" s="11" t="inlineStr">
        <is>
          <t>8” x 10.875” with .125” bleed)</t>
        </is>
      </c>
      <c r="K754" s="8" t="inlineStr">
        <is>
          <t>Your ad will appear on the inside cover of the Fort Leavenworth Welcome Guide.</t>
        </is>
      </c>
      <c r="L754" s="11" t="n">
        <v>12</v>
      </c>
      <c r="M754" s="12" t="n"/>
      <c r="N754" s="12" t="n"/>
      <c r="O754" s="12" t="n"/>
      <c r="P754" s="12" t="n">
        <v>1250</v>
      </c>
      <c r="Q754" s="12" t="n"/>
      <c r="R754" s="13">
        <f>IF(ISNUMBER(M754),ROUND(M754/(1-Settings!$B$2)/Settings!$B$3,0)*Settings!$B$3,"")</f>
        <v/>
      </c>
      <c r="S754" s="13">
        <f>IF(ISNUMBER(N754),ROUND(N754/(1-Settings!$B$2)/Settings!$B$3,0)*Settings!$B$3,"")</f>
        <v/>
      </c>
      <c r="T754" s="13">
        <f>IF(ISNUMBER(O754),ROUND(O754/(1-Settings!$B$2)/Settings!$B$3,0)*Settings!$B$3,"")</f>
        <v/>
      </c>
      <c r="U754" s="13">
        <f>IF(ISNUMBER(P754),ROUND(P754/(1-Settings!$B$2)/Settings!$B$3,0)*Settings!$B$3,"")</f>
        <v/>
      </c>
      <c r="V754" s="13">
        <f>IF(ISNUMBER(Q754),ROUND(Q754/(1-Settings!$B$2)/Settings!$B$3,0)*Settings!$B$3,"")</f>
        <v/>
      </c>
      <c r="W754" s="14" t="n">
        <v>3438</v>
      </c>
      <c r="X754" s="14" t="n">
        <v>7470</v>
      </c>
      <c r="Y754" s="11" t="inlineStr"/>
      <c r="Z754" s="11" t="inlineStr"/>
      <c r="AA754" s="8" t="inlineStr"/>
      <c r="AB754" s="8" t="inlineStr"/>
      <c r="AC754" s="11" t="inlineStr">
        <is>
          <t>MasterMilitaryOnBaseList 12.2.25 NS.xlsx</t>
        </is>
      </c>
      <c r="AD754" s="11" t="inlineStr">
        <is>
          <t>2020_Rate_Card_R.pdf</t>
        </is>
      </c>
      <c r="AE754" s="15" t="inlineStr">
        <is>
          <t>Open in Box</t>
        </is>
      </c>
      <c r="AF754" s="15" t="inlineStr">
        <is>
          <t>Open in Box</t>
        </is>
      </c>
    </row>
    <row r="755">
      <c r="A755" s="11" t="inlineStr">
        <is>
          <t>KS-FORTLEAV-015</t>
        </is>
      </c>
      <c r="B755" s="8" t="inlineStr">
        <is>
          <t>Fort Leavenworth</t>
        </is>
      </c>
      <c r="C755" s="11" t="inlineStr"/>
      <c r="D755" s="11" t="inlineStr">
        <is>
          <t>KS</t>
        </is>
      </c>
      <c r="E755" s="11" t="inlineStr">
        <is>
          <t>Kansas City</t>
        </is>
      </c>
      <c r="F755" s="11" t="inlineStr">
        <is>
          <t>66027</t>
        </is>
      </c>
      <c r="G755" s="11" t="inlineStr">
        <is>
          <t>Army</t>
        </is>
      </c>
      <c r="H755" s="11" t="inlineStr">
        <is>
          <t>Print &amp; Publications</t>
        </is>
      </c>
      <c r="I755" s="8" t="inlineStr">
        <is>
          <t>Interior Full Page Ad (Annual Welcome Guide)</t>
        </is>
      </c>
      <c r="J755" s="11" t="inlineStr">
        <is>
          <t>8” x 10.875” with .125” bleed)</t>
        </is>
      </c>
      <c r="K755" s="8" t="inlineStr">
        <is>
          <t>Your full page ad will appear in the Fort Leavenworth Welcome Guide.</t>
        </is>
      </c>
      <c r="L755" s="11" t="n">
        <v>12</v>
      </c>
      <c r="M755" s="12" t="n"/>
      <c r="N755" s="12" t="n"/>
      <c r="O755" s="12" t="n"/>
      <c r="P755" s="12" t="n">
        <v>750</v>
      </c>
      <c r="Q755" s="12" t="n"/>
      <c r="R755" s="13">
        <f>IF(ISNUMBER(M755),ROUND(M755/(1-Settings!$B$2)/Settings!$B$3,0)*Settings!$B$3,"")</f>
        <v/>
      </c>
      <c r="S755" s="13">
        <f>IF(ISNUMBER(N755),ROUND(N755/(1-Settings!$B$2)/Settings!$B$3,0)*Settings!$B$3,"")</f>
        <v/>
      </c>
      <c r="T755" s="13">
        <f>IF(ISNUMBER(O755),ROUND(O755/(1-Settings!$B$2)/Settings!$B$3,0)*Settings!$B$3,"")</f>
        <v/>
      </c>
      <c r="U755" s="13">
        <f>IF(ISNUMBER(P755),ROUND(P755/(1-Settings!$B$2)/Settings!$B$3,0)*Settings!$B$3,"")</f>
        <v/>
      </c>
      <c r="V755" s="13">
        <f>IF(ISNUMBER(Q755),ROUND(Q755/(1-Settings!$B$2)/Settings!$B$3,0)*Settings!$B$3,"")</f>
        <v/>
      </c>
      <c r="W755" s="14" t="n">
        <v>3438</v>
      </c>
      <c r="X755" s="14" t="n">
        <v>7470</v>
      </c>
      <c r="Y755" s="11" t="inlineStr"/>
      <c r="Z755" s="11" t="inlineStr"/>
      <c r="AA755" s="8" t="inlineStr"/>
      <c r="AB755" s="8" t="inlineStr"/>
      <c r="AC755" s="11" t="inlineStr">
        <is>
          <t>MasterMilitaryOnBaseList 12.2.25 NS.xlsx</t>
        </is>
      </c>
      <c r="AD755" s="11" t="inlineStr">
        <is>
          <t>2020_Rate_Card_R.pdf</t>
        </is>
      </c>
      <c r="AE755" s="15" t="inlineStr">
        <is>
          <t>Open in Box</t>
        </is>
      </c>
      <c r="AF755" s="15" t="inlineStr">
        <is>
          <t>Open in Box</t>
        </is>
      </c>
    </row>
    <row r="756">
      <c r="A756" s="11" t="inlineStr">
        <is>
          <t>KS-FORTLEAV-017</t>
        </is>
      </c>
      <c r="B756" s="8" t="inlineStr">
        <is>
          <t>Fort Leavenworth</t>
        </is>
      </c>
      <c r="C756" s="11" t="inlineStr"/>
      <c r="D756" s="11" t="inlineStr">
        <is>
          <t>KS</t>
        </is>
      </c>
      <c r="E756" s="11" t="inlineStr">
        <is>
          <t>Kansas City</t>
        </is>
      </c>
      <c r="F756" s="11" t="inlineStr">
        <is>
          <t>66027</t>
        </is>
      </c>
      <c r="G756" s="11" t="inlineStr">
        <is>
          <t>Army</t>
        </is>
      </c>
      <c r="H756" s="11" t="inlineStr">
        <is>
          <t>Sponsorship &amp; Other</t>
        </is>
      </c>
      <c r="I756" s="8" t="inlineStr">
        <is>
          <t>Driving Range Balls</t>
        </is>
      </c>
      <c r="J756" s="11" t="inlineStr"/>
      <c r="K756" s="8" t="inlineStr">
        <is>
          <t>Your ad will appear on golf balls on the driving range on the installation. ($2,000/500 balls)</t>
        </is>
      </c>
      <c r="L756" s="11" t="n"/>
      <c r="M756" s="12" t="n"/>
      <c r="N756" s="12" t="n"/>
      <c r="O756" s="12" t="n"/>
      <c r="P756" s="12" t="n"/>
      <c r="Q756" s="12" t="n"/>
      <c r="R756" s="13">
        <f>IF(ISNUMBER(M756),ROUND(M756/(1-Settings!$B$2)/Settings!$B$3,0)*Settings!$B$3,"")</f>
        <v/>
      </c>
      <c r="S756" s="13">
        <f>IF(ISNUMBER(N756),ROUND(N756/(1-Settings!$B$2)/Settings!$B$3,0)*Settings!$B$3,"")</f>
        <v/>
      </c>
      <c r="T756" s="13">
        <f>IF(ISNUMBER(O756),ROUND(O756/(1-Settings!$B$2)/Settings!$B$3,0)*Settings!$B$3,"")</f>
        <v/>
      </c>
      <c r="U756" s="13">
        <f>IF(ISNUMBER(P756),ROUND(P756/(1-Settings!$B$2)/Settings!$B$3,0)*Settings!$B$3,"")</f>
        <v/>
      </c>
      <c r="V756" s="13">
        <f>IF(ISNUMBER(Q756),ROUND(Q756/(1-Settings!$B$2)/Settings!$B$3,0)*Settings!$B$3,"")</f>
        <v/>
      </c>
      <c r="W756" s="14" t="n">
        <v>3438</v>
      </c>
      <c r="X756" s="14" t="n">
        <v>7470</v>
      </c>
      <c r="Y756" s="11" t="inlineStr"/>
      <c r="Z756" s="11" t="inlineStr"/>
      <c r="AA756" s="8" t="inlineStr"/>
      <c r="AB756" s="16" t="inlineStr">
        <is>
          <t>No price on file - inquire</t>
        </is>
      </c>
      <c r="AC756" s="11" t="inlineStr">
        <is>
          <t>MasterMilitaryOnBaseList 12.2.25 NS.xlsx</t>
        </is>
      </c>
      <c r="AD756" s="11" t="inlineStr">
        <is>
          <t>2020_Rate_Card_R.pdf</t>
        </is>
      </c>
      <c r="AE756" s="15" t="inlineStr">
        <is>
          <t>Open in Box</t>
        </is>
      </c>
      <c r="AF756" s="15" t="inlineStr">
        <is>
          <t>Open in Box</t>
        </is>
      </c>
    </row>
    <row r="757">
      <c r="A757" s="11" t="inlineStr">
        <is>
          <t>KS-FORTLEAV-018</t>
        </is>
      </c>
      <c r="B757" s="8" t="inlineStr">
        <is>
          <t>Fort Leavenworth</t>
        </is>
      </c>
      <c r="C757" s="11" t="inlineStr"/>
      <c r="D757" s="11" t="inlineStr">
        <is>
          <t>KS</t>
        </is>
      </c>
      <c r="E757" s="11" t="inlineStr">
        <is>
          <t>Kansas City</t>
        </is>
      </c>
      <c r="F757" s="11" t="inlineStr">
        <is>
          <t>66027</t>
        </is>
      </c>
      <c r="G757" s="11" t="inlineStr">
        <is>
          <t>Army</t>
        </is>
      </c>
      <c r="H757" s="11" t="inlineStr">
        <is>
          <t>Sponsorship &amp; Other</t>
        </is>
      </c>
      <c r="I757" s="8" t="inlineStr">
        <is>
          <t>Golf Hole Flags</t>
        </is>
      </c>
      <c r="J757" s="11" t="inlineStr"/>
      <c r="K757" s="8" t="inlineStr">
        <is>
          <t>Your ad will appear on a golf hole flag on the golf course on the installation.</t>
        </is>
      </c>
      <c r="L757" s="11" t="n">
        <v>12</v>
      </c>
      <c r="M757" s="12" t="n"/>
      <c r="N757" s="12" t="n"/>
      <c r="O757" s="12" t="n"/>
      <c r="P757" s="12" t="n">
        <v>1200</v>
      </c>
      <c r="Q757" s="12" t="n"/>
      <c r="R757" s="13">
        <f>IF(ISNUMBER(M757),ROUND(M757/(1-Settings!$B$2)/Settings!$B$3,0)*Settings!$B$3,"")</f>
        <v/>
      </c>
      <c r="S757" s="13">
        <f>IF(ISNUMBER(N757),ROUND(N757/(1-Settings!$B$2)/Settings!$B$3,0)*Settings!$B$3,"")</f>
        <v/>
      </c>
      <c r="T757" s="13">
        <f>IF(ISNUMBER(O757),ROUND(O757/(1-Settings!$B$2)/Settings!$B$3,0)*Settings!$B$3,"")</f>
        <v/>
      </c>
      <c r="U757" s="13">
        <f>IF(ISNUMBER(P757),ROUND(P757/(1-Settings!$B$2)/Settings!$B$3,0)*Settings!$B$3,"")</f>
        <v/>
      </c>
      <c r="V757" s="13">
        <f>IF(ISNUMBER(Q757),ROUND(Q757/(1-Settings!$B$2)/Settings!$B$3,0)*Settings!$B$3,"")</f>
        <v/>
      </c>
      <c r="W757" s="14" t="n">
        <v>3438</v>
      </c>
      <c r="X757" s="14" t="n">
        <v>7470</v>
      </c>
      <c r="Y757" s="11" t="inlineStr"/>
      <c r="Z757" s="11" t="inlineStr"/>
      <c r="AA757" s="8" t="inlineStr"/>
      <c r="AB757" s="8" t="inlineStr"/>
      <c r="AC757" s="11" t="inlineStr">
        <is>
          <t>MasterMilitaryOnBaseList 12.2.25 NS.xlsx</t>
        </is>
      </c>
      <c r="AD757" s="11" t="inlineStr">
        <is>
          <t>2020_Rate_Card_R.pdf</t>
        </is>
      </c>
      <c r="AE757" s="15" t="inlineStr">
        <is>
          <t>Open in Box</t>
        </is>
      </c>
      <c r="AF757" s="15" t="inlineStr">
        <is>
          <t>Open in Box</t>
        </is>
      </c>
    </row>
    <row r="758">
      <c r="A758" s="11" t="inlineStr">
        <is>
          <t>KS-FORTLEAV-019</t>
        </is>
      </c>
      <c r="B758" s="8" t="inlineStr">
        <is>
          <t>Fort Leavenworth</t>
        </is>
      </c>
      <c r="C758" s="11" t="inlineStr"/>
      <c r="D758" s="11" t="inlineStr">
        <is>
          <t>KS</t>
        </is>
      </c>
      <c r="E758" s="11" t="inlineStr">
        <is>
          <t>Kansas City</t>
        </is>
      </c>
      <c r="F758" s="11" t="inlineStr">
        <is>
          <t>66027</t>
        </is>
      </c>
      <c r="G758" s="11" t="inlineStr">
        <is>
          <t>Army</t>
        </is>
      </c>
      <c r="H758" s="11" t="inlineStr">
        <is>
          <t>Sponsorship &amp; Other</t>
        </is>
      </c>
      <c r="I758" s="8" t="inlineStr">
        <is>
          <t>Golf Hole Sponsor</t>
        </is>
      </c>
      <c r="J758" s="11" t="inlineStr"/>
      <c r="K758" s="8" t="inlineStr">
        <is>
          <t>Your ad will appear at a golf hole on the golf course on the installation.</t>
        </is>
      </c>
      <c r="L758" s="11" t="n">
        <v>12</v>
      </c>
      <c r="M758" s="12" t="n"/>
      <c r="N758" s="12" t="n"/>
      <c r="O758" s="12" t="n"/>
      <c r="P758" s="12" t="n">
        <v>1500</v>
      </c>
      <c r="Q758" s="12" t="n"/>
      <c r="R758" s="13">
        <f>IF(ISNUMBER(M758),ROUND(M758/(1-Settings!$B$2)/Settings!$B$3,0)*Settings!$B$3,"")</f>
        <v/>
      </c>
      <c r="S758" s="13">
        <f>IF(ISNUMBER(N758),ROUND(N758/(1-Settings!$B$2)/Settings!$B$3,0)*Settings!$B$3,"")</f>
        <v/>
      </c>
      <c r="T758" s="13">
        <f>IF(ISNUMBER(O758),ROUND(O758/(1-Settings!$B$2)/Settings!$B$3,0)*Settings!$B$3,"")</f>
        <v/>
      </c>
      <c r="U758" s="13">
        <f>IF(ISNUMBER(P758),ROUND(P758/(1-Settings!$B$2)/Settings!$B$3,0)*Settings!$B$3,"")</f>
        <v/>
      </c>
      <c r="V758" s="13">
        <f>IF(ISNUMBER(Q758),ROUND(Q758/(1-Settings!$B$2)/Settings!$B$3,0)*Settings!$B$3,"")</f>
        <v/>
      </c>
      <c r="W758" s="14" t="n">
        <v>3438</v>
      </c>
      <c r="X758" s="14" t="n">
        <v>7470</v>
      </c>
      <c r="Y758" s="11" t="inlineStr"/>
      <c r="Z758" s="11" t="inlineStr"/>
      <c r="AA758" s="8" t="inlineStr"/>
      <c r="AB758" s="8" t="inlineStr"/>
      <c r="AC758" s="11" t="inlineStr">
        <is>
          <t>MasterMilitaryOnBaseList 12.2.25 NS.xlsx</t>
        </is>
      </c>
      <c r="AD758" s="11" t="inlineStr">
        <is>
          <t>2020_Rate_Card_R.pdf</t>
        </is>
      </c>
      <c r="AE758" s="15" t="inlineStr">
        <is>
          <t>Open in Box</t>
        </is>
      </c>
      <c r="AF758" s="15" t="inlineStr">
        <is>
          <t>Open in Box</t>
        </is>
      </c>
    </row>
    <row r="759">
      <c r="A759" s="11" t="inlineStr">
        <is>
          <t>KS-FORTLEAV-020</t>
        </is>
      </c>
      <c r="B759" s="8" t="inlineStr">
        <is>
          <t>Fort Leavenworth</t>
        </is>
      </c>
      <c r="C759" s="11" t="inlineStr"/>
      <c r="D759" s="11" t="inlineStr">
        <is>
          <t>KS</t>
        </is>
      </c>
      <c r="E759" s="11" t="inlineStr">
        <is>
          <t>Kansas City</t>
        </is>
      </c>
      <c r="F759" s="11" t="inlineStr">
        <is>
          <t>66027</t>
        </is>
      </c>
      <c r="G759" s="11" t="inlineStr">
        <is>
          <t>Army</t>
        </is>
      </c>
      <c r="H759" s="11" t="inlineStr">
        <is>
          <t>Sponsorship &amp; Other</t>
        </is>
      </c>
      <c r="I759" s="8" t="inlineStr">
        <is>
          <t>T-Shirt Logo Placement (Bronze)</t>
        </is>
      </c>
      <c r="J759" s="11" t="inlineStr">
        <is>
          <t>TBD</t>
        </is>
      </c>
      <c r="K759" s="8" t="inlineStr">
        <is>
          <t>Your ad will appear on the back of a-shirt handed out at Fort Leavenworth events.</t>
        </is>
      </c>
      <c r="L759" s="11" t="n">
        <v>12</v>
      </c>
      <c r="M759" s="12" t="n"/>
      <c r="N759" s="12" t="n"/>
      <c r="O759" s="12" t="n"/>
      <c r="P759" s="12" t="n">
        <v>50</v>
      </c>
      <c r="Q759" s="12" t="n"/>
      <c r="R759" s="13">
        <f>IF(ISNUMBER(M759),ROUND(M759/(1-Settings!$B$2)/Settings!$B$3,0)*Settings!$B$3,"")</f>
        <v/>
      </c>
      <c r="S759" s="13">
        <f>IF(ISNUMBER(N759),ROUND(N759/(1-Settings!$B$2)/Settings!$B$3,0)*Settings!$B$3,"")</f>
        <v/>
      </c>
      <c r="T759" s="13">
        <f>IF(ISNUMBER(O759),ROUND(O759/(1-Settings!$B$2)/Settings!$B$3,0)*Settings!$B$3,"")</f>
        <v/>
      </c>
      <c r="U759" s="13">
        <f>IF(ISNUMBER(P759),ROUND(P759/(1-Settings!$B$2)/Settings!$B$3,0)*Settings!$B$3,"")</f>
        <v/>
      </c>
      <c r="V759" s="13">
        <f>IF(ISNUMBER(Q759),ROUND(Q759/(1-Settings!$B$2)/Settings!$B$3,0)*Settings!$B$3,"")</f>
        <v/>
      </c>
      <c r="W759" s="14" t="n">
        <v>3438</v>
      </c>
      <c r="X759" s="14" t="n">
        <v>7470</v>
      </c>
      <c r="Y759" s="11" t="inlineStr"/>
      <c r="Z759" s="11" t="inlineStr"/>
      <c r="AA759" s="8" t="inlineStr"/>
      <c r="AB759" s="8" t="inlineStr"/>
      <c r="AC759" s="11" t="inlineStr">
        <is>
          <t>MasterMilitaryOnBaseList 12.2.25 NS.xlsx</t>
        </is>
      </c>
      <c r="AD759" s="11" t="inlineStr">
        <is>
          <t>2020_Rate_Card_R.pdf</t>
        </is>
      </c>
      <c r="AE759" s="15" t="inlineStr">
        <is>
          <t>Open in Box</t>
        </is>
      </c>
      <c r="AF759" s="15" t="inlineStr">
        <is>
          <t>Open in Box</t>
        </is>
      </c>
    </row>
    <row r="760">
      <c r="A760" s="11" t="inlineStr">
        <is>
          <t>KS-FORTLEAV-021</t>
        </is>
      </c>
      <c r="B760" s="8" t="inlineStr">
        <is>
          <t>Fort Leavenworth</t>
        </is>
      </c>
      <c r="C760" s="11" t="inlineStr"/>
      <c r="D760" s="11" t="inlineStr">
        <is>
          <t>KS</t>
        </is>
      </c>
      <c r="E760" s="11" t="inlineStr">
        <is>
          <t>Kansas City</t>
        </is>
      </c>
      <c r="F760" s="11" t="inlineStr">
        <is>
          <t>66027</t>
        </is>
      </c>
      <c r="G760" s="11" t="inlineStr">
        <is>
          <t>Army</t>
        </is>
      </c>
      <c r="H760" s="11" t="inlineStr">
        <is>
          <t>Sponsorship &amp; Other</t>
        </is>
      </c>
      <c r="I760" s="8" t="inlineStr">
        <is>
          <t>T-Shirt Logo Placement (Gold)</t>
        </is>
      </c>
      <c r="J760" s="11" t="inlineStr">
        <is>
          <t>TBD</t>
        </is>
      </c>
      <c r="K760" s="8" t="inlineStr">
        <is>
          <t>Your ad will appear on the back of a-shirt handed out at Fort Leavenworth events.</t>
        </is>
      </c>
      <c r="L760" s="11" t="n">
        <v>12</v>
      </c>
      <c r="M760" s="12" t="n"/>
      <c r="N760" s="12" t="n"/>
      <c r="O760" s="12" t="n"/>
      <c r="P760" s="12" t="n">
        <v>200</v>
      </c>
      <c r="Q760" s="12" t="n"/>
      <c r="R760" s="13">
        <f>IF(ISNUMBER(M760),ROUND(M760/(1-Settings!$B$2)/Settings!$B$3,0)*Settings!$B$3,"")</f>
        <v/>
      </c>
      <c r="S760" s="13">
        <f>IF(ISNUMBER(N760),ROUND(N760/(1-Settings!$B$2)/Settings!$B$3,0)*Settings!$B$3,"")</f>
        <v/>
      </c>
      <c r="T760" s="13">
        <f>IF(ISNUMBER(O760),ROUND(O760/(1-Settings!$B$2)/Settings!$B$3,0)*Settings!$B$3,"")</f>
        <v/>
      </c>
      <c r="U760" s="13">
        <f>IF(ISNUMBER(P760),ROUND(P760/(1-Settings!$B$2)/Settings!$B$3,0)*Settings!$B$3,"")</f>
        <v/>
      </c>
      <c r="V760" s="13">
        <f>IF(ISNUMBER(Q760),ROUND(Q760/(1-Settings!$B$2)/Settings!$B$3,0)*Settings!$B$3,"")</f>
        <v/>
      </c>
      <c r="W760" s="14" t="n">
        <v>3438</v>
      </c>
      <c r="X760" s="14" t="n">
        <v>7470</v>
      </c>
      <c r="Y760" s="11" t="inlineStr"/>
      <c r="Z760" s="11" t="inlineStr"/>
      <c r="AA760" s="8" t="inlineStr"/>
      <c r="AB760" s="8" t="inlineStr"/>
      <c r="AC760" s="11" t="inlineStr">
        <is>
          <t>MasterMilitaryOnBaseList 12.2.25 NS.xlsx</t>
        </is>
      </c>
      <c r="AD760" s="11" t="inlineStr">
        <is>
          <t>2020_Rate_Card_R.pdf</t>
        </is>
      </c>
      <c r="AE760" s="15" t="inlineStr">
        <is>
          <t>Open in Box</t>
        </is>
      </c>
      <c r="AF760" s="15" t="inlineStr">
        <is>
          <t>Open in Box</t>
        </is>
      </c>
    </row>
    <row r="761">
      <c r="A761" s="11" t="inlineStr">
        <is>
          <t>KS-FORTLEAV-022</t>
        </is>
      </c>
      <c r="B761" s="8" t="inlineStr">
        <is>
          <t>Fort Leavenworth</t>
        </is>
      </c>
      <c r="C761" s="11" t="inlineStr"/>
      <c r="D761" s="11" t="inlineStr">
        <is>
          <t>KS</t>
        </is>
      </c>
      <c r="E761" s="11" t="inlineStr">
        <is>
          <t>Kansas City</t>
        </is>
      </c>
      <c r="F761" s="11" t="inlineStr">
        <is>
          <t>66027</t>
        </is>
      </c>
      <c r="G761" s="11" t="inlineStr">
        <is>
          <t>Army</t>
        </is>
      </c>
      <c r="H761" s="11" t="inlineStr">
        <is>
          <t>Sponsorship &amp; Other</t>
        </is>
      </c>
      <c r="I761" s="8" t="inlineStr">
        <is>
          <t>T-Shirt Logo Placement (Platinum)</t>
        </is>
      </c>
      <c r="J761" s="11" t="inlineStr">
        <is>
          <t>TBD</t>
        </is>
      </c>
      <c r="K761" s="8" t="inlineStr">
        <is>
          <t>Your ad will appear on the back of a-shirt handed out at Fort Leavenworth events.</t>
        </is>
      </c>
      <c r="L761" s="11" t="n">
        <v>12</v>
      </c>
      <c r="M761" s="12" t="n"/>
      <c r="N761" s="12" t="n"/>
      <c r="O761" s="12" t="n"/>
      <c r="P761" s="12" t="n">
        <v>750</v>
      </c>
      <c r="Q761" s="12" t="n"/>
      <c r="R761" s="13">
        <f>IF(ISNUMBER(M761),ROUND(M761/(1-Settings!$B$2)/Settings!$B$3,0)*Settings!$B$3,"")</f>
        <v/>
      </c>
      <c r="S761" s="13">
        <f>IF(ISNUMBER(N761),ROUND(N761/(1-Settings!$B$2)/Settings!$B$3,0)*Settings!$B$3,"")</f>
        <v/>
      </c>
      <c r="T761" s="13">
        <f>IF(ISNUMBER(O761),ROUND(O761/(1-Settings!$B$2)/Settings!$B$3,0)*Settings!$B$3,"")</f>
        <v/>
      </c>
      <c r="U761" s="13">
        <f>IF(ISNUMBER(P761),ROUND(P761/(1-Settings!$B$2)/Settings!$B$3,0)*Settings!$B$3,"")</f>
        <v/>
      </c>
      <c r="V761" s="13">
        <f>IF(ISNUMBER(Q761),ROUND(Q761/(1-Settings!$B$2)/Settings!$B$3,0)*Settings!$B$3,"")</f>
        <v/>
      </c>
      <c r="W761" s="14" t="n">
        <v>3438</v>
      </c>
      <c r="X761" s="14" t="n">
        <v>7470</v>
      </c>
      <c r="Y761" s="11" t="inlineStr"/>
      <c r="Z761" s="11" t="inlineStr"/>
      <c r="AA761" s="8" t="inlineStr"/>
      <c r="AB761" s="8" t="inlineStr"/>
      <c r="AC761" s="11" t="inlineStr">
        <is>
          <t>MasterMilitaryOnBaseList 12.2.25 NS.xlsx</t>
        </is>
      </c>
      <c r="AD761" s="11" t="inlineStr">
        <is>
          <t>2020_Rate_Card_R.pdf</t>
        </is>
      </c>
      <c r="AE761" s="15" t="inlineStr">
        <is>
          <t>Open in Box</t>
        </is>
      </c>
      <c r="AF761" s="15" t="inlineStr">
        <is>
          <t>Open in Box</t>
        </is>
      </c>
    </row>
    <row r="762">
      <c r="A762" s="11" t="inlineStr">
        <is>
          <t>KS-FORTLEAV-023</t>
        </is>
      </c>
      <c r="B762" s="8" t="inlineStr">
        <is>
          <t>Fort Leavenworth</t>
        </is>
      </c>
      <c r="C762" s="11" t="inlineStr"/>
      <c r="D762" s="11" t="inlineStr">
        <is>
          <t>KS</t>
        </is>
      </c>
      <c r="E762" s="11" t="inlineStr">
        <is>
          <t>Kansas City</t>
        </is>
      </c>
      <c r="F762" s="11" t="inlineStr">
        <is>
          <t>66027</t>
        </is>
      </c>
      <c r="G762" s="11" t="inlineStr">
        <is>
          <t>Army</t>
        </is>
      </c>
      <c r="H762" s="11" t="inlineStr">
        <is>
          <t>Sponsorship &amp; Other</t>
        </is>
      </c>
      <c r="I762" s="8" t="inlineStr">
        <is>
          <t>T-Shirt Logo Placement (Silver)</t>
        </is>
      </c>
      <c r="J762" s="11" t="inlineStr">
        <is>
          <t>TBD</t>
        </is>
      </c>
      <c r="K762" s="8" t="inlineStr">
        <is>
          <t>Your ad will appear on the back of a-shirt handed out at Fort Leavenworth events.</t>
        </is>
      </c>
      <c r="L762" s="11" t="n">
        <v>12</v>
      </c>
      <c r="M762" s="12" t="n"/>
      <c r="N762" s="12" t="n"/>
      <c r="O762" s="12" t="n"/>
      <c r="P762" s="12" t="n">
        <v>100</v>
      </c>
      <c r="Q762" s="12" t="n"/>
      <c r="R762" s="13">
        <f>IF(ISNUMBER(M762),ROUND(M762/(1-Settings!$B$2)/Settings!$B$3,0)*Settings!$B$3,"")</f>
        <v/>
      </c>
      <c r="S762" s="13">
        <f>IF(ISNUMBER(N762),ROUND(N762/(1-Settings!$B$2)/Settings!$B$3,0)*Settings!$B$3,"")</f>
        <v/>
      </c>
      <c r="T762" s="13">
        <f>IF(ISNUMBER(O762),ROUND(O762/(1-Settings!$B$2)/Settings!$B$3,0)*Settings!$B$3,"")</f>
        <v/>
      </c>
      <c r="U762" s="13">
        <f>IF(ISNUMBER(P762),ROUND(P762/(1-Settings!$B$2)/Settings!$B$3,0)*Settings!$B$3,"")</f>
        <v/>
      </c>
      <c r="V762" s="13">
        <f>IF(ISNUMBER(Q762),ROUND(Q762/(1-Settings!$B$2)/Settings!$B$3,0)*Settings!$B$3,"")</f>
        <v/>
      </c>
      <c r="W762" s="14" t="n">
        <v>3438</v>
      </c>
      <c r="X762" s="14" t="n">
        <v>7470</v>
      </c>
      <c r="Y762" s="11" t="inlineStr"/>
      <c r="Z762" s="11" t="inlineStr"/>
      <c r="AA762" s="8" t="inlineStr"/>
      <c r="AB762" s="8" t="inlineStr"/>
      <c r="AC762" s="11" t="inlineStr">
        <is>
          <t>MasterMilitaryOnBaseList 12.2.25 NS.xlsx</t>
        </is>
      </c>
      <c r="AD762" s="11" t="inlineStr">
        <is>
          <t>2020_Rate_Card_R.pdf</t>
        </is>
      </c>
      <c r="AE762" s="15" t="inlineStr">
        <is>
          <t>Open in Box</t>
        </is>
      </c>
      <c r="AF762" s="15" t="inlineStr">
        <is>
          <t>Open in Box</t>
        </is>
      </c>
    </row>
    <row r="763">
      <c r="A763" s="11" t="inlineStr">
        <is>
          <t>KS-FORTLEAV-005</t>
        </is>
      </c>
      <c r="B763" s="8" t="inlineStr">
        <is>
          <t>Fort Leavenworth</t>
        </is>
      </c>
      <c r="C763" s="11" t="inlineStr"/>
      <c r="D763" s="11" t="inlineStr">
        <is>
          <t>KS</t>
        </is>
      </c>
      <c r="E763" s="11" t="inlineStr">
        <is>
          <t>Kansas City</t>
        </is>
      </c>
      <c r="F763" s="11" t="inlineStr">
        <is>
          <t>66027</t>
        </is>
      </c>
      <c r="G763" s="11" t="inlineStr">
        <is>
          <t>Army</t>
        </is>
      </c>
      <c r="H763" s="11" t="inlineStr">
        <is>
          <t>Standard Media</t>
        </is>
      </c>
      <c r="I763" s="8" t="inlineStr">
        <is>
          <t>Banner</t>
        </is>
      </c>
      <c r="J763" s="11" t="inlineStr">
        <is>
          <t>3' x 6'</t>
        </is>
      </c>
      <c r="K763" s="8" t="inlineStr">
        <is>
          <t>Your ad will appear in an approved location on the installation.</t>
        </is>
      </c>
      <c r="L763" s="11" t="n">
        <v>3</v>
      </c>
      <c r="M763" s="12" t="n"/>
      <c r="N763" s="12" t="n">
        <v>450</v>
      </c>
      <c r="O763" s="12" t="n">
        <v>900</v>
      </c>
      <c r="P763" s="12" t="n">
        <v>1800</v>
      </c>
      <c r="Q763" s="12" t="n">
        <v>200</v>
      </c>
      <c r="R763" s="13">
        <f>IF(ISNUMBER(M763),ROUND(M763/(1-Settings!$B$2)/Settings!$B$3,0)*Settings!$B$3,"")</f>
        <v/>
      </c>
      <c r="S763" s="13">
        <f>IF(ISNUMBER(N763),ROUND(N763/(1-Settings!$B$2)/Settings!$B$3,0)*Settings!$B$3,"")</f>
        <v/>
      </c>
      <c r="T763" s="13">
        <f>IF(ISNUMBER(O763),ROUND(O763/(1-Settings!$B$2)/Settings!$B$3,0)*Settings!$B$3,"")</f>
        <v/>
      </c>
      <c r="U763" s="13">
        <f>IF(ISNUMBER(P763),ROUND(P763/(1-Settings!$B$2)/Settings!$B$3,0)*Settings!$B$3,"")</f>
        <v/>
      </c>
      <c r="V763" s="13">
        <f>IF(ISNUMBER(Q763),ROUND(Q763/(1-Settings!$B$2)/Settings!$B$3,0)*Settings!$B$3,"")</f>
        <v/>
      </c>
      <c r="W763" s="14" t="n">
        <v>3438</v>
      </c>
      <c r="X763" s="14" t="n">
        <v>7470</v>
      </c>
      <c r="Y763" s="11" t="inlineStr"/>
      <c r="Z763" s="11" t="inlineStr"/>
      <c r="AA763" s="8" t="inlineStr"/>
      <c r="AB763" s="8" t="inlineStr"/>
      <c r="AC763" s="11" t="inlineStr">
        <is>
          <t>MasterMilitaryOnBaseList 12.2.25 NS.xlsx</t>
        </is>
      </c>
      <c r="AD763" s="11" t="inlineStr">
        <is>
          <t>2020_Rate_Card_R.pdf</t>
        </is>
      </c>
      <c r="AE763" s="15" t="inlineStr">
        <is>
          <t>Open in Box</t>
        </is>
      </c>
      <c r="AF763" s="15" t="inlineStr">
        <is>
          <t>Open in Box</t>
        </is>
      </c>
    </row>
    <row r="764">
      <c r="A764" s="11" t="inlineStr">
        <is>
          <t>KS-FORTLEAV-006</t>
        </is>
      </c>
      <c r="B764" s="8" t="inlineStr">
        <is>
          <t>Fort Leavenworth</t>
        </is>
      </c>
      <c r="C764" s="11" t="inlineStr"/>
      <c r="D764" s="11" t="inlineStr">
        <is>
          <t>KS</t>
        </is>
      </c>
      <c r="E764" s="11" t="inlineStr">
        <is>
          <t>Kansas City</t>
        </is>
      </c>
      <c r="F764" s="11" t="inlineStr">
        <is>
          <t>66027</t>
        </is>
      </c>
      <c r="G764" s="11" t="inlineStr">
        <is>
          <t>Army</t>
        </is>
      </c>
      <c r="H764" s="11" t="inlineStr">
        <is>
          <t>Standard Media</t>
        </is>
      </c>
      <c r="I764" s="8" t="inlineStr">
        <is>
          <t>Driving Range Golf Tees</t>
        </is>
      </c>
      <c r="J764" s="11" t="inlineStr"/>
      <c r="K764" s="8" t="inlineStr">
        <is>
          <t>Your ad will appear on golf tees on the driving range on the installation. ($1,200/4,000 tees)</t>
        </is>
      </c>
      <c r="L764" s="11" t="n"/>
      <c r="M764" s="12" t="n"/>
      <c r="N764" s="12" t="n"/>
      <c r="O764" s="12" t="n"/>
      <c r="P764" s="12" t="n"/>
      <c r="Q764" s="12" t="n"/>
      <c r="R764" s="13">
        <f>IF(ISNUMBER(M764),ROUND(M764/(1-Settings!$B$2)/Settings!$B$3,0)*Settings!$B$3,"")</f>
        <v/>
      </c>
      <c r="S764" s="13">
        <f>IF(ISNUMBER(N764),ROUND(N764/(1-Settings!$B$2)/Settings!$B$3,0)*Settings!$B$3,"")</f>
        <v/>
      </c>
      <c r="T764" s="13">
        <f>IF(ISNUMBER(O764),ROUND(O764/(1-Settings!$B$2)/Settings!$B$3,0)*Settings!$B$3,"")</f>
        <v/>
      </c>
      <c r="U764" s="13">
        <f>IF(ISNUMBER(P764),ROUND(P764/(1-Settings!$B$2)/Settings!$B$3,0)*Settings!$B$3,"")</f>
        <v/>
      </c>
      <c r="V764" s="13">
        <f>IF(ISNUMBER(Q764),ROUND(Q764/(1-Settings!$B$2)/Settings!$B$3,0)*Settings!$B$3,"")</f>
        <v/>
      </c>
      <c r="W764" s="14" t="n">
        <v>3438</v>
      </c>
      <c r="X764" s="14" t="n">
        <v>7470</v>
      </c>
      <c r="Y764" s="11" t="inlineStr"/>
      <c r="Z764" s="11" t="inlineStr"/>
      <c r="AA764" s="8" t="inlineStr"/>
      <c r="AB764" s="16" t="inlineStr">
        <is>
          <t>No price on file - inquire</t>
        </is>
      </c>
      <c r="AC764" s="11" t="inlineStr">
        <is>
          <t>MasterMilitaryOnBaseList 12.2.25 NS.xlsx</t>
        </is>
      </c>
      <c r="AD764" s="11" t="inlineStr">
        <is>
          <t>2020_Rate_Card_R.pdf</t>
        </is>
      </c>
      <c r="AE764" s="15" t="inlineStr">
        <is>
          <t>Open in Box</t>
        </is>
      </c>
      <c r="AF764" s="15" t="inlineStr">
        <is>
          <t>Open in Box</t>
        </is>
      </c>
    </row>
    <row r="765">
      <c r="A765" s="11" t="inlineStr">
        <is>
          <t>KS-FORTLEAV-007</t>
        </is>
      </c>
      <c r="B765" s="8" t="inlineStr">
        <is>
          <t>Fort Leavenworth</t>
        </is>
      </c>
      <c r="C765" s="11" t="inlineStr"/>
      <c r="D765" s="11" t="inlineStr">
        <is>
          <t>KS</t>
        </is>
      </c>
      <c r="E765" s="11" t="inlineStr">
        <is>
          <t>Kansas City</t>
        </is>
      </c>
      <c r="F765" s="11" t="inlineStr">
        <is>
          <t>66027</t>
        </is>
      </c>
      <c r="G765" s="11" t="inlineStr">
        <is>
          <t>Army</t>
        </is>
      </c>
      <c r="H765" s="11" t="inlineStr">
        <is>
          <t>Standard Media</t>
        </is>
      </c>
      <c r="I765" s="8" t="inlineStr">
        <is>
          <t>Golf Range Yardage Sign</t>
        </is>
      </c>
      <c r="J765" s="11" t="inlineStr"/>
      <c r="K765" s="8" t="inlineStr">
        <is>
          <t>Your ad will appear on a golf course yardage sign on the installation.</t>
        </is>
      </c>
      <c r="L765" s="11" t="n">
        <v>12</v>
      </c>
      <c r="M765" s="12" t="n"/>
      <c r="N765" s="12" t="n"/>
      <c r="O765" s="12" t="n"/>
      <c r="P765" s="12" t="n">
        <v>750</v>
      </c>
      <c r="Q765" s="12" t="n"/>
      <c r="R765" s="13">
        <f>IF(ISNUMBER(M765),ROUND(M765/(1-Settings!$B$2)/Settings!$B$3,0)*Settings!$B$3,"")</f>
        <v/>
      </c>
      <c r="S765" s="13">
        <f>IF(ISNUMBER(N765),ROUND(N765/(1-Settings!$B$2)/Settings!$B$3,0)*Settings!$B$3,"")</f>
        <v/>
      </c>
      <c r="T765" s="13">
        <f>IF(ISNUMBER(O765),ROUND(O765/(1-Settings!$B$2)/Settings!$B$3,0)*Settings!$B$3,"")</f>
        <v/>
      </c>
      <c r="U765" s="13">
        <f>IF(ISNUMBER(P765),ROUND(P765/(1-Settings!$B$2)/Settings!$B$3,0)*Settings!$B$3,"")</f>
        <v/>
      </c>
      <c r="V765" s="13">
        <f>IF(ISNUMBER(Q765),ROUND(Q765/(1-Settings!$B$2)/Settings!$B$3,0)*Settings!$B$3,"")</f>
        <v/>
      </c>
      <c r="W765" s="14" t="n">
        <v>3438</v>
      </c>
      <c r="X765" s="14" t="n">
        <v>7470</v>
      </c>
      <c r="Y765" s="11" t="inlineStr"/>
      <c r="Z765" s="11" t="inlineStr"/>
      <c r="AA765" s="8" t="inlineStr"/>
      <c r="AB765" s="8" t="inlineStr"/>
      <c r="AC765" s="11" t="inlineStr">
        <is>
          <t>MasterMilitaryOnBaseList 12.2.25 NS.xlsx</t>
        </is>
      </c>
      <c r="AD765" s="11" t="inlineStr">
        <is>
          <t>2020_Rate_Card_R.pdf</t>
        </is>
      </c>
      <c r="AE765" s="15" t="inlineStr">
        <is>
          <t>Open in Box</t>
        </is>
      </c>
      <c r="AF765" s="15" t="inlineStr">
        <is>
          <t>Open in Box</t>
        </is>
      </c>
    </row>
    <row r="766">
      <c r="A766" s="11" t="inlineStr">
        <is>
          <t>KS-FORTLEAV-016</t>
        </is>
      </c>
      <c r="B766" s="8" t="inlineStr">
        <is>
          <t>Fort Leavenworth</t>
        </is>
      </c>
      <c r="C766" s="11" t="inlineStr"/>
      <c r="D766" s="11" t="inlineStr">
        <is>
          <t>KS</t>
        </is>
      </c>
      <c r="E766" s="11" t="inlineStr">
        <is>
          <t>Kansas City</t>
        </is>
      </c>
      <c r="F766" s="11" t="inlineStr">
        <is>
          <t>66027</t>
        </is>
      </c>
      <c r="G766" s="11" t="inlineStr">
        <is>
          <t>Army</t>
        </is>
      </c>
      <c r="H766" s="11" t="inlineStr">
        <is>
          <t>Web &amp; Email</t>
        </is>
      </c>
      <c r="I766" s="8" t="inlineStr">
        <is>
          <t>Facebook Posts</t>
        </is>
      </c>
      <c r="J766" s="11" t="inlineStr">
        <is>
          <t>1200px x 630px</t>
        </is>
      </c>
      <c r="K766" s="8" t="inlineStr">
        <is>
          <t>Your ad will appear on the Fort Leavenworth Facebook page in a post. ($125/single post, $200/four posts)</t>
        </is>
      </c>
      <c r="L766" s="11" t="n"/>
      <c r="M766" s="12" t="n"/>
      <c r="N766" s="12" t="n"/>
      <c r="O766" s="12" t="n"/>
      <c r="P766" s="12" t="n"/>
      <c r="Q766" s="12" t="n"/>
      <c r="R766" s="13">
        <f>IF(ISNUMBER(M766),ROUND(M766/(1-Settings!$B$2)/Settings!$B$3,0)*Settings!$B$3,"")</f>
        <v/>
      </c>
      <c r="S766" s="13">
        <f>IF(ISNUMBER(N766),ROUND(N766/(1-Settings!$B$2)/Settings!$B$3,0)*Settings!$B$3,"")</f>
        <v/>
      </c>
      <c r="T766" s="13">
        <f>IF(ISNUMBER(O766),ROUND(O766/(1-Settings!$B$2)/Settings!$B$3,0)*Settings!$B$3,"")</f>
        <v/>
      </c>
      <c r="U766" s="13">
        <f>IF(ISNUMBER(P766),ROUND(P766/(1-Settings!$B$2)/Settings!$B$3,0)*Settings!$B$3,"")</f>
        <v/>
      </c>
      <c r="V766" s="13">
        <f>IF(ISNUMBER(Q766),ROUND(Q766/(1-Settings!$B$2)/Settings!$B$3,0)*Settings!$B$3,"")</f>
        <v/>
      </c>
      <c r="W766" s="14" t="n">
        <v>3438</v>
      </c>
      <c r="X766" s="14" t="n">
        <v>7470</v>
      </c>
      <c r="Y766" s="11" t="inlineStr"/>
      <c r="Z766" s="11" t="inlineStr"/>
      <c r="AA766" s="8" t="inlineStr"/>
      <c r="AB766" s="16" t="inlineStr">
        <is>
          <t>No price on file - inquire</t>
        </is>
      </c>
      <c r="AC766" s="11" t="inlineStr">
        <is>
          <t>MasterMilitaryOnBaseList 12.2.25 NS.xlsx</t>
        </is>
      </c>
      <c r="AD766" s="11" t="inlineStr">
        <is>
          <t>2020_Rate_Card_R.pdf</t>
        </is>
      </c>
      <c r="AE766" s="15" t="inlineStr">
        <is>
          <t>Open in Box</t>
        </is>
      </c>
      <c r="AF766" s="15" t="inlineStr">
        <is>
          <t>Open in Box</t>
        </is>
      </c>
    </row>
    <row r="767">
      <c r="A767" s="11" t="inlineStr">
        <is>
          <t>KS-FORTLEAV-025</t>
        </is>
      </c>
      <c r="B767" s="8" t="inlineStr">
        <is>
          <t>Fort Leavenworth</t>
        </is>
      </c>
      <c r="C767" s="11" t="inlineStr"/>
      <c r="D767" s="11" t="inlineStr">
        <is>
          <t>KS</t>
        </is>
      </c>
      <c r="E767" s="11" t="inlineStr">
        <is>
          <t>Kansas City</t>
        </is>
      </c>
      <c r="F767" s="11" t="inlineStr"/>
      <c r="G767" s="11" t="inlineStr">
        <is>
          <t>Army</t>
        </is>
      </c>
      <c r="H767" s="11" t="inlineStr">
        <is>
          <t>Web &amp; Email</t>
        </is>
      </c>
      <c r="I767" s="8" t="inlineStr">
        <is>
          <t>Monthly E-Newsletter Ad</t>
        </is>
      </c>
      <c r="J767" s="11" t="inlineStr"/>
      <c r="K767" s="8" t="inlineStr">
        <is>
          <t>Your ad will appear in the monthly e-newsletter emailed to the installation community.</t>
        </is>
      </c>
      <c r="L767" s="11" t="n">
        <v>3</v>
      </c>
      <c r="M767" s="12" t="n"/>
      <c r="N767" s="12" t="n">
        <v>150</v>
      </c>
      <c r="O767" s="12" t="n"/>
      <c r="P767" s="12" t="n"/>
      <c r="Q767" s="12" t="n"/>
      <c r="R767" s="13">
        <f>IF(ISNUMBER(M767),ROUND(M767/(1-Settings!$B$2)/Settings!$B$3,0)*Settings!$B$3,"")</f>
        <v/>
      </c>
      <c r="S767" s="13">
        <f>IF(ISNUMBER(N767),ROUND(N767/(1-Settings!$B$2)/Settings!$B$3,0)*Settings!$B$3,"")</f>
        <v/>
      </c>
      <c r="T767" s="13">
        <f>IF(ISNUMBER(O767),ROUND(O767/(1-Settings!$B$2)/Settings!$B$3,0)*Settings!$B$3,"")</f>
        <v/>
      </c>
      <c r="U767" s="13">
        <f>IF(ISNUMBER(P767),ROUND(P767/(1-Settings!$B$2)/Settings!$B$3,0)*Settings!$B$3,"")</f>
        <v/>
      </c>
      <c r="V767" s="13">
        <f>IF(ISNUMBER(Q767),ROUND(Q767/(1-Settings!$B$2)/Settings!$B$3,0)*Settings!$B$3,"")</f>
        <v/>
      </c>
      <c r="W767" s="14" t="n">
        <v>3438</v>
      </c>
      <c r="X767" s="14" t="n">
        <v>7470</v>
      </c>
      <c r="Y767" s="11" t="inlineStr">
        <is>
          <t>2026</t>
        </is>
      </c>
      <c r="Z767" s="11" t="inlineStr">
        <is>
          <t>2026-06</t>
        </is>
      </c>
      <c r="AA767" s="8" t="inlineStr">
        <is>
          <t>Sold quarterly</t>
        </is>
      </c>
      <c r="AB767" s="8" t="inlineStr"/>
      <c r="AC767" s="11" t="inlineStr">
        <is>
          <t>Military - National Publication Inventory Master_June 2026.xlsx</t>
        </is>
      </c>
      <c r="AD767" s="11" t="inlineStr">
        <is>
          <t>2020_Rate_Card_R.pdf</t>
        </is>
      </c>
      <c r="AE767" s="15" t="inlineStr">
        <is>
          <t>Open in Box</t>
        </is>
      </c>
      <c r="AF767" s="15" t="inlineStr">
        <is>
          <t>Open in Box</t>
        </is>
      </c>
    </row>
    <row r="768">
      <c r="A768" s="11" t="inlineStr">
        <is>
          <t>KS-FORTLEAV-026</t>
        </is>
      </c>
      <c r="B768" s="8" t="inlineStr">
        <is>
          <t>Fort Leavenworth</t>
        </is>
      </c>
      <c r="C768" s="11" t="inlineStr"/>
      <c r="D768" s="11" t="inlineStr">
        <is>
          <t>KS</t>
        </is>
      </c>
      <c r="E768" s="11" t="inlineStr">
        <is>
          <t>Kansas City</t>
        </is>
      </c>
      <c r="F768" s="11" t="inlineStr"/>
      <c r="G768" s="11" t="inlineStr">
        <is>
          <t>Army</t>
        </is>
      </c>
      <c r="H768" s="11" t="inlineStr">
        <is>
          <t>Web &amp; Email</t>
        </is>
      </c>
      <c r="I768" s="8" t="inlineStr">
        <is>
          <t>Web Ad</t>
        </is>
      </c>
      <c r="J768" s="11" t="inlineStr"/>
      <c r="K768" s="8" t="inlineStr">
        <is>
          <t>Your ad will appear on the installation MWR / FSS website.</t>
        </is>
      </c>
      <c r="L768" s="11" t="n">
        <v>3</v>
      </c>
      <c r="M768" s="12" t="n"/>
      <c r="N768" s="12" t="n">
        <v>500</v>
      </c>
      <c r="O768" s="12" t="n"/>
      <c r="P768" s="12" t="n"/>
      <c r="Q768" s="12" t="n"/>
      <c r="R768" s="13">
        <f>IF(ISNUMBER(M768),ROUND(M768/(1-Settings!$B$2)/Settings!$B$3,0)*Settings!$B$3,"")</f>
        <v/>
      </c>
      <c r="S768" s="13">
        <f>IF(ISNUMBER(N768),ROUND(N768/(1-Settings!$B$2)/Settings!$B$3,0)*Settings!$B$3,"")</f>
        <v/>
      </c>
      <c r="T768" s="13">
        <f>IF(ISNUMBER(O768),ROUND(O768/(1-Settings!$B$2)/Settings!$B$3,0)*Settings!$B$3,"")</f>
        <v/>
      </c>
      <c r="U768" s="13">
        <f>IF(ISNUMBER(P768),ROUND(P768/(1-Settings!$B$2)/Settings!$B$3,0)*Settings!$B$3,"")</f>
        <v/>
      </c>
      <c r="V768" s="13">
        <f>IF(ISNUMBER(Q768),ROUND(Q768/(1-Settings!$B$2)/Settings!$B$3,0)*Settings!$B$3,"")</f>
        <v/>
      </c>
      <c r="W768" s="14" t="n">
        <v>3438</v>
      </c>
      <c r="X768" s="14" t="n">
        <v>7470</v>
      </c>
      <c r="Y768" s="11" t="inlineStr">
        <is>
          <t>2026</t>
        </is>
      </c>
      <c r="Z768" s="11" t="inlineStr">
        <is>
          <t>2026-06</t>
        </is>
      </c>
      <c r="AA768" s="8" t="inlineStr">
        <is>
          <t>Sold quarterly</t>
        </is>
      </c>
      <c r="AB768" s="8" t="inlineStr"/>
      <c r="AC768" s="11" t="inlineStr">
        <is>
          <t>Military - National Publication Inventory Master_June 2026.xlsx</t>
        </is>
      </c>
      <c r="AD768" s="11" t="inlineStr">
        <is>
          <t>2020_Rate_Card_R.pdf</t>
        </is>
      </c>
      <c r="AE768" s="15" t="inlineStr">
        <is>
          <t>Open in Box</t>
        </is>
      </c>
      <c r="AF768" s="15" t="inlineStr">
        <is>
          <t>Open in Box</t>
        </is>
      </c>
    </row>
    <row r="769">
      <c r="A769" s="11" t="inlineStr">
        <is>
          <t>KS-FORTRILE-066</t>
        </is>
      </c>
      <c r="B769" s="8" t="inlineStr">
        <is>
          <t>Fort Riley</t>
        </is>
      </c>
      <c r="C769" s="11" t="inlineStr"/>
      <c r="D769" s="11" t="inlineStr">
        <is>
          <t>KS</t>
        </is>
      </c>
      <c r="E769" s="11" t="inlineStr">
        <is>
          <t>Topeka</t>
        </is>
      </c>
      <c r="F769" s="11" t="inlineStr"/>
      <c r="G769" s="11" t="inlineStr">
        <is>
          <t>Army</t>
        </is>
      </c>
      <c r="H769" s="11" t="inlineStr">
        <is>
          <t>Digital</t>
        </is>
      </c>
      <c r="I769" s="8" t="inlineStr">
        <is>
          <t>Bowling Scoring Monitors</t>
        </is>
      </c>
      <c r="J769" s="11" t="inlineStr">
        <is>
          <t>11 screens</t>
        </is>
      </c>
      <c r="K769" s="8" t="inlineStr">
        <is>
          <t>Your ad will appear on the 11-screen scoring monitors in the installation bowling center.</t>
        </is>
      </c>
      <c r="L769" s="11" t="n">
        <v>1</v>
      </c>
      <c r="M769" s="12" t="n">
        <v>400</v>
      </c>
      <c r="N769" s="12" t="n"/>
      <c r="O769" s="12" t="n"/>
      <c r="P769" s="12" t="n"/>
      <c r="Q769" s="12" t="n"/>
      <c r="R769" s="13">
        <f>IF(ISNUMBER(M769),ROUND(M769/(1-Settings!$B$2)/Settings!$B$3,0)*Settings!$B$3,"")</f>
        <v/>
      </c>
      <c r="S769" s="13">
        <f>IF(ISNUMBER(N769),ROUND(N769/(1-Settings!$B$2)/Settings!$B$3,0)*Settings!$B$3,"")</f>
        <v/>
      </c>
      <c r="T769" s="13">
        <f>IF(ISNUMBER(O769),ROUND(O769/(1-Settings!$B$2)/Settings!$B$3,0)*Settings!$B$3,"")</f>
        <v/>
      </c>
      <c r="U769" s="13">
        <f>IF(ISNUMBER(P769),ROUND(P769/(1-Settings!$B$2)/Settings!$B$3,0)*Settings!$B$3,"")</f>
        <v/>
      </c>
      <c r="V769" s="13">
        <f>IF(ISNUMBER(Q769),ROUND(Q769/(1-Settings!$B$2)/Settings!$B$3,0)*Settings!$B$3,"")</f>
        <v/>
      </c>
      <c r="W769" s="14" t="n">
        <v>15214</v>
      </c>
      <c r="X769" s="14" t="n">
        <v>18081</v>
      </c>
      <c r="Y769" s="11" t="inlineStr">
        <is>
          <t>2026</t>
        </is>
      </c>
      <c r="Z769" s="11" t="inlineStr">
        <is>
          <t>2026-06</t>
        </is>
      </c>
      <c r="AA769" s="8" t="inlineStr"/>
      <c r="AB769" s="8" t="inlineStr"/>
      <c r="AC769" s="11" t="inlineStr">
        <is>
          <t>Military - National Digital Inventory Master 6.3.26.xlsx</t>
        </is>
      </c>
      <c r="AD769" s="11" t="inlineStr">
        <is>
          <t>MWR Sponsorship &amp; Advertising Price Guide.pdf</t>
        </is>
      </c>
      <c r="AE769" s="15" t="inlineStr">
        <is>
          <t>Open in Box</t>
        </is>
      </c>
      <c r="AF769" s="15" t="inlineStr">
        <is>
          <t>Open in Box</t>
        </is>
      </c>
    </row>
    <row r="770">
      <c r="A770" s="11" t="inlineStr">
        <is>
          <t>KS-FORTRILE-001</t>
        </is>
      </c>
      <c r="B770" s="8" t="inlineStr">
        <is>
          <t>Fort Riley</t>
        </is>
      </c>
      <c r="C770" s="11" t="inlineStr"/>
      <c r="D770" s="11" t="inlineStr">
        <is>
          <t>KS</t>
        </is>
      </c>
      <c r="E770" s="11" t="inlineStr">
        <is>
          <t>Topeka</t>
        </is>
      </c>
      <c r="F770" s="11" t="inlineStr">
        <is>
          <t>66442</t>
        </is>
      </c>
      <c r="G770" s="11" t="inlineStr">
        <is>
          <t>Army</t>
        </is>
      </c>
      <c r="H770" s="11" t="inlineStr">
        <is>
          <t>Digital</t>
        </is>
      </c>
      <c r="I770" s="8" t="inlineStr">
        <is>
          <t>Digital Monitor Network</t>
        </is>
      </c>
      <c r="J770" s="11" t="inlineStr">
        <is>
          <t>1500px x 844px</t>
        </is>
      </c>
      <c r="K770" s="8" t="inlineStr">
        <is>
          <t>Your ad will appear on 18 monitors in approved locations on the installation.</t>
        </is>
      </c>
      <c r="L770" s="11" t="n">
        <v>1</v>
      </c>
      <c r="M770" s="12" t="n">
        <v>550</v>
      </c>
      <c r="N770" s="12" t="n">
        <v>1500</v>
      </c>
      <c r="O770" s="12" t="n">
        <v>2700</v>
      </c>
      <c r="P770" s="12" t="n">
        <v>5000</v>
      </c>
      <c r="Q770" s="12" t="n"/>
      <c r="R770" s="13">
        <f>IF(ISNUMBER(M770),ROUND(M770/(1-Settings!$B$2)/Settings!$B$3,0)*Settings!$B$3,"")</f>
        <v/>
      </c>
      <c r="S770" s="13">
        <f>IF(ISNUMBER(N770),ROUND(N770/(1-Settings!$B$2)/Settings!$B$3,0)*Settings!$B$3,"")</f>
        <v/>
      </c>
      <c r="T770" s="13">
        <f>IF(ISNUMBER(O770),ROUND(O770/(1-Settings!$B$2)/Settings!$B$3,0)*Settings!$B$3,"")</f>
        <v/>
      </c>
      <c r="U770" s="13">
        <f>IF(ISNUMBER(P770),ROUND(P770/(1-Settings!$B$2)/Settings!$B$3,0)*Settings!$B$3,"")</f>
        <v/>
      </c>
      <c r="V770" s="13">
        <f>IF(ISNUMBER(Q770),ROUND(Q770/(1-Settings!$B$2)/Settings!$B$3,0)*Settings!$B$3,"")</f>
        <v/>
      </c>
      <c r="W770" s="14" t="n">
        <v>15214</v>
      </c>
      <c r="X770" s="14" t="n">
        <v>18081</v>
      </c>
      <c r="Y770" s="11" t="inlineStr"/>
      <c r="Z770" s="11" t="inlineStr"/>
      <c r="AA770" s="8" t="inlineStr">
        <is>
          <t>Inventory master 6/2026 lists Digital Monitor Network at $1,500 (1 mo)</t>
        </is>
      </c>
      <c r="AB770" s="8" t="inlineStr"/>
      <c r="AC770" s="11" t="inlineStr">
        <is>
          <t>MasterMilitaryOnBaseList 12.2.25 NS.xlsx</t>
        </is>
      </c>
      <c r="AD770" s="11" t="inlineStr">
        <is>
          <t>MWR Sponsorship &amp; Advertising Price Guide.pdf</t>
        </is>
      </c>
      <c r="AE770" s="15" t="inlineStr">
        <is>
          <t>Open in Box</t>
        </is>
      </c>
      <c r="AF770" s="15" t="inlineStr">
        <is>
          <t>Open in Box</t>
        </is>
      </c>
    </row>
    <row r="771">
      <c r="A771" s="11" t="inlineStr">
        <is>
          <t>KS-FORTRILE-002</t>
        </is>
      </c>
      <c r="B771" s="8" t="inlineStr">
        <is>
          <t>Fort Riley</t>
        </is>
      </c>
      <c r="C771" s="11" t="inlineStr"/>
      <c r="D771" s="11" t="inlineStr">
        <is>
          <t>KS</t>
        </is>
      </c>
      <c r="E771" s="11" t="inlineStr">
        <is>
          <t>Topeka</t>
        </is>
      </c>
      <c r="F771" s="11" t="inlineStr">
        <is>
          <t>66442</t>
        </is>
      </c>
      <c r="G771" s="11" t="inlineStr">
        <is>
          <t>Army</t>
        </is>
      </c>
      <c r="H771" s="11" t="inlineStr">
        <is>
          <t>Digital</t>
        </is>
      </c>
      <c r="I771" s="8" t="inlineStr">
        <is>
          <t>Digital Scoring Screens - SpareTime Interactive Entertainment</t>
        </is>
      </c>
      <c r="J771" s="11" t="inlineStr">
        <is>
          <t>1280px x 720px</t>
        </is>
      </c>
      <c r="K771" s="8" t="inlineStr">
        <is>
          <t>Your ad will appear in SpareTime.</t>
        </is>
      </c>
      <c r="L771" s="11" t="n">
        <v>1</v>
      </c>
      <c r="M771" s="12" t="n">
        <v>150</v>
      </c>
      <c r="N771" s="12" t="n">
        <v>400</v>
      </c>
      <c r="O771" s="12" t="n">
        <v>750</v>
      </c>
      <c r="P771" s="12" t="n">
        <v>1200</v>
      </c>
      <c r="Q771" s="12" t="n"/>
      <c r="R771" s="13">
        <f>IF(ISNUMBER(M771),ROUND(M771/(1-Settings!$B$2)/Settings!$B$3,0)*Settings!$B$3,"")</f>
        <v/>
      </c>
      <c r="S771" s="13">
        <f>IF(ISNUMBER(N771),ROUND(N771/(1-Settings!$B$2)/Settings!$B$3,0)*Settings!$B$3,"")</f>
        <v/>
      </c>
      <c r="T771" s="13">
        <f>IF(ISNUMBER(O771),ROUND(O771/(1-Settings!$B$2)/Settings!$B$3,0)*Settings!$B$3,"")</f>
        <v/>
      </c>
      <c r="U771" s="13">
        <f>IF(ISNUMBER(P771),ROUND(P771/(1-Settings!$B$2)/Settings!$B$3,0)*Settings!$B$3,"")</f>
        <v/>
      </c>
      <c r="V771" s="13">
        <f>IF(ISNUMBER(Q771),ROUND(Q771/(1-Settings!$B$2)/Settings!$B$3,0)*Settings!$B$3,"")</f>
        <v/>
      </c>
      <c r="W771" s="14" t="n">
        <v>15214</v>
      </c>
      <c r="X771" s="14" t="n">
        <v>18081</v>
      </c>
      <c r="Y771" s="11" t="inlineStr"/>
      <c r="Z771" s="11" t="inlineStr"/>
      <c r="AA771" s="8" t="inlineStr">
        <is>
          <t>Inventory master 6/2026 lists Digital Monitor Network at $1,500 (1 mo)</t>
        </is>
      </c>
      <c r="AB771" s="8" t="inlineStr"/>
      <c r="AC771" s="11" t="inlineStr">
        <is>
          <t>MasterMilitaryOnBaseList 12.2.25 NS.xlsx</t>
        </is>
      </c>
      <c r="AD771" s="11" t="inlineStr">
        <is>
          <t>MWR Sponsorship &amp; Advertising Price Guide.pdf</t>
        </is>
      </c>
      <c r="AE771" s="15" t="inlineStr">
        <is>
          <t>Open in Box</t>
        </is>
      </c>
      <c r="AF771" s="15" t="inlineStr">
        <is>
          <t>Open in Box</t>
        </is>
      </c>
    </row>
    <row r="772">
      <c r="A772" s="11" t="inlineStr">
        <is>
          <t>KS-FORTRILE-003</t>
        </is>
      </c>
      <c r="B772" s="8" t="inlineStr">
        <is>
          <t>Fort Riley</t>
        </is>
      </c>
      <c r="C772" s="11" t="inlineStr"/>
      <c r="D772" s="11" t="inlineStr">
        <is>
          <t>KS</t>
        </is>
      </c>
      <c r="E772" s="11" t="inlineStr">
        <is>
          <t>Topeka</t>
        </is>
      </c>
      <c r="F772" s="11" t="inlineStr">
        <is>
          <t>66442</t>
        </is>
      </c>
      <c r="G772" s="11" t="inlineStr">
        <is>
          <t>Army</t>
        </is>
      </c>
      <c r="H772" s="11" t="inlineStr">
        <is>
          <t>Digital</t>
        </is>
      </c>
      <c r="I772" s="8" t="inlineStr">
        <is>
          <t>Digital Screen - Warrior Zone Entrance</t>
        </is>
      </c>
      <c r="J772" s="11" t="inlineStr">
        <is>
          <t>TBD</t>
        </is>
      </c>
      <c r="K772" s="8" t="inlineStr">
        <is>
          <t>Your ad will appear at the entrance of the Warrior Zone.</t>
        </is>
      </c>
      <c r="L772" s="11" t="n">
        <v>3</v>
      </c>
      <c r="M772" s="12" t="n"/>
      <c r="N772" s="12" t="n">
        <v>1350</v>
      </c>
      <c r="O772" s="12" t="n">
        <v>2600</v>
      </c>
      <c r="P772" s="12" t="n">
        <v>5000</v>
      </c>
      <c r="Q772" s="12" t="n"/>
      <c r="R772" s="13">
        <f>IF(ISNUMBER(M772),ROUND(M772/(1-Settings!$B$2)/Settings!$B$3,0)*Settings!$B$3,"")</f>
        <v/>
      </c>
      <c r="S772" s="13">
        <f>IF(ISNUMBER(N772),ROUND(N772/(1-Settings!$B$2)/Settings!$B$3,0)*Settings!$B$3,"")</f>
        <v/>
      </c>
      <c r="T772" s="13">
        <f>IF(ISNUMBER(O772),ROUND(O772/(1-Settings!$B$2)/Settings!$B$3,0)*Settings!$B$3,"")</f>
        <v/>
      </c>
      <c r="U772" s="13">
        <f>IF(ISNUMBER(P772),ROUND(P772/(1-Settings!$B$2)/Settings!$B$3,0)*Settings!$B$3,"")</f>
        <v/>
      </c>
      <c r="V772" s="13">
        <f>IF(ISNUMBER(Q772),ROUND(Q772/(1-Settings!$B$2)/Settings!$B$3,0)*Settings!$B$3,"")</f>
        <v/>
      </c>
      <c r="W772" s="14" t="n">
        <v>15214</v>
      </c>
      <c r="X772" s="14" t="n">
        <v>18081</v>
      </c>
      <c r="Y772" s="11" t="inlineStr"/>
      <c r="Z772" s="11" t="inlineStr"/>
      <c r="AA772" s="8" t="inlineStr">
        <is>
          <t>Inventory master 6/2026 lists Digital Monitor Network at $1,500 (1 mo)</t>
        </is>
      </c>
      <c r="AB772" s="8" t="inlineStr"/>
      <c r="AC772" s="11" t="inlineStr">
        <is>
          <t>MasterMilitaryOnBaseList 12.2.25 NS.xlsx</t>
        </is>
      </c>
      <c r="AD772" s="11" t="inlineStr">
        <is>
          <t>MWR Sponsorship &amp; Advertising Price Guide.pdf</t>
        </is>
      </c>
      <c r="AE772" s="15" t="inlineStr">
        <is>
          <t>Open in Box</t>
        </is>
      </c>
      <c r="AF772" s="15" t="inlineStr">
        <is>
          <t>Open in Box</t>
        </is>
      </c>
    </row>
    <row r="773">
      <c r="A773" s="11" t="inlineStr">
        <is>
          <t>KS-FORTRILE-004</t>
        </is>
      </c>
      <c r="B773" s="8" t="inlineStr">
        <is>
          <t>Fort Riley</t>
        </is>
      </c>
      <c r="C773" s="11" t="inlineStr"/>
      <c r="D773" s="11" t="inlineStr">
        <is>
          <t>KS</t>
        </is>
      </c>
      <c r="E773" s="11" t="inlineStr">
        <is>
          <t>Topeka</t>
        </is>
      </c>
      <c r="F773" s="11" t="inlineStr">
        <is>
          <t>66442</t>
        </is>
      </c>
      <c r="G773" s="11" t="inlineStr">
        <is>
          <t>Army</t>
        </is>
      </c>
      <c r="H773" s="11" t="inlineStr">
        <is>
          <t>Digital</t>
        </is>
      </c>
      <c r="I773" s="8" t="inlineStr">
        <is>
          <t>Gaming PC Screen Saver</t>
        </is>
      </c>
      <c r="J773" s="11" t="inlineStr">
        <is>
          <t>TBD</t>
        </is>
      </c>
      <c r="K773" s="8" t="inlineStr">
        <is>
          <t>Your ad will appear on 40 approved gaming computers.</t>
        </is>
      </c>
      <c r="L773" s="11" t="n">
        <v>3</v>
      </c>
      <c r="M773" s="12" t="n"/>
      <c r="N773" s="12" t="n">
        <v>650</v>
      </c>
      <c r="O773" s="12" t="n">
        <v>1200</v>
      </c>
      <c r="P773" s="12" t="n">
        <v>2200</v>
      </c>
      <c r="Q773" s="12" t="n"/>
      <c r="R773" s="13">
        <f>IF(ISNUMBER(M773),ROUND(M773/(1-Settings!$B$2)/Settings!$B$3,0)*Settings!$B$3,"")</f>
        <v/>
      </c>
      <c r="S773" s="13">
        <f>IF(ISNUMBER(N773),ROUND(N773/(1-Settings!$B$2)/Settings!$B$3,0)*Settings!$B$3,"")</f>
        <v/>
      </c>
      <c r="T773" s="13">
        <f>IF(ISNUMBER(O773),ROUND(O773/(1-Settings!$B$2)/Settings!$B$3,0)*Settings!$B$3,"")</f>
        <v/>
      </c>
      <c r="U773" s="13">
        <f>IF(ISNUMBER(P773),ROUND(P773/(1-Settings!$B$2)/Settings!$B$3,0)*Settings!$B$3,"")</f>
        <v/>
      </c>
      <c r="V773" s="13">
        <f>IF(ISNUMBER(Q773),ROUND(Q773/(1-Settings!$B$2)/Settings!$B$3,0)*Settings!$B$3,"")</f>
        <v/>
      </c>
      <c r="W773" s="14" t="n">
        <v>15214</v>
      </c>
      <c r="X773" s="14" t="n">
        <v>18081</v>
      </c>
      <c r="Y773" s="11" t="inlineStr"/>
      <c r="Z773" s="11" t="inlineStr"/>
      <c r="AA773" s="8" t="inlineStr"/>
      <c r="AB773" s="8" t="inlineStr"/>
      <c r="AC773" s="11" t="inlineStr">
        <is>
          <t>MasterMilitaryOnBaseList 12.2.25 NS.xlsx</t>
        </is>
      </c>
      <c r="AD773" s="11" t="inlineStr">
        <is>
          <t>MWR Sponsorship &amp; Advertising Price Guide.pdf</t>
        </is>
      </c>
      <c r="AE773" s="15" t="inlineStr">
        <is>
          <t>Open in Box</t>
        </is>
      </c>
      <c r="AF773" s="15" t="inlineStr">
        <is>
          <t>Open in Box</t>
        </is>
      </c>
    </row>
    <row r="774">
      <c r="A774" s="11" t="inlineStr">
        <is>
          <t>KS-FORTRILE-005</t>
        </is>
      </c>
      <c r="B774" s="8" t="inlineStr">
        <is>
          <t>Fort Riley</t>
        </is>
      </c>
      <c r="C774" s="11" t="inlineStr"/>
      <c r="D774" s="11" t="inlineStr">
        <is>
          <t>KS</t>
        </is>
      </c>
      <c r="E774" s="11" t="inlineStr">
        <is>
          <t>Topeka</t>
        </is>
      </c>
      <c r="F774" s="11" t="inlineStr">
        <is>
          <t>66442</t>
        </is>
      </c>
      <c r="G774" s="11" t="inlineStr">
        <is>
          <t>Army</t>
        </is>
      </c>
      <c r="H774" s="11" t="inlineStr">
        <is>
          <t>Digital</t>
        </is>
      </c>
      <c r="I774" s="8" t="inlineStr">
        <is>
          <t>Outdoor Digital Billboard - Warrior Zone</t>
        </is>
      </c>
      <c r="J774" s="11" t="inlineStr">
        <is>
          <t>1500px x 844px</t>
        </is>
      </c>
      <c r="K774" s="8" t="inlineStr">
        <is>
          <t>Your ad will appear in an approved location on the installation.</t>
        </is>
      </c>
      <c r="L774" s="11" t="n">
        <v>3</v>
      </c>
      <c r="M774" s="12" t="n"/>
      <c r="N774" s="12" t="n">
        <v>650</v>
      </c>
      <c r="O774" s="12" t="n">
        <v>1200</v>
      </c>
      <c r="P774" s="12" t="n">
        <v>2200</v>
      </c>
      <c r="Q774" s="12" t="n"/>
      <c r="R774" s="13">
        <f>IF(ISNUMBER(M774),ROUND(M774/(1-Settings!$B$2)/Settings!$B$3,0)*Settings!$B$3,"")</f>
        <v/>
      </c>
      <c r="S774" s="13">
        <f>IF(ISNUMBER(N774),ROUND(N774/(1-Settings!$B$2)/Settings!$B$3,0)*Settings!$B$3,"")</f>
        <v/>
      </c>
      <c r="T774" s="13">
        <f>IF(ISNUMBER(O774),ROUND(O774/(1-Settings!$B$2)/Settings!$B$3,0)*Settings!$B$3,"")</f>
        <v/>
      </c>
      <c r="U774" s="13">
        <f>IF(ISNUMBER(P774),ROUND(P774/(1-Settings!$B$2)/Settings!$B$3,0)*Settings!$B$3,"")</f>
        <v/>
      </c>
      <c r="V774" s="13">
        <f>IF(ISNUMBER(Q774),ROUND(Q774/(1-Settings!$B$2)/Settings!$B$3,0)*Settings!$B$3,"")</f>
        <v/>
      </c>
      <c r="W774" s="14" t="n">
        <v>15214</v>
      </c>
      <c r="X774" s="14" t="n">
        <v>18081</v>
      </c>
      <c r="Y774" s="11" t="inlineStr"/>
      <c r="Z774" s="11" t="inlineStr"/>
      <c r="AA774" s="8" t="inlineStr"/>
      <c r="AB774" s="8" t="inlineStr"/>
      <c r="AC774" s="11" t="inlineStr">
        <is>
          <t>MasterMilitaryOnBaseList 12.2.25 NS.xlsx</t>
        </is>
      </c>
      <c r="AD774" s="11" t="inlineStr">
        <is>
          <t>MWR Sponsorship &amp; Advertising Price Guide.pdf</t>
        </is>
      </c>
      <c r="AE774" s="15" t="inlineStr">
        <is>
          <t>Open in Box</t>
        </is>
      </c>
      <c r="AF774" s="15" t="inlineStr">
        <is>
          <t>Open in Box</t>
        </is>
      </c>
    </row>
    <row r="775">
      <c r="A775" s="11" t="inlineStr">
        <is>
          <t>KS-FORTRILE-006</t>
        </is>
      </c>
      <c r="B775" s="8" t="inlineStr">
        <is>
          <t>Fort Riley</t>
        </is>
      </c>
      <c r="C775" s="11" t="inlineStr"/>
      <c r="D775" s="11" t="inlineStr">
        <is>
          <t>KS</t>
        </is>
      </c>
      <c r="E775" s="11" t="inlineStr">
        <is>
          <t>Topeka</t>
        </is>
      </c>
      <c r="F775" s="11" t="inlineStr">
        <is>
          <t>66442</t>
        </is>
      </c>
      <c r="G775" s="11" t="inlineStr">
        <is>
          <t>Army</t>
        </is>
      </c>
      <c r="H775" s="11" t="inlineStr">
        <is>
          <t>Digital</t>
        </is>
      </c>
      <c r="I775" s="8" t="inlineStr">
        <is>
          <t>PC Work Station Ads</t>
        </is>
      </c>
      <c r="J775" s="11" t="inlineStr">
        <is>
          <t>TBD</t>
        </is>
      </c>
      <c r="K775" s="8" t="inlineStr">
        <is>
          <t>Your ad will appear on landing screens of each work station computer.</t>
        </is>
      </c>
      <c r="L775" s="11" t="n">
        <v>3</v>
      </c>
      <c r="M775" s="12" t="n"/>
      <c r="N775" s="12" t="n">
        <v>400</v>
      </c>
      <c r="O775" s="12" t="n">
        <v>750</v>
      </c>
      <c r="P775" s="12" t="n">
        <v>1400</v>
      </c>
      <c r="Q775" s="12" t="n"/>
      <c r="R775" s="13">
        <f>IF(ISNUMBER(M775),ROUND(M775/(1-Settings!$B$2)/Settings!$B$3,0)*Settings!$B$3,"")</f>
        <v/>
      </c>
      <c r="S775" s="13">
        <f>IF(ISNUMBER(N775),ROUND(N775/(1-Settings!$B$2)/Settings!$B$3,0)*Settings!$B$3,"")</f>
        <v/>
      </c>
      <c r="T775" s="13">
        <f>IF(ISNUMBER(O775),ROUND(O775/(1-Settings!$B$2)/Settings!$B$3,0)*Settings!$B$3,"")</f>
        <v/>
      </c>
      <c r="U775" s="13">
        <f>IF(ISNUMBER(P775),ROUND(P775/(1-Settings!$B$2)/Settings!$B$3,0)*Settings!$B$3,"")</f>
        <v/>
      </c>
      <c r="V775" s="13">
        <f>IF(ISNUMBER(Q775),ROUND(Q775/(1-Settings!$B$2)/Settings!$B$3,0)*Settings!$B$3,"")</f>
        <v/>
      </c>
      <c r="W775" s="14" t="n">
        <v>15214</v>
      </c>
      <c r="X775" s="14" t="n">
        <v>18081</v>
      </c>
      <c r="Y775" s="11" t="inlineStr"/>
      <c r="Z775" s="11" t="inlineStr"/>
      <c r="AA775" s="8" t="inlineStr"/>
      <c r="AB775" s="8" t="inlineStr"/>
      <c r="AC775" s="11" t="inlineStr">
        <is>
          <t>MasterMilitaryOnBaseList 12.2.25 NS.xlsx</t>
        </is>
      </c>
      <c r="AD775" s="11" t="inlineStr">
        <is>
          <t>MWR Sponsorship &amp; Advertising Price Guide.pdf</t>
        </is>
      </c>
      <c r="AE775" s="15" t="inlineStr">
        <is>
          <t>Open in Box</t>
        </is>
      </c>
      <c r="AF775" s="15" t="inlineStr">
        <is>
          <t>Open in Box</t>
        </is>
      </c>
    </row>
    <row r="776">
      <c r="A776" s="11" t="inlineStr">
        <is>
          <t>KS-FORTRILE-007</t>
        </is>
      </c>
      <c r="B776" s="8" t="inlineStr">
        <is>
          <t>Fort Riley</t>
        </is>
      </c>
      <c r="C776" s="11" t="inlineStr"/>
      <c r="D776" s="11" t="inlineStr">
        <is>
          <t>KS</t>
        </is>
      </c>
      <c r="E776" s="11" t="inlineStr">
        <is>
          <t>Topeka</t>
        </is>
      </c>
      <c r="F776" s="11" t="inlineStr">
        <is>
          <t>66442</t>
        </is>
      </c>
      <c r="G776" s="11" t="inlineStr">
        <is>
          <t>Army</t>
        </is>
      </c>
      <c r="H776" s="11" t="inlineStr">
        <is>
          <t>Digital</t>
        </is>
      </c>
      <c r="I776" s="8" t="inlineStr">
        <is>
          <t>Warrior Zone Bundle (Outdoor Digital Billboard, Gaming PC Screen Savers, and PC Work Station Ads)</t>
        </is>
      </c>
      <c r="J776" s="11" t="inlineStr">
        <is>
          <t>TBD</t>
        </is>
      </c>
      <c r="K776" s="8" t="inlineStr">
        <is>
          <t>Your ad will appear on a digital billboard, 40 approved gaming computers, and work station computers.</t>
        </is>
      </c>
      <c r="L776" s="11" t="n">
        <v>3</v>
      </c>
      <c r="M776" s="12" t="n"/>
      <c r="N776" s="12" t="n">
        <v>1500</v>
      </c>
      <c r="O776" s="12" t="n">
        <v>2750</v>
      </c>
      <c r="P776" s="12" t="n">
        <v>5200</v>
      </c>
      <c r="Q776" s="12" t="n"/>
      <c r="R776" s="13">
        <f>IF(ISNUMBER(M776),ROUND(M776/(1-Settings!$B$2)/Settings!$B$3,0)*Settings!$B$3,"")</f>
        <v/>
      </c>
      <c r="S776" s="13">
        <f>IF(ISNUMBER(N776),ROUND(N776/(1-Settings!$B$2)/Settings!$B$3,0)*Settings!$B$3,"")</f>
        <v/>
      </c>
      <c r="T776" s="13">
        <f>IF(ISNUMBER(O776),ROUND(O776/(1-Settings!$B$2)/Settings!$B$3,0)*Settings!$B$3,"")</f>
        <v/>
      </c>
      <c r="U776" s="13">
        <f>IF(ISNUMBER(P776),ROUND(P776/(1-Settings!$B$2)/Settings!$B$3,0)*Settings!$B$3,"")</f>
        <v/>
      </c>
      <c r="V776" s="13">
        <f>IF(ISNUMBER(Q776),ROUND(Q776/(1-Settings!$B$2)/Settings!$B$3,0)*Settings!$B$3,"")</f>
        <v/>
      </c>
      <c r="W776" s="14" t="n">
        <v>15214</v>
      </c>
      <c r="X776" s="14" t="n">
        <v>18081</v>
      </c>
      <c r="Y776" s="11" t="inlineStr"/>
      <c r="Z776" s="11" t="inlineStr"/>
      <c r="AA776" s="8" t="inlineStr"/>
      <c r="AB776" s="8" t="inlineStr"/>
      <c r="AC776" s="11" t="inlineStr">
        <is>
          <t>MasterMilitaryOnBaseList 12.2.25 NS.xlsx</t>
        </is>
      </c>
      <c r="AD776" s="11" t="inlineStr">
        <is>
          <t>MWR Sponsorship &amp; Advertising Price Guide.pdf</t>
        </is>
      </c>
      <c r="AE776" s="15" t="inlineStr">
        <is>
          <t>Open in Box</t>
        </is>
      </c>
      <c r="AF776" s="15" t="inlineStr">
        <is>
          <t>Open in Box</t>
        </is>
      </c>
    </row>
    <row r="777">
      <c r="A777" s="11" t="inlineStr">
        <is>
          <t>KS-FORTRILE-025</t>
        </is>
      </c>
      <c r="B777" s="8" t="inlineStr">
        <is>
          <t>Fort Riley</t>
        </is>
      </c>
      <c r="C777" s="11" t="inlineStr"/>
      <c r="D777" s="11" t="inlineStr">
        <is>
          <t>KS</t>
        </is>
      </c>
      <c r="E777" s="11" t="inlineStr">
        <is>
          <t>Topeka</t>
        </is>
      </c>
      <c r="F777" s="11" t="inlineStr">
        <is>
          <t>66442</t>
        </is>
      </c>
      <c r="G777" s="11" t="inlineStr">
        <is>
          <t>Army</t>
        </is>
      </c>
      <c r="H777" s="11" t="inlineStr">
        <is>
          <t>Large Format</t>
        </is>
      </c>
      <c r="I777" s="8" t="inlineStr">
        <is>
          <t>Banner - Any Sports Complex Fence</t>
        </is>
      </c>
      <c r="J777" s="11" t="inlineStr">
        <is>
          <t>36" x 96"</t>
        </is>
      </c>
      <c r="K777" s="8" t="inlineStr">
        <is>
          <t>Your ad will appear at the King Field House on the installation.</t>
        </is>
      </c>
      <c r="L777" s="11" t="n">
        <v>1</v>
      </c>
      <c r="M777" s="12" t="n">
        <v>100</v>
      </c>
      <c r="N777" s="12" t="n">
        <v>225</v>
      </c>
      <c r="O777" s="12" t="n">
        <v>400</v>
      </c>
      <c r="P777" s="12" t="n">
        <v>750</v>
      </c>
      <c r="Q777" s="12" t="n">
        <v>200</v>
      </c>
      <c r="R777" s="13">
        <f>IF(ISNUMBER(M777),ROUND(M777/(1-Settings!$B$2)/Settings!$B$3,0)*Settings!$B$3,"")</f>
        <v/>
      </c>
      <c r="S777" s="13">
        <f>IF(ISNUMBER(N777),ROUND(N777/(1-Settings!$B$2)/Settings!$B$3,0)*Settings!$B$3,"")</f>
        <v/>
      </c>
      <c r="T777" s="13">
        <f>IF(ISNUMBER(O777),ROUND(O777/(1-Settings!$B$2)/Settings!$B$3,0)*Settings!$B$3,"")</f>
        <v/>
      </c>
      <c r="U777" s="13">
        <f>IF(ISNUMBER(P777),ROUND(P777/(1-Settings!$B$2)/Settings!$B$3,0)*Settings!$B$3,"")</f>
        <v/>
      </c>
      <c r="V777" s="13">
        <f>IF(ISNUMBER(Q777),ROUND(Q777/(1-Settings!$B$2)/Settings!$B$3,0)*Settings!$B$3,"")</f>
        <v/>
      </c>
      <c r="W777" s="14" t="n">
        <v>15214</v>
      </c>
      <c r="X777" s="14" t="n">
        <v>18081</v>
      </c>
      <c r="Y777" s="11" t="inlineStr"/>
      <c r="Z777" s="11" t="inlineStr"/>
      <c r="AA777" s="8" t="inlineStr"/>
      <c r="AB777" s="8" t="inlineStr"/>
      <c r="AC777" s="11" t="inlineStr">
        <is>
          <t>MasterMilitaryOnBaseList 12.2.25 NS.xlsx</t>
        </is>
      </c>
      <c r="AD777" s="11" t="inlineStr">
        <is>
          <t>MWR Sponsorship &amp; Advertising Price Guide.pdf</t>
        </is>
      </c>
      <c r="AE777" s="15" t="inlineStr">
        <is>
          <t>Open in Box</t>
        </is>
      </c>
      <c r="AF777" s="15" t="inlineStr">
        <is>
          <t>Open in Box</t>
        </is>
      </c>
    </row>
    <row r="778">
      <c r="A778" s="11" t="inlineStr">
        <is>
          <t>KS-FORTRILE-026</t>
        </is>
      </c>
      <c r="B778" s="8" t="inlineStr">
        <is>
          <t>Fort Riley</t>
        </is>
      </c>
      <c r="C778" s="11" t="inlineStr"/>
      <c r="D778" s="11" t="inlineStr">
        <is>
          <t>KS</t>
        </is>
      </c>
      <c r="E778" s="11" t="inlineStr">
        <is>
          <t>Topeka</t>
        </is>
      </c>
      <c r="F778" s="11" t="inlineStr">
        <is>
          <t>66442</t>
        </is>
      </c>
      <c r="G778" s="11" t="inlineStr">
        <is>
          <t>Army</t>
        </is>
      </c>
      <c r="H778" s="11" t="inlineStr">
        <is>
          <t>Large Format</t>
        </is>
      </c>
      <c r="I778" s="8" t="inlineStr">
        <is>
          <t>Banner - King Field House</t>
        </is>
      </c>
      <c r="J778" s="11" t="inlineStr">
        <is>
          <t>36" x 96"</t>
        </is>
      </c>
      <c r="K778" s="8" t="inlineStr">
        <is>
          <t>Your ad will appear at the King Field House on the installation.</t>
        </is>
      </c>
      <c r="L778" s="11" t="n">
        <v>1</v>
      </c>
      <c r="M778" s="12" t="n">
        <v>150</v>
      </c>
      <c r="N778" s="12" t="n">
        <v>375</v>
      </c>
      <c r="O778" s="12" t="n">
        <v>725</v>
      </c>
      <c r="P778" s="12" t="n">
        <v>1300</v>
      </c>
      <c r="Q778" s="12" t="n">
        <v>200</v>
      </c>
      <c r="R778" s="13">
        <f>IF(ISNUMBER(M778),ROUND(M778/(1-Settings!$B$2)/Settings!$B$3,0)*Settings!$B$3,"")</f>
        <v/>
      </c>
      <c r="S778" s="13">
        <f>IF(ISNUMBER(N778),ROUND(N778/(1-Settings!$B$2)/Settings!$B$3,0)*Settings!$B$3,"")</f>
        <v/>
      </c>
      <c r="T778" s="13">
        <f>IF(ISNUMBER(O778),ROUND(O778/(1-Settings!$B$2)/Settings!$B$3,0)*Settings!$B$3,"")</f>
        <v/>
      </c>
      <c r="U778" s="13">
        <f>IF(ISNUMBER(P778),ROUND(P778/(1-Settings!$B$2)/Settings!$B$3,0)*Settings!$B$3,"")</f>
        <v/>
      </c>
      <c r="V778" s="13">
        <f>IF(ISNUMBER(Q778),ROUND(Q778/(1-Settings!$B$2)/Settings!$B$3,0)*Settings!$B$3,"")</f>
        <v/>
      </c>
      <c r="W778" s="14" t="n">
        <v>15214</v>
      </c>
      <c r="X778" s="14" t="n">
        <v>18081</v>
      </c>
      <c r="Y778" s="11" t="inlineStr"/>
      <c r="Z778" s="11" t="inlineStr"/>
      <c r="AA778" s="8" t="inlineStr"/>
      <c r="AB778" s="8" t="inlineStr"/>
      <c r="AC778" s="11" t="inlineStr">
        <is>
          <t>MasterMilitaryOnBaseList 12.2.25 NS.xlsx</t>
        </is>
      </c>
      <c r="AD778" s="11" t="inlineStr">
        <is>
          <t>MWR Sponsorship &amp; Advertising Price Guide.pdf</t>
        </is>
      </c>
      <c r="AE778" s="15" t="inlineStr">
        <is>
          <t>Open in Box</t>
        </is>
      </c>
      <c r="AF778" s="15" t="inlineStr">
        <is>
          <t>Open in Box</t>
        </is>
      </c>
    </row>
    <row r="779">
      <c r="A779" s="11" t="inlineStr">
        <is>
          <t>KS-FORTRILE-027</t>
        </is>
      </c>
      <c r="B779" s="8" t="inlineStr">
        <is>
          <t>Fort Riley</t>
        </is>
      </c>
      <c r="C779" s="11" t="inlineStr"/>
      <c r="D779" s="11" t="inlineStr">
        <is>
          <t>KS</t>
        </is>
      </c>
      <c r="E779" s="11" t="inlineStr">
        <is>
          <t>Topeka</t>
        </is>
      </c>
      <c r="F779" s="11" t="inlineStr">
        <is>
          <t>66442</t>
        </is>
      </c>
      <c r="G779" s="11" t="inlineStr">
        <is>
          <t>Army</t>
        </is>
      </c>
      <c r="H779" s="11" t="inlineStr">
        <is>
          <t>Large Format</t>
        </is>
      </c>
      <c r="I779" s="8" t="inlineStr">
        <is>
          <t>Banner - Trooper Drive Fence</t>
        </is>
      </c>
      <c r="J779" s="11" t="inlineStr">
        <is>
          <t>36" x 96"</t>
        </is>
      </c>
      <c r="K779" s="8" t="inlineStr">
        <is>
          <t>Your ad will appear at the King Field House on the installation.</t>
        </is>
      </c>
      <c r="L779" s="11" t="n">
        <v>1</v>
      </c>
      <c r="M779" s="12" t="n">
        <v>125</v>
      </c>
      <c r="N779" s="12" t="n">
        <v>275</v>
      </c>
      <c r="O779" s="12" t="n">
        <v>525</v>
      </c>
      <c r="P779" s="12" t="n">
        <v>950</v>
      </c>
      <c r="Q779" s="12" t="n">
        <v>200</v>
      </c>
      <c r="R779" s="13">
        <f>IF(ISNUMBER(M779),ROUND(M779/(1-Settings!$B$2)/Settings!$B$3,0)*Settings!$B$3,"")</f>
        <v/>
      </c>
      <c r="S779" s="13">
        <f>IF(ISNUMBER(N779),ROUND(N779/(1-Settings!$B$2)/Settings!$B$3,0)*Settings!$B$3,"")</f>
        <v/>
      </c>
      <c r="T779" s="13">
        <f>IF(ISNUMBER(O779),ROUND(O779/(1-Settings!$B$2)/Settings!$B$3,0)*Settings!$B$3,"")</f>
        <v/>
      </c>
      <c r="U779" s="13">
        <f>IF(ISNUMBER(P779),ROUND(P779/(1-Settings!$B$2)/Settings!$B$3,0)*Settings!$B$3,"")</f>
        <v/>
      </c>
      <c r="V779" s="13">
        <f>IF(ISNUMBER(Q779),ROUND(Q779/(1-Settings!$B$2)/Settings!$B$3,0)*Settings!$B$3,"")</f>
        <v/>
      </c>
      <c r="W779" s="14" t="n">
        <v>15214</v>
      </c>
      <c r="X779" s="14" t="n">
        <v>18081</v>
      </c>
      <c r="Y779" s="11" t="inlineStr"/>
      <c r="Z779" s="11" t="inlineStr"/>
      <c r="AA779" s="8" t="inlineStr"/>
      <c r="AB779" s="8" t="inlineStr"/>
      <c r="AC779" s="11" t="inlineStr">
        <is>
          <t>MasterMilitaryOnBaseList 12.2.25 NS.xlsx</t>
        </is>
      </c>
      <c r="AD779" s="11" t="inlineStr">
        <is>
          <t>MWR Sponsorship &amp; Advertising Price Guide.pdf</t>
        </is>
      </c>
      <c r="AE779" s="15" t="inlineStr">
        <is>
          <t>Open in Box</t>
        </is>
      </c>
      <c r="AF779" s="15" t="inlineStr">
        <is>
          <t>Open in Box</t>
        </is>
      </c>
    </row>
    <row r="780">
      <c r="A780" s="11" t="inlineStr">
        <is>
          <t>KS-FORTRILE-028</t>
        </is>
      </c>
      <c r="B780" s="8" t="inlineStr">
        <is>
          <t>Fort Riley</t>
        </is>
      </c>
      <c r="C780" s="11" t="inlineStr"/>
      <c r="D780" s="11" t="inlineStr">
        <is>
          <t>KS</t>
        </is>
      </c>
      <c r="E780" s="11" t="inlineStr">
        <is>
          <t>Topeka</t>
        </is>
      </c>
      <c r="F780" s="11" t="inlineStr">
        <is>
          <t>66442</t>
        </is>
      </c>
      <c r="G780" s="11" t="inlineStr">
        <is>
          <t>Army</t>
        </is>
      </c>
      <c r="H780" s="11" t="inlineStr">
        <is>
          <t>Large Format</t>
        </is>
      </c>
      <c r="I780" s="8" t="inlineStr">
        <is>
          <t>Banners - All locations (Both sports and business locations)</t>
        </is>
      </c>
      <c r="J780" s="11" t="inlineStr">
        <is>
          <t>36" x 96"</t>
        </is>
      </c>
      <c r="K780" s="8" t="inlineStr">
        <is>
          <t>Your ad will appear in all locations from the indoor sports and business banner packages.</t>
        </is>
      </c>
      <c r="L780" s="11" t="n">
        <v>3</v>
      </c>
      <c r="M780" s="12" t="n"/>
      <c r="N780" s="12" t="n">
        <v>3150</v>
      </c>
      <c r="O780" s="12" t="n">
        <v>5930</v>
      </c>
      <c r="P780" s="12" t="n">
        <v>10780</v>
      </c>
      <c r="Q780" s="12" t="n">
        <v>200</v>
      </c>
      <c r="R780" s="13">
        <f>IF(ISNUMBER(M780),ROUND(M780/(1-Settings!$B$2)/Settings!$B$3,0)*Settings!$B$3,"")</f>
        <v/>
      </c>
      <c r="S780" s="13">
        <f>IF(ISNUMBER(N780),ROUND(N780/(1-Settings!$B$2)/Settings!$B$3,0)*Settings!$B$3,"")</f>
        <v/>
      </c>
      <c r="T780" s="13">
        <f>IF(ISNUMBER(O780),ROUND(O780/(1-Settings!$B$2)/Settings!$B$3,0)*Settings!$B$3,"")</f>
        <v/>
      </c>
      <c r="U780" s="13">
        <f>IF(ISNUMBER(P780),ROUND(P780/(1-Settings!$B$2)/Settings!$B$3,0)*Settings!$B$3,"")</f>
        <v/>
      </c>
      <c r="V780" s="13">
        <f>IF(ISNUMBER(Q780),ROUND(Q780/(1-Settings!$B$2)/Settings!$B$3,0)*Settings!$B$3,"")</f>
        <v/>
      </c>
      <c r="W780" s="14" t="n">
        <v>15214</v>
      </c>
      <c r="X780" s="14" t="n">
        <v>18081</v>
      </c>
      <c r="Y780" s="11" t="inlineStr"/>
      <c r="Z780" s="11" t="inlineStr"/>
      <c r="AA780" s="8" t="inlineStr"/>
      <c r="AB780" s="8" t="inlineStr"/>
      <c r="AC780" s="11" t="inlineStr">
        <is>
          <t>MasterMilitaryOnBaseList 12.2.25 NS.xlsx</t>
        </is>
      </c>
      <c r="AD780" s="11" t="inlineStr">
        <is>
          <t>MWR Sponsorship &amp; Advertising Price Guide.pdf</t>
        </is>
      </c>
      <c r="AE780" s="15" t="inlineStr">
        <is>
          <t>Open in Box</t>
        </is>
      </c>
      <c r="AF780" s="15" t="inlineStr">
        <is>
          <t>Open in Box</t>
        </is>
      </c>
    </row>
    <row r="781">
      <c r="A781" s="11" t="inlineStr">
        <is>
          <t>KS-FORTRILE-029</t>
        </is>
      </c>
      <c r="B781" s="8" t="inlineStr">
        <is>
          <t>Fort Riley</t>
        </is>
      </c>
      <c r="C781" s="11" t="inlineStr"/>
      <c r="D781" s="11" t="inlineStr">
        <is>
          <t>KS</t>
        </is>
      </c>
      <c r="E781" s="11" t="inlineStr">
        <is>
          <t>Topeka</t>
        </is>
      </c>
      <c r="F781" s="11" t="inlineStr">
        <is>
          <t>66442</t>
        </is>
      </c>
      <c r="G781" s="11" t="inlineStr">
        <is>
          <t>Army</t>
        </is>
      </c>
      <c r="H781" s="11" t="inlineStr">
        <is>
          <t>Large Format</t>
        </is>
      </c>
      <c r="I781" s="8" t="inlineStr">
        <is>
          <t>Business Banner Package</t>
        </is>
      </c>
      <c r="J781" s="11" t="inlineStr">
        <is>
          <t>36" x 96"</t>
        </is>
      </c>
      <c r="K781" s="8" t="inlineStr">
        <is>
          <t>Your ad will appear in five approved locations on the installation).</t>
        </is>
      </c>
      <c r="L781" s="11" t="n">
        <v>3</v>
      </c>
      <c r="M781" s="12" t="n"/>
      <c r="N781" s="12" t="n">
        <v>1580</v>
      </c>
      <c r="O781" s="12" t="n">
        <v>2980</v>
      </c>
      <c r="P781" s="12" t="n">
        <v>5400</v>
      </c>
      <c r="Q781" s="12" t="n">
        <v>200</v>
      </c>
      <c r="R781" s="13">
        <f>IF(ISNUMBER(M781),ROUND(M781/(1-Settings!$B$2)/Settings!$B$3,0)*Settings!$B$3,"")</f>
        <v/>
      </c>
      <c r="S781" s="13">
        <f>IF(ISNUMBER(N781),ROUND(N781/(1-Settings!$B$2)/Settings!$B$3,0)*Settings!$B$3,"")</f>
        <v/>
      </c>
      <c r="T781" s="13">
        <f>IF(ISNUMBER(O781),ROUND(O781/(1-Settings!$B$2)/Settings!$B$3,0)*Settings!$B$3,"")</f>
        <v/>
      </c>
      <c r="U781" s="13">
        <f>IF(ISNUMBER(P781),ROUND(P781/(1-Settings!$B$2)/Settings!$B$3,0)*Settings!$B$3,"")</f>
        <v/>
      </c>
      <c r="V781" s="13">
        <f>IF(ISNUMBER(Q781),ROUND(Q781/(1-Settings!$B$2)/Settings!$B$3,0)*Settings!$B$3,"")</f>
        <v/>
      </c>
      <c r="W781" s="14" t="n">
        <v>15214</v>
      </c>
      <c r="X781" s="14" t="n">
        <v>18081</v>
      </c>
      <c r="Y781" s="11" t="inlineStr"/>
      <c r="Z781" s="11" t="inlineStr"/>
      <c r="AA781" s="8" t="inlineStr"/>
      <c r="AB781" s="8" t="inlineStr"/>
      <c r="AC781" s="11" t="inlineStr">
        <is>
          <t>MasterMilitaryOnBaseList 12.2.25 NS.xlsx</t>
        </is>
      </c>
      <c r="AD781" s="11" t="inlineStr">
        <is>
          <t>MWR Sponsorship &amp; Advertising Price Guide.pdf</t>
        </is>
      </c>
      <c r="AE781" s="15" t="inlineStr">
        <is>
          <t>Open in Box</t>
        </is>
      </c>
      <c r="AF781" s="15" t="inlineStr">
        <is>
          <t>Open in Box</t>
        </is>
      </c>
    </row>
    <row r="782">
      <c r="A782" s="11" t="inlineStr">
        <is>
          <t>KS-FORTRILE-030</t>
        </is>
      </c>
      <c r="B782" s="8" t="inlineStr">
        <is>
          <t>Fort Riley</t>
        </is>
      </c>
      <c r="C782" s="11" t="inlineStr"/>
      <c r="D782" s="11" t="inlineStr">
        <is>
          <t>KS</t>
        </is>
      </c>
      <c r="E782" s="11" t="inlineStr">
        <is>
          <t>Topeka</t>
        </is>
      </c>
      <c r="F782" s="11" t="inlineStr">
        <is>
          <t>66442</t>
        </is>
      </c>
      <c r="G782" s="11" t="inlineStr">
        <is>
          <t>Army</t>
        </is>
      </c>
      <c r="H782" s="11" t="inlineStr">
        <is>
          <t>Large Format</t>
        </is>
      </c>
      <c r="I782" s="8" t="inlineStr">
        <is>
          <t>Counter Wrap - Adventure Park Snack Bar</t>
        </is>
      </c>
      <c r="J782" s="11" t="inlineStr">
        <is>
          <t>36" x 108"</t>
        </is>
      </c>
      <c r="K782" s="8" t="inlineStr">
        <is>
          <t>Your ad will appear on a counter in the Adventure Park Snack Bar on the installation.</t>
        </is>
      </c>
      <c r="L782" s="11" t="n">
        <v>12</v>
      </c>
      <c r="M782" s="12" t="n"/>
      <c r="N782" s="12" t="n"/>
      <c r="O782" s="12" t="n"/>
      <c r="P782" s="12" t="n">
        <v>3250</v>
      </c>
      <c r="Q782" s="12" t="n"/>
      <c r="R782" s="13">
        <f>IF(ISNUMBER(M782),ROUND(M782/(1-Settings!$B$2)/Settings!$B$3,0)*Settings!$B$3,"")</f>
        <v/>
      </c>
      <c r="S782" s="13">
        <f>IF(ISNUMBER(N782),ROUND(N782/(1-Settings!$B$2)/Settings!$B$3,0)*Settings!$B$3,"")</f>
        <v/>
      </c>
      <c r="T782" s="13">
        <f>IF(ISNUMBER(O782),ROUND(O782/(1-Settings!$B$2)/Settings!$B$3,0)*Settings!$B$3,"")</f>
        <v/>
      </c>
      <c r="U782" s="13">
        <f>IF(ISNUMBER(P782),ROUND(P782/(1-Settings!$B$2)/Settings!$B$3,0)*Settings!$B$3,"")</f>
        <v/>
      </c>
      <c r="V782" s="13">
        <f>IF(ISNUMBER(Q782),ROUND(Q782/(1-Settings!$B$2)/Settings!$B$3,0)*Settings!$B$3,"")</f>
        <v/>
      </c>
      <c r="W782" s="14" t="n">
        <v>15214</v>
      </c>
      <c r="X782" s="14" t="n">
        <v>18081</v>
      </c>
      <c r="Y782" s="11" t="inlineStr"/>
      <c r="Z782" s="11" t="inlineStr"/>
      <c r="AA782" s="8" t="inlineStr"/>
      <c r="AB782" s="8" t="inlineStr"/>
      <c r="AC782" s="11" t="inlineStr">
        <is>
          <t>MasterMilitaryOnBaseList 12.2.25 NS.xlsx</t>
        </is>
      </c>
      <c r="AD782" s="11" t="inlineStr">
        <is>
          <t>MWR Sponsorship &amp; Advertising Price Guide.pdf</t>
        </is>
      </c>
      <c r="AE782" s="15" t="inlineStr">
        <is>
          <t>Open in Box</t>
        </is>
      </c>
      <c r="AF782" s="15" t="inlineStr">
        <is>
          <t>Open in Box</t>
        </is>
      </c>
    </row>
    <row r="783">
      <c r="A783" s="11" t="inlineStr">
        <is>
          <t>KS-FORTRILE-031</t>
        </is>
      </c>
      <c r="B783" s="8" t="inlineStr">
        <is>
          <t>Fort Riley</t>
        </is>
      </c>
      <c r="C783" s="11" t="inlineStr"/>
      <c r="D783" s="11" t="inlineStr">
        <is>
          <t>KS</t>
        </is>
      </c>
      <c r="E783" s="11" t="inlineStr">
        <is>
          <t>Topeka</t>
        </is>
      </c>
      <c r="F783" s="11" t="inlineStr">
        <is>
          <t>66442</t>
        </is>
      </c>
      <c r="G783" s="11" t="inlineStr">
        <is>
          <t>Army</t>
        </is>
      </c>
      <c r="H783" s="11" t="inlineStr">
        <is>
          <t>Large Format</t>
        </is>
      </c>
      <c r="I783" s="8" t="inlineStr">
        <is>
          <t>Counter Wrap - Auto Skills Center</t>
        </is>
      </c>
      <c r="J783" s="11" t="inlineStr">
        <is>
          <t>28.5" x 223"</t>
        </is>
      </c>
      <c r="K783" s="8" t="inlineStr">
        <is>
          <t>Your ad will appear on a counter in the Auto Skills Center on the installation.</t>
        </is>
      </c>
      <c r="L783" s="11" t="n">
        <v>12</v>
      </c>
      <c r="M783" s="12" t="n"/>
      <c r="N783" s="12" t="n"/>
      <c r="O783" s="12" t="n"/>
      <c r="P783" s="12" t="n">
        <v>1500</v>
      </c>
      <c r="Q783" s="12" t="n"/>
      <c r="R783" s="13">
        <f>IF(ISNUMBER(M783),ROUND(M783/(1-Settings!$B$2)/Settings!$B$3,0)*Settings!$B$3,"")</f>
        <v/>
      </c>
      <c r="S783" s="13">
        <f>IF(ISNUMBER(N783),ROUND(N783/(1-Settings!$B$2)/Settings!$B$3,0)*Settings!$B$3,"")</f>
        <v/>
      </c>
      <c r="T783" s="13">
        <f>IF(ISNUMBER(O783),ROUND(O783/(1-Settings!$B$2)/Settings!$B$3,0)*Settings!$B$3,"")</f>
        <v/>
      </c>
      <c r="U783" s="13">
        <f>IF(ISNUMBER(P783),ROUND(P783/(1-Settings!$B$2)/Settings!$B$3,0)*Settings!$B$3,"")</f>
        <v/>
      </c>
      <c r="V783" s="13">
        <f>IF(ISNUMBER(Q783),ROUND(Q783/(1-Settings!$B$2)/Settings!$B$3,0)*Settings!$B$3,"")</f>
        <v/>
      </c>
      <c r="W783" s="14" t="n">
        <v>15214</v>
      </c>
      <c r="X783" s="14" t="n">
        <v>18081</v>
      </c>
      <c r="Y783" s="11" t="inlineStr"/>
      <c r="Z783" s="11" t="inlineStr"/>
      <c r="AA783" s="8" t="inlineStr"/>
      <c r="AB783" s="8" t="inlineStr"/>
      <c r="AC783" s="11" t="inlineStr">
        <is>
          <t>MasterMilitaryOnBaseList 12.2.25 NS.xlsx</t>
        </is>
      </c>
      <c r="AD783" s="11" t="inlineStr">
        <is>
          <t>MWR Sponsorship &amp; Advertising Price Guide.pdf</t>
        </is>
      </c>
      <c r="AE783" s="15" t="inlineStr">
        <is>
          <t>Open in Box</t>
        </is>
      </c>
      <c r="AF783" s="15" t="inlineStr">
        <is>
          <t>Open in Box</t>
        </is>
      </c>
    </row>
    <row r="784">
      <c r="A784" s="11" t="inlineStr">
        <is>
          <t>KS-FORTRILE-032</t>
        </is>
      </c>
      <c r="B784" s="8" t="inlineStr">
        <is>
          <t>Fort Riley</t>
        </is>
      </c>
      <c r="C784" s="11" t="inlineStr"/>
      <c r="D784" s="11" t="inlineStr">
        <is>
          <t>KS</t>
        </is>
      </c>
      <c r="E784" s="11" t="inlineStr">
        <is>
          <t>Topeka</t>
        </is>
      </c>
      <c r="F784" s="11" t="inlineStr">
        <is>
          <t>66442</t>
        </is>
      </c>
      <c r="G784" s="11" t="inlineStr">
        <is>
          <t>Army</t>
        </is>
      </c>
      <c r="H784" s="11" t="inlineStr">
        <is>
          <t>Large Format</t>
        </is>
      </c>
      <c r="I784" s="8" t="inlineStr">
        <is>
          <t>Counter Wrap - Child Development Centers</t>
        </is>
      </c>
      <c r="J784" s="11" t="inlineStr">
        <is>
          <t>Varies</t>
        </is>
      </c>
      <c r="K784" s="8" t="inlineStr">
        <is>
          <t>Your ad will appear on a counter in the Child Development Centers on the installation.</t>
        </is>
      </c>
      <c r="L784" s="11" t="n">
        <v>12</v>
      </c>
      <c r="M784" s="12" t="n"/>
      <c r="N784" s="12" t="n"/>
      <c r="O784" s="12" t="n"/>
      <c r="P784" s="12" t="n">
        <v>2500</v>
      </c>
      <c r="Q784" s="12" t="n"/>
      <c r="R784" s="13">
        <f>IF(ISNUMBER(M784),ROUND(M784/(1-Settings!$B$2)/Settings!$B$3,0)*Settings!$B$3,"")</f>
        <v/>
      </c>
      <c r="S784" s="13">
        <f>IF(ISNUMBER(N784),ROUND(N784/(1-Settings!$B$2)/Settings!$B$3,0)*Settings!$B$3,"")</f>
        <v/>
      </c>
      <c r="T784" s="13">
        <f>IF(ISNUMBER(O784),ROUND(O784/(1-Settings!$B$2)/Settings!$B$3,0)*Settings!$B$3,"")</f>
        <v/>
      </c>
      <c r="U784" s="13">
        <f>IF(ISNUMBER(P784),ROUND(P784/(1-Settings!$B$2)/Settings!$B$3,0)*Settings!$B$3,"")</f>
        <v/>
      </c>
      <c r="V784" s="13">
        <f>IF(ISNUMBER(Q784),ROUND(Q784/(1-Settings!$B$2)/Settings!$B$3,0)*Settings!$B$3,"")</f>
        <v/>
      </c>
      <c r="W784" s="14" t="n">
        <v>15214</v>
      </c>
      <c r="X784" s="14" t="n">
        <v>18081</v>
      </c>
      <c r="Y784" s="11" t="inlineStr"/>
      <c r="Z784" s="11" t="inlineStr"/>
      <c r="AA784" s="8" t="inlineStr"/>
      <c r="AB784" s="8" t="inlineStr"/>
      <c r="AC784" s="11" t="inlineStr">
        <is>
          <t>MasterMilitaryOnBaseList 12.2.25 NS.xlsx</t>
        </is>
      </c>
      <c r="AD784" s="11" t="inlineStr">
        <is>
          <t>MWR Sponsorship &amp; Advertising Price Guide.pdf</t>
        </is>
      </c>
      <c r="AE784" s="15" t="inlineStr">
        <is>
          <t>Open in Box</t>
        </is>
      </c>
      <c r="AF784" s="15" t="inlineStr">
        <is>
          <t>Open in Box</t>
        </is>
      </c>
    </row>
    <row r="785">
      <c r="A785" s="11" t="inlineStr">
        <is>
          <t>KS-FORTRILE-033</t>
        </is>
      </c>
      <c r="B785" s="8" t="inlineStr">
        <is>
          <t>Fort Riley</t>
        </is>
      </c>
      <c r="C785" s="11" t="inlineStr"/>
      <c r="D785" s="11" t="inlineStr">
        <is>
          <t>KS</t>
        </is>
      </c>
      <c r="E785" s="11" t="inlineStr">
        <is>
          <t>Topeka</t>
        </is>
      </c>
      <c r="F785" s="11" t="inlineStr">
        <is>
          <t>66442</t>
        </is>
      </c>
      <c r="G785" s="11" t="inlineStr">
        <is>
          <t>Army</t>
        </is>
      </c>
      <c r="H785" s="11" t="inlineStr">
        <is>
          <t>Large Format</t>
        </is>
      </c>
      <c r="I785" s="8" t="inlineStr">
        <is>
          <t>Counter Wrap - Craig Fitness Center</t>
        </is>
      </c>
      <c r="J785" s="11" t="inlineStr">
        <is>
          <t>30" x 144"</t>
        </is>
      </c>
      <c r="K785" s="8" t="inlineStr">
        <is>
          <t>Your ad will appear on a counter in the Craig Fitness Center on the installation.</t>
        </is>
      </c>
      <c r="L785" s="11" t="n">
        <v>12</v>
      </c>
      <c r="M785" s="12" t="n"/>
      <c r="N785" s="12" t="n"/>
      <c r="O785" s="12" t="n"/>
      <c r="P785" s="12" t="n">
        <v>3250</v>
      </c>
      <c r="Q785" s="12" t="n"/>
      <c r="R785" s="13">
        <f>IF(ISNUMBER(M785),ROUND(M785/(1-Settings!$B$2)/Settings!$B$3,0)*Settings!$B$3,"")</f>
        <v/>
      </c>
      <c r="S785" s="13">
        <f>IF(ISNUMBER(N785),ROUND(N785/(1-Settings!$B$2)/Settings!$B$3,0)*Settings!$B$3,"")</f>
        <v/>
      </c>
      <c r="T785" s="13">
        <f>IF(ISNUMBER(O785),ROUND(O785/(1-Settings!$B$2)/Settings!$B$3,0)*Settings!$B$3,"")</f>
        <v/>
      </c>
      <c r="U785" s="13">
        <f>IF(ISNUMBER(P785),ROUND(P785/(1-Settings!$B$2)/Settings!$B$3,0)*Settings!$B$3,"")</f>
        <v/>
      </c>
      <c r="V785" s="13">
        <f>IF(ISNUMBER(Q785),ROUND(Q785/(1-Settings!$B$2)/Settings!$B$3,0)*Settings!$B$3,"")</f>
        <v/>
      </c>
      <c r="W785" s="14" t="n">
        <v>15214</v>
      </c>
      <c r="X785" s="14" t="n">
        <v>18081</v>
      </c>
      <c r="Y785" s="11" t="inlineStr"/>
      <c r="Z785" s="11" t="inlineStr"/>
      <c r="AA785" s="8" t="inlineStr"/>
      <c r="AB785" s="8" t="inlineStr"/>
      <c r="AC785" s="11" t="inlineStr">
        <is>
          <t>MasterMilitaryOnBaseList 12.2.25 NS.xlsx</t>
        </is>
      </c>
      <c r="AD785" s="11" t="inlineStr">
        <is>
          <t>MWR Sponsorship &amp; Advertising Price Guide.pdf</t>
        </is>
      </c>
      <c r="AE785" s="15" t="inlineStr">
        <is>
          <t>Open in Box</t>
        </is>
      </c>
      <c r="AF785" s="15" t="inlineStr">
        <is>
          <t>Open in Box</t>
        </is>
      </c>
    </row>
    <row r="786">
      <c r="A786" s="11" t="inlineStr">
        <is>
          <t>KS-FORTRILE-034</t>
        </is>
      </c>
      <c r="B786" s="8" t="inlineStr">
        <is>
          <t>Fort Riley</t>
        </is>
      </c>
      <c r="C786" s="11" t="inlineStr"/>
      <c r="D786" s="11" t="inlineStr">
        <is>
          <t>KS</t>
        </is>
      </c>
      <c r="E786" s="11" t="inlineStr">
        <is>
          <t>Topeka</t>
        </is>
      </c>
      <c r="F786" s="11" t="inlineStr">
        <is>
          <t>66442</t>
        </is>
      </c>
      <c r="G786" s="11" t="inlineStr">
        <is>
          <t>Army</t>
        </is>
      </c>
      <c r="H786" s="11" t="inlineStr">
        <is>
          <t>Large Format</t>
        </is>
      </c>
      <c r="I786" s="8" t="inlineStr">
        <is>
          <t>Counter Wrap - Fort Riley Post Library</t>
        </is>
      </c>
      <c r="J786" s="11" t="inlineStr">
        <is>
          <t>143" x 29"</t>
        </is>
      </c>
      <c r="K786" s="8" t="inlineStr">
        <is>
          <t>Your ad will appear on a counter in the Fort Riley Post Library on the installation.</t>
        </is>
      </c>
      <c r="L786" s="11" t="n">
        <v>12</v>
      </c>
      <c r="M786" s="12" t="n"/>
      <c r="N786" s="12" t="n"/>
      <c r="O786" s="12" t="n"/>
      <c r="P786" s="12" t="n">
        <v>2500</v>
      </c>
      <c r="Q786" s="12" t="n"/>
      <c r="R786" s="13">
        <f>IF(ISNUMBER(M786),ROUND(M786/(1-Settings!$B$2)/Settings!$B$3,0)*Settings!$B$3,"")</f>
        <v/>
      </c>
      <c r="S786" s="13">
        <f>IF(ISNUMBER(N786),ROUND(N786/(1-Settings!$B$2)/Settings!$B$3,0)*Settings!$B$3,"")</f>
        <v/>
      </c>
      <c r="T786" s="13">
        <f>IF(ISNUMBER(O786),ROUND(O786/(1-Settings!$B$2)/Settings!$B$3,0)*Settings!$B$3,"")</f>
        <v/>
      </c>
      <c r="U786" s="13">
        <f>IF(ISNUMBER(P786),ROUND(P786/(1-Settings!$B$2)/Settings!$B$3,0)*Settings!$B$3,"")</f>
        <v/>
      </c>
      <c r="V786" s="13">
        <f>IF(ISNUMBER(Q786),ROUND(Q786/(1-Settings!$B$2)/Settings!$B$3,0)*Settings!$B$3,"")</f>
        <v/>
      </c>
      <c r="W786" s="14" t="n">
        <v>15214</v>
      </c>
      <c r="X786" s="14" t="n">
        <v>18081</v>
      </c>
      <c r="Y786" s="11" t="inlineStr"/>
      <c r="Z786" s="11" t="inlineStr"/>
      <c r="AA786" s="8" t="inlineStr"/>
      <c r="AB786" s="8" t="inlineStr"/>
      <c r="AC786" s="11" t="inlineStr">
        <is>
          <t>MasterMilitaryOnBaseList 12.2.25 NS.xlsx</t>
        </is>
      </c>
      <c r="AD786" s="11" t="inlineStr">
        <is>
          <t>MWR Sponsorship &amp; Advertising Price Guide.pdf</t>
        </is>
      </c>
      <c r="AE786" s="15" t="inlineStr">
        <is>
          <t>Open in Box</t>
        </is>
      </c>
      <c r="AF786" s="15" t="inlineStr">
        <is>
          <t>Open in Box</t>
        </is>
      </c>
    </row>
    <row r="787">
      <c r="A787" s="11" t="inlineStr">
        <is>
          <t>KS-FORTRILE-035</t>
        </is>
      </c>
      <c r="B787" s="8" t="inlineStr">
        <is>
          <t>Fort Riley</t>
        </is>
      </c>
      <c r="C787" s="11" t="inlineStr"/>
      <c r="D787" s="11" t="inlineStr">
        <is>
          <t>KS</t>
        </is>
      </c>
      <c r="E787" s="11" t="inlineStr">
        <is>
          <t>Topeka</t>
        </is>
      </c>
      <c r="F787" s="11" t="inlineStr">
        <is>
          <t>66442</t>
        </is>
      </c>
      <c r="G787" s="11" t="inlineStr">
        <is>
          <t>Army</t>
        </is>
      </c>
      <c r="H787" s="11" t="inlineStr">
        <is>
          <t>Large Format</t>
        </is>
      </c>
      <c r="I787" s="8" t="inlineStr">
        <is>
          <t>Counter Wrap - Hobby Studio</t>
        </is>
      </c>
      <c r="J787" s="11" t="inlineStr">
        <is>
          <t>36" x 72"</t>
        </is>
      </c>
      <c r="K787" s="8" t="inlineStr">
        <is>
          <t>Your ad will appear on a counter in the Hobby Studio on the installation.</t>
        </is>
      </c>
      <c r="L787" s="11" t="n">
        <v>12</v>
      </c>
      <c r="M787" s="12" t="n"/>
      <c r="N787" s="12" t="n"/>
      <c r="O787" s="12" t="n"/>
      <c r="P787" s="12" t="n">
        <v>1500</v>
      </c>
      <c r="Q787" s="12" t="n"/>
      <c r="R787" s="13">
        <f>IF(ISNUMBER(M787),ROUND(M787/(1-Settings!$B$2)/Settings!$B$3,0)*Settings!$B$3,"")</f>
        <v/>
      </c>
      <c r="S787" s="13">
        <f>IF(ISNUMBER(N787),ROUND(N787/(1-Settings!$B$2)/Settings!$B$3,0)*Settings!$B$3,"")</f>
        <v/>
      </c>
      <c r="T787" s="13">
        <f>IF(ISNUMBER(O787),ROUND(O787/(1-Settings!$B$2)/Settings!$B$3,0)*Settings!$B$3,"")</f>
        <v/>
      </c>
      <c r="U787" s="13">
        <f>IF(ISNUMBER(P787),ROUND(P787/(1-Settings!$B$2)/Settings!$B$3,0)*Settings!$B$3,"")</f>
        <v/>
      </c>
      <c r="V787" s="13">
        <f>IF(ISNUMBER(Q787),ROUND(Q787/(1-Settings!$B$2)/Settings!$B$3,0)*Settings!$B$3,"")</f>
        <v/>
      </c>
      <c r="W787" s="14" t="n">
        <v>15214</v>
      </c>
      <c r="X787" s="14" t="n">
        <v>18081</v>
      </c>
      <c r="Y787" s="11" t="inlineStr"/>
      <c r="Z787" s="11" t="inlineStr"/>
      <c r="AA787" s="8" t="inlineStr"/>
      <c r="AB787" s="8" t="inlineStr"/>
      <c r="AC787" s="11" t="inlineStr">
        <is>
          <t>MasterMilitaryOnBaseList 12.2.25 NS.xlsx</t>
        </is>
      </c>
      <c r="AD787" s="11" t="inlineStr">
        <is>
          <t>MWR Sponsorship &amp; Advertising Price Guide.pdf</t>
        </is>
      </c>
      <c r="AE787" s="15" t="inlineStr">
        <is>
          <t>Open in Box</t>
        </is>
      </c>
      <c r="AF787" s="15" t="inlineStr">
        <is>
          <t>Open in Box</t>
        </is>
      </c>
    </row>
    <row r="788">
      <c r="A788" s="11" t="inlineStr">
        <is>
          <t>KS-FORTRILE-036</t>
        </is>
      </c>
      <c r="B788" s="8" t="inlineStr">
        <is>
          <t>Fort Riley</t>
        </is>
      </c>
      <c r="C788" s="11" t="inlineStr"/>
      <c r="D788" s="11" t="inlineStr">
        <is>
          <t>KS</t>
        </is>
      </c>
      <c r="E788" s="11" t="inlineStr">
        <is>
          <t>Topeka</t>
        </is>
      </c>
      <c r="F788" s="11" t="inlineStr">
        <is>
          <t>66442</t>
        </is>
      </c>
      <c r="G788" s="11" t="inlineStr">
        <is>
          <t>Army</t>
        </is>
      </c>
      <c r="H788" s="11" t="inlineStr">
        <is>
          <t>Large Format</t>
        </is>
      </c>
      <c r="I788" s="8" t="inlineStr">
        <is>
          <t>Counter Wrap - King Field House</t>
        </is>
      </c>
      <c r="J788" s="11" t="inlineStr">
        <is>
          <t>36" x 120"</t>
        </is>
      </c>
      <c r="K788" s="8" t="inlineStr">
        <is>
          <t>Your ad will appear on a counter in the King Field House on the installation.</t>
        </is>
      </c>
      <c r="L788" s="11" t="n">
        <v>12</v>
      </c>
      <c r="M788" s="12" t="n"/>
      <c r="N788" s="12" t="n"/>
      <c r="O788" s="12" t="n"/>
      <c r="P788" s="12" t="n">
        <v>3250</v>
      </c>
      <c r="Q788" s="12" t="n"/>
      <c r="R788" s="13">
        <f>IF(ISNUMBER(M788),ROUND(M788/(1-Settings!$B$2)/Settings!$B$3,0)*Settings!$B$3,"")</f>
        <v/>
      </c>
      <c r="S788" s="13">
        <f>IF(ISNUMBER(N788),ROUND(N788/(1-Settings!$B$2)/Settings!$B$3,0)*Settings!$B$3,"")</f>
        <v/>
      </c>
      <c r="T788" s="13">
        <f>IF(ISNUMBER(O788),ROUND(O788/(1-Settings!$B$2)/Settings!$B$3,0)*Settings!$B$3,"")</f>
        <v/>
      </c>
      <c r="U788" s="13">
        <f>IF(ISNUMBER(P788),ROUND(P788/(1-Settings!$B$2)/Settings!$B$3,0)*Settings!$B$3,"")</f>
        <v/>
      </c>
      <c r="V788" s="13">
        <f>IF(ISNUMBER(Q788),ROUND(Q788/(1-Settings!$B$2)/Settings!$B$3,0)*Settings!$B$3,"")</f>
        <v/>
      </c>
      <c r="W788" s="14" t="n">
        <v>15214</v>
      </c>
      <c r="X788" s="14" t="n">
        <v>18081</v>
      </c>
      <c r="Y788" s="11" t="inlineStr"/>
      <c r="Z788" s="11" t="inlineStr"/>
      <c r="AA788" s="8" t="inlineStr"/>
      <c r="AB788" s="8" t="inlineStr"/>
      <c r="AC788" s="11" t="inlineStr">
        <is>
          <t>MasterMilitaryOnBaseList 12.2.25 NS.xlsx</t>
        </is>
      </c>
      <c r="AD788" s="11" t="inlineStr">
        <is>
          <t>MWR Sponsorship &amp; Advertising Price Guide.pdf</t>
        </is>
      </c>
      <c r="AE788" s="15" t="inlineStr">
        <is>
          <t>Open in Box</t>
        </is>
      </c>
      <c r="AF788" s="15" t="inlineStr">
        <is>
          <t>Open in Box</t>
        </is>
      </c>
    </row>
    <row r="789">
      <c r="A789" s="11" t="inlineStr">
        <is>
          <t>KS-FORTRILE-037</t>
        </is>
      </c>
      <c r="B789" s="8" t="inlineStr">
        <is>
          <t>Fort Riley</t>
        </is>
      </c>
      <c r="C789" s="11" t="inlineStr"/>
      <c r="D789" s="11" t="inlineStr">
        <is>
          <t>KS</t>
        </is>
      </c>
      <c r="E789" s="11" t="inlineStr">
        <is>
          <t>Topeka</t>
        </is>
      </c>
      <c r="F789" s="11" t="inlineStr">
        <is>
          <t>66442</t>
        </is>
      </c>
      <c r="G789" s="11" t="inlineStr">
        <is>
          <t>Army</t>
        </is>
      </c>
      <c r="H789" s="11" t="inlineStr">
        <is>
          <t>Large Format</t>
        </is>
      </c>
      <c r="I789" s="8" t="inlineStr">
        <is>
          <t>Counter Wrap - Leonard Fitness Center</t>
        </is>
      </c>
      <c r="J789" s="11" t="inlineStr">
        <is>
          <t>36" x 108"</t>
        </is>
      </c>
      <c r="K789" s="8" t="inlineStr">
        <is>
          <t>Your ad will appear on a counter in the Leonard Fitness Center on the installation.</t>
        </is>
      </c>
      <c r="L789" s="11" t="n">
        <v>12</v>
      </c>
      <c r="M789" s="12" t="n"/>
      <c r="N789" s="12" t="n"/>
      <c r="O789" s="12" t="n"/>
      <c r="P789" s="12" t="n">
        <v>3250</v>
      </c>
      <c r="Q789" s="12" t="n"/>
      <c r="R789" s="13">
        <f>IF(ISNUMBER(M789),ROUND(M789/(1-Settings!$B$2)/Settings!$B$3,0)*Settings!$B$3,"")</f>
        <v/>
      </c>
      <c r="S789" s="13">
        <f>IF(ISNUMBER(N789),ROUND(N789/(1-Settings!$B$2)/Settings!$B$3,0)*Settings!$B$3,"")</f>
        <v/>
      </c>
      <c r="T789" s="13">
        <f>IF(ISNUMBER(O789),ROUND(O789/(1-Settings!$B$2)/Settings!$B$3,0)*Settings!$B$3,"")</f>
        <v/>
      </c>
      <c r="U789" s="13">
        <f>IF(ISNUMBER(P789),ROUND(P789/(1-Settings!$B$2)/Settings!$B$3,0)*Settings!$B$3,"")</f>
        <v/>
      </c>
      <c r="V789" s="13">
        <f>IF(ISNUMBER(Q789),ROUND(Q789/(1-Settings!$B$2)/Settings!$B$3,0)*Settings!$B$3,"")</f>
        <v/>
      </c>
      <c r="W789" s="14" t="n">
        <v>15214</v>
      </c>
      <c r="X789" s="14" t="n">
        <v>18081</v>
      </c>
      <c r="Y789" s="11" t="inlineStr"/>
      <c r="Z789" s="11" t="inlineStr"/>
      <c r="AA789" s="8" t="inlineStr"/>
      <c r="AB789" s="8" t="inlineStr"/>
      <c r="AC789" s="11" t="inlineStr">
        <is>
          <t>MasterMilitaryOnBaseList 12.2.25 NS.xlsx</t>
        </is>
      </c>
      <c r="AD789" s="11" t="inlineStr">
        <is>
          <t>MWR Sponsorship &amp; Advertising Price Guide.pdf</t>
        </is>
      </c>
      <c r="AE789" s="15" t="inlineStr">
        <is>
          <t>Open in Box</t>
        </is>
      </c>
      <c r="AF789" s="15" t="inlineStr">
        <is>
          <t>Open in Box</t>
        </is>
      </c>
    </row>
    <row r="790">
      <c r="A790" s="11" t="inlineStr">
        <is>
          <t>KS-FORTRILE-038</t>
        </is>
      </c>
      <c r="B790" s="8" t="inlineStr">
        <is>
          <t>Fort Riley</t>
        </is>
      </c>
      <c r="C790" s="11" t="inlineStr"/>
      <c r="D790" s="11" t="inlineStr">
        <is>
          <t>KS</t>
        </is>
      </c>
      <c r="E790" s="11" t="inlineStr">
        <is>
          <t>Topeka</t>
        </is>
      </c>
      <c r="F790" s="11" t="inlineStr">
        <is>
          <t>66442</t>
        </is>
      </c>
      <c r="G790" s="11" t="inlineStr">
        <is>
          <t>Army</t>
        </is>
      </c>
      <c r="H790" s="11" t="inlineStr">
        <is>
          <t>Large Format</t>
        </is>
      </c>
      <c r="I790" s="8" t="inlineStr">
        <is>
          <t>Counter Wrap - Long Fitness Center</t>
        </is>
      </c>
      <c r="J790" s="11" t="inlineStr">
        <is>
          <t>42" x 114"</t>
        </is>
      </c>
      <c r="K790" s="8" t="inlineStr">
        <is>
          <t>Your ad will appear on a counter in the Long Fitness Center on the installation.</t>
        </is>
      </c>
      <c r="L790" s="11" t="n">
        <v>12</v>
      </c>
      <c r="M790" s="12" t="n"/>
      <c r="N790" s="12" t="n"/>
      <c r="O790" s="12" t="n"/>
      <c r="P790" s="12" t="n">
        <v>3250</v>
      </c>
      <c r="Q790" s="12" t="n"/>
      <c r="R790" s="13">
        <f>IF(ISNUMBER(M790),ROUND(M790/(1-Settings!$B$2)/Settings!$B$3,0)*Settings!$B$3,"")</f>
        <v/>
      </c>
      <c r="S790" s="13">
        <f>IF(ISNUMBER(N790),ROUND(N790/(1-Settings!$B$2)/Settings!$B$3,0)*Settings!$B$3,"")</f>
        <v/>
      </c>
      <c r="T790" s="13">
        <f>IF(ISNUMBER(O790),ROUND(O790/(1-Settings!$B$2)/Settings!$B$3,0)*Settings!$B$3,"")</f>
        <v/>
      </c>
      <c r="U790" s="13">
        <f>IF(ISNUMBER(P790),ROUND(P790/(1-Settings!$B$2)/Settings!$B$3,0)*Settings!$B$3,"")</f>
        <v/>
      </c>
      <c r="V790" s="13">
        <f>IF(ISNUMBER(Q790),ROUND(Q790/(1-Settings!$B$2)/Settings!$B$3,0)*Settings!$B$3,"")</f>
        <v/>
      </c>
      <c r="W790" s="14" t="n">
        <v>15214</v>
      </c>
      <c r="X790" s="14" t="n">
        <v>18081</v>
      </c>
      <c r="Y790" s="11" t="inlineStr"/>
      <c r="Z790" s="11" t="inlineStr"/>
      <c r="AA790" s="8" t="inlineStr"/>
      <c r="AB790" s="8" t="inlineStr"/>
      <c r="AC790" s="11" t="inlineStr">
        <is>
          <t>MasterMilitaryOnBaseList 12.2.25 NS.xlsx</t>
        </is>
      </c>
      <c r="AD790" s="11" t="inlineStr">
        <is>
          <t>MWR Sponsorship &amp; Advertising Price Guide.pdf</t>
        </is>
      </c>
      <c r="AE790" s="15" t="inlineStr">
        <is>
          <t>Open in Box</t>
        </is>
      </c>
      <c r="AF790" s="15" t="inlineStr">
        <is>
          <t>Open in Box</t>
        </is>
      </c>
    </row>
    <row r="791">
      <c r="A791" s="11" t="inlineStr">
        <is>
          <t>KS-FORTRILE-039</t>
        </is>
      </c>
      <c r="B791" s="8" t="inlineStr">
        <is>
          <t>Fort Riley</t>
        </is>
      </c>
      <c r="C791" s="11" t="inlineStr"/>
      <c r="D791" s="11" t="inlineStr">
        <is>
          <t>KS</t>
        </is>
      </c>
      <c r="E791" s="11" t="inlineStr">
        <is>
          <t>Topeka</t>
        </is>
      </c>
      <c r="F791" s="11" t="inlineStr">
        <is>
          <t>66442</t>
        </is>
      </c>
      <c r="G791" s="11" t="inlineStr">
        <is>
          <t>Army</t>
        </is>
      </c>
      <c r="H791" s="11" t="inlineStr">
        <is>
          <t>Large Format</t>
        </is>
      </c>
      <c r="I791" s="8" t="inlineStr">
        <is>
          <t>Counter Wrap - Parent Central</t>
        </is>
      </c>
      <c r="J791" s="11" t="inlineStr">
        <is>
          <t>36" x 108"</t>
        </is>
      </c>
      <c r="K791" s="8" t="inlineStr">
        <is>
          <t>Your ad will appear on a counter in Parent Central on the installation.</t>
        </is>
      </c>
      <c r="L791" s="11" t="n">
        <v>12</v>
      </c>
      <c r="M791" s="12" t="n"/>
      <c r="N791" s="12" t="n"/>
      <c r="O791" s="12" t="n"/>
      <c r="P791" s="12" t="n">
        <v>2500</v>
      </c>
      <c r="Q791" s="12" t="n"/>
      <c r="R791" s="13">
        <f>IF(ISNUMBER(M791),ROUND(M791/(1-Settings!$B$2)/Settings!$B$3,0)*Settings!$B$3,"")</f>
        <v/>
      </c>
      <c r="S791" s="13">
        <f>IF(ISNUMBER(N791),ROUND(N791/(1-Settings!$B$2)/Settings!$B$3,0)*Settings!$B$3,"")</f>
        <v/>
      </c>
      <c r="T791" s="13">
        <f>IF(ISNUMBER(O791),ROUND(O791/(1-Settings!$B$2)/Settings!$B$3,0)*Settings!$B$3,"")</f>
        <v/>
      </c>
      <c r="U791" s="13">
        <f>IF(ISNUMBER(P791),ROUND(P791/(1-Settings!$B$2)/Settings!$B$3,0)*Settings!$B$3,"")</f>
        <v/>
      </c>
      <c r="V791" s="13">
        <f>IF(ISNUMBER(Q791),ROUND(Q791/(1-Settings!$B$2)/Settings!$B$3,0)*Settings!$B$3,"")</f>
        <v/>
      </c>
      <c r="W791" s="14" t="n">
        <v>15214</v>
      </c>
      <c r="X791" s="14" t="n">
        <v>18081</v>
      </c>
      <c r="Y791" s="11" t="inlineStr"/>
      <c r="Z791" s="11" t="inlineStr"/>
      <c r="AA791" s="8" t="inlineStr"/>
      <c r="AB791" s="8" t="inlineStr"/>
      <c r="AC791" s="11" t="inlineStr">
        <is>
          <t>MasterMilitaryOnBaseList 12.2.25 NS.xlsx</t>
        </is>
      </c>
      <c r="AD791" s="11" t="inlineStr">
        <is>
          <t>MWR Sponsorship &amp; Advertising Price Guide.pdf</t>
        </is>
      </c>
      <c r="AE791" s="15" t="inlineStr">
        <is>
          <t>Open in Box</t>
        </is>
      </c>
      <c r="AF791" s="15" t="inlineStr">
        <is>
          <t>Open in Box</t>
        </is>
      </c>
    </row>
    <row r="792">
      <c r="A792" s="11" t="inlineStr">
        <is>
          <t>KS-FORTRILE-040</t>
        </is>
      </c>
      <c r="B792" s="8" t="inlineStr">
        <is>
          <t>Fort Riley</t>
        </is>
      </c>
      <c r="C792" s="11" t="inlineStr"/>
      <c r="D792" s="11" t="inlineStr">
        <is>
          <t>KS</t>
        </is>
      </c>
      <c r="E792" s="11" t="inlineStr">
        <is>
          <t>Topeka</t>
        </is>
      </c>
      <c r="F792" s="11" t="inlineStr">
        <is>
          <t>66442</t>
        </is>
      </c>
      <c r="G792" s="11" t="inlineStr">
        <is>
          <t>Army</t>
        </is>
      </c>
      <c r="H792" s="11" t="inlineStr">
        <is>
          <t>Large Format</t>
        </is>
      </c>
      <c r="I792" s="8" t="inlineStr">
        <is>
          <t>Counter Wrap - Robinson Fitness Center</t>
        </is>
      </c>
      <c r="J792" s="11" t="inlineStr">
        <is>
          <t>12" x 132"</t>
        </is>
      </c>
      <c r="K792" s="8" t="inlineStr">
        <is>
          <t>Your ad will appear on a counter in the Robinson Fitness Center on the installation.</t>
        </is>
      </c>
      <c r="L792" s="11" t="n">
        <v>12</v>
      </c>
      <c r="M792" s="12" t="n"/>
      <c r="N792" s="12" t="n"/>
      <c r="O792" s="12" t="n"/>
      <c r="P792" s="12" t="n">
        <v>3250</v>
      </c>
      <c r="Q792" s="12" t="n"/>
      <c r="R792" s="13">
        <f>IF(ISNUMBER(M792),ROUND(M792/(1-Settings!$B$2)/Settings!$B$3,0)*Settings!$B$3,"")</f>
        <v/>
      </c>
      <c r="S792" s="13">
        <f>IF(ISNUMBER(N792),ROUND(N792/(1-Settings!$B$2)/Settings!$B$3,0)*Settings!$B$3,"")</f>
        <v/>
      </c>
      <c r="T792" s="13">
        <f>IF(ISNUMBER(O792),ROUND(O792/(1-Settings!$B$2)/Settings!$B$3,0)*Settings!$B$3,"")</f>
        <v/>
      </c>
      <c r="U792" s="13">
        <f>IF(ISNUMBER(P792),ROUND(P792/(1-Settings!$B$2)/Settings!$B$3,0)*Settings!$B$3,"")</f>
        <v/>
      </c>
      <c r="V792" s="13">
        <f>IF(ISNUMBER(Q792),ROUND(Q792/(1-Settings!$B$2)/Settings!$B$3,0)*Settings!$B$3,"")</f>
        <v/>
      </c>
      <c r="W792" s="14" t="n">
        <v>15214</v>
      </c>
      <c r="X792" s="14" t="n">
        <v>18081</v>
      </c>
      <c r="Y792" s="11" t="inlineStr"/>
      <c r="Z792" s="11" t="inlineStr"/>
      <c r="AA792" s="8" t="inlineStr"/>
      <c r="AB792" s="8" t="inlineStr"/>
      <c r="AC792" s="11" t="inlineStr">
        <is>
          <t>MasterMilitaryOnBaseList 12.2.25 NS.xlsx</t>
        </is>
      </c>
      <c r="AD792" s="11" t="inlineStr">
        <is>
          <t>MWR Sponsorship &amp; Advertising Price Guide.pdf</t>
        </is>
      </c>
      <c r="AE792" s="15" t="inlineStr">
        <is>
          <t>Open in Box</t>
        </is>
      </c>
      <c r="AF792" s="15" t="inlineStr">
        <is>
          <t>Open in Box</t>
        </is>
      </c>
    </row>
    <row r="793">
      <c r="A793" s="11" t="inlineStr">
        <is>
          <t>KS-FORTRILE-041</t>
        </is>
      </c>
      <c r="B793" s="8" t="inlineStr">
        <is>
          <t>Fort Riley</t>
        </is>
      </c>
      <c r="C793" s="11" t="inlineStr"/>
      <c r="D793" s="11" t="inlineStr">
        <is>
          <t>KS</t>
        </is>
      </c>
      <c r="E793" s="11" t="inlineStr">
        <is>
          <t>Topeka</t>
        </is>
      </c>
      <c r="F793" s="11" t="inlineStr">
        <is>
          <t>66442</t>
        </is>
      </c>
      <c r="G793" s="11" t="inlineStr">
        <is>
          <t>Army</t>
        </is>
      </c>
      <c r="H793" s="11" t="inlineStr">
        <is>
          <t>Large Format</t>
        </is>
      </c>
      <c r="I793" s="8" t="inlineStr">
        <is>
          <t>Counter Wrap - Warrior Zone</t>
        </is>
      </c>
      <c r="J793" s="11" t="inlineStr">
        <is>
          <t>143" x 29"</t>
        </is>
      </c>
      <c r="K793" s="8" t="inlineStr">
        <is>
          <t>Your ad will appear on a counter in the Warrior Zone on the installation.</t>
        </is>
      </c>
      <c r="L793" s="11" t="n">
        <v>12</v>
      </c>
      <c r="M793" s="12" t="n"/>
      <c r="N793" s="12" t="n"/>
      <c r="O793" s="12" t="n"/>
      <c r="P793" s="12" t="n">
        <v>5000</v>
      </c>
      <c r="Q793" s="12" t="n"/>
      <c r="R793" s="13">
        <f>IF(ISNUMBER(M793),ROUND(M793/(1-Settings!$B$2)/Settings!$B$3,0)*Settings!$B$3,"")</f>
        <v/>
      </c>
      <c r="S793" s="13">
        <f>IF(ISNUMBER(N793),ROUND(N793/(1-Settings!$B$2)/Settings!$B$3,0)*Settings!$B$3,"")</f>
        <v/>
      </c>
      <c r="T793" s="13">
        <f>IF(ISNUMBER(O793),ROUND(O793/(1-Settings!$B$2)/Settings!$B$3,0)*Settings!$B$3,"")</f>
        <v/>
      </c>
      <c r="U793" s="13">
        <f>IF(ISNUMBER(P793),ROUND(P793/(1-Settings!$B$2)/Settings!$B$3,0)*Settings!$B$3,"")</f>
        <v/>
      </c>
      <c r="V793" s="13">
        <f>IF(ISNUMBER(Q793),ROUND(Q793/(1-Settings!$B$2)/Settings!$B$3,0)*Settings!$B$3,"")</f>
        <v/>
      </c>
      <c r="W793" s="14" t="n">
        <v>15214</v>
      </c>
      <c r="X793" s="14" t="n">
        <v>18081</v>
      </c>
      <c r="Y793" s="11" t="inlineStr"/>
      <c r="Z793" s="11" t="inlineStr"/>
      <c r="AA793" s="8" t="inlineStr"/>
      <c r="AB793" s="8" t="inlineStr"/>
      <c r="AC793" s="11" t="inlineStr">
        <is>
          <t>MasterMilitaryOnBaseList 12.2.25 NS.xlsx</t>
        </is>
      </c>
      <c r="AD793" s="11" t="inlineStr">
        <is>
          <t>MWR Sponsorship &amp; Advertising Price Guide.pdf</t>
        </is>
      </c>
      <c r="AE793" s="15" t="inlineStr">
        <is>
          <t>Open in Box</t>
        </is>
      </c>
      <c r="AF793" s="15" t="inlineStr">
        <is>
          <t>Open in Box</t>
        </is>
      </c>
    </row>
    <row r="794">
      <c r="A794" s="11" t="inlineStr">
        <is>
          <t>KS-FORTRILE-042</t>
        </is>
      </c>
      <c r="B794" s="8" t="inlineStr">
        <is>
          <t>Fort Riley</t>
        </is>
      </c>
      <c r="C794" s="11" t="inlineStr"/>
      <c r="D794" s="11" t="inlineStr">
        <is>
          <t>KS</t>
        </is>
      </c>
      <c r="E794" s="11" t="inlineStr">
        <is>
          <t>Topeka</t>
        </is>
      </c>
      <c r="F794" s="11" t="inlineStr">
        <is>
          <t>66442</t>
        </is>
      </c>
      <c r="G794" s="11" t="inlineStr">
        <is>
          <t>Army</t>
        </is>
      </c>
      <c r="H794" s="11" t="inlineStr">
        <is>
          <t>Large Format</t>
        </is>
      </c>
      <c r="I794" s="8" t="inlineStr">
        <is>
          <t>Counter Wrap - Withitside Fitness Center</t>
        </is>
      </c>
      <c r="J794" s="11" t="inlineStr">
        <is>
          <t>36" x 108"</t>
        </is>
      </c>
      <c r="K794" s="8" t="inlineStr">
        <is>
          <t>Your ad will appear on a counter in the Withitside Fitness Center on the installation.</t>
        </is>
      </c>
      <c r="L794" s="11" t="n">
        <v>12</v>
      </c>
      <c r="M794" s="12" t="n"/>
      <c r="N794" s="12" t="n"/>
      <c r="O794" s="12" t="n"/>
      <c r="P794" s="12" t="n">
        <v>5000</v>
      </c>
      <c r="Q794" s="12" t="n"/>
      <c r="R794" s="13">
        <f>IF(ISNUMBER(M794),ROUND(M794/(1-Settings!$B$2)/Settings!$B$3,0)*Settings!$B$3,"")</f>
        <v/>
      </c>
      <c r="S794" s="13">
        <f>IF(ISNUMBER(N794),ROUND(N794/(1-Settings!$B$2)/Settings!$B$3,0)*Settings!$B$3,"")</f>
        <v/>
      </c>
      <c r="T794" s="13">
        <f>IF(ISNUMBER(O794),ROUND(O794/(1-Settings!$B$2)/Settings!$B$3,0)*Settings!$B$3,"")</f>
        <v/>
      </c>
      <c r="U794" s="13">
        <f>IF(ISNUMBER(P794),ROUND(P794/(1-Settings!$B$2)/Settings!$B$3,0)*Settings!$B$3,"")</f>
        <v/>
      </c>
      <c r="V794" s="13">
        <f>IF(ISNUMBER(Q794),ROUND(Q794/(1-Settings!$B$2)/Settings!$B$3,0)*Settings!$B$3,"")</f>
        <v/>
      </c>
      <c r="W794" s="14" t="n">
        <v>15214</v>
      </c>
      <c r="X794" s="14" t="n">
        <v>18081</v>
      </c>
      <c r="Y794" s="11" t="inlineStr"/>
      <c r="Z794" s="11" t="inlineStr"/>
      <c r="AA794" s="8" t="inlineStr"/>
      <c r="AB794" s="8" t="inlineStr"/>
      <c r="AC794" s="11" t="inlineStr">
        <is>
          <t>MasterMilitaryOnBaseList 12.2.25 NS.xlsx</t>
        </is>
      </c>
      <c r="AD794" s="11" t="inlineStr">
        <is>
          <t>MWR Sponsorship &amp; Advertising Price Guide.pdf</t>
        </is>
      </c>
      <c r="AE794" s="15" t="inlineStr">
        <is>
          <t>Open in Box</t>
        </is>
      </c>
      <c r="AF794" s="15" t="inlineStr">
        <is>
          <t>Open in Box</t>
        </is>
      </c>
    </row>
    <row r="795">
      <c r="A795" s="11" t="inlineStr">
        <is>
          <t>KS-FORTRILE-043</t>
        </is>
      </c>
      <c r="B795" s="8" t="inlineStr">
        <is>
          <t>Fort Riley</t>
        </is>
      </c>
      <c r="C795" s="11" t="inlineStr"/>
      <c r="D795" s="11" t="inlineStr">
        <is>
          <t>KS</t>
        </is>
      </c>
      <c r="E795" s="11" t="inlineStr">
        <is>
          <t>Topeka</t>
        </is>
      </c>
      <c r="F795" s="11" t="inlineStr">
        <is>
          <t>66442</t>
        </is>
      </c>
      <c r="G795" s="11" t="inlineStr">
        <is>
          <t>Army</t>
        </is>
      </c>
      <c r="H795" s="11" t="inlineStr">
        <is>
          <t>Large Format</t>
        </is>
      </c>
      <c r="I795" s="8" t="inlineStr">
        <is>
          <t>Golf Simulator Wall Wrap</t>
        </is>
      </c>
      <c r="J795" s="11" t="inlineStr">
        <is>
          <t>60" x 125"</t>
        </is>
      </c>
      <c r="K795" s="8" t="inlineStr">
        <is>
          <t>Your ad will appear on the Golf Simulator wall in SpareTime.</t>
        </is>
      </c>
      <c r="L795" s="11" t="n">
        <v>12</v>
      </c>
      <c r="M795" s="12" t="n"/>
      <c r="N795" s="12" t="n"/>
      <c r="O795" s="12" t="n"/>
      <c r="P795" s="12" t="n">
        <v>2000</v>
      </c>
      <c r="Q795" s="12" t="n"/>
      <c r="R795" s="13">
        <f>IF(ISNUMBER(M795),ROUND(M795/(1-Settings!$B$2)/Settings!$B$3,0)*Settings!$B$3,"")</f>
        <v/>
      </c>
      <c r="S795" s="13">
        <f>IF(ISNUMBER(N795),ROUND(N795/(1-Settings!$B$2)/Settings!$B$3,0)*Settings!$B$3,"")</f>
        <v/>
      </c>
      <c r="T795" s="13">
        <f>IF(ISNUMBER(O795),ROUND(O795/(1-Settings!$B$2)/Settings!$B$3,0)*Settings!$B$3,"")</f>
        <v/>
      </c>
      <c r="U795" s="13">
        <f>IF(ISNUMBER(P795),ROUND(P795/(1-Settings!$B$2)/Settings!$B$3,0)*Settings!$B$3,"")</f>
        <v/>
      </c>
      <c r="V795" s="13">
        <f>IF(ISNUMBER(Q795),ROUND(Q795/(1-Settings!$B$2)/Settings!$B$3,0)*Settings!$B$3,"")</f>
        <v/>
      </c>
      <c r="W795" s="14" t="n">
        <v>15214</v>
      </c>
      <c r="X795" s="14" t="n">
        <v>18081</v>
      </c>
      <c r="Y795" s="11" t="inlineStr"/>
      <c r="Z795" s="11" t="inlineStr"/>
      <c r="AA795" s="8" t="inlineStr"/>
      <c r="AB795" s="8" t="inlineStr"/>
      <c r="AC795" s="11" t="inlineStr">
        <is>
          <t>MasterMilitaryOnBaseList 12.2.25 NS.xlsx</t>
        </is>
      </c>
      <c r="AD795" s="11" t="inlineStr">
        <is>
          <t>MWR Sponsorship &amp; Advertising Price Guide.pdf</t>
        </is>
      </c>
      <c r="AE795" s="15" t="inlineStr">
        <is>
          <t>Open in Box</t>
        </is>
      </c>
      <c r="AF795" s="15" t="inlineStr">
        <is>
          <t>Open in Box</t>
        </is>
      </c>
    </row>
    <row r="796">
      <c r="A796" s="11" t="inlineStr">
        <is>
          <t>KS-FORTRILE-044</t>
        </is>
      </c>
      <c r="B796" s="8" t="inlineStr">
        <is>
          <t>Fort Riley</t>
        </is>
      </c>
      <c r="C796" s="11" t="inlineStr"/>
      <c r="D796" s="11" t="inlineStr">
        <is>
          <t>KS</t>
        </is>
      </c>
      <c r="E796" s="11" t="inlineStr">
        <is>
          <t>Topeka</t>
        </is>
      </c>
      <c r="F796" s="11" t="inlineStr">
        <is>
          <t>66442</t>
        </is>
      </c>
      <c r="G796" s="11" t="inlineStr">
        <is>
          <t>Army</t>
        </is>
      </c>
      <c r="H796" s="11" t="inlineStr">
        <is>
          <t>Large Format</t>
        </is>
      </c>
      <c r="I796" s="8" t="inlineStr">
        <is>
          <t>Outdoor Wall Banner - (Whitside Fitness Center (Front Entrance)</t>
        </is>
      </c>
      <c r="J796" s="11" t="inlineStr">
        <is>
          <t>20' x 10'</t>
        </is>
      </c>
      <c r="K796" s="8" t="inlineStr">
        <is>
          <t>Your ad will appear outside of the Whitside Fitness Center (Front Entrance) on the installation.</t>
        </is>
      </c>
      <c r="L796" s="11" t="n">
        <v>12</v>
      </c>
      <c r="M796" s="12" t="n"/>
      <c r="N796" s="12" t="n"/>
      <c r="O796" s="12" t="n"/>
      <c r="P796" s="12" t="n">
        <v>6000</v>
      </c>
      <c r="Q796" s="12" t="n"/>
      <c r="R796" s="13">
        <f>IF(ISNUMBER(M796),ROUND(M796/(1-Settings!$B$2)/Settings!$B$3,0)*Settings!$B$3,"")</f>
        <v/>
      </c>
      <c r="S796" s="13">
        <f>IF(ISNUMBER(N796),ROUND(N796/(1-Settings!$B$2)/Settings!$B$3,0)*Settings!$B$3,"")</f>
        <v/>
      </c>
      <c r="T796" s="13">
        <f>IF(ISNUMBER(O796),ROUND(O796/(1-Settings!$B$2)/Settings!$B$3,0)*Settings!$B$3,"")</f>
        <v/>
      </c>
      <c r="U796" s="13">
        <f>IF(ISNUMBER(P796),ROUND(P796/(1-Settings!$B$2)/Settings!$B$3,0)*Settings!$B$3,"")</f>
        <v/>
      </c>
      <c r="V796" s="13">
        <f>IF(ISNUMBER(Q796),ROUND(Q796/(1-Settings!$B$2)/Settings!$B$3,0)*Settings!$B$3,"")</f>
        <v/>
      </c>
      <c r="W796" s="14" t="n">
        <v>15214</v>
      </c>
      <c r="X796" s="14" t="n">
        <v>18081</v>
      </c>
      <c r="Y796" s="11" t="inlineStr"/>
      <c r="Z796" s="11" t="inlineStr"/>
      <c r="AA796" s="8" t="inlineStr"/>
      <c r="AB796" s="8" t="inlineStr"/>
      <c r="AC796" s="11" t="inlineStr">
        <is>
          <t>MasterMilitaryOnBaseList 12.2.25 NS.xlsx</t>
        </is>
      </c>
      <c r="AD796" s="11" t="inlineStr">
        <is>
          <t>MWR Sponsorship &amp; Advertising Price Guide.pdf</t>
        </is>
      </c>
      <c r="AE796" s="15" t="inlineStr">
        <is>
          <t>Open in Box</t>
        </is>
      </c>
      <c r="AF796" s="15" t="inlineStr">
        <is>
          <t>Open in Box</t>
        </is>
      </c>
    </row>
    <row r="797">
      <c r="A797" s="11" t="inlineStr">
        <is>
          <t>KS-FORTRILE-045</t>
        </is>
      </c>
      <c r="B797" s="8" t="inlineStr">
        <is>
          <t>Fort Riley</t>
        </is>
      </c>
      <c r="C797" s="11" t="inlineStr"/>
      <c r="D797" s="11" t="inlineStr">
        <is>
          <t>KS</t>
        </is>
      </c>
      <c r="E797" s="11" t="inlineStr">
        <is>
          <t>Topeka</t>
        </is>
      </c>
      <c r="F797" s="11" t="inlineStr">
        <is>
          <t>66442</t>
        </is>
      </c>
      <c r="G797" s="11" t="inlineStr">
        <is>
          <t>Army</t>
        </is>
      </c>
      <c r="H797" s="11" t="inlineStr">
        <is>
          <t>Large Format</t>
        </is>
      </c>
      <c r="I797" s="8" t="inlineStr">
        <is>
          <t>Outdoor Wall Banner - (Whitside Fitness Center (Huebner Rd.)</t>
        </is>
      </c>
      <c r="J797" s="11" t="inlineStr">
        <is>
          <t>20' x 10'</t>
        </is>
      </c>
      <c r="K797" s="8" t="inlineStr">
        <is>
          <t>Your ad will appear outside of the Whitside Fitness Center (Huebner Road) on the installation.</t>
        </is>
      </c>
      <c r="L797" s="11" t="n">
        <v>12</v>
      </c>
      <c r="M797" s="12" t="n"/>
      <c r="N797" s="12" t="n"/>
      <c r="O797" s="12" t="n"/>
      <c r="P797" s="12" t="n">
        <v>9000</v>
      </c>
      <c r="Q797" s="12" t="n"/>
      <c r="R797" s="13">
        <f>IF(ISNUMBER(M797),ROUND(M797/(1-Settings!$B$2)/Settings!$B$3,0)*Settings!$B$3,"")</f>
        <v/>
      </c>
      <c r="S797" s="13">
        <f>IF(ISNUMBER(N797),ROUND(N797/(1-Settings!$B$2)/Settings!$B$3,0)*Settings!$B$3,"")</f>
        <v/>
      </c>
      <c r="T797" s="13">
        <f>IF(ISNUMBER(O797),ROUND(O797/(1-Settings!$B$2)/Settings!$B$3,0)*Settings!$B$3,"")</f>
        <v/>
      </c>
      <c r="U797" s="13">
        <f>IF(ISNUMBER(P797),ROUND(P797/(1-Settings!$B$2)/Settings!$B$3,0)*Settings!$B$3,"")</f>
        <v/>
      </c>
      <c r="V797" s="13">
        <f>IF(ISNUMBER(Q797),ROUND(Q797/(1-Settings!$B$2)/Settings!$B$3,0)*Settings!$B$3,"")</f>
        <v/>
      </c>
      <c r="W797" s="14" t="n">
        <v>15214</v>
      </c>
      <c r="X797" s="14" t="n">
        <v>18081</v>
      </c>
      <c r="Y797" s="11" t="inlineStr"/>
      <c r="Z797" s="11" t="inlineStr"/>
      <c r="AA797" s="8" t="inlineStr"/>
      <c r="AB797" s="8" t="inlineStr"/>
      <c r="AC797" s="11" t="inlineStr">
        <is>
          <t>MasterMilitaryOnBaseList 12.2.25 NS.xlsx</t>
        </is>
      </c>
      <c r="AD797" s="11" t="inlineStr">
        <is>
          <t>MWR Sponsorship &amp; Advertising Price Guide.pdf</t>
        </is>
      </c>
      <c r="AE797" s="15" t="inlineStr">
        <is>
          <t>Open in Box</t>
        </is>
      </c>
      <c r="AF797" s="15" t="inlineStr">
        <is>
          <t>Open in Box</t>
        </is>
      </c>
    </row>
    <row r="798">
      <c r="A798" s="11" t="inlineStr">
        <is>
          <t>KS-FORTRILE-046</t>
        </is>
      </c>
      <c r="B798" s="8" t="inlineStr">
        <is>
          <t>Fort Riley</t>
        </is>
      </c>
      <c r="C798" s="11" t="inlineStr"/>
      <c r="D798" s="11" t="inlineStr">
        <is>
          <t>KS</t>
        </is>
      </c>
      <c r="E798" s="11" t="inlineStr">
        <is>
          <t>Topeka</t>
        </is>
      </c>
      <c r="F798" s="11" t="inlineStr">
        <is>
          <t>66442</t>
        </is>
      </c>
      <c r="G798" s="11" t="inlineStr">
        <is>
          <t>Army</t>
        </is>
      </c>
      <c r="H798" s="11" t="inlineStr">
        <is>
          <t>Large Format</t>
        </is>
      </c>
      <c r="I798" s="8" t="inlineStr">
        <is>
          <t>Outdoor Wall Banner - Craig Fitness Center</t>
        </is>
      </c>
      <c r="J798" s="11" t="inlineStr">
        <is>
          <t>20' x 10'</t>
        </is>
      </c>
      <c r="K798" s="8" t="inlineStr">
        <is>
          <t>Your ad will appear outside of the Craig Fitness Center on the installation.</t>
        </is>
      </c>
      <c r="L798" s="11" t="n">
        <v>12</v>
      </c>
      <c r="M798" s="12" t="n"/>
      <c r="N798" s="12" t="n"/>
      <c r="O798" s="12" t="n"/>
      <c r="P798" s="12" t="n">
        <v>9000</v>
      </c>
      <c r="Q798" s="12" t="n"/>
      <c r="R798" s="13">
        <f>IF(ISNUMBER(M798),ROUND(M798/(1-Settings!$B$2)/Settings!$B$3,0)*Settings!$B$3,"")</f>
        <v/>
      </c>
      <c r="S798" s="13">
        <f>IF(ISNUMBER(N798),ROUND(N798/(1-Settings!$B$2)/Settings!$B$3,0)*Settings!$B$3,"")</f>
        <v/>
      </c>
      <c r="T798" s="13">
        <f>IF(ISNUMBER(O798),ROUND(O798/(1-Settings!$B$2)/Settings!$B$3,0)*Settings!$B$3,"")</f>
        <v/>
      </c>
      <c r="U798" s="13">
        <f>IF(ISNUMBER(P798),ROUND(P798/(1-Settings!$B$2)/Settings!$B$3,0)*Settings!$B$3,"")</f>
        <v/>
      </c>
      <c r="V798" s="13">
        <f>IF(ISNUMBER(Q798),ROUND(Q798/(1-Settings!$B$2)/Settings!$B$3,0)*Settings!$B$3,"")</f>
        <v/>
      </c>
      <c r="W798" s="14" t="n">
        <v>15214</v>
      </c>
      <c r="X798" s="14" t="n">
        <v>18081</v>
      </c>
      <c r="Y798" s="11" t="inlineStr"/>
      <c r="Z798" s="11" t="inlineStr"/>
      <c r="AA798" s="8" t="inlineStr"/>
      <c r="AB798" s="8" t="inlineStr"/>
      <c r="AC798" s="11" t="inlineStr">
        <is>
          <t>MasterMilitaryOnBaseList 12.2.25 NS.xlsx</t>
        </is>
      </c>
      <c r="AD798" s="11" t="inlineStr">
        <is>
          <t>MWR Sponsorship &amp; Advertising Price Guide.pdf</t>
        </is>
      </c>
      <c r="AE798" s="15" t="inlineStr">
        <is>
          <t>Open in Box</t>
        </is>
      </c>
      <c r="AF798" s="15" t="inlineStr">
        <is>
          <t>Open in Box</t>
        </is>
      </c>
    </row>
    <row r="799">
      <c r="A799" s="11" t="inlineStr">
        <is>
          <t>KS-FORTRILE-047</t>
        </is>
      </c>
      <c r="B799" s="8" t="inlineStr">
        <is>
          <t>Fort Riley</t>
        </is>
      </c>
      <c r="C799" s="11" t="inlineStr"/>
      <c r="D799" s="11" t="inlineStr">
        <is>
          <t>KS</t>
        </is>
      </c>
      <c r="E799" s="11" t="inlineStr">
        <is>
          <t>Topeka</t>
        </is>
      </c>
      <c r="F799" s="11" t="inlineStr">
        <is>
          <t>66442</t>
        </is>
      </c>
      <c r="G799" s="11" t="inlineStr">
        <is>
          <t>Army</t>
        </is>
      </c>
      <c r="H799" s="11" t="inlineStr">
        <is>
          <t>Large Format</t>
        </is>
      </c>
      <c r="I799" s="8" t="inlineStr">
        <is>
          <t>Outdoor Wall Banner - Fort Riley Post Library</t>
        </is>
      </c>
      <c r="J799" s="11" t="inlineStr">
        <is>
          <t>20' x 10'</t>
        </is>
      </c>
      <c r="K799" s="8" t="inlineStr">
        <is>
          <t>Your ad will appear outside of the Fort Riley Post Library on the installation.</t>
        </is>
      </c>
      <c r="L799" s="11" t="n">
        <v>12</v>
      </c>
      <c r="M799" s="12" t="n"/>
      <c r="N799" s="12" t="n"/>
      <c r="O799" s="12" t="n"/>
      <c r="P799" s="12" t="n">
        <v>9000</v>
      </c>
      <c r="Q799" s="12" t="n"/>
      <c r="R799" s="13">
        <f>IF(ISNUMBER(M799),ROUND(M799/(1-Settings!$B$2)/Settings!$B$3,0)*Settings!$B$3,"")</f>
        <v/>
      </c>
      <c r="S799" s="13">
        <f>IF(ISNUMBER(N799),ROUND(N799/(1-Settings!$B$2)/Settings!$B$3,0)*Settings!$B$3,"")</f>
        <v/>
      </c>
      <c r="T799" s="13">
        <f>IF(ISNUMBER(O799),ROUND(O799/(1-Settings!$B$2)/Settings!$B$3,0)*Settings!$B$3,"")</f>
        <v/>
      </c>
      <c r="U799" s="13">
        <f>IF(ISNUMBER(P799),ROUND(P799/(1-Settings!$B$2)/Settings!$B$3,0)*Settings!$B$3,"")</f>
        <v/>
      </c>
      <c r="V799" s="13">
        <f>IF(ISNUMBER(Q799),ROUND(Q799/(1-Settings!$B$2)/Settings!$B$3,0)*Settings!$B$3,"")</f>
        <v/>
      </c>
      <c r="W799" s="14" t="n">
        <v>15214</v>
      </c>
      <c r="X799" s="14" t="n">
        <v>18081</v>
      </c>
      <c r="Y799" s="11" t="inlineStr"/>
      <c r="Z799" s="11" t="inlineStr"/>
      <c r="AA799" s="8" t="inlineStr"/>
      <c r="AB799" s="8" t="inlineStr"/>
      <c r="AC799" s="11" t="inlineStr">
        <is>
          <t>MasterMilitaryOnBaseList 12.2.25 NS.xlsx</t>
        </is>
      </c>
      <c r="AD799" s="11" t="inlineStr">
        <is>
          <t>MWR Sponsorship &amp; Advertising Price Guide.pdf</t>
        </is>
      </c>
      <c r="AE799" s="15" t="inlineStr">
        <is>
          <t>Open in Box</t>
        </is>
      </c>
      <c r="AF799" s="15" t="inlineStr">
        <is>
          <t>Open in Box</t>
        </is>
      </c>
    </row>
    <row r="800">
      <c r="A800" s="11" t="inlineStr">
        <is>
          <t>KS-FORTRILE-048</t>
        </is>
      </c>
      <c r="B800" s="8" t="inlineStr">
        <is>
          <t>Fort Riley</t>
        </is>
      </c>
      <c r="C800" s="11" t="inlineStr"/>
      <c r="D800" s="11" t="inlineStr">
        <is>
          <t>KS</t>
        </is>
      </c>
      <c r="E800" s="11" t="inlineStr">
        <is>
          <t>Topeka</t>
        </is>
      </c>
      <c r="F800" s="11" t="inlineStr">
        <is>
          <t>66442</t>
        </is>
      </c>
      <c r="G800" s="11" t="inlineStr">
        <is>
          <t>Army</t>
        </is>
      </c>
      <c r="H800" s="11" t="inlineStr">
        <is>
          <t>Large Format</t>
        </is>
      </c>
      <c r="I800" s="8" t="inlineStr">
        <is>
          <t>Outdoor Wall Banner - Golf Driving Range</t>
        </is>
      </c>
      <c r="J800" s="11" t="inlineStr">
        <is>
          <t>16' x 8'</t>
        </is>
      </c>
      <c r="K800" s="8" t="inlineStr">
        <is>
          <t>Your ad will appear outside of the Golf Driving Range on the installation.</t>
        </is>
      </c>
      <c r="L800" s="11" t="n">
        <v>12</v>
      </c>
      <c r="M800" s="12" t="n"/>
      <c r="N800" s="12" t="n"/>
      <c r="O800" s="12" t="n"/>
      <c r="P800" s="12" t="n">
        <v>3000</v>
      </c>
      <c r="Q800" s="12" t="n"/>
      <c r="R800" s="13">
        <f>IF(ISNUMBER(M800),ROUND(M800/(1-Settings!$B$2)/Settings!$B$3,0)*Settings!$B$3,"")</f>
        <v/>
      </c>
      <c r="S800" s="13">
        <f>IF(ISNUMBER(N800),ROUND(N800/(1-Settings!$B$2)/Settings!$B$3,0)*Settings!$B$3,"")</f>
        <v/>
      </c>
      <c r="T800" s="13">
        <f>IF(ISNUMBER(O800),ROUND(O800/(1-Settings!$B$2)/Settings!$B$3,0)*Settings!$B$3,"")</f>
        <v/>
      </c>
      <c r="U800" s="13">
        <f>IF(ISNUMBER(P800),ROUND(P800/(1-Settings!$B$2)/Settings!$B$3,0)*Settings!$B$3,"")</f>
        <v/>
      </c>
      <c r="V800" s="13">
        <f>IF(ISNUMBER(Q800),ROUND(Q800/(1-Settings!$B$2)/Settings!$B$3,0)*Settings!$B$3,"")</f>
        <v/>
      </c>
      <c r="W800" s="14" t="n">
        <v>15214</v>
      </c>
      <c r="X800" s="14" t="n">
        <v>18081</v>
      </c>
      <c r="Y800" s="11" t="inlineStr"/>
      <c r="Z800" s="11" t="inlineStr"/>
      <c r="AA800" s="8" t="inlineStr"/>
      <c r="AB800" s="8" t="inlineStr"/>
      <c r="AC800" s="11" t="inlineStr">
        <is>
          <t>MasterMilitaryOnBaseList 12.2.25 NS.xlsx</t>
        </is>
      </c>
      <c r="AD800" s="11" t="inlineStr">
        <is>
          <t>MWR Sponsorship &amp; Advertising Price Guide.pdf</t>
        </is>
      </c>
      <c r="AE800" s="15" t="inlineStr">
        <is>
          <t>Open in Box</t>
        </is>
      </c>
      <c r="AF800" s="15" t="inlineStr">
        <is>
          <t>Open in Box</t>
        </is>
      </c>
    </row>
    <row r="801">
      <c r="A801" s="11" t="inlineStr">
        <is>
          <t>KS-FORTRILE-049</t>
        </is>
      </c>
      <c r="B801" s="8" t="inlineStr">
        <is>
          <t>Fort Riley</t>
        </is>
      </c>
      <c r="C801" s="11" t="inlineStr"/>
      <c r="D801" s="11" t="inlineStr">
        <is>
          <t>KS</t>
        </is>
      </c>
      <c r="E801" s="11" t="inlineStr">
        <is>
          <t>Topeka</t>
        </is>
      </c>
      <c r="F801" s="11" t="inlineStr">
        <is>
          <t>66442</t>
        </is>
      </c>
      <c r="G801" s="11" t="inlineStr">
        <is>
          <t>Army</t>
        </is>
      </c>
      <c r="H801" s="11" t="inlineStr">
        <is>
          <t>Large Format</t>
        </is>
      </c>
      <c r="I801" s="8" t="inlineStr">
        <is>
          <t>Outdoor Wall Banner - Long Fitness Center</t>
        </is>
      </c>
      <c r="J801" s="11" t="inlineStr">
        <is>
          <t>20' x 10'</t>
        </is>
      </c>
      <c r="K801" s="8" t="inlineStr">
        <is>
          <t>Your ad will appear outside of the Long Fitness Center on the installation.</t>
        </is>
      </c>
      <c r="L801" s="11" t="n">
        <v>12</v>
      </c>
      <c r="M801" s="12" t="n"/>
      <c r="N801" s="12" t="n"/>
      <c r="O801" s="12" t="n"/>
      <c r="P801" s="12" t="n">
        <v>9000</v>
      </c>
      <c r="Q801" s="12" t="n"/>
      <c r="R801" s="13">
        <f>IF(ISNUMBER(M801),ROUND(M801/(1-Settings!$B$2)/Settings!$B$3,0)*Settings!$B$3,"")</f>
        <v/>
      </c>
      <c r="S801" s="13">
        <f>IF(ISNUMBER(N801),ROUND(N801/(1-Settings!$B$2)/Settings!$B$3,0)*Settings!$B$3,"")</f>
        <v/>
      </c>
      <c r="T801" s="13">
        <f>IF(ISNUMBER(O801),ROUND(O801/(1-Settings!$B$2)/Settings!$B$3,0)*Settings!$B$3,"")</f>
        <v/>
      </c>
      <c r="U801" s="13">
        <f>IF(ISNUMBER(P801),ROUND(P801/(1-Settings!$B$2)/Settings!$B$3,0)*Settings!$B$3,"")</f>
        <v/>
      </c>
      <c r="V801" s="13">
        <f>IF(ISNUMBER(Q801),ROUND(Q801/(1-Settings!$B$2)/Settings!$B$3,0)*Settings!$B$3,"")</f>
        <v/>
      </c>
      <c r="W801" s="14" t="n">
        <v>15214</v>
      </c>
      <c r="X801" s="14" t="n">
        <v>18081</v>
      </c>
      <c r="Y801" s="11" t="inlineStr"/>
      <c r="Z801" s="11" t="inlineStr"/>
      <c r="AA801" s="8" t="inlineStr"/>
      <c r="AB801" s="8" t="inlineStr"/>
      <c r="AC801" s="11" t="inlineStr">
        <is>
          <t>MasterMilitaryOnBaseList 12.2.25 NS.xlsx</t>
        </is>
      </c>
      <c r="AD801" s="11" t="inlineStr">
        <is>
          <t>MWR Sponsorship &amp; Advertising Price Guide.pdf</t>
        </is>
      </c>
      <c r="AE801" s="15" t="inlineStr">
        <is>
          <t>Open in Box</t>
        </is>
      </c>
      <c r="AF801" s="15" t="inlineStr">
        <is>
          <t>Open in Box</t>
        </is>
      </c>
    </row>
    <row r="802">
      <c r="A802" s="11" t="inlineStr">
        <is>
          <t>KS-FORTRILE-050</t>
        </is>
      </c>
      <c r="B802" s="8" t="inlineStr">
        <is>
          <t>Fort Riley</t>
        </is>
      </c>
      <c r="C802" s="11" t="inlineStr"/>
      <c r="D802" s="11" t="inlineStr">
        <is>
          <t>KS</t>
        </is>
      </c>
      <c r="E802" s="11" t="inlineStr">
        <is>
          <t>Topeka</t>
        </is>
      </c>
      <c r="F802" s="11" t="inlineStr">
        <is>
          <t>66442</t>
        </is>
      </c>
      <c r="G802" s="11" t="inlineStr">
        <is>
          <t>Army</t>
        </is>
      </c>
      <c r="H802" s="11" t="inlineStr">
        <is>
          <t>Large Format</t>
        </is>
      </c>
      <c r="I802" s="8" t="inlineStr">
        <is>
          <t>Outdoor Wall Banner - SpareTime (Normandy Dr.)</t>
        </is>
      </c>
      <c r="J802" s="11" t="inlineStr">
        <is>
          <t>20' x 10'</t>
        </is>
      </c>
      <c r="K802" s="8" t="inlineStr">
        <is>
          <t>Your ad will appear outside of SpareTime on Normandy Drive on the installation.</t>
        </is>
      </c>
      <c r="L802" s="11" t="n">
        <v>12</v>
      </c>
      <c r="M802" s="12" t="n"/>
      <c r="N802" s="12" t="n"/>
      <c r="O802" s="12" t="n"/>
      <c r="P802" s="12" t="n">
        <v>6000</v>
      </c>
      <c r="Q802" s="12" t="n"/>
      <c r="R802" s="13">
        <f>IF(ISNUMBER(M802),ROUND(M802/(1-Settings!$B$2)/Settings!$B$3,0)*Settings!$B$3,"")</f>
        <v/>
      </c>
      <c r="S802" s="13">
        <f>IF(ISNUMBER(N802),ROUND(N802/(1-Settings!$B$2)/Settings!$B$3,0)*Settings!$B$3,"")</f>
        <v/>
      </c>
      <c r="T802" s="13">
        <f>IF(ISNUMBER(O802),ROUND(O802/(1-Settings!$B$2)/Settings!$B$3,0)*Settings!$B$3,"")</f>
        <v/>
      </c>
      <c r="U802" s="13">
        <f>IF(ISNUMBER(P802),ROUND(P802/(1-Settings!$B$2)/Settings!$B$3,0)*Settings!$B$3,"")</f>
        <v/>
      </c>
      <c r="V802" s="13">
        <f>IF(ISNUMBER(Q802),ROUND(Q802/(1-Settings!$B$2)/Settings!$B$3,0)*Settings!$B$3,"")</f>
        <v/>
      </c>
      <c r="W802" s="14" t="n">
        <v>15214</v>
      </c>
      <c r="X802" s="14" t="n">
        <v>18081</v>
      </c>
      <c r="Y802" s="11" t="inlineStr"/>
      <c r="Z802" s="11" t="inlineStr"/>
      <c r="AA802" s="8" t="inlineStr"/>
      <c r="AB802" s="8" t="inlineStr"/>
      <c r="AC802" s="11" t="inlineStr">
        <is>
          <t>MasterMilitaryOnBaseList 12.2.25 NS.xlsx</t>
        </is>
      </c>
      <c r="AD802" s="11" t="inlineStr">
        <is>
          <t>MWR Sponsorship &amp; Advertising Price Guide.pdf</t>
        </is>
      </c>
      <c r="AE802" s="15" t="inlineStr">
        <is>
          <t>Open in Box</t>
        </is>
      </c>
      <c r="AF802" s="15" t="inlineStr">
        <is>
          <t>Open in Box</t>
        </is>
      </c>
    </row>
    <row r="803">
      <c r="A803" s="11" t="inlineStr">
        <is>
          <t>KS-FORTRILE-051</t>
        </is>
      </c>
      <c r="B803" s="8" t="inlineStr">
        <is>
          <t>Fort Riley</t>
        </is>
      </c>
      <c r="C803" s="11" t="inlineStr"/>
      <c r="D803" s="11" t="inlineStr">
        <is>
          <t>KS</t>
        </is>
      </c>
      <c r="E803" s="11" t="inlineStr">
        <is>
          <t>Topeka</t>
        </is>
      </c>
      <c r="F803" s="11" t="inlineStr">
        <is>
          <t>66442</t>
        </is>
      </c>
      <c r="G803" s="11" t="inlineStr">
        <is>
          <t>Army</t>
        </is>
      </c>
      <c r="H803" s="11" t="inlineStr">
        <is>
          <t>Large Format</t>
        </is>
      </c>
      <c r="I803" s="8" t="inlineStr">
        <is>
          <t>Outdoor Wall Banner - SpareTime (Parker Rd.)</t>
        </is>
      </c>
      <c r="J803" s="11" t="inlineStr">
        <is>
          <t>20' x 10'</t>
        </is>
      </c>
      <c r="K803" s="8" t="inlineStr">
        <is>
          <t>Your ad will appear outside of SpareTime on Parker Road on the installation.</t>
        </is>
      </c>
      <c r="L803" s="11" t="n">
        <v>12</v>
      </c>
      <c r="M803" s="12" t="n"/>
      <c r="N803" s="12" t="n"/>
      <c r="O803" s="12" t="n"/>
      <c r="P803" s="12" t="n">
        <v>3000</v>
      </c>
      <c r="Q803" s="12" t="n"/>
      <c r="R803" s="13">
        <f>IF(ISNUMBER(M803),ROUND(M803/(1-Settings!$B$2)/Settings!$B$3,0)*Settings!$B$3,"")</f>
        <v/>
      </c>
      <c r="S803" s="13">
        <f>IF(ISNUMBER(N803),ROUND(N803/(1-Settings!$B$2)/Settings!$B$3,0)*Settings!$B$3,"")</f>
        <v/>
      </c>
      <c r="T803" s="13">
        <f>IF(ISNUMBER(O803),ROUND(O803/(1-Settings!$B$2)/Settings!$B$3,0)*Settings!$B$3,"")</f>
        <v/>
      </c>
      <c r="U803" s="13">
        <f>IF(ISNUMBER(P803),ROUND(P803/(1-Settings!$B$2)/Settings!$B$3,0)*Settings!$B$3,"")</f>
        <v/>
      </c>
      <c r="V803" s="13">
        <f>IF(ISNUMBER(Q803),ROUND(Q803/(1-Settings!$B$2)/Settings!$B$3,0)*Settings!$B$3,"")</f>
        <v/>
      </c>
      <c r="W803" s="14" t="n">
        <v>15214</v>
      </c>
      <c r="X803" s="14" t="n">
        <v>18081</v>
      </c>
      <c r="Y803" s="11" t="inlineStr"/>
      <c r="Z803" s="11" t="inlineStr"/>
      <c r="AA803" s="8" t="inlineStr"/>
      <c r="AB803" s="8" t="inlineStr"/>
      <c r="AC803" s="11" t="inlineStr">
        <is>
          <t>MasterMilitaryOnBaseList 12.2.25 NS.xlsx</t>
        </is>
      </c>
      <c r="AD803" s="11" t="inlineStr">
        <is>
          <t>MWR Sponsorship &amp; Advertising Price Guide.pdf</t>
        </is>
      </c>
      <c r="AE803" s="15" t="inlineStr">
        <is>
          <t>Open in Box</t>
        </is>
      </c>
      <c r="AF803" s="15" t="inlineStr">
        <is>
          <t>Open in Box</t>
        </is>
      </c>
    </row>
    <row r="804">
      <c r="A804" s="11" t="inlineStr">
        <is>
          <t>KS-FORTRILE-052</t>
        </is>
      </c>
      <c r="B804" s="8" t="inlineStr">
        <is>
          <t>Fort Riley</t>
        </is>
      </c>
      <c r="C804" s="11" t="inlineStr"/>
      <c r="D804" s="11" t="inlineStr">
        <is>
          <t>KS</t>
        </is>
      </c>
      <c r="E804" s="11" t="inlineStr">
        <is>
          <t>Topeka</t>
        </is>
      </c>
      <c r="F804" s="11" t="inlineStr">
        <is>
          <t>66442</t>
        </is>
      </c>
      <c r="G804" s="11" t="inlineStr">
        <is>
          <t>Army</t>
        </is>
      </c>
      <c r="H804" s="11" t="inlineStr">
        <is>
          <t>Large Format</t>
        </is>
      </c>
      <c r="I804" s="8" t="inlineStr">
        <is>
          <t>Outdoor Wall Banner - Warrior Zone</t>
        </is>
      </c>
      <c r="J804" s="11" t="inlineStr">
        <is>
          <t>20' x 10'</t>
        </is>
      </c>
      <c r="K804" s="8" t="inlineStr">
        <is>
          <t>Your ad will appear outside of the Warrior Zone on the installation.</t>
        </is>
      </c>
      <c r="L804" s="11" t="n">
        <v>12</v>
      </c>
      <c r="M804" s="12" t="n"/>
      <c r="N804" s="12" t="n"/>
      <c r="O804" s="12" t="n"/>
      <c r="P804" s="12" t="n">
        <v>9000</v>
      </c>
      <c r="Q804" s="12" t="n"/>
      <c r="R804" s="13">
        <f>IF(ISNUMBER(M804),ROUND(M804/(1-Settings!$B$2)/Settings!$B$3,0)*Settings!$B$3,"")</f>
        <v/>
      </c>
      <c r="S804" s="13">
        <f>IF(ISNUMBER(N804),ROUND(N804/(1-Settings!$B$2)/Settings!$B$3,0)*Settings!$B$3,"")</f>
        <v/>
      </c>
      <c r="T804" s="13">
        <f>IF(ISNUMBER(O804),ROUND(O804/(1-Settings!$B$2)/Settings!$B$3,0)*Settings!$B$3,"")</f>
        <v/>
      </c>
      <c r="U804" s="13">
        <f>IF(ISNUMBER(P804),ROUND(P804/(1-Settings!$B$2)/Settings!$B$3,0)*Settings!$B$3,"")</f>
        <v/>
      </c>
      <c r="V804" s="13">
        <f>IF(ISNUMBER(Q804),ROUND(Q804/(1-Settings!$B$2)/Settings!$B$3,0)*Settings!$B$3,"")</f>
        <v/>
      </c>
      <c r="W804" s="14" t="n">
        <v>15214</v>
      </c>
      <c r="X804" s="14" t="n">
        <v>18081</v>
      </c>
      <c r="Y804" s="11" t="inlineStr"/>
      <c r="Z804" s="11" t="inlineStr"/>
      <c r="AA804" s="8" t="inlineStr"/>
      <c r="AB804" s="8" t="inlineStr"/>
      <c r="AC804" s="11" t="inlineStr">
        <is>
          <t>MasterMilitaryOnBaseList 12.2.25 NS.xlsx</t>
        </is>
      </c>
      <c r="AD804" s="11" t="inlineStr">
        <is>
          <t>MWR Sponsorship &amp; Advertising Price Guide.pdf</t>
        </is>
      </c>
      <c r="AE804" s="15" t="inlineStr">
        <is>
          <t>Open in Box</t>
        </is>
      </c>
      <c r="AF804" s="15" t="inlineStr">
        <is>
          <t>Open in Box</t>
        </is>
      </c>
    </row>
    <row r="805">
      <c r="A805" s="11" t="inlineStr">
        <is>
          <t>KS-FORTRILE-053</t>
        </is>
      </c>
      <c r="B805" s="8" t="inlineStr">
        <is>
          <t>Fort Riley</t>
        </is>
      </c>
      <c r="C805" s="11" t="inlineStr"/>
      <c r="D805" s="11" t="inlineStr">
        <is>
          <t>KS</t>
        </is>
      </c>
      <c r="E805" s="11" t="inlineStr">
        <is>
          <t>Topeka</t>
        </is>
      </c>
      <c r="F805" s="11" t="inlineStr">
        <is>
          <t>66442</t>
        </is>
      </c>
      <c r="G805" s="11" t="inlineStr">
        <is>
          <t>Army</t>
        </is>
      </c>
      <c r="H805" s="11" t="inlineStr">
        <is>
          <t>Large Format</t>
        </is>
      </c>
      <c r="I805" s="8" t="inlineStr">
        <is>
          <t>Window Decal - Craig Fitness Center</t>
        </is>
      </c>
      <c r="J805" s="11" t="inlineStr">
        <is>
          <t>TBD</t>
        </is>
      </c>
      <c r="K805" s="8" t="inlineStr">
        <is>
          <t>Your ad will appear on a window in Craig Fitness Center.</t>
        </is>
      </c>
      <c r="L805" s="11" t="n">
        <v>3</v>
      </c>
      <c r="M805" s="12" t="n"/>
      <c r="N805" s="12" t="n">
        <v>650</v>
      </c>
      <c r="O805" s="12" t="n">
        <v>1200</v>
      </c>
      <c r="P805" s="12" t="n">
        <v>2100</v>
      </c>
      <c r="Q805" s="12" t="n"/>
      <c r="R805" s="13">
        <f>IF(ISNUMBER(M805),ROUND(M805/(1-Settings!$B$2)/Settings!$B$3,0)*Settings!$B$3,"")</f>
        <v/>
      </c>
      <c r="S805" s="13">
        <f>IF(ISNUMBER(N805),ROUND(N805/(1-Settings!$B$2)/Settings!$B$3,0)*Settings!$B$3,"")</f>
        <v/>
      </c>
      <c r="T805" s="13">
        <f>IF(ISNUMBER(O805),ROUND(O805/(1-Settings!$B$2)/Settings!$B$3,0)*Settings!$B$3,"")</f>
        <v/>
      </c>
      <c r="U805" s="13">
        <f>IF(ISNUMBER(P805),ROUND(P805/(1-Settings!$B$2)/Settings!$B$3,0)*Settings!$B$3,"")</f>
        <v/>
      </c>
      <c r="V805" s="13">
        <f>IF(ISNUMBER(Q805),ROUND(Q805/(1-Settings!$B$2)/Settings!$B$3,0)*Settings!$B$3,"")</f>
        <v/>
      </c>
      <c r="W805" s="14" t="n">
        <v>15214</v>
      </c>
      <c r="X805" s="14" t="n">
        <v>18081</v>
      </c>
      <c r="Y805" s="11" t="inlineStr"/>
      <c r="Z805" s="11" t="inlineStr"/>
      <c r="AA805" s="8" t="inlineStr"/>
      <c r="AB805" s="8" t="inlineStr"/>
      <c r="AC805" s="11" t="inlineStr">
        <is>
          <t>MasterMilitaryOnBaseList 12.2.25 NS.xlsx</t>
        </is>
      </c>
      <c r="AD805" s="11" t="inlineStr">
        <is>
          <t>MWR Sponsorship &amp; Advertising Price Guide.pdf</t>
        </is>
      </c>
      <c r="AE805" s="15" t="inlineStr">
        <is>
          <t>Open in Box</t>
        </is>
      </c>
      <c r="AF805" s="15" t="inlineStr">
        <is>
          <t>Open in Box</t>
        </is>
      </c>
    </row>
    <row r="806">
      <c r="A806" s="11" t="inlineStr">
        <is>
          <t>KS-FORTRILE-054</t>
        </is>
      </c>
      <c r="B806" s="8" t="inlineStr">
        <is>
          <t>Fort Riley</t>
        </is>
      </c>
      <c r="C806" s="11" t="inlineStr"/>
      <c r="D806" s="11" t="inlineStr">
        <is>
          <t>KS</t>
        </is>
      </c>
      <c r="E806" s="11" t="inlineStr">
        <is>
          <t>Topeka</t>
        </is>
      </c>
      <c r="F806" s="11" t="inlineStr">
        <is>
          <t>66442</t>
        </is>
      </c>
      <c r="G806" s="11" t="inlineStr">
        <is>
          <t>Army</t>
        </is>
      </c>
      <c r="H806" s="11" t="inlineStr">
        <is>
          <t>Large Format</t>
        </is>
      </c>
      <c r="I806" s="8" t="inlineStr">
        <is>
          <t>Window Decal - Hobby Studio</t>
        </is>
      </c>
      <c r="J806" s="11" t="inlineStr">
        <is>
          <t>TBD</t>
        </is>
      </c>
      <c r="K806" s="8" t="inlineStr">
        <is>
          <t>Your ad will appear on a window in Hobby Studio.</t>
        </is>
      </c>
      <c r="L806" s="11" t="n">
        <v>3</v>
      </c>
      <c r="M806" s="12" t="n"/>
      <c r="N806" s="12" t="n">
        <v>400</v>
      </c>
      <c r="O806" s="12" t="n">
        <v>750</v>
      </c>
      <c r="P806" s="12" t="n">
        <v>1400</v>
      </c>
      <c r="Q806" s="12" t="n"/>
      <c r="R806" s="13">
        <f>IF(ISNUMBER(M806),ROUND(M806/(1-Settings!$B$2)/Settings!$B$3,0)*Settings!$B$3,"")</f>
        <v/>
      </c>
      <c r="S806" s="13">
        <f>IF(ISNUMBER(N806),ROUND(N806/(1-Settings!$B$2)/Settings!$B$3,0)*Settings!$B$3,"")</f>
        <v/>
      </c>
      <c r="T806" s="13">
        <f>IF(ISNUMBER(O806),ROUND(O806/(1-Settings!$B$2)/Settings!$B$3,0)*Settings!$B$3,"")</f>
        <v/>
      </c>
      <c r="U806" s="13">
        <f>IF(ISNUMBER(P806),ROUND(P806/(1-Settings!$B$2)/Settings!$B$3,0)*Settings!$B$3,"")</f>
        <v/>
      </c>
      <c r="V806" s="13">
        <f>IF(ISNUMBER(Q806),ROUND(Q806/(1-Settings!$B$2)/Settings!$B$3,0)*Settings!$B$3,"")</f>
        <v/>
      </c>
      <c r="W806" s="14" t="n">
        <v>15214</v>
      </c>
      <c r="X806" s="14" t="n">
        <v>18081</v>
      </c>
      <c r="Y806" s="11" t="inlineStr"/>
      <c r="Z806" s="11" t="inlineStr"/>
      <c r="AA806" s="8" t="inlineStr"/>
      <c r="AB806" s="8" t="inlineStr"/>
      <c r="AC806" s="11" t="inlineStr">
        <is>
          <t>MasterMilitaryOnBaseList 12.2.25 NS.xlsx</t>
        </is>
      </c>
      <c r="AD806" s="11" t="inlineStr">
        <is>
          <t>MWR Sponsorship &amp; Advertising Price Guide.pdf</t>
        </is>
      </c>
      <c r="AE806" s="15" t="inlineStr">
        <is>
          <t>Open in Box</t>
        </is>
      </c>
      <c r="AF806" s="15" t="inlineStr">
        <is>
          <t>Open in Box</t>
        </is>
      </c>
    </row>
    <row r="807">
      <c r="A807" s="11" t="inlineStr">
        <is>
          <t>KS-FORTRILE-055</t>
        </is>
      </c>
      <c r="B807" s="8" t="inlineStr">
        <is>
          <t>Fort Riley</t>
        </is>
      </c>
      <c r="C807" s="11" t="inlineStr"/>
      <c r="D807" s="11" t="inlineStr">
        <is>
          <t>KS</t>
        </is>
      </c>
      <c r="E807" s="11" t="inlineStr">
        <is>
          <t>Topeka</t>
        </is>
      </c>
      <c r="F807" s="11" t="inlineStr">
        <is>
          <t>66442</t>
        </is>
      </c>
      <c r="G807" s="11" t="inlineStr">
        <is>
          <t>Army</t>
        </is>
      </c>
      <c r="H807" s="11" t="inlineStr">
        <is>
          <t>Large Format</t>
        </is>
      </c>
      <c r="I807" s="8" t="inlineStr">
        <is>
          <t>Window Decal - Leonard Fitness Center</t>
        </is>
      </c>
      <c r="J807" s="11" t="inlineStr">
        <is>
          <t>TBD</t>
        </is>
      </c>
      <c r="K807" s="8" t="inlineStr">
        <is>
          <t>Your ad will appear on a window in Leonard Fitness Center.</t>
        </is>
      </c>
      <c r="L807" s="11" t="n">
        <v>3</v>
      </c>
      <c r="M807" s="12" t="n"/>
      <c r="N807" s="12" t="n">
        <v>400</v>
      </c>
      <c r="O807" s="12" t="n">
        <v>750</v>
      </c>
      <c r="P807" s="12" t="n">
        <v>1400</v>
      </c>
      <c r="Q807" s="12" t="n"/>
      <c r="R807" s="13">
        <f>IF(ISNUMBER(M807),ROUND(M807/(1-Settings!$B$2)/Settings!$B$3,0)*Settings!$B$3,"")</f>
        <v/>
      </c>
      <c r="S807" s="13">
        <f>IF(ISNUMBER(N807),ROUND(N807/(1-Settings!$B$2)/Settings!$B$3,0)*Settings!$B$3,"")</f>
        <v/>
      </c>
      <c r="T807" s="13">
        <f>IF(ISNUMBER(O807),ROUND(O807/(1-Settings!$B$2)/Settings!$B$3,0)*Settings!$B$3,"")</f>
        <v/>
      </c>
      <c r="U807" s="13">
        <f>IF(ISNUMBER(P807),ROUND(P807/(1-Settings!$B$2)/Settings!$B$3,0)*Settings!$B$3,"")</f>
        <v/>
      </c>
      <c r="V807" s="13">
        <f>IF(ISNUMBER(Q807),ROUND(Q807/(1-Settings!$B$2)/Settings!$B$3,0)*Settings!$B$3,"")</f>
        <v/>
      </c>
      <c r="W807" s="14" t="n">
        <v>15214</v>
      </c>
      <c r="X807" s="14" t="n">
        <v>18081</v>
      </c>
      <c r="Y807" s="11" t="inlineStr"/>
      <c r="Z807" s="11" t="inlineStr"/>
      <c r="AA807" s="8" t="inlineStr"/>
      <c r="AB807" s="8" t="inlineStr"/>
      <c r="AC807" s="11" t="inlineStr">
        <is>
          <t>MasterMilitaryOnBaseList 12.2.25 NS.xlsx</t>
        </is>
      </c>
      <c r="AD807" s="11" t="inlineStr">
        <is>
          <t>MWR Sponsorship &amp; Advertising Price Guide.pdf</t>
        </is>
      </c>
      <c r="AE807" s="15" t="inlineStr">
        <is>
          <t>Open in Box</t>
        </is>
      </c>
      <c r="AF807" s="15" t="inlineStr">
        <is>
          <t>Open in Box</t>
        </is>
      </c>
    </row>
    <row r="808">
      <c r="A808" s="11" t="inlineStr">
        <is>
          <t>KS-FORTRILE-056</t>
        </is>
      </c>
      <c r="B808" s="8" t="inlineStr">
        <is>
          <t>Fort Riley</t>
        </is>
      </c>
      <c r="C808" s="11" t="inlineStr"/>
      <c r="D808" s="11" t="inlineStr">
        <is>
          <t>KS</t>
        </is>
      </c>
      <c r="E808" s="11" t="inlineStr">
        <is>
          <t>Topeka</t>
        </is>
      </c>
      <c r="F808" s="11" t="inlineStr">
        <is>
          <t>66442</t>
        </is>
      </c>
      <c r="G808" s="11" t="inlineStr">
        <is>
          <t>Army</t>
        </is>
      </c>
      <c r="H808" s="11" t="inlineStr">
        <is>
          <t>Large Format</t>
        </is>
      </c>
      <c r="I808" s="8" t="inlineStr">
        <is>
          <t>Window Decal - Long Fitness Center</t>
        </is>
      </c>
      <c r="J808" s="11" t="inlineStr">
        <is>
          <t>TBD</t>
        </is>
      </c>
      <c r="K808" s="8" t="inlineStr">
        <is>
          <t>Your ad will appear on a window in Long Fitness Center.</t>
        </is>
      </c>
      <c r="L808" s="11" t="n">
        <v>3</v>
      </c>
      <c r="M808" s="12" t="n"/>
      <c r="N808" s="12" t="n">
        <v>400</v>
      </c>
      <c r="O808" s="12" t="n">
        <v>750</v>
      </c>
      <c r="P808" s="12" t="n">
        <v>1400</v>
      </c>
      <c r="Q808" s="12" t="n"/>
      <c r="R808" s="13">
        <f>IF(ISNUMBER(M808),ROUND(M808/(1-Settings!$B$2)/Settings!$B$3,0)*Settings!$B$3,"")</f>
        <v/>
      </c>
      <c r="S808" s="13">
        <f>IF(ISNUMBER(N808),ROUND(N808/(1-Settings!$B$2)/Settings!$B$3,0)*Settings!$B$3,"")</f>
        <v/>
      </c>
      <c r="T808" s="13">
        <f>IF(ISNUMBER(O808),ROUND(O808/(1-Settings!$B$2)/Settings!$B$3,0)*Settings!$B$3,"")</f>
        <v/>
      </c>
      <c r="U808" s="13">
        <f>IF(ISNUMBER(P808),ROUND(P808/(1-Settings!$B$2)/Settings!$B$3,0)*Settings!$B$3,"")</f>
        <v/>
      </c>
      <c r="V808" s="13">
        <f>IF(ISNUMBER(Q808),ROUND(Q808/(1-Settings!$B$2)/Settings!$B$3,0)*Settings!$B$3,"")</f>
        <v/>
      </c>
      <c r="W808" s="14" t="n">
        <v>15214</v>
      </c>
      <c r="X808" s="14" t="n">
        <v>18081</v>
      </c>
      <c r="Y808" s="11" t="inlineStr"/>
      <c r="Z808" s="11" t="inlineStr"/>
      <c r="AA808" s="8" t="inlineStr"/>
      <c r="AB808" s="8" t="inlineStr"/>
      <c r="AC808" s="11" t="inlineStr">
        <is>
          <t>MasterMilitaryOnBaseList 12.2.25 NS.xlsx</t>
        </is>
      </c>
      <c r="AD808" s="11" t="inlineStr">
        <is>
          <t>MWR Sponsorship &amp; Advertising Price Guide.pdf</t>
        </is>
      </c>
      <c r="AE808" s="15" t="inlineStr">
        <is>
          <t>Open in Box</t>
        </is>
      </c>
      <c r="AF808" s="15" t="inlineStr">
        <is>
          <t>Open in Box</t>
        </is>
      </c>
    </row>
    <row r="809">
      <c r="A809" s="11" t="inlineStr">
        <is>
          <t>KS-FORTRILE-057</t>
        </is>
      </c>
      <c r="B809" s="8" t="inlineStr">
        <is>
          <t>Fort Riley</t>
        </is>
      </c>
      <c r="C809" s="11" t="inlineStr"/>
      <c r="D809" s="11" t="inlineStr">
        <is>
          <t>KS</t>
        </is>
      </c>
      <c r="E809" s="11" t="inlineStr">
        <is>
          <t>Topeka</t>
        </is>
      </c>
      <c r="F809" s="11" t="inlineStr">
        <is>
          <t>66442</t>
        </is>
      </c>
      <c r="G809" s="11" t="inlineStr">
        <is>
          <t>Army</t>
        </is>
      </c>
      <c r="H809" s="11" t="inlineStr">
        <is>
          <t>Large Format</t>
        </is>
      </c>
      <c r="I809" s="8" t="inlineStr">
        <is>
          <t>Window Decal - Robinson Fitness Center</t>
        </is>
      </c>
      <c r="J809" s="11" t="inlineStr">
        <is>
          <t>TBD</t>
        </is>
      </c>
      <c r="K809" s="8" t="inlineStr">
        <is>
          <t>Your ad will appear on a window in Robinson Fitness Center.</t>
        </is>
      </c>
      <c r="L809" s="11" t="n">
        <v>3</v>
      </c>
      <c r="M809" s="12" t="n"/>
      <c r="N809" s="12" t="n">
        <v>400</v>
      </c>
      <c r="O809" s="12" t="n">
        <v>750</v>
      </c>
      <c r="P809" s="12" t="n">
        <v>1400</v>
      </c>
      <c r="Q809" s="12" t="n"/>
      <c r="R809" s="13">
        <f>IF(ISNUMBER(M809),ROUND(M809/(1-Settings!$B$2)/Settings!$B$3,0)*Settings!$B$3,"")</f>
        <v/>
      </c>
      <c r="S809" s="13">
        <f>IF(ISNUMBER(N809),ROUND(N809/(1-Settings!$B$2)/Settings!$B$3,0)*Settings!$B$3,"")</f>
        <v/>
      </c>
      <c r="T809" s="13">
        <f>IF(ISNUMBER(O809),ROUND(O809/(1-Settings!$B$2)/Settings!$B$3,0)*Settings!$B$3,"")</f>
        <v/>
      </c>
      <c r="U809" s="13">
        <f>IF(ISNUMBER(P809),ROUND(P809/(1-Settings!$B$2)/Settings!$B$3,0)*Settings!$B$3,"")</f>
        <v/>
      </c>
      <c r="V809" s="13">
        <f>IF(ISNUMBER(Q809),ROUND(Q809/(1-Settings!$B$2)/Settings!$B$3,0)*Settings!$B$3,"")</f>
        <v/>
      </c>
      <c r="W809" s="14" t="n">
        <v>15214</v>
      </c>
      <c r="X809" s="14" t="n">
        <v>18081</v>
      </c>
      <c r="Y809" s="11" t="inlineStr"/>
      <c r="Z809" s="11" t="inlineStr"/>
      <c r="AA809" s="8" t="inlineStr"/>
      <c r="AB809" s="8" t="inlineStr"/>
      <c r="AC809" s="11" t="inlineStr">
        <is>
          <t>MasterMilitaryOnBaseList 12.2.25 NS.xlsx</t>
        </is>
      </c>
      <c r="AD809" s="11" t="inlineStr">
        <is>
          <t>MWR Sponsorship &amp; Advertising Price Guide.pdf</t>
        </is>
      </c>
      <c r="AE809" s="15" t="inlineStr">
        <is>
          <t>Open in Box</t>
        </is>
      </c>
      <c r="AF809" s="15" t="inlineStr">
        <is>
          <t>Open in Box</t>
        </is>
      </c>
    </row>
    <row r="810">
      <c r="A810" s="11" t="inlineStr">
        <is>
          <t>KS-FORTRILE-058</t>
        </is>
      </c>
      <c r="B810" s="8" t="inlineStr">
        <is>
          <t>Fort Riley</t>
        </is>
      </c>
      <c r="C810" s="11" t="inlineStr"/>
      <c r="D810" s="11" t="inlineStr">
        <is>
          <t>KS</t>
        </is>
      </c>
      <c r="E810" s="11" t="inlineStr">
        <is>
          <t>Topeka</t>
        </is>
      </c>
      <c r="F810" s="11" t="inlineStr">
        <is>
          <t>66442</t>
        </is>
      </c>
      <c r="G810" s="11" t="inlineStr">
        <is>
          <t>Army</t>
        </is>
      </c>
      <c r="H810" s="11" t="inlineStr">
        <is>
          <t>Large Format</t>
        </is>
      </c>
      <c r="I810" s="8" t="inlineStr">
        <is>
          <t>Window Decal - SpareTime Interactive Entertainment</t>
        </is>
      </c>
      <c r="J810" s="11" t="inlineStr">
        <is>
          <t>TBD</t>
        </is>
      </c>
      <c r="K810" s="8" t="inlineStr">
        <is>
          <t>Your ad will appear on a window in SpareTime.</t>
        </is>
      </c>
      <c r="L810" s="11" t="n">
        <v>3</v>
      </c>
      <c r="M810" s="12" t="n"/>
      <c r="N810" s="12" t="n">
        <v>1350</v>
      </c>
      <c r="O810" s="12" t="n">
        <v>2600</v>
      </c>
      <c r="P810" s="12" t="n">
        <v>5000</v>
      </c>
      <c r="Q810" s="12" t="n"/>
      <c r="R810" s="13">
        <f>IF(ISNUMBER(M810),ROUND(M810/(1-Settings!$B$2)/Settings!$B$3,0)*Settings!$B$3,"")</f>
        <v/>
      </c>
      <c r="S810" s="13">
        <f>IF(ISNUMBER(N810),ROUND(N810/(1-Settings!$B$2)/Settings!$B$3,0)*Settings!$B$3,"")</f>
        <v/>
      </c>
      <c r="T810" s="13">
        <f>IF(ISNUMBER(O810),ROUND(O810/(1-Settings!$B$2)/Settings!$B$3,0)*Settings!$B$3,"")</f>
        <v/>
      </c>
      <c r="U810" s="13">
        <f>IF(ISNUMBER(P810),ROUND(P810/(1-Settings!$B$2)/Settings!$B$3,0)*Settings!$B$3,"")</f>
        <v/>
      </c>
      <c r="V810" s="13">
        <f>IF(ISNUMBER(Q810),ROUND(Q810/(1-Settings!$B$2)/Settings!$B$3,0)*Settings!$B$3,"")</f>
        <v/>
      </c>
      <c r="W810" s="14" t="n">
        <v>15214</v>
      </c>
      <c r="X810" s="14" t="n">
        <v>18081</v>
      </c>
      <c r="Y810" s="11" t="inlineStr"/>
      <c r="Z810" s="11" t="inlineStr"/>
      <c r="AA810" s="8" t="inlineStr"/>
      <c r="AB810" s="8" t="inlineStr"/>
      <c r="AC810" s="11" t="inlineStr">
        <is>
          <t>MasterMilitaryOnBaseList 12.2.25 NS.xlsx</t>
        </is>
      </c>
      <c r="AD810" s="11" t="inlineStr">
        <is>
          <t>MWR Sponsorship &amp; Advertising Price Guide.pdf</t>
        </is>
      </c>
      <c r="AE810" s="15" t="inlineStr">
        <is>
          <t>Open in Box</t>
        </is>
      </c>
      <c r="AF810" s="15" t="inlineStr">
        <is>
          <t>Open in Box</t>
        </is>
      </c>
    </row>
    <row r="811">
      <c r="A811" s="11" t="inlineStr">
        <is>
          <t>KS-FORTRILE-059</t>
        </is>
      </c>
      <c r="B811" s="8" t="inlineStr">
        <is>
          <t>Fort Riley</t>
        </is>
      </c>
      <c r="C811" s="11" t="inlineStr"/>
      <c r="D811" s="11" t="inlineStr">
        <is>
          <t>KS</t>
        </is>
      </c>
      <c r="E811" s="11" t="inlineStr">
        <is>
          <t>Topeka</t>
        </is>
      </c>
      <c r="F811" s="11" t="inlineStr">
        <is>
          <t>66442</t>
        </is>
      </c>
      <c r="G811" s="11" t="inlineStr">
        <is>
          <t>Army</t>
        </is>
      </c>
      <c r="H811" s="11" t="inlineStr">
        <is>
          <t>Large Format</t>
        </is>
      </c>
      <c r="I811" s="8" t="inlineStr">
        <is>
          <t>Window Decal - Warrior Zone</t>
        </is>
      </c>
      <c r="J811" s="11" t="inlineStr">
        <is>
          <t>TBD</t>
        </is>
      </c>
      <c r="K811" s="8" t="inlineStr">
        <is>
          <t>Your ad will appear on a window in the Warrior Zone.</t>
        </is>
      </c>
      <c r="L811" s="11" t="n">
        <v>3</v>
      </c>
      <c r="M811" s="12" t="n"/>
      <c r="N811" s="12" t="n">
        <v>1350</v>
      </c>
      <c r="O811" s="12" t="n">
        <v>2600</v>
      </c>
      <c r="P811" s="12" t="n">
        <v>5000</v>
      </c>
      <c r="Q811" s="12" t="n"/>
      <c r="R811" s="13">
        <f>IF(ISNUMBER(M811),ROUND(M811/(1-Settings!$B$2)/Settings!$B$3,0)*Settings!$B$3,"")</f>
        <v/>
      </c>
      <c r="S811" s="13">
        <f>IF(ISNUMBER(N811),ROUND(N811/(1-Settings!$B$2)/Settings!$B$3,0)*Settings!$B$3,"")</f>
        <v/>
      </c>
      <c r="T811" s="13">
        <f>IF(ISNUMBER(O811),ROUND(O811/(1-Settings!$B$2)/Settings!$B$3,0)*Settings!$B$3,"")</f>
        <v/>
      </c>
      <c r="U811" s="13">
        <f>IF(ISNUMBER(P811),ROUND(P811/(1-Settings!$B$2)/Settings!$B$3,0)*Settings!$B$3,"")</f>
        <v/>
      </c>
      <c r="V811" s="13">
        <f>IF(ISNUMBER(Q811),ROUND(Q811/(1-Settings!$B$2)/Settings!$B$3,0)*Settings!$B$3,"")</f>
        <v/>
      </c>
      <c r="W811" s="14" t="n">
        <v>15214</v>
      </c>
      <c r="X811" s="14" t="n">
        <v>18081</v>
      </c>
      <c r="Y811" s="11" t="inlineStr"/>
      <c r="Z811" s="11" t="inlineStr"/>
      <c r="AA811" s="8" t="inlineStr"/>
      <c r="AB811" s="8" t="inlineStr"/>
      <c r="AC811" s="11" t="inlineStr">
        <is>
          <t>MasterMilitaryOnBaseList 12.2.25 NS.xlsx</t>
        </is>
      </c>
      <c r="AD811" s="11" t="inlineStr">
        <is>
          <t>MWR Sponsorship &amp; Advertising Price Guide.pdf</t>
        </is>
      </c>
      <c r="AE811" s="15" t="inlineStr">
        <is>
          <t>Open in Box</t>
        </is>
      </c>
      <c r="AF811" s="15" t="inlineStr">
        <is>
          <t>Open in Box</t>
        </is>
      </c>
    </row>
    <row r="812">
      <c r="A812" s="11" t="inlineStr">
        <is>
          <t>KS-FORTRILE-060</t>
        </is>
      </c>
      <c r="B812" s="8" t="inlineStr">
        <is>
          <t>Fort Riley</t>
        </is>
      </c>
      <c r="C812" s="11" t="inlineStr"/>
      <c r="D812" s="11" t="inlineStr">
        <is>
          <t>KS</t>
        </is>
      </c>
      <c r="E812" s="11" t="inlineStr">
        <is>
          <t>Topeka</t>
        </is>
      </c>
      <c r="F812" s="11" t="inlineStr">
        <is>
          <t>66442</t>
        </is>
      </c>
      <c r="G812" s="11" t="inlineStr">
        <is>
          <t>Army</t>
        </is>
      </c>
      <c r="H812" s="11" t="inlineStr">
        <is>
          <t>Large Format</t>
        </is>
      </c>
      <c r="I812" s="8" t="inlineStr">
        <is>
          <t>Window Decal - Whitside Fitness Center</t>
        </is>
      </c>
      <c r="J812" s="11" t="inlineStr">
        <is>
          <t>TBD</t>
        </is>
      </c>
      <c r="K812" s="8" t="inlineStr">
        <is>
          <t>Your ad will appear on a window in Whitside Fitness Center.</t>
        </is>
      </c>
      <c r="L812" s="11" t="n">
        <v>3</v>
      </c>
      <c r="M812" s="12" t="n"/>
      <c r="N812" s="12" t="n">
        <v>650</v>
      </c>
      <c r="O812" s="12" t="n">
        <v>1200</v>
      </c>
      <c r="P812" s="12" t="n">
        <v>2100</v>
      </c>
      <c r="Q812" s="12" t="n"/>
      <c r="R812" s="13">
        <f>IF(ISNUMBER(M812),ROUND(M812/(1-Settings!$B$2)/Settings!$B$3,0)*Settings!$B$3,"")</f>
        <v/>
      </c>
      <c r="S812" s="13">
        <f>IF(ISNUMBER(N812),ROUND(N812/(1-Settings!$B$2)/Settings!$B$3,0)*Settings!$B$3,"")</f>
        <v/>
      </c>
      <c r="T812" s="13">
        <f>IF(ISNUMBER(O812),ROUND(O812/(1-Settings!$B$2)/Settings!$B$3,0)*Settings!$B$3,"")</f>
        <v/>
      </c>
      <c r="U812" s="13">
        <f>IF(ISNUMBER(P812),ROUND(P812/(1-Settings!$B$2)/Settings!$B$3,0)*Settings!$B$3,"")</f>
        <v/>
      </c>
      <c r="V812" s="13">
        <f>IF(ISNUMBER(Q812),ROUND(Q812/(1-Settings!$B$2)/Settings!$B$3,0)*Settings!$B$3,"")</f>
        <v/>
      </c>
      <c r="W812" s="14" t="n">
        <v>15214</v>
      </c>
      <c r="X812" s="14" t="n">
        <v>18081</v>
      </c>
      <c r="Y812" s="11" t="inlineStr"/>
      <c r="Z812" s="11" t="inlineStr"/>
      <c r="AA812" s="8" t="inlineStr"/>
      <c r="AB812" s="8" t="inlineStr"/>
      <c r="AC812" s="11" t="inlineStr">
        <is>
          <t>MasterMilitaryOnBaseList 12.2.25 NS.xlsx</t>
        </is>
      </c>
      <c r="AD812" s="11" t="inlineStr">
        <is>
          <t>MWR Sponsorship &amp; Advertising Price Guide.pdf</t>
        </is>
      </c>
      <c r="AE812" s="15" t="inlineStr">
        <is>
          <t>Open in Box</t>
        </is>
      </c>
      <c r="AF812" s="15" t="inlineStr">
        <is>
          <t>Open in Box</t>
        </is>
      </c>
    </row>
    <row r="813">
      <c r="A813" s="11" t="inlineStr">
        <is>
          <t>KS-FORTRILE-061</t>
        </is>
      </c>
      <c r="B813" s="8" t="inlineStr">
        <is>
          <t>Fort Riley</t>
        </is>
      </c>
      <c r="C813" s="11" t="inlineStr"/>
      <c r="D813" s="11" t="inlineStr">
        <is>
          <t>KS</t>
        </is>
      </c>
      <c r="E813" s="11" t="inlineStr">
        <is>
          <t>Topeka</t>
        </is>
      </c>
      <c r="F813" s="11" t="inlineStr">
        <is>
          <t>66442</t>
        </is>
      </c>
      <c r="G813" s="11" t="inlineStr">
        <is>
          <t>Army</t>
        </is>
      </c>
      <c r="H813" s="11" t="inlineStr">
        <is>
          <t>Print &amp; Publications</t>
        </is>
      </c>
      <c r="I813" s="8" t="inlineStr">
        <is>
          <t>Quarterly Guide Ad - 1/2 Page</t>
        </is>
      </c>
      <c r="J813" s="11" t="inlineStr">
        <is>
          <t>8.25" x 5"</t>
        </is>
      </c>
      <c r="K813" s="8" t="inlineStr">
        <is>
          <t>Your 1/2 page ad will appear in the Fort Riley quarterly guide.</t>
        </is>
      </c>
      <c r="L813" s="11" t="n">
        <v>3</v>
      </c>
      <c r="M813" s="12" t="n"/>
      <c r="N813" s="12" t="n">
        <v>700</v>
      </c>
      <c r="O813" s="12" t="n">
        <v>1400</v>
      </c>
      <c r="P813" s="12" t="n">
        <v>2800</v>
      </c>
      <c r="Q813" s="12" t="n"/>
      <c r="R813" s="13">
        <f>IF(ISNUMBER(M813),ROUND(M813/(1-Settings!$B$2)/Settings!$B$3,0)*Settings!$B$3,"")</f>
        <v/>
      </c>
      <c r="S813" s="13">
        <f>IF(ISNUMBER(N813),ROUND(N813/(1-Settings!$B$2)/Settings!$B$3,0)*Settings!$B$3,"")</f>
        <v/>
      </c>
      <c r="T813" s="13">
        <f>IF(ISNUMBER(O813),ROUND(O813/(1-Settings!$B$2)/Settings!$B$3,0)*Settings!$B$3,"")</f>
        <v/>
      </c>
      <c r="U813" s="13">
        <f>IF(ISNUMBER(P813),ROUND(P813/(1-Settings!$B$2)/Settings!$B$3,0)*Settings!$B$3,"")</f>
        <v/>
      </c>
      <c r="V813" s="13">
        <f>IF(ISNUMBER(Q813),ROUND(Q813/(1-Settings!$B$2)/Settings!$B$3,0)*Settings!$B$3,"")</f>
        <v/>
      </c>
      <c r="W813" s="14" t="n">
        <v>15214</v>
      </c>
      <c r="X813" s="14" t="n">
        <v>18081</v>
      </c>
      <c r="Y813" s="11" t="inlineStr"/>
      <c r="Z813" s="11" t="inlineStr"/>
      <c r="AA813" s="8" t="inlineStr">
        <is>
          <t>Inventory master 6/2026 lists Guide / Map Ad at $1,400 (3 mo)</t>
        </is>
      </c>
      <c r="AB813" s="8" t="inlineStr"/>
      <c r="AC813" s="11" t="inlineStr">
        <is>
          <t>MasterMilitaryOnBaseList 12.2.25 NS.xlsx</t>
        </is>
      </c>
      <c r="AD813" s="11" t="inlineStr">
        <is>
          <t>MWR Sponsorship &amp; Advertising Price Guide.pdf</t>
        </is>
      </c>
      <c r="AE813" s="15" t="inlineStr">
        <is>
          <t>Open in Box</t>
        </is>
      </c>
      <c r="AF813" s="15" t="inlineStr">
        <is>
          <t>Open in Box</t>
        </is>
      </c>
    </row>
    <row r="814">
      <c r="A814" s="11" t="inlineStr">
        <is>
          <t>KS-FORTRILE-062</t>
        </is>
      </c>
      <c r="B814" s="8" t="inlineStr">
        <is>
          <t>Fort Riley</t>
        </is>
      </c>
      <c r="C814" s="11" t="inlineStr"/>
      <c r="D814" s="11" t="inlineStr">
        <is>
          <t>KS</t>
        </is>
      </c>
      <c r="E814" s="11" t="inlineStr">
        <is>
          <t>Topeka</t>
        </is>
      </c>
      <c r="F814" s="11" t="inlineStr">
        <is>
          <t>66442</t>
        </is>
      </c>
      <c r="G814" s="11" t="inlineStr">
        <is>
          <t>Army</t>
        </is>
      </c>
      <c r="H814" s="11" t="inlineStr">
        <is>
          <t>Print &amp; Publications</t>
        </is>
      </c>
      <c r="I814" s="8" t="inlineStr">
        <is>
          <t>Quarterly Guide Ad - 1/4 Page</t>
        </is>
      </c>
      <c r="J814" s="11" t="inlineStr">
        <is>
          <t>3.75" x 5"</t>
        </is>
      </c>
      <c r="K814" s="8" t="inlineStr">
        <is>
          <t>Your 1/4 page ad will appear in the Fort Riley quarterly guide.</t>
        </is>
      </c>
      <c r="L814" s="11" t="n">
        <v>3</v>
      </c>
      <c r="M814" s="12" t="n"/>
      <c r="N814" s="12" t="n">
        <v>400</v>
      </c>
      <c r="O814" s="12" t="n">
        <v>800</v>
      </c>
      <c r="P814" s="12" t="n">
        <v>1600</v>
      </c>
      <c r="Q814" s="12" t="n"/>
      <c r="R814" s="13">
        <f>IF(ISNUMBER(M814),ROUND(M814/(1-Settings!$B$2)/Settings!$B$3,0)*Settings!$B$3,"")</f>
        <v/>
      </c>
      <c r="S814" s="13">
        <f>IF(ISNUMBER(N814),ROUND(N814/(1-Settings!$B$2)/Settings!$B$3,0)*Settings!$B$3,"")</f>
        <v/>
      </c>
      <c r="T814" s="13">
        <f>IF(ISNUMBER(O814),ROUND(O814/(1-Settings!$B$2)/Settings!$B$3,0)*Settings!$B$3,"")</f>
        <v/>
      </c>
      <c r="U814" s="13">
        <f>IF(ISNUMBER(P814),ROUND(P814/(1-Settings!$B$2)/Settings!$B$3,0)*Settings!$B$3,"")</f>
        <v/>
      </c>
      <c r="V814" s="13">
        <f>IF(ISNUMBER(Q814),ROUND(Q814/(1-Settings!$B$2)/Settings!$B$3,0)*Settings!$B$3,"")</f>
        <v/>
      </c>
      <c r="W814" s="14" t="n">
        <v>15214</v>
      </c>
      <c r="X814" s="14" t="n">
        <v>18081</v>
      </c>
      <c r="Y814" s="11" t="inlineStr"/>
      <c r="Z814" s="11" t="inlineStr"/>
      <c r="AA814" s="8" t="inlineStr">
        <is>
          <t>Inventory master 6/2026 lists Guide / Map Ad at $1,400 (3 mo)</t>
        </is>
      </c>
      <c r="AB814" s="8" t="inlineStr"/>
      <c r="AC814" s="11" t="inlineStr">
        <is>
          <t>MasterMilitaryOnBaseList 12.2.25 NS.xlsx</t>
        </is>
      </c>
      <c r="AD814" s="11" t="inlineStr">
        <is>
          <t>MWR Sponsorship &amp; Advertising Price Guide.pdf</t>
        </is>
      </c>
      <c r="AE814" s="15" t="inlineStr">
        <is>
          <t>Open in Box</t>
        </is>
      </c>
      <c r="AF814" s="15" t="inlineStr">
        <is>
          <t>Open in Box</t>
        </is>
      </c>
    </row>
    <row r="815">
      <c r="A815" s="11" t="inlineStr">
        <is>
          <t>KS-FORTRILE-063</t>
        </is>
      </c>
      <c r="B815" s="8" t="inlineStr">
        <is>
          <t>Fort Riley</t>
        </is>
      </c>
      <c r="C815" s="11" t="inlineStr"/>
      <c r="D815" s="11" t="inlineStr">
        <is>
          <t>KS</t>
        </is>
      </c>
      <c r="E815" s="11" t="inlineStr">
        <is>
          <t>Topeka</t>
        </is>
      </c>
      <c r="F815" s="11" t="inlineStr">
        <is>
          <t>66442</t>
        </is>
      </c>
      <c r="G815" s="11" t="inlineStr">
        <is>
          <t>Army</t>
        </is>
      </c>
      <c r="H815" s="11" t="inlineStr">
        <is>
          <t>Print &amp; Publications</t>
        </is>
      </c>
      <c r="I815" s="8" t="inlineStr">
        <is>
          <t>Quarterly Guide Ad - Full Page</t>
        </is>
      </c>
      <c r="J815" s="11" t="inlineStr">
        <is>
          <t>8.25" x 10.5"</t>
        </is>
      </c>
      <c r="K815" s="8" t="inlineStr">
        <is>
          <t>Your full page ad will appear in the Fort Riley quarterly guide.</t>
        </is>
      </c>
      <c r="L815" s="11" t="n">
        <v>3</v>
      </c>
      <c r="M815" s="12" t="n"/>
      <c r="N815" s="12" t="n">
        <v>1200</v>
      </c>
      <c r="O815" s="12" t="n">
        <v>2400</v>
      </c>
      <c r="P815" s="12" t="n">
        <v>4800</v>
      </c>
      <c r="Q815" s="12" t="n"/>
      <c r="R815" s="13">
        <f>IF(ISNUMBER(M815),ROUND(M815/(1-Settings!$B$2)/Settings!$B$3,0)*Settings!$B$3,"")</f>
        <v/>
      </c>
      <c r="S815" s="13">
        <f>IF(ISNUMBER(N815),ROUND(N815/(1-Settings!$B$2)/Settings!$B$3,0)*Settings!$B$3,"")</f>
        <v/>
      </c>
      <c r="T815" s="13">
        <f>IF(ISNUMBER(O815),ROUND(O815/(1-Settings!$B$2)/Settings!$B$3,0)*Settings!$B$3,"")</f>
        <v/>
      </c>
      <c r="U815" s="13">
        <f>IF(ISNUMBER(P815),ROUND(P815/(1-Settings!$B$2)/Settings!$B$3,0)*Settings!$B$3,"")</f>
        <v/>
      </c>
      <c r="V815" s="13">
        <f>IF(ISNUMBER(Q815),ROUND(Q815/(1-Settings!$B$2)/Settings!$B$3,0)*Settings!$B$3,"")</f>
        <v/>
      </c>
      <c r="W815" s="14" t="n">
        <v>15214</v>
      </c>
      <c r="X815" s="14" t="n">
        <v>18081</v>
      </c>
      <c r="Y815" s="11" t="inlineStr"/>
      <c r="Z815" s="11" t="inlineStr"/>
      <c r="AA815" s="8" t="inlineStr">
        <is>
          <t>Inventory master 6/2026 lists Guide / Map Ad at $1,400 (3 mo)</t>
        </is>
      </c>
      <c r="AB815" s="8" t="inlineStr"/>
      <c r="AC815" s="11" t="inlineStr">
        <is>
          <t>MasterMilitaryOnBaseList 12.2.25 NS.xlsx</t>
        </is>
      </c>
      <c r="AD815" s="11" t="inlineStr">
        <is>
          <t>MWR Sponsorship &amp; Advertising Price Guide.pdf</t>
        </is>
      </c>
      <c r="AE815" s="15" t="inlineStr">
        <is>
          <t>Open in Box</t>
        </is>
      </c>
      <c r="AF815" s="15" t="inlineStr">
        <is>
          <t>Open in Box</t>
        </is>
      </c>
    </row>
    <row r="816">
      <c r="A816" s="11" t="inlineStr">
        <is>
          <t>KS-FORTRILE-065</t>
        </is>
      </c>
      <c r="B816" s="8" t="inlineStr">
        <is>
          <t>Fort Riley</t>
        </is>
      </c>
      <c r="C816" s="11" t="inlineStr"/>
      <c r="D816" s="11" t="inlineStr">
        <is>
          <t>KS</t>
        </is>
      </c>
      <c r="E816" s="11" t="inlineStr">
        <is>
          <t>Topeka</t>
        </is>
      </c>
      <c r="F816" s="11" t="inlineStr">
        <is>
          <t>66442</t>
        </is>
      </c>
      <c r="G816" s="11" t="inlineStr">
        <is>
          <t>Army</t>
        </is>
      </c>
      <c r="H816" s="11" t="inlineStr">
        <is>
          <t>Sponsorship &amp; Other</t>
        </is>
      </c>
      <c r="I816" s="8" t="inlineStr">
        <is>
          <t>Cornhole Boards</t>
        </is>
      </c>
      <c r="J816" s="11" t="inlineStr">
        <is>
          <t>24" x 36"</t>
        </is>
      </c>
      <c r="K816" s="8" t="inlineStr">
        <is>
          <t>Your ad will appear on one set of cornhole boards in SpareTime.</t>
        </is>
      </c>
      <c r="L816" s="11" t="n">
        <v>12</v>
      </c>
      <c r="M816" s="12" t="n"/>
      <c r="N816" s="12" t="n"/>
      <c r="O816" s="12" t="n"/>
      <c r="P816" s="12" t="n">
        <v>1000</v>
      </c>
      <c r="Q816" s="12" t="n"/>
      <c r="R816" s="13">
        <f>IF(ISNUMBER(M816),ROUND(M816/(1-Settings!$B$2)/Settings!$B$3,0)*Settings!$B$3,"")</f>
        <v/>
      </c>
      <c r="S816" s="13">
        <f>IF(ISNUMBER(N816),ROUND(N816/(1-Settings!$B$2)/Settings!$B$3,0)*Settings!$B$3,"")</f>
        <v/>
      </c>
      <c r="T816" s="13">
        <f>IF(ISNUMBER(O816),ROUND(O816/(1-Settings!$B$2)/Settings!$B$3,0)*Settings!$B$3,"")</f>
        <v/>
      </c>
      <c r="U816" s="13">
        <f>IF(ISNUMBER(P816),ROUND(P816/(1-Settings!$B$2)/Settings!$B$3,0)*Settings!$B$3,"")</f>
        <v/>
      </c>
      <c r="V816" s="13">
        <f>IF(ISNUMBER(Q816),ROUND(Q816/(1-Settings!$B$2)/Settings!$B$3,0)*Settings!$B$3,"")</f>
        <v/>
      </c>
      <c r="W816" s="14" t="n">
        <v>15214</v>
      </c>
      <c r="X816" s="14" t="n">
        <v>18081</v>
      </c>
      <c r="Y816" s="11" t="inlineStr"/>
      <c r="Z816" s="11" t="inlineStr"/>
      <c r="AA816" s="8" t="inlineStr"/>
      <c r="AB816" s="8" t="inlineStr"/>
      <c r="AC816" s="11" t="inlineStr">
        <is>
          <t>MasterMilitaryOnBaseList 12.2.25 NS.xlsx</t>
        </is>
      </c>
      <c r="AD816" s="11" t="inlineStr">
        <is>
          <t>MWR Sponsorship &amp; Advertising Price Guide.pdf</t>
        </is>
      </c>
      <c r="AE816" s="15" t="inlineStr">
        <is>
          <t>Open in Box</t>
        </is>
      </c>
      <c r="AF816" s="15" t="inlineStr">
        <is>
          <t>Open in Box</t>
        </is>
      </c>
    </row>
    <row r="817">
      <c r="A817" s="11" t="inlineStr">
        <is>
          <t>KS-FORTRILE-008</t>
        </is>
      </c>
      <c r="B817" s="8" t="inlineStr">
        <is>
          <t>Fort Riley</t>
        </is>
      </c>
      <c r="C817" s="11" t="inlineStr"/>
      <c r="D817" s="11" t="inlineStr">
        <is>
          <t>KS</t>
        </is>
      </c>
      <c r="E817" s="11" t="inlineStr">
        <is>
          <t>Topeka</t>
        </is>
      </c>
      <c r="F817" s="11" t="inlineStr">
        <is>
          <t>66442</t>
        </is>
      </c>
      <c r="G817" s="11" t="inlineStr">
        <is>
          <t>Army</t>
        </is>
      </c>
      <c r="H817" s="11" t="inlineStr">
        <is>
          <t>Standard Media</t>
        </is>
      </c>
      <c r="I817" s="8" t="inlineStr">
        <is>
          <t>Banner - Auto Skills Center</t>
        </is>
      </c>
      <c r="J817" s="11" t="inlineStr">
        <is>
          <t>36" x 96"</t>
        </is>
      </c>
      <c r="K817" s="8" t="inlineStr">
        <is>
          <t>Your ad will appear at Auto Skills Center on the installation.</t>
        </is>
      </c>
      <c r="L817" s="11" t="n">
        <v>1</v>
      </c>
      <c r="M817" s="12" t="n">
        <v>125</v>
      </c>
      <c r="N817" s="12" t="n">
        <v>275</v>
      </c>
      <c r="O817" s="12" t="n">
        <v>525</v>
      </c>
      <c r="P817" s="12" t="n">
        <v>950</v>
      </c>
      <c r="Q817" s="12" t="n">
        <v>200</v>
      </c>
      <c r="R817" s="13">
        <f>IF(ISNUMBER(M817),ROUND(M817/(1-Settings!$B$2)/Settings!$B$3,0)*Settings!$B$3,"")</f>
        <v/>
      </c>
      <c r="S817" s="13">
        <f>IF(ISNUMBER(N817),ROUND(N817/(1-Settings!$B$2)/Settings!$B$3,0)*Settings!$B$3,"")</f>
        <v/>
      </c>
      <c r="T817" s="13">
        <f>IF(ISNUMBER(O817),ROUND(O817/(1-Settings!$B$2)/Settings!$B$3,0)*Settings!$B$3,"")</f>
        <v/>
      </c>
      <c r="U817" s="13">
        <f>IF(ISNUMBER(P817),ROUND(P817/(1-Settings!$B$2)/Settings!$B$3,0)*Settings!$B$3,"")</f>
        <v/>
      </c>
      <c r="V817" s="13">
        <f>IF(ISNUMBER(Q817),ROUND(Q817/(1-Settings!$B$2)/Settings!$B$3,0)*Settings!$B$3,"")</f>
        <v/>
      </c>
      <c r="W817" s="14" t="n">
        <v>15214</v>
      </c>
      <c r="X817" s="14" t="n">
        <v>18081</v>
      </c>
      <c r="Y817" s="11" t="inlineStr"/>
      <c r="Z817" s="11" t="inlineStr"/>
      <c r="AA817" s="8" t="inlineStr"/>
      <c r="AB817" s="8" t="inlineStr"/>
      <c r="AC817" s="11" t="inlineStr">
        <is>
          <t>MasterMilitaryOnBaseList 12.2.25 NS.xlsx</t>
        </is>
      </c>
      <c r="AD817" s="11" t="inlineStr">
        <is>
          <t>MWR Sponsorship &amp; Advertising Price Guide.pdf</t>
        </is>
      </c>
      <c r="AE817" s="15" t="inlineStr">
        <is>
          <t>Open in Box</t>
        </is>
      </c>
      <c r="AF817" s="15" t="inlineStr">
        <is>
          <t>Open in Box</t>
        </is>
      </c>
    </row>
    <row r="818">
      <c r="A818" s="11" t="inlineStr">
        <is>
          <t>KS-FORTRILE-009</t>
        </is>
      </c>
      <c r="B818" s="8" t="inlineStr">
        <is>
          <t>Fort Riley</t>
        </is>
      </c>
      <c r="C818" s="11" t="inlineStr"/>
      <c r="D818" s="11" t="inlineStr">
        <is>
          <t>KS</t>
        </is>
      </c>
      <c r="E818" s="11" t="inlineStr">
        <is>
          <t>Topeka</t>
        </is>
      </c>
      <c r="F818" s="11" t="inlineStr">
        <is>
          <t>66442</t>
        </is>
      </c>
      <c r="G818" s="11" t="inlineStr">
        <is>
          <t>Army</t>
        </is>
      </c>
      <c r="H818" s="11" t="inlineStr">
        <is>
          <t>Standard Media</t>
        </is>
      </c>
      <c r="I818" s="8" t="inlineStr">
        <is>
          <t>Banner - Craig Fitness Center</t>
        </is>
      </c>
      <c r="J818" s="11" t="inlineStr">
        <is>
          <t>36" x 96"</t>
        </is>
      </c>
      <c r="K818" s="8" t="inlineStr">
        <is>
          <t>Your ad will appear at the Craig Fitness Center on the installation.</t>
        </is>
      </c>
      <c r="L818" s="11" t="n">
        <v>1</v>
      </c>
      <c r="M818" s="12" t="n">
        <v>150</v>
      </c>
      <c r="N818" s="12" t="n">
        <v>375</v>
      </c>
      <c r="O818" s="12" t="n">
        <v>725</v>
      </c>
      <c r="P818" s="12" t="n">
        <v>1300</v>
      </c>
      <c r="Q818" s="12" t="n">
        <v>200</v>
      </c>
      <c r="R818" s="13">
        <f>IF(ISNUMBER(M818),ROUND(M818/(1-Settings!$B$2)/Settings!$B$3,0)*Settings!$B$3,"")</f>
        <v/>
      </c>
      <c r="S818" s="13">
        <f>IF(ISNUMBER(N818),ROUND(N818/(1-Settings!$B$2)/Settings!$B$3,0)*Settings!$B$3,"")</f>
        <v/>
      </c>
      <c r="T818" s="13">
        <f>IF(ISNUMBER(O818),ROUND(O818/(1-Settings!$B$2)/Settings!$B$3,0)*Settings!$B$3,"")</f>
        <v/>
      </c>
      <c r="U818" s="13">
        <f>IF(ISNUMBER(P818),ROUND(P818/(1-Settings!$B$2)/Settings!$B$3,0)*Settings!$B$3,"")</f>
        <v/>
      </c>
      <c r="V818" s="13">
        <f>IF(ISNUMBER(Q818),ROUND(Q818/(1-Settings!$B$2)/Settings!$B$3,0)*Settings!$B$3,"")</f>
        <v/>
      </c>
      <c r="W818" s="14" t="n">
        <v>15214</v>
      </c>
      <c r="X818" s="14" t="n">
        <v>18081</v>
      </c>
      <c r="Y818" s="11" t="inlineStr"/>
      <c r="Z818" s="11" t="inlineStr"/>
      <c r="AA818" s="8" t="inlineStr"/>
      <c r="AB818" s="8" t="inlineStr"/>
      <c r="AC818" s="11" t="inlineStr">
        <is>
          <t>MasterMilitaryOnBaseList 12.2.25 NS.xlsx</t>
        </is>
      </c>
      <c r="AD818" s="11" t="inlineStr">
        <is>
          <t>MWR Sponsorship &amp; Advertising Price Guide.pdf</t>
        </is>
      </c>
      <c r="AE818" s="15" t="inlineStr">
        <is>
          <t>Open in Box</t>
        </is>
      </c>
      <c r="AF818" s="15" t="inlineStr">
        <is>
          <t>Open in Box</t>
        </is>
      </c>
    </row>
    <row r="819">
      <c r="A819" s="11" t="inlineStr">
        <is>
          <t>KS-FORTRILE-010</t>
        </is>
      </c>
      <c r="B819" s="8" t="inlineStr">
        <is>
          <t>Fort Riley</t>
        </is>
      </c>
      <c r="C819" s="11" t="inlineStr"/>
      <c r="D819" s="11" t="inlineStr">
        <is>
          <t>KS</t>
        </is>
      </c>
      <c r="E819" s="11" t="inlineStr">
        <is>
          <t>Topeka</t>
        </is>
      </c>
      <c r="F819" s="11" t="inlineStr">
        <is>
          <t>66442</t>
        </is>
      </c>
      <c r="G819" s="11" t="inlineStr">
        <is>
          <t>Army</t>
        </is>
      </c>
      <c r="H819" s="11" t="inlineStr">
        <is>
          <t>Standard Media</t>
        </is>
      </c>
      <c r="I819" s="8" t="inlineStr">
        <is>
          <t>Banner - Custer Hill Aquatic Complex</t>
        </is>
      </c>
      <c r="J819" s="11" t="inlineStr">
        <is>
          <t>36" x 96"</t>
        </is>
      </c>
      <c r="K819" s="8" t="inlineStr">
        <is>
          <t>Your ad will appear at the King Field House on the installation.</t>
        </is>
      </c>
      <c r="L819" s="11" t="n">
        <v>1</v>
      </c>
      <c r="M819" s="12" t="n">
        <v>75</v>
      </c>
      <c r="N819" s="12" t="n">
        <v>150</v>
      </c>
      <c r="O819" s="12" t="n">
        <v>275</v>
      </c>
      <c r="P819" s="12" t="n">
        <v>500</v>
      </c>
      <c r="Q819" s="12" t="n">
        <v>200</v>
      </c>
      <c r="R819" s="13">
        <f>IF(ISNUMBER(M819),ROUND(M819/(1-Settings!$B$2)/Settings!$B$3,0)*Settings!$B$3,"")</f>
        <v/>
      </c>
      <c r="S819" s="13">
        <f>IF(ISNUMBER(N819),ROUND(N819/(1-Settings!$B$2)/Settings!$B$3,0)*Settings!$B$3,"")</f>
        <v/>
      </c>
      <c r="T819" s="13">
        <f>IF(ISNUMBER(O819),ROUND(O819/(1-Settings!$B$2)/Settings!$B$3,0)*Settings!$B$3,"")</f>
        <v/>
      </c>
      <c r="U819" s="13">
        <f>IF(ISNUMBER(P819),ROUND(P819/(1-Settings!$B$2)/Settings!$B$3,0)*Settings!$B$3,"")</f>
        <v/>
      </c>
      <c r="V819" s="13">
        <f>IF(ISNUMBER(Q819),ROUND(Q819/(1-Settings!$B$2)/Settings!$B$3,0)*Settings!$B$3,"")</f>
        <v/>
      </c>
      <c r="W819" s="14" t="n">
        <v>15214</v>
      </c>
      <c r="X819" s="14" t="n">
        <v>18081</v>
      </c>
      <c r="Y819" s="11" t="inlineStr"/>
      <c r="Z819" s="11" t="inlineStr"/>
      <c r="AA819" s="8" t="inlineStr"/>
      <c r="AB819" s="8" t="inlineStr"/>
      <c r="AC819" s="11" t="inlineStr">
        <is>
          <t>MasterMilitaryOnBaseList 12.2.25 NS.xlsx</t>
        </is>
      </c>
      <c r="AD819" s="11" t="inlineStr">
        <is>
          <t>MWR Sponsorship &amp; Advertising Price Guide.pdf</t>
        </is>
      </c>
      <c r="AE819" s="15" t="inlineStr">
        <is>
          <t>Open in Box</t>
        </is>
      </c>
      <c r="AF819" s="15" t="inlineStr">
        <is>
          <t>Open in Box</t>
        </is>
      </c>
    </row>
    <row r="820">
      <c r="A820" s="11" t="inlineStr">
        <is>
          <t>KS-FORTRILE-011</t>
        </is>
      </c>
      <c r="B820" s="8" t="inlineStr">
        <is>
          <t>Fort Riley</t>
        </is>
      </c>
      <c r="C820" s="11" t="inlineStr"/>
      <c r="D820" s="11" t="inlineStr">
        <is>
          <t>KS</t>
        </is>
      </c>
      <c r="E820" s="11" t="inlineStr">
        <is>
          <t>Topeka</t>
        </is>
      </c>
      <c r="F820" s="11" t="inlineStr">
        <is>
          <t>66442</t>
        </is>
      </c>
      <c r="G820" s="11" t="inlineStr">
        <is>
          <t>Army</t>
        </is>
      </c>
      <c r="H820" s="11" t="inlineStr">
        <is>
          <t>Standard Media</t>
        </is>
      </c>
      <c r="I820" s="8" t="inlineStr">
        <is>
          <t>Banner - Eyster Indoor Pool</t>
        </is>
      </c>
      <c r="J820" s="11" t="inlineStr">
        <is>
          <t>36" x 96"</t>
        </is>
      </c>
      <c r="K820" s="8" t="inlineStr">
        <is>
          <t>Your ad will appear at the King Field House on the installation.</t>
        </is>
      </c>
      <c r="L820" s="11" t="n">
        <v>1</v>
      </c>
      <c r="M820" s="12" t="n">
        <v>75</v>
      </c>
      <c r="N820" s="12" t="n">
        <v>150</v>
      </c>
      <c r="O820" s="12" t="n">
        <v>275</v>
      </c>
      <c r="P820" s="12" t="n">
        <v>500</v>
      </c>
      <c r="Q820" s="12" t="n">
        <v>200</v>
      </c>
      <c r="R820" s="13">
        <f>IF(ISNUMBER(M820),ROUND(M820/(1-Settings!$B$2)/Settings!$B$3,0)*Settings!$B$3,"")</f>
        <v/>
      </c>
      <c r="S820" s="13">
        <f>IF(ISNUMBER(N820),ROUND(N820/(1-Settings!$B$2)/Settings!$B$3,0)*Settings!$B$3,"")</f>
        <v/>
      </c>
      <c r="T820" s="13">
        <f>IF(ISNUMBER(O820),ROUND(O820/(1-Settings!$B$2)/Settings!$B$3,0)*Settings!$B$3,"")</f>
        <v/>
      </c>
      <c r="U820" s="13">
        <f>IF(ISNUMBER(P820),ROUND(P820/(1-Settings!$B$2)/Settings!$B$3,0)*Settings!$B$3,"")</f>
        <v/>
      </c>
      <c r="V820" s="13">
        <f>IF(ISNUMBER(Q820),ROUND(Q820/(1-Settings!$B$2)/Settings!$B$3,0)*Settings!$B$3,"")</f>
        <v/>
      </c>
      <c r="W820" s="14" t="n">
        <v>15214</v>
      </c>
      <c r="X820" s="14" t="n">
        <v>18081</v>
      </c>
      <c r="Y820" s="11" t="inlineStr"/>
      <c r="Z820" s="11" t="inlineStr"/>
      <c r="AA820" s="8" t="inlineStr"/>
      <c r="AB820" s="8" t="inlineStr"/>
      <c r="AC820" s="11" t="inlineStr">
        <is>
          <t>MasterMilitaryOnBaseList 12.2.25 NS.xlsx</t>
        </is>
      </c>
      <c r="AD820" s="11" t="inlineStr">
        <is>
          <t>MWR Sponsorship &amp; Advertising Price Guide.pdf</t>
        </is>
      </c>
      <c r="AE820" s="15" t="inlineStr">
        <is>
          <t>Open in Box</t>
        </is>
      </c>
      <c r="AF820" s="15" t="inlineStr">
        <is>
          <t>Open in Box</t>
        </is>
      </c>
    </row>
    <row r="821">
      <c r="A821" s="11" t="inlineStr">
        <is>
          <t>KS-FORTRILE-012</t>
        </is>
      </c>
      <c r="B821" s="8" t="inlineStr">
        <is>
          <t>Fort Riley</t>
        </is>
      </c>
      <c r="C821" s="11" t="inlineStr"/>
      <c r="D821" s="11" t="inlineStr">
        <is>
          <t>KS</t>
        </is>
      </c>
      <c r="E821" s="11" t="inlineStr">
        <is>
          <t>Topeka</t>
        </is>
      </c>
      <c r="F821" s="11" t="inlineStr">
        <is>
          <t>66442</t>
        </is>
      </c>
      <c r="G821" s="11" t="inlineStr">
        <is>
          <t>Army</t>
        </is>
      </c>
      <c r="H821" s="11" t="inlineStr">
        <is>
          <t>Standard Media</t>
        </is>
      </c>
      <c r="I821" s="8" t="inlineStr">
        <is>
          <t>Banner - Fort Riley Post Library</t>
        </is>
      </c>
      <c r="J821" s="11" t="inlineStr">
        <is>
          <t>36" x 96"</t>
        </is>
      </c>
      <c r="K821" s="8" t="inlineStr">
        <is>
          <t>Your ad will appear at Fort Riley Post Library on the installation.</t>
        </is>
      </c>
      <c r="L821" s="11" t="n">
        <v>1</v>
      </c>
      <c r="M821" s="12" t="n">
        <v>75</v>
      </c>
      <c r="N821" s="12" t="n">
        <v>150</v>
      </c>
      <c r="O821" s="12" t="n">
        <v>275</v>
      </c>
      <c r="P821" s="12" t="n">
        <v>500</v>
      </c>
      <c r="Q821" s="12" t="n">
        <v>200</v>
      </c>
      <c r="R821" s="13">
        <f>IF(ISNUMBER(M821),ROUND(M821/(1-Settings!$B$2)/Settings!$B$3,0)*Settings!$B$3,"")</f>
        <v/>
      </c>
      <c r="S821" s="13">
        <f>IF(ISNUMBER(N821),ROUND(N821/(1-Settings!$B$2)/Settings!$B$3,0)*Settings!$B$3,"")</f>
        <v/>
      </c>
      <c r="T821" s="13">
        <f>IF(ISNUMBER(O821),ROUND(O821/(1-Settings!$B$2)/Settings!$B$3,0)*Settings!$B$3,"")</f>
        <v/>
      </c>
      <c r="U821" s="13">
        <f>IF(ISNUMBER(P821),ROUND(P821/(1-Settings!$B$2)/Settings!$B$3,0)*Settings!$B$3,"")</f>
        <v/>
      </c>
      <c r="V821" s="13">
        <f>IF(ISNUMBER(Q821),ROUND(Q821/(1-Settings!$B$2)/Settings!$B$3,0)*Settings!$B$3,"")</f>
        <v/>
      </c>
      <c r="W821" s="14" t="n">
        <v>15214</v>
      </c>
      <c r="X821" s="14" t="n">
        <v>18081</v>
      </c>
      <c r="Y821" s="11" t="inlineStr"/>
      <c r="Z821" s="11" t="inlineStr"/>
      <c r="AA821" s="8" t="inlineStr"/>
      <c r="AB821" s="8" t="inlineStr"/>
      <c r="AC821" s="11" t="inlineStr">
        <is>
          <t>MasterMilitaryOnBaseList 12.2.25 NS.xlsx</t>
        </is>
      </c>
      <c r="AD821" s="11" t="inlineStr">
        <is>
          <t>MWR Sponsorship &amp; Advertising Price Guide.pdf</t>
        </is>
      </c>
      <c r="AE821" s="15" t="inlineStr">
        <is>
          <t>Open in Box</t>
        </is>
      </c>
      <c r="AF821" s="15" t="inlineStr">
        <is>
          <t>Open in Box</t>
        </is>
      </c>
    </row>
    <row r="822">
      <c r="A822" s="11" t="inlineStr">
        <is>
          <t>KS-FORTRILE-013</t>
        </is>
      </c>
      <c r="B822" s="8" t="inlineStr">
        <is>
          <t>Fort Riley</t>
        </is>
      </c>
      <c r="C822" s="11" t="inlineStr"/>
      <c r="D822" s="11" t="inlineStr">
        <is>
          <t>KS</t>
        </is>
      </c>
      <c r="E822" s="11" t="inlineStr">
        <is>
          <t>Topeka</t>
        </is>
      </c>
      <c r="F822" s="11" t="inlineStr">
        <is>
          <t>66442</t>
        </is>
      </c>
      <c r="G822" s="11" t="inlineStr">
        <is>
          <t>Army</t>
        </is>
      </c>
      <c r="H822" s="11" t="inlineStr">
        <is>
          <t>Standard Media</t>
        </is>
      </c>
      <c r="I822" s="8" t="inlineStr">
        <is>
          <t>Banner - Hobby Studio</t>
        </is>
      </c>
      <c r="J822" s="11" t="inlineStr">
        <is>
          <t>36" x 96"</t>
        </is>
      </c>
      <c r="K822" s="8" t="inlineStr">
        <is>
          <t>Your ad will appear at the King Field House on the installation.</t>
        </is>
      </c>
      <c r="L822" s="11" t="n">
        <v>1</v>
      </c>
      <c r="M822" s="12" t="n">
        <v>75</v>
      </c>
      <c r="N822" s="12" t="n">
        <v>150</v>
      </c>
      <c r="O822" s="12" t="n">
        <v>275</v>
      </c>
      <c r="P822" s="12" t="n">
        <v>500</v>
      </c>
      <c r="Q822" s="12" t="n">
        <v>200</v>
      </c>
      <c r="R822" s="13">
        <f>IF(ISNUMBER(M822),ROUND(M822/(1-Settings!$B$2)/Settings!$B$3,0)*Settings!$B$3,"")</f>
        <v/>
      </c>
      <c r="S822" s="13">
        <f>IF(ISNUMBER(N822),ROUND(N822/(1-Settings!$B$2)/Settings!$B$3,0)*Settings!$B$3,"")</f>
        <v/>
      </c>
      <c r="T822" s="13">
        <f>IF(ISNUMBER(O822),ROUND(O822/(1-Settings!$B$2)/Settings!$B$3,0)*Settings!$B$3,"")</f>
        <v/>
      </c>
      <c r="U822" s="13">
        <f>IF(ISNUMBER(P822),ROUND(P822/(1-Settings!$B$2)/Settings!$B$3,0)*Settings!$B$3,"")</f>
        <v/>
      </c>
      <c r="V822" s="13">
        <f>IF(ISNUMBER(Q822),ROUND(Q822/(1-Settings!$B$2)/Settings!$B$3,0)*Settings!$B$3,"")</f>
        <v/>
      </c>
      <c r="W822" s="14" t="n">
        <v>15214</v>
      </c>
      <c r="X822" s="14" t="n">
        <v>18081</v>
      </c>
      <c r="Y822" s="11" t="inlineStr"/>
      <c r="Z822" s="11" t="inlineStr"/>
      <c r="AA822" s="8" t="inlineStr"/>
      <c r="AB822" s="8" t="inlineStr"/>
      <c r="AC822" s="11" t="inlineStr">
        <is>
          <t>MasterMilitaryOnBaseList 12.2.25 NS.xlsx</t>
        </is>
      </c>
      <c r="AD822" s="11" t="inlineStr">
        <is>
          <t>MWR Sponsorship &amp; Advertising Price Guide.pdf</t>
        </is>
      </c>
      <c r="AE822" s="15" t="inlineStr">
        <is>
          <t>Open in Box</t>
        </is>
      </c>
      <c r="AF822" s="15" t="inlineStr">
        <is>
          <t>Open in Box</t>
        </is>
      </c>
    </row>
    <row r="823">
      <c r="A823" s="11" t="inlineStr">
        <is>
          <t>KS-FORTRILE-014</t>
        </is>
      </c>
      <c r="B823" s="8" t="inlineStr">
        <is>
          <t>Fort Riley</t>
        </is>
      </c>
      <c r="C823" s="11" t="inlineStr"/>
      <c r="D823" s="11" t="inlineStr">
        <is>
          <t>KS</t>
        </is>
      </c>
      <c r="E823" s="11" t="inlineStr">
        <is>
          <t>Topeka</t>
        </is>
      </c>
      <c r="F823" s="11" t="inlineStr">
        <is>
          <t>66442</t>
        </is>
      </c>
      <c r="G823" s="11" t="inlineStr">
        <is>
          <t>Army</t>
        </is>
      </c>
      <c r="H823" s="11" t="inlineStr">
        <is>
          <t>Standard Media</t>
        </is>
      </c>
      <c r="I823" s="8" t="inlineStr">
        <is>
          <t>Banner - Leonard Fitness Center</t>
        </is>
      </c>
      <c r="J823" s="11" t="inlineStr">
        <is>
          <t>36" x 96"</t>
        </is>
      </c>
      <c r="K823" s="8" t="inlineStr">
        <is>
          <t>Your ad will appear at Leonard Fitness Center on the installation.</t>
        </is>
      </c>
      <c r="L823" s="11" t="n">
        <v>1</v>
      </c>
      <c r="M823" s="12" t="n">
        <v>125</v>
      </c>
      <c r="N823" s="12" t="n">
        <v>275</v>
      </c>
      <c r="O823" s="12" t="n">
        <v>525</v>
      </c>
      <c r="P823" s="12" t="n">
        <v>950</v>
      </c>
      <c r="Q823" s="12" t="n">
        <v>200</v>
      </c>
      <c r="R823" s="13">
        <f>IF(ISNUMBER(M823),ROUND(M823/(1-Settings!$B$2)/Settings!$B$3,0)*Settings!$B$3,"")</f>
        <v/>
      </c>
      <c r="S823" s="13">
        <f>IF(ISNUMBER(N823),ROUND(N823/(1-Settings!$B$2)/Settings!$B$3,0)*Settings!$B$3,"")</f>
        <v/>
      </c>
      <c r="T823" s="13">
        <f>IF(ISNUMBER(O823),ROUND(O823/(1-Settings!$B$2)/Settings!$B$3,0)*Settings!$B$3,"")</f>
        <v/>
      </c>
      <c r="U823" s="13">
        <f>IF(ISNUMBER(P823),ROUND(P823/(1-Settings!$B$2)/Settings!$B$3,0)*Settings!$B$3,"")</f>
        <v/>
      </c>
      <c r="V823" s="13">
        <f>IF(ISNUMBER(Q823),ROUND(Q823/(1-Settings!$B$2)/Settings!$B$3,0)*Settings!$B$3,"")</f>
        <v/>
      </c>
      <c r="W823" s="14" t="n">
        <v>15214</v>
      </c>
      <c r="X823" s="14" t="n">
        <v>18081</v>
      </c>
      <c r="Y823" s="11" t="inlineStr"/>
      <c r="Z823" s="11" t="inlineStr"/>
      <c r="AA823" s="8" t="inlineStr"/>
      <c r="AB823" s="8" t="inlineStr"/>
      <c r="AC823" s="11" t="inlineStr">
        <is>
          <t>MasterMilitaryOnBaseList 12.2.25 NS.xlsx</t>
        </is>
      </c>
      <c r="AD823" s="11" t="inlineStr">
        <is>
          <t>MWR Sponsorship &amp; Advertising Price Guide.pdf</t>
        </is>
      </c>
      <c r="AE823" s="15" t="inlineStr">
        <is>
          <t>Open in Box</t>
        </is>
      </c>
      <c r="AF823" s="15" t="inlineStr">
        <is>
          <t>Open in Box</t>
        </is>
      </c>
    </row>
    <row r="824">
      <c r="A824" s="11" t="inlineStr">
        <is>
          <t>KS-FORTRILE-015</t>
        </is>
      </c>
      <c r="B824" s="8" t="inlineStr">
        <is>
          <t>Fort Riley</t>
        </is>
      </c>
      <c r="C824" s="11" t="inlineStr"/>
      <c r="D824" s="11" t="inlineStr">
        <is>
          <t>KS</t>
        </is>
      </c>
      <c r="E824" s="11" t="inlineStr">
        <is>
          <t>Topeka</t>
        </is>
      </c>
      <c r="F824" s="11" t="inlineStr">
        <is>
          <t>66442</t>
        </is>
      </c>
      <c r="G824" s="11" t="inlineStr">
        <is>
          <t>Army</t>
        </is>
      </c>
      <c r="H824" s="11" t="inlineStr">
        <is>
          <t>Standard Media</t>
        </is>
      </c>
      <c r="I824" s="8" t="inlineStr">
        <is>
          <t>Banner - Long Fitness Center</t>
        </is>
      </c>
      <c r="J824" s="11" t="inlineStr">
        <is>
          <t>36" x 96"</t>
        </is>
      </c>
      <c r="K824" s="8" t="inlineStr">
        <is>
          <t>Your ad will appear at Long Fitness Center on the installation.</t>
        </is>
      </c>
      <c r="L824" s="11" t="n">
        <v>1</v>
      </c>
      <c r="M824" s="12" t="n">
        <v>125</v>
      </c>
      <c r="N824" s="12" t="n">
        <v>275</v>
      </c>
      <c r="O824" s="12" t="n">
        <v>525</v>
      </c>
      <c r="P824" s="12" t="n">
        <v>950</v>
      </c>
      <c r="Q824" s="12" t="n">
        <v>200</v>
      </c>
      <c r="R824" s="13">
        <f>IF(ISNUMBER(M824),ROUND(M824/(1-Settings!$B$2)/Settings!$B$3,0)*Settings!$B$3,"")</f>
        <v/>
      </c>
      <c r="S824" s="13">
        <f>IF(ISNUMBER(N824),ROUND(N824/(1-Settings!$B$2)/Settings!$B$3,0)*Settings!$B$3,"")</f>
        <v/>
      </c>
      <c r="T824" s="13">
        <f>IF(ISNUMBER(O824),ROUND(O824/(1-Settings!$B$2)/Settings!$B$3,0)*Settings!$B$3,"")</f>
        <v/>
      </c>
      <c r="U824" s="13">
        <f>IF(ISNUMBER(P824),ROUND(P824/(1-Settings!$B$2)/Settings!$B$3,0)*Settings!$B$3,"")</f>
        <v/>
      </c>
      <c r="V824" s="13">
        <f>IF(ISNUMBER(Q824),ROUND(Q824/(1-Settings!$B$2)/Settings!$B$3,0)*Settings!$B$3,"")</f>
        <v/>
      </c>
      <c r="W824" s="14" t="n">
        <v>15214</v>
      </c>
      <c r="X824" s="14" t="n">
        <v>18081</v>
      </c>
      <c r="Y824" s="11" t="inlineStr"/>
      <c r="Z824" s="11" t="inlineStr"/>
      <c r="AA824" s="8" t="inlineStr"/>
      <c r="AB824" s="8" t="inlineStr"/>
      <c r="AC824" s="11" t="inlineStr">
        <is>
          <t>MasterMilitaryOnBaseList 12.2.25 NS.xlsx</t>
        </is>
      </c>
      <c r="AD824" s="11" t="inlineStr">
        <is>
          <t>MWR Sponsorship &amp; Advertising Price Guide.pdf</t>
        </is>
      </c>
      <c r="AE824" s="15" t="inlineStr">
        <is>
          <t>Open in Box</t>
        </is>
      </c>
      <c r="AF824" s="15" t="inlineStr">
        <is>
          <t>Open in Box</t>
        </is>
      </c>
    </row>
    <row r="825">
      <c r="A825" s="11" t="inlineStr">
        <is>
          <t>KS-FORTRILE-016</t>
        </is>
      </c>
      <c r="B825" s="8" t="inlineStr">
        <is>
          <t>Fort Riley</t>
        </is>
      </c>
      <c r="C825" s="11" t="inlineStr"/>
      <c r="D825" s="11" t="inlineStr">
        <is>
          <t>KS</t>
        </is>
      </c>
      <c r="E825" s="11" t="inlineStr">
        <is>
          <t>Topeka</t>
        </is>
      </c>
      <c r="F825" s="11" t="inlineStr">
        <is>
          <t>66442</t>
        </is>
      </c>
      <c r="G825" s="11" t="inlineStr">
        <is>
          <t>Army</t>
        </is>
      </c>
      <c r="H825" s="11" t="inlineStr">
        <is>
          <t>Standard Media</t>
        </is>
      </c>
      <c r="I825" s="8" t="inlineStr">
        <is>
          <t>Banner - Outdoor Adventure Park</t>
        </is>
      </c>
      <c r="J825" s="11" t="inlineStr">
        <is>
          <t>36" x 96"</t>
        </is>
      </c>
      <c r="K825" s="8" t="inlineStr">
        <is>
          <t>Your ad will appear at the King Field House on the installation.</t>
        </is>
      </c>
      <c r="L825" s="11" t="n">
        <v>1</v>
      </c>
      <c r="M825" s="12" t="n">
        <v>125</v>
      </c>
      <c r="N825" s="12" t="n">
        <v>275</v>
      </c>
      <c r="O825" s="12" t="n">
        <v>525</v>
      </c>
      <c r="P825" s="12" t="n">
        <v>950</v>
      </c>
      <c r="Q825" s="12" t="n">
        <v>200</v>
      </c>
      <c r="R825" s="13">
        <f>IF(ISNUMBER(M825),ROUND(M825/(1-Settings!$B$2)/Settings!$B$3,0)*Settings!$B$3,"")</f>
        <v/>
      </c>
      <c r="S825" s="13">
        <f>IF(ISNUMBER(N825),ROUND(N825/(1-Settings!$B$2)/Settings!$B$3,0)*Settings!$B$3,"")</f>
        <v/>
      </c>
      <c r="T825" s="13">
        <f>IF(ISNUMBER(O825),ROUND(O825/(1-Settings!$B$2)/Settings!$B$3,0)*Settings!$B$3,"")</f>
        <v/>
      </c>
      <c r="U825" s="13">
        <f>IF(ISNUMBER(P825),ROUND(P825/(1-Settings!$B$2)/Settings!$B$3,0)*Settings!$B$3,"")</f>
        <v/>
      </c>
      <c r="V825" s="13">
        <f>IF(ISNUMBER(Q825),ROUND(Q825/(1-Settings!$B$2)/Settings!$B$3,0)*Settings!$B$3,"")</f>
        <v/>
      </c>
      <c r="W825" s="14" t="n">
        <v>15214</v>
      </c>
      <c r="X825" s="14" t="n">
        <v>18081</v>
      </c>
      <c r="Y825" s="11" t="inlineStr"/>
      <c r="Z825" s="11" t="inlineStr"/>
      <c r="AA825" s="8" t="inlineStr"/>
      <c r="AB825" s="8" t="inlineStr"/>
      <c r="AC825" s="11" t="inlineStr">
        <is>
          <t>MasterMilitaryOnBaseList 12.2.25 NS.xlsx</t>
        </is>
      </c>
      <c r="AD825" s="11" t="inlineStr">
        <is>
          <t>MWR Sponsorship &amp; Advertising Price Guide.pdf</t>
        </is>
      </c>
      <c r="AE825" s="15" t="inlineStr">
        <is>
          <t>Open in Box</t>
        </is>
      </c>
      <c r="AF825" s="15" t="inlineStr">
        <is>
          <t>Open in Box</t>
        </is>
      </c>
    </row>
    <row r="826">
      <c r="A826" s="11" t="inlineStr">
        <is>
          <t>KS-FORTRILE-017</t>
        </is>
      </c>
      <c r="B826" s="8" t="inlineStr">
        <is>
          <t>Fort Riley</t>
        </is>
      </c>
      <c r="C826" s="11" t="inlineStr"/>
      <c r="D826" s="11" t="inlineStr">
        <is>
          <t>KS</t>
        </is>
      </c>
      <c r="E826" s="11" t="inlineStr">
        <is>
          <t>Topeka</t>
        </is>
      </c>
      <c r="F826" s="11" t="inlineStr">
        <is>
          <t>66442</t>
        </is>
      </c>
      <c r="G826" s="11" t="inlineStr">
        <is>
          <t>Army</t>
        </is>
      </c>
      <c r="H826" s="11" t="inlineStr">
        <is>
          <t>Standard Media</t>
        </is>
      </c>
      <c r="I826" s="8" t="inlineStr">
        <is>
          <t>Banner - Riley Community Center Hallway</t>
        </is>
      </c>
      <c r="J826" s="11" t="inlineStr">
        <is>
          <t>36" x 96"</t>
        </is>
      </c>
      <c r="K826" s="8" t="inlineStr">
        <is>
          <t>Your ad will appear at the King Field House on the installation.</t>
        </is>
      </c>
      <c r="L826" s="11" t="n">
        <v>1</v>
      </c>
      <c r="M826" s="12" t="n">
        <v>100</v>
      </c>
      <c r="N826" s="12" t="n">
        <v>225</v>
      </c>
      <c r="O826" s="12" t="n">
        <v>400</v>
      </c>
      <c r="P826" s="12" t="n">
        <v>750</v>
      </c>
      <c r="Q826" s="12" t="n">
        <v>200</v>
      </c>
      <c r="R826" s="13">
        <f>IF(ISNUMBER(M826),ROUND(M826/(1-Settings!$B$2)/Settings!$B$3,0)*Settings!$B$3,"")</f>
        <v/>
      </c>
      <c r="S826" s="13">
        <f>IF(ISNUMBER(N826),ROUND(N826/(1-Settings!$B$2)/Settings!$B$3,0)*Settings!$B$3,"")</f>
        <v/>
      </c>
      <c r="T826" s="13">
        <f>IF(ISNUMBER(O826),ROUND(O826/(1-Settings!$B$2)/Settings!$B$3,0)*Settings!$B$3,"")</f>
        <v/>
      </c>
      <c r="U826" s="13">
        <f>IF(ISNUMBER(P826),ROUND(P826/(1-Settings!$B$2)/Settings!$B$3,0)*Settings!$B$3,"")</f>
        <v/>
      </c>
      <c r="V826" s="13">
        <f>IF(ISNUMBER(Q826),ROUND(Q826/(1-Settings!$B$2)/Settings!$B$3,0)*Settings!$B$3,"")</f>
        <v/>
      </c>
      <c r="W826" s="14" t="n">
        <v>15214</v>
      </c>
      <c r="X826" s="14" t="n">
        <v>18081</v>
      </c>
      <c r="Y826" s="11" t="inlineStr"/>
      <c r="Z826" s="11" t="inlineStr"/>
      <c r="AA826" s="8" t="inlineStr"/>
      <c r="AB826" s="8" t="inlineStr"/>
      <c r="AC826" s="11" t="inlineStr">
        <is>
          <t>MasterMilitaryOnBaseList 12.2.25 NS.xlsx</t>
        </is>
      </c>
      <c r="AD826" s="11" t="inlineStr">
        <is>
          <t>MWR Sponsorship &amp; Advertising Price Guide.pdf</t>
        </is>
      </c>
      <c r="AE826" s="15" t="inlineStr">
        <is>
          <t>Open in Box</t>
        </is>
      </c>
      <c r="AF826" s="15" t="inlineStr">
        <is>
          <t>Open in Box</t>
        </is>
      </c>
    </row>
    <row r="827">
      <c r="A827" s="11" t="inlineStr">
        <is>
          <t>KS-FORTRILE-018</t>
        </is>
      </c>
      <c r="B827" s="8" t="inlineStr">
        <is>
          <t>Fort Riley</t>
        </is>
      </c>
      <c r="C827" s="11" t="inlineStr"/>
      <c r="D827" s="11" t="inlineStr">
        <is>
          <t>KS</t>
        </is>
      </c>
      <c r="E827" s="11" t="inlineStr">
        <is>
          <t>Topeka</t>
        </is>
      </c>
      <c r="F827" s="11" t="inlineStr">
        <is>
          <t>66442</t>
        </is>
      </c>
      <c r="G827" s="11" t="inlineStr">
        <is>
          <t>Army</t>
        </is>
      </c>
      <c r="H827" s="11" t="inlineStr">
        <is>
          <t>Standard Media</t>
        </is>
      </c>
      <c r="I827" s="8" t="inlineStr">
        <is>
          <t>Banner - Robinson Fitness Center</t>
        </is>
      </c>
      <c r="J827" s="11" t="inlineStr">
        <is>
          <t>36" x 96"</t>
        </is>
      </c>
      <c r="K827" s="8" t="inlineStr">
        <is>
          <t>Your ad will appear at Robinson Fitness Center on the installation.</t>
        </is>
      </c>
      <c r="L827" s="11" t="n">
        <v>1</v>
      </c>
      <c r="M827" s="12" t="n">
        <v>125</v>
      </c>
      <c r="N827" s="12" t="n">
        <v>275</v>
      </c>
      <c r="O827" s="12" t="n">
        <v>525</v>
      </c>
      <c r="P827" s="12" t="n">
        <v>950</v>
      </c>
      <c r="Q827" s="12" t="n">
        <v>200</v>
      </c>
      <c r="R827" s="13">
        <f>IF(ISNUMBER(M827),ROUND(M827/(1-Settings!$B$2)/Settings!$B$3,0)*Settings!$B$3,"")</f>
        <v/>
      </c>
      <c r="S827" s="13">
        <f>IF(ISNUMBER(N827),ROUND(N827/(1-Settings!$B$2)/Settings!$B$3,0)*Settings!$B$3,"")</f>
        <v/>
      </c>
      <c r="T827" s="13">
        <f>IF(ISNUMBER(O827),ROUND(O827/(1-Settings!$B$2)/Settings!$B$3,0)*Settings!$B$3,"")</f>
        <v/>
      </c>
      <c r="U827" s="13">
        <f>IF(ISNUMBER(P827),ROUND(P827/(1-Settings!$B$2)/Settings!$B$3,0)*Settings!$B$3,"")</f>
        <v/>
      </c>
      <c r="V827" s="13">
        <f>IF(ISNUMBER(Q827),ROUND(Q827/(1-Settings!$B$2)/Settings!$B$3,0)*Settings!$B$3,"")</f>
        <v/>
      </c>
      <c r="W827" s="14" t="n">
        <v>15214</v>
      </c>
      <c r="X827" s="14" t="n">
        <v>18081</v>
      </c>
      <c r="Y827" s="11" t="inlineStr"/>
      <c r="Z827" s="11" t="inlineStr"/>
      <c r="AA827" s="8" t="inlineStr"/>
      <c r="AB827" s="8" t="inlineStr"/>
      <c r="AC827" s="11" t="inlineStr">
        <is>
          <t>MasterMilitaryOnBaseList 12.2.25 NS.xlsx</t>
        </is>
      </c>
      <c r="AD827" s="11" t="inlineStr">
        <is>
          <t>MWR Sponsorship &amp; Advertising Price Guide.pdf</t>
        </is>
      </c>
      <c r="AE827" s="15" t="inlineStr">
        <is>
          <t>Open in Box</t>
        </is>
      </c>
      <c r="AF827" s="15" t="inlineStr">
        <is>
          <t>Open in Box</t>
        </is>
      </c>
    </row>
    <row r="828">
      <c r="A828" s="11" t="inlineStr">
        <is>
          <t>KS-FORTRILE-019</t>
        </is>
      </c>
      <c r="B828" s="8" t="inlineStr">
        <is>
          <t>Fort Riley</t>
        </is>
      </c>
      <c r="C828" s="11" t="inlineStr"/>
      <c r="D828" s="11" t="inlineStr">
        <is>
          <t>KS</t>
        </is>
      </c>
      <c r="E828" s="11" t="inlineStr">
        <is>
          <t>Topeka</t>
        </is>
      </c>
      <c r="F828" s="11" t="inlineStr">
        <is>
          <t>66442</t>
        </is>
      </c>
      <c r="G828" s="11" t="inlineStr">
        <is>
          <t>Army</t>
        </is>
      </c>
      <c r="H828" s="11" t="inlineStr">
        <is>
          <t>Standard Media</t>
        </is>
      </c>
      <c r="I828" s="8" t="inlineStr">
        <is>
          <t>Banner - SpareTime Interactive Entertainment</t>
        </is>
      </c>
      <c r="J828" s="11" t="inlineStr">
        <is>
          <t>36" x 96"</t>
        </is>
      </c>
      <c r="K828" s="8" t="inlineStr">
        <is>
          <t>Your ad will appear at the King Field House on the installation.</t>
        </is>
      </c>
      <c r="L828" s="11" t="n">
        <v>1</v>
      </c>
      <c r="M828" s="12" t="n">
        <v>150</v>
      </c>
      <c r="N828" s="12" t="n">
        <v>375</v>
      </c>
      <c r="O828" s="12" t="n">
        <v>725</v>
      </c>
      <c r="P828" s="12" t="n">
        <v>1300</v>
      </c>
      <c r="Q828" s="12" t="n">
        <v>200</v>
      </c>
      <c r="R828" s="13">
        <f>IF(ISNUMBER(M828),ROUND(M828/(1-Settings!$B$2)/Settings!$B$3,0)*Settings!$B$3,"")</f>
        <v/>
      </c>
      <c r="S828" s="13">
        <f>IF(ISNUMBER(N828),ROUND(N828/(1-Settings!$B$2)/Settings!$B$3,0)*Settings!$B$3,"")</f>
        <v/>
      </c>
      <c r="T828" s="13">
        <f>IF(ISNUMBER(O828),ROUND(O828/(1-Settings!$B$2)/Settings!$B$3,0)*Settings!$B$3,"")</f>
        <v/>
      </c>
      <c r="U828" s="13">
        <f>IF(ISNUMBER(P828),ROUND(P828/(1-Settings!$B$2)/Settings!$B$3,0)*Settings!$B$3,"")</f>
        <v/>
      </c>
      <c r="V828" s="13">
        <f>IF(ISNUMBER(Q828),ROUND(Q828/(1-Settings!$B$2)/Settings!$B$3,0)*Settings!$B$3,"")</f>
        <v/>
      </c>
      <c r="W828" s="14" t="n">
        <v>15214</v>
      </c>
      <c r="X828" s="14" t="n">
        <v>18081</v>
      </c>
      <c r="Y828" s="11" t="inlineStr"/>
      <c r="Z828" s="11" t="inlineStr"/>
      <c r="AA828" s="8" t="inlineStr"/>
      <c r="AB828" s="8" t="inlineStr"/>
      <c r="AC828" s="11" t="inlineStr">
        <is>
          <t>MasterMilitaryOnBaseList 12.2.25 NS.xlsx</t>
        </is>
      </c>
      <c r="AD828" s="11" t="inlineStr">
        <is>
          <t>MWR Sponsorship &amp; Advertising Price Guide.pdf</t>
        </is>
      </c>
      <c r="AE828" s="15" t="inlineStr">
        <is>
          <t>Open in Box</t>
        </is>
      </c>
      <c r="AF828" s="15" t="inlineStr">
        <is>
          <t>Open in Box</t>
        </is>
      </c>
    </row>
    <row r="829">
      <c r="A829" s="11" t="inlineStr">
        <is>
          <t>KS-FORTRILE-020</t>
        </is>
      </c>
      <c r="B829" s="8" t="inlineStr">
        <is>
          <t>Fort Riley</t>
        </is>
      </c>
      <c r="C829" s="11" t="inlineStr"/>
      <c r="D829" s="11" t="inlineStr">
        <is>
          <t>KS</t>
        </is>
      </c>
      <c r="E829" s="11" t="inlineStr">
        <is>
          <t>Topeka</t>
        </is>
      </c>
      <c r="F829" s="11" t="inlineStr">
        <is>
          <t>66442</t>
        </is>
      </c>
      <c r="G829" s="11" t="inlineStr">
        <is>
          <t>Army</t>
        </is>
      </c>
      <c r="H829" s="11" t="inlineStr">
        <is>
          <t>Standard Media</t>
        </is>
      </c>
      <c r="I829" s="8" t="inlineStr">
        <is>
          <t>Banner - Warrior Zon</t>
        </is>
      </c>
      <c r="J829" s="11" t="inlineStr">
        <is>
          <t>36" x 96"</t>
        </is>
      </c>
      <c r="K829" s="8" t="inlineStr">
        <is>
          <t>Your ad will appear at the King Field House on the installation.</t>
        </is>
      </c>
      <c r="L829" s="11" t="n">
        <v>1</v>
      </c>
      <c r="M829" s="12" t="n">
        <v>150</v>
      </c>
      <c r="N829" s="12" t="n">
        <v>375</v>
      </c>
      <c r="O829" s="12" t="n">
        <v>725</v>
      </c>
      <c r="P829" s="12" t="n">
        <v>1300</v>
      </c>
      <c r="Q829" s="12" t="n">
        <v>200</v>
      </c>
      <c r="R829" s="13">
        <f>IF(ISNUMBER(M829),ROUND(M829/(1-Settings!$B$2)/Settings!$B$3,0)*Settings!$B$3,"")</f>
        <v/>
      </c>
      <c r="S829" s="13">
        <f>IF(ISNUMBER(N829),ROUND(N829/(1-Settings!$B$2)/Settings!$B$3,0)*Settings!$B$3,"")</f>
        <v/>
      </c>
      <c r="T829" s="13">
        <f>IF(ISNUMBER(O829),ROUND(O829/(1-Settings!$B$2)/Settings!$B$3,0)*Settings!$B$3,"")</f>
        <v/>
      </c>
      <c r="U829" s="13">
        <f>IF(ISNUMBER(P829),ROUND(P829/(1-Settings!$B$2)/Settings!$B$3,0)*Settings!$B$3,"")</f>
        <v/>
      </c>
      <c r="V829" s="13">
        <f>IF(ISNUMBER(Q829),ROUND(Q829/(1-Settings!$B$2)/Settings!$B$3,0)*Settings!$B$3,"")</f>
        <v/>
      </c>
      <c r="W829" s="14" t="n">
        <v>15214</v>
      </c>
      <c r="X829" s="14" t="n">
        <v>18081</v>
      </c>
      <c r="Y829" s="11" t="inlineStr"/>
      <c r="Z829" s="11" t="inlineStr"/>
      <c r="AA829" s="8" t="inlineStr"/>
      <c r="AB829" s="8" t="inlineStr"/>
      <c r="AC829" s="11" t="inlineStr">
        <is>
          <t>MasterMilitaryOnBaseList 12.2.25 NS.xlsx</t>
        </is>
      </c>
      <c r="AD829" s="11" t="inlineStr">
        <is>
          <t>MWR Sponsorship &amp; Advertising Price Guide.pdf</t>
        </is>
      </c>
      <c r="AE829" s="15" t="inlineStr">
        <is>
          <t>Open in Box</t>
        </is>
      </c>
      <c r="AF829" s="15" t="inlineStr">
        <is>
          <t>Open in Box</t>
        </is>
      </c>
    </row>
    <row r="830">
      <c r="A830" s="11" t="inlineStr">
        <is>
          <t>KS-FORTRILE-021</t>
        </is>
      </c>
      <c r="B830" s="8" t="inlineStr">
        <is>
          <t>Fort Riley</t>
        </is>
      </c>
      <c r="C830" s="11" t="inlineStr"/>
      <c r="D830" s="11" t="inlineStr">
        <is>
          <t>KS</t>
        </is>
      </c>
      <c r="E830" s="11" t="inlineStr">
        <is>
          <t>Topeka</t>
        </is>
      </c>
      <c r="F830" s="11" t="inlineStr">
        <is>
          <t>66442</t>
        </is>
      </c>
      <c r="G830" s="11" t="inlineStr">
        <is>
          <t>Army</t>
        </is>
      </c>
      <c r="H830" s="11" t="inlineStr">
        <is>
          <t>Standard Media</t>
        </is>
      </c>
      <c r="I830" s="8" t="inlineStr">
        <is>
          <t>Banner - Whitside Fitness Rooms</t>
        </is>
      </c>
      <c r="J830" s="11" t="inlineStr">
        <is>
          <t>36" x 96"</t>
        </is>
      </c>
      <c r="K830" s="8" t="inlineStr">
        <is>
          <t>Your ad will appear in the Whitside Fitness Rooms on the installation.</t>
        </is>
      </c>
      <c r="L830" s="11" t="n">
        <v>1</v>
      </c>
      <c r="M830" s="12" t="n">
        <v>100</v>
      </c>
      <c r="N830" s="12" t="n">
        <v>225</v>
      </c>
      <c r="O830" s="12" t="n">
        <v>400</v>
      </c>
      <c r="P830" s="12" t="n">
        <v>750</v>
      </c>
      <c r="Q830" s="12" t="n">
        <v>200</v>
      </c>
      <c r="R830" s="13">
        <f>IF(ISNUMBER(M830),ROUND(M830/(1-Settings!$B$2)/Settings!$B$3,0)*Settings!$B$3,"")</f>
        <v/>
      </c>
      <c r="S830" s="13">
        <f>IF(ISNUMBER(N830),ROUND(N830/(1-Settings!$B$2)/Settings!$B$3,0)*Settings!$B$3,"")</f>
        <v/>
      </c>
      <c r="T830" s="13">
        <f>IF(ISNUMBER(O830),ROUND(O830/(1-Settings!$B$2)/Settings!$B$3,0)*Settings!$B$3,"")</f>
        <v/>
      </c>
      <c r="U830" s="13">
        <f>IF(ISNUMBER(P830),ROUND(P830/(1-Settings!$B$2)/Settings!$B$3,0)*Settings!$B$3,"")</f>
        <v/>
      </c>
      <c r="V830" s="13">
        <f>IF(ISNUMBER(Q830),ROUND(Q830/(1-Settings!$B$2)/Settings!$B$3,0)*Settings!$B$3,"")</f>
        <v/>
      </c>
      <c r="W830" s="14" t="n">
        <v>15214</v>
      </c>
      <c r="X830" s="14" t="n">
        <v>18081</v>
      </c>
      <c r="Y830" s="11" t="inlineStr"/>
      <c r="Z830" s="11" t="inlineStr"/>
      <c r="AA830" s="8" t="inlineStr"/>
      <c r="AB830" s="8" t="inlineStr"/>
      <c r="AC830" s="11" t="inlineStr">
        <is>
          <t>MasterMilitaryOnBaseList 12.2.25 NS.xlsx</t>
        </is>
      </c>
      <c r="AD830" s="11" t="inlineStr">
        <is>
          <t>MWR Sponsorship &amp; Advertising Price Guide.pdf</t>
        </is>
      </c>
      <c r="AE830" s="15" t="inlineStr">
        <is>
          <t>Open in Box</t>
        </is>
      </c>
      <c r="AF830" s="15" t="inlineStr">
        <is>
          <t>Open in Box</t>
        </is>
      </c>
    </row>
    <row r="831">
      <c r="A831" s="11" t="inlineStr">
        <is>
          <t>KS-FORTRILE-022</t>
        </is>
      </c>
      <c r="B831" s="8" t="inlineStr">
        <is>
          <t>Fort Riley</t>
        </is>
      </c>
      <c r="C831" s="11" t="inlineStr"/>
      <c r="D831" s="11" t="inlineStr">
        <is>
          <t>KS</t>
        </is>
      </c>
      <c r="E831" s="11" t="inlineStr">
        <is>
          <t>Topeka</t>
        </is>
      </c>
      <c r="F831" s="11" t="inlineStr">
        <is>
          <t>66442</t>
        </is>
      </c>
      <c r="G831" s="11" t="inlineStr">
        <is>
          <t>Army</t>
        </is>
      </c>
      <c r="H831" s="11" t="inlineStr">
        <is>
          <t>Standard Media</t>
        </is>
      </c>
      <c r="I831" s="8" t="inlineStr">
        <is>
          <t>Banner - Withitside Fitness Center</t>
        </is>
      </c>
      <c r="J831" s="11" t="inlineStr">
        <is>
          <t>36" x 96"</t>
        </is>
      </c>
      <c r="K831" s="8" t="inlineStr">
        <is>
          <t>Your ad will appear in the Withitside Fitness Center on the installation.</t>
        </is>
      </c>
      <c r="L831" s="11" t="n">
        <v>1</v>
      </c>
      <c r="M831" s="12" t="n">
        <v>150</v>
      </c>
      <c r="N831" s="12" t="n">
        <v>375</v>
      </c>
      <c r="O831" s="12" t="n">
        <v>725</v>
      </c>
      <c r="P831" s="12" t="n">
        <v>1300</v>
      </c>
      <c r="Q831" s="12" t="n">
        <v>200</v>
      </c>
      <c r="R831" s="13">
        <f>IF(ISNUMBER(M831),ROUND(M831/(1-Settings!$B$2)/Settings!$B$3,0)*Settings!$B$3,"")</f>
        <v/>
      </c>
      <c r="S831" s="13">
        <f>IF(ISNUMBER(N831),ROUND(N831/(1-Settings!$B$2)/Settings!$B$3,0)*Settings!$B$3,"")</f>
        <v/>
      </c>
      <c r="T831" s="13">
        <f>IF(ISNUMBER(O831),ROUND(O831/(1-Settings!$B$2)/Settings!$B$3,0)*Settings!$B$3,"")</f>
        <v/>
      </c>
      <c r="U831" s="13">
        <f>IF(ISNUMBER(P831),ROUND(P831/(1-Settings!$B$2)/Settings!$B$3,0)*Settings!$B$3,"")</f>
        <v/>
      </c>
      <c r="V831" s="13">
        <f>IF(ISNUMBER(Q831),ROUND(Q831/(1-Settings!$B$2)/Settings!$B$3,0)*Settings!$B$3,"")</f>
        <v/>
      </c>
      <c r="W831" s="14" t="n">
        <v>15214</v>
      </c>
      <c r="X831" s="14" t="n">
        <v>18081</v>
      </c>
      <c r="Y831" s="11" t="inlineStr"/>
      <c r="Z831" s="11" t="inlineStr"/>
      <c r="AA831" s="8" t="inlineStr"/>
      <c r="AB831" s="8" t="inlineStr"/>
      <c r="AC831" s="11" t="inlineStr">
        <is>
          <t>MasterMilitaryOnBaseList 12.2.25 NS.xlsx</t>
        </is>
      </c>
      <c r="AD831" s="11" t="inlineStr">
        <is>
          <t>MWR Sponsorship &amp; Advertising Price Guide.pdf</t>
        </is>
      </c>
      <c r="AE831" s="15" t="inlineStr">
        <is>
          <t>Open in Box</t>
        </is>
      </c>
      <c r="AF831" s="15" t="inlineStr">
        <is>
          <t>Open in Box</t>
        </is>
      </c>
    </row>
    <row r="832">
      <c r="A832" s="11" t="inlineStr">
        <is>
          <t>KS-FORTRILE-023</t>
        </is>
      </c>
      <c r="B832" s="8" t="inlineStr">
        <is>
          <t>Fort Riley</t>
        </is>
      </c>
      <c r="C832" s="11" t="inlineStr"/>
      <c r="D832" s="11" t="inlineStr">
        <is>
          <t>KS</t>
        </is>
      </c>
      <c r="E832" s="11" t="inlineStr">
        <is>
          <t>Topeka</t>
        </is>
      </c>
      <c r="F832" s="11" t="inlineStr">
        <is>
          <t>66442</t>
        </is>
      </c>
      <c r="G832" s="11" t="inlineStr">
        <is>
          <t>Army</t>
        </is>
      </c>
      <c r="H832" s="11" t="inlineStr">
        <is>
          <t>Standard Media</t>
        </is>
      </c>
      <c r="I832" s="8" t="inlineStr">
        <is>
          <t>Indoor Banner Sports Package</t>
        </is>
      </c>
      <c r="J832" s="11" t="inlineStr">
        <is>
          <t>36" x 96"</t>
        </is>
      </c>
      <c r="K832" s="8" t="inlineStr">
        <is>
          <t>Your ad will appear in 6 fitness centers on the installation.</t>
        </is>
      </c>
      <c r="L832" s="11" t="n">
        <v>3</v>
      </c>
      <c r="M832" s="12" t="n"/>
      <c r="N832" s="12" t="n">
        <v>1560</v>
      </c>
      <c r="O832" s="12" t="n">
        <v>3000</v>
      </c>
      <c r="P832" s="12" t="n">
        <v>5550</v>
      </c>
      <c r="Q832" s="12" t="n">
        <v>200</v>
      </c>
      <c r="R832" s="13">
        <f>IF(ISNUMBER(M832),ROUND(M832/(1-Settings!$B$2)/Settings!$B$3,0)*Settings!$B$3,"")</f>
        <v/>
      </c>
      <c r="S832" s="13">
        <f>IF(ISNUMBER(N832),ROUND(N832/(1-Settings!$B$2)/Settings!$B$3,0)*Settings!$B$3,"")</f>
        <v/>
      </c>
      <c r="T832" s="13">
        <f>IF(ISNUMBER(O832),ROUND(O832/(1-Settings!$B$2)/Settings!$B$3,0)*Settings!$B$3,"")</f>
        <v/>
      </c>
      <c r="U832" s="13">
        <f>IF(ISNUMBER(P832),ROUND(P832/(1-Settings!$B$2)/Settings!$B$3,0)*Settings!$B$3,"")</f>
        <v/>
      </c>
      <c r="V832" s="13">
        <f>IF(ISNUMBER(Q832),ROUND(Q832/(1-Settings!$B$2)/Settings!$B$3,0)*Settings!$B$3,"")</f>
        <v/>
      </c>
      <c r="W832" s="14" t="n">
        <v>15214</v>
      </c>
      <c r="X832" s="14" t="n">
        <v>18081</v>
      </c>
      <c r="Y832" s="11" t="inlineStr"/>
      <c r="Z832" s="11" t="inlineStr"/>
      <c r="AA832" s="8" t="inlineStr"/>
      <c r="AB832" s="8" t="inlineStr"/>
      <c r="AC832" s="11" t="inlineStr">
        <is>
          <t>MasterMilitaryOnBaseList 12.2.25 NS.xlsx</t>
        </is>
      </c>
      <c r="AD832" s="11" t="inlineStr">
        <is>
          <t>MWR Sponsorship &amp; Advertising Price Guide.pdf</t>
        </is>
      </c>
      <c r="AE832" s="15" t="inlineStr">
        <is>
          <t>Open in Box</t>
        </is>
      </c>
      <c r="AF832" s="15" t="inlineStr">
        <is>
          <t>Open in Box</t>
        </is>
      </c>
    </row>
    <row r="833">
      <c r="A833" s="11" t="inlineStr">
        <is>
          <t>KS-FORTRILE-024</t>
        </is>
      </c>
      <c r="B833" s="8" t="inlineStr">
        <is>
          <t>Fort Riley</t>
        </is>
      </c>
      <c r="C833" s="11" t="inlineStr"/>
      <c r="D833" s="11" t="inlineStr">
        <is>
          <t>KS</t>
        </is>
      </c>
      <c r="E833" s="11" t="inlineStr">
        <is>
          <t>Topeka</t>
        </is>
      </c>
      <c r="F833" s="11" t="inlineStr">
        <is>
          <t>66442</t>
        </is>
      </c>
      <c r="G833" s="11" t="inlineStr">
        <is>
          <t>Army</t>
        </is>
      </c>
      <c r="H833" s="11" t="inlineStr">
        <is>
          <t>Standard Media</t>
        </is>
      </c>
      <c r="I833" s="8" t="inlineStr">
        <is>
          <t>Indoor Posters</t>
        </is>
      </c>
      <c r="J833" s="11" t="inlineStr">
        <is>
          <t>24"W x 36"H</t>
        </is>
      </c>
      <c r="K833" s="8" t="inlineStr">
        <is>
          <t>Your ad will appear in approved facilities on the installation.</t>
        </is>
      </c>
      <c r="L833" s="11" t="n">
        <v>1</v>
      </c>
      <c r="M833" s="12" t="n">
        <v>150</v>
      </c>
      <c r="N833" s="12" t="n">
        <v>300</v>
      </c>
      <c r="O833" s="12" t="n">
        <v>450</v>
      </c>
      <c r="P833" s="12" t="n">
        <v>750</v>
      </c>
      <c r="Q833" s="12" t="n">
        <v>100</v>
      </c>
      <c r="R833" s="13">
        <f>IF(ISNUMBER(M833),ROUND(M833/(1-Settings!$B$2)/Settings!$B$3,0)*Settings!$B$3,"")</f>
        <v/>
      </c>
      <c r="S833" s="13">
        <f>IF(ISNUMBER(N833),ROUND(N833/(1-Settings!$B$2)/Settings!$B$3,0)*Settings!$B$3,"")</f>
        <v/>
      </c>
      <c r="T833" s="13">
        <f>IF(ISNUMBER(O833),ROUND(O833/(1-Settings!$B$2)/Settings!$B$3,0)*Settings!$B$3,"")</f>
        <v/>
      </c>
      <c r="U833" s="13">
        <f>IF(ISNUMBER(P833),ROUND(P833/(1-Settings!$B$2)/Settings!$B$3,0)*Settings!$B$3,"")</f>
        <v/>
      </c>
      <c r="V833" s="13">
        <f>IF(ISNUMBER(Q833),ROUND(Q833/(1-Settings!$B$2)/Settings!$B$3,0)*Settings!$B$3,"")</f>
        <v/>
      </c>
      <c r="W833" s="14" t="n">
        <v>15214</v>
      </c>
      <c r="X833" s="14" t="n">
        <v>18081</v>
      </c>
      <c r="Y833" s="11" t="inlineStr"/>
      <c r="Z833" s="11" t="inlineStr"/>
      <c r="AA833" s="8" t="inlineStr"/>
      <c r="AB833" s="8" t="inlineStr"/>
      <c r="AC833" s="11" t="inlineStr">
        <is>
          <t>MasterMilitaryOnBaseList 12.2.25 NS.xlsx</t>
        </is>
      </c>
      <c r="AD833" s="11" t="inlineStr">
        <is>
          <t>MWR Sponsorship &amp; Advertising Price Guide.pdf</t>
        </is>
      </c>
      <c r="AE833" s="15" t="inlineStr">
        <is>
          <t>Open in Box</t>
        </is>
      </c>
      <c r="AF833" s="15" t="inlineStr">
        <is>
          <t>Open in Box</t>
        </is>
      </c>
    </row>
    <row r="834">
      <c r="A834" s="11" t="inlineStr">
        <is>
          <t>KS-FORTRILE-064</t>
        </is>
      </c>
      <c r="B834" s="8" t="inlineStr">
        <is>
          <t>Fort Riley</t>
        </is>
      </c>
      <c r="C834" s="11" t="inlineStr"/>
      <c r="D834" s="11" t="inlineStr">
        <is>
          <t>KS</t>
        </is>
      </c>
      <c r="E834" s="11" t="inlineStr">
        <is>
          <t>Topeka</t>
        </is>
      </c>
      <c r="F834" s="11" t="inlineStr">
        <is>
          <t>66442</t>
        </is>
      </c>
      <c r="G834" s="11" t="inlineStr">
        <is>
          <t>Army</t>
        </is>
      </c>
      <c r="H834" s="11" t="inlineStr">
        <is>
          <t>Web &amp; Email</t>
        </is>
      </c>
      <c r="I834" s="8" t="inlineStr">
        <is>
          <t>Facebook Posts</t>
        </is>
      </c>
      <c r="J834" s="11" t="inlineStr">
        <is>
          <t>1080px x 1080px</t>
        </is>
      </c>
      <c r="K834" s="8" t="inlineStr">
        <is>
          <t>Your ad will appear on the Fort Riley Facebook page. ($250/post)</t>
        </is>
      </c>
      <c r="L834" s="11" t="n"/>
      <c r="M834" s="12" t="n"/>
      <c r="N834" s="12" t="n"/>
      <c r="O834" s="12" t="n"/>
      <c r="P834" s="12" t="n"/>
      <c r="Q834" s="12" t="n"/>
      <c r="R834" s="13">
        <f>IF(ISNUMBER(M834),ROUND(M834/(1-Settings!$B$2)/Settings!$B$3,0)*Settings!$B$3,"")</f>
        <v/>
      </c>
      <c r="S834" s="13">
        <f>IF(ISNUMBER(N834),ROUND(N834/(1-Settings!$B$2)/Settings!$B$3,0)*Settings!$B$3,"")</f>
        <v/>
      </c>
      <c r="T834" s="13">
        <f>IF(ISNUMBER(O834),ROUND(O834/(1-Settings!$B$2)/Settings!$B$3,0)*Settings!$B$3,"")</f>
        <v/>
      </c>
      <c r="U834" s="13">
        <f>IF(ISNUMBER(P834),ROUND(P834/(1-Settings!$B$2)/Settings!$B$3,0)*Settings!$B$3,"")</f>
        <v/>
      </c>
      <c r="V834" s="13">
        <f>IF(ISNUMBER(Q834),ROUND(Q834/(1-Settings!$B$2)/Settings!$B$3,0)*Settings!$B$3,"")</f>
        <v/>
      </c>
      <c r="W834" s="14" t="n">
        <v>15214</v>
      </c>
      <c r="X834" s="14" t="n">
        <v>18081</v>
      </c>
      <c r="Y834" s="11" t="inlineStr"/>
      <c r="Z834" s="11" t="inlineStr"/>
      <c r="AA834" s="8" t="inlineStr"/>
      <c r="AB834" s="16" t="inlineStr">
        <is>
          <t>No price on file - inquire</t>
        </is>
      </c>
      <c r="AC834" s="11" t="inlineStr">
        <is>
          <t>MasterMilitaryOnBaseList 12.2.25 NS.xlsx</t>
        </is>
      </c>
      <c r="AD834" s="11" t="inlineStr">
        <is>
          <t>MWR Sponsorship &amp; Advertising Price Guide.pdf</t>
        </is>
      </c>
      <c r="AE834" s="15" t="inlineStr">
        <is>
          <t>Open in Box</t>
        </is>
      </c>
      <c r="AF834" s="15" t="inlineStr">
        <is>
          <t>Open in Box</t>
        </is>
      </c>
    </row>
    <row r="835">
      <c r="A835" s="11" t="inlineStr">
        <is>
          <t>KS-FORTRILE-067</t>
        </is>
      </c>
      <c r="B835" s="8" t="inlineStr">
        <is>
          <t>Fort Riley</t>
        </is>
      </c>
      <c r="C835" s="11" t="inlineStr"/>
      <c r="D835" s="11" t="inlineStr">
        <is>
          <t>KS</t>
        </is>
      </c>
      <c r="E835" s="11" t="inlineStr">
        <is>
          <t>Topeka</t>
        </is>
      </c>
      <c r="F835" s="11" t="inlineStr"/>
      <c r="G835" s="11" t="inlineStr">
        <is>
          <t>Army</t>
        </is>
      </c>
      <c r="H835" s="11" t="inlineStr">
        <is>
          <t>Web &amp; Email</t>
        </is>
      </c>
      <c r="I835" s="8" t="inlineStr">
        <is>
          <t>Web Ad</t>
        </is>
      </c>
      <c r="J835" s="11" t="inlineStr"/>
      <c r="K835" s="8" t="inlineStr">
        <is>
          <t>Your ad will appear on the installation MWR / FSS website.</t>
        </is>
      </c>
      <c r="L835" s="11" t="n">
        <v>3</v>
      </c>
      <c r="M835" s="12" t="n"/>
      <c r="N835" s="12" t="n">
        <v>750</v>
      </c>
      <c r="O835" s="12" t="n"/>
      <c r="P835" s="12" t="n"/>
      <c r="Q835" s="12" t="n"/>
      <c r="R835" s="13">
        <f>IF(ISNUMBER(M835),ROUND(M835/(1-Settings!$B$2)/Settings!$B$3,0)*Settings!$B$3,"")</f>
        <v/>
      </c>
      <c r="S835" s="13">
        <f>IF(ISNUMBER(N835),ROUND(N835/(1-Settings!$B$2)/Settings!$B$3,0)*Settings!$B$3,"")</f>
        <v/>
      </c>
      <c r="T835" s="13">
        <f>IF(ISNUMBER(O835),ROUND(O835/(1-Settings!$B$2)/Settings!$B$3,0)*Settings!$B$3,"")</f>
        <v/>
      </c>
      <c r="U835" s="13">
        <f>IF(ISNUMBER(P835),ROUND(P835/(1-Settings!$B$2)/Settings!$B$3,0)*Settings!$B$3,"")</f>
        <v/>
      </c>
      <c r="V835" s="13">
        <f>IF(ISNUMBER(Q835),ROUND(Q835/(1-Settings!$B$2)/Settings!$B$3,0)*Settings!$B$3,"")</f>
        <v/>
      </c>
      <c r="W835" s="14" t="n">
        <v>15214</v>
      </c>
      <c r="X835" s="14" t="n">
        <v>18081</v>
      </c>
      <c r="Y835" s="11" t="inlineStr">
        <is>
          <t>2026</t>
        </is>
      </c>
      <c r="Z835" s="11" t="inlineStr">
        <is>
          <t>2026-06</t>
        </is>
      </c>
      <c r="AA835" s="8" t="inlineStr">
        <is>
          <t>3-month commitment | Sold quarterly</t>
        </is>
      </c>
      <c r="AB835" s="8" t="inlineStr"/>
      <c r="AC835" s="11" t="inlineStr">
        <is>
          <t>Military - National Publication Inventory Master_June 2026.xlsx</t>
        </is>
      </c>
      <c r="AD835" s="11" t="inlineStr">
        <is>
          <t>MWR Sponsorship &amp; Advertising Price Guide.pdf</t>
        </is>
      </c>
      <c r="AE835" s="15" t="inlineStr">
        <is>
          <t>Open in Box</t>
        </is>
      </c>
      <c r="AF835" s="15" t="inlineStr">
        <is>
          <t>Open in Box</t>
        </is>
      </c>
    </row>
    <row r="836">
      <c r="A836" s="11" t="inlineStr">
        <is>
          <t>KS-MCCONNEL-001</t>
        </is>
      </c>
      <c r="B836" s="8" t="inlineStr">
        <is>
          <t>McConnell AFB</t>
        </is>
      </c>
      <c r="C836" s="11" t="inlineStr"/>
      <c r="D836" s="11" t="inlineStr">
        <is>
          <t>KS</t>
        </is>
      </c>
      <c r="E836" s="11" t="inlineStr">
        <is>
          <t>Wichita-Hutchinson Plus</t>
        </is>
      </c>
      <c r="F836" s="11" t="inlineStr">
        <is>
          <t>67221</t>
        </is>
      </c>
      <c r="G836" s="11" t="inlineStr">
        <is>
          <t>Air Force</t>
        </is>
      </c>
      <c r="H836" s="11" t="inlineStr">
        <is>
          <t>Digital</t>
        </is>
      </c>
      <c r="I836" s="8" t="inlineStr">
        <is>
          <t>Bowling Alley Screens</t>
        </is>
      </c>
      <c r="J836" s="11" t="inlineStr">
        <is>
          <t>1920px x 1080px</t>
        </is>
      </c>
      <c r="K836" s="8" t="inlineStr">
        <is>
          <t>Your ad will appear on 18 screens in the bowling center on the installation.</t>
        </is>
      </c>
      <c r="L836" s="11" t="n">
        <v>1</v>
      </c>
      <c r="M836" s="12" t="n">
        <v>150</v>
      </c>
      <c r="N836" s="12" t="n">
        <v>450</v>
      </c>
      <c r="O836" s="12" t="n">
        <v>900</v>
      </c>
      <c r="P836" s="12" t="n">
        <v>1800</v>
      </c>
      <c r="Q836" s="12" t="n"/>
      <c r="R836" s="13">
        <f>IF(ISNUMBER(M836),ROUND(M836/(1-Settings!$B$2)/Settings!$B$3,0)*Settings!$B$3,"")</f>
        <v/>
      </c>
      <c r="S836" s="13">
        <f>IF(ISNUMBER(N836),ROUND(N836/(1-Settings!$B$2)/Settings!$B$3,0)*Settings!$B$3,"")</f>
        <v/>
      </c>
      <c r="T836" s="13">
        <f>IF(ISNUMBER(O836),ROUND(O836/(1-Settings!$B$2)/Settings!$B$3,0)*Settings!$B$3,"")</f>
        <v/>
      </c>
      <c r="U836" s="13">
        <f>IF(ISNUMBER(P836),ROUND(P836/(1-Settings!$B$2)/Settings!$B$3,0)*Settings!$B$3,"")</f>
        <v/>
      </c>
      <c r="V836" s="13">
        <f>IF(ISNUMBER(Q836),ROUND(Q836/(1-Settings!$B$2)/Settings!$B$3,0)*Settings!$B$3,"")</f>
        <v/>
      </c>
      <c r="W836" s="14" t="n">
        <v>2899</v>
      </c>
      <c r="X836" s="14" t="n">
        <v>3577</v>
      </c>
      <c r="Y836" s="11" t="inlineStr"/>
      <c r="Z836" s="11" t="inlineStr"/>
      <c r="AA836" s="8" t="inlineStr"/>
      <c r="AB836" s="8" t="inlineStr"/>
      <c r="AC836" s="11" t="inlineStr">
        <is>
          <t>MasterMilitaryOnBaseList 12.2.25 NS.xlsx</t>
        </is>
      </c>
      <c r="AD836" s="11" t="inlineStr">
        <is>
          <t>2025 Sponsorship Packet_April KS.pdf</t>
        </is>
      </c>
      <c r="AE836" s="15" t="inlineStr">
        <is>
          <t>Open in Box</t>
        </is>
      </c>
      <c r="AF836" s="15" t="inlineStr">
        <is>
          <t>Open in Box</t>
        </is>
      </c>
    </row>
    <row r="837">
      <c r="A837" s="11" t="inlineStr">
        <is>
          <t>KS-MCCONNEL-002</t>
        </is>
      </c>
      <c r="B837" s="8" t="inlineStr">
        <is>
          <t>McConnell AFB</t>
        </is>
      </c>
      <c r="C837" s="11" t="inlineStr"/>
      <c r="D837" s="11" t="inlineStr">
        <is>
          <t>KS</t>
        </is>
      </c>
      <c r="E837" s="11" t="inlineStr">
        <is>
          <t>Wichita-Hutchinson Plus</t>
        </is>
      </c>
      <c r="F837" s="11" t="inlineStr">
        <is>
          <t>67221</t>
        </is>
      </c>
      <c r="G837" s="11" t="inlineStr">
        <is>
          <t>Air Force</t>
        </is>
      </c>
      <c r="H837" s="11" t="inlineStr">
        <is>
          <t>Digital</t>
        </is>
      </c>
      <c r="I837" s="8" t="inlineStr">
        <is>
          <t>Digital Monitor Network</t>
        </is>
      </c>
      <c r="J837" s="11" t="inlineStr">
        <is>
          <t>1920px x 1080px</t>
        </is>
      </c>
      <c r="K837" s="8" t="inlineStr">
        <is>
          <t>Your ad will apear on 12 screens in approved locations on the installation.</t>
        </is>
      </c>
      <c r="L837" s="11" t="n">
        <v>1</v>
      </c>
      <c r="M837" s="12" t="n">
        <v>150</v>
      </c>
      <c r="N837" s="12" t="n">
        <v>450</v>
      </c>
      <c r="O837" s="12" t="n">
        <v>900</v>
      </c>
      <c r="P837" s="12" t="n">
        <v>1800</v>
      </c>
      <c r="Q837" s="12" t="n"/>
      <c r="R837" s="13">
        <f>IF(ISNUMBER(M837),ROUND(M837/(1-Settings!$B$2)/Settings!$B$3,0)*Settings!$B$3,"")</f>
        <v/>
      </c>
      <c r="S837" s="13">
        <f>IF(ISNUMBER(N837),ROUND(N837/(1-Settings!$B$2)/Settings!$B$3,0)*Settings!$B$3,"")</f>
        <v/>
      </c>
      <c r="T837" s="13">
        <f>IF(ISNUMBER(O837),ROUND(O837/(1-Settings!$B$2)/Settings!$B$3,0)*Settings!$B$3,"")</f>
        <v/>
      </c>
      <c r="U837" s="13">
        <f>IF(ISNUMBER(P837),ROUND(P837/(1-Settings!$B$2)/Settings!$B$3,0)*Settings!$B$3,"")</f>
        <v/>
      </c>
      <c r="V837" s="13">
        <f>IF(ISNUMBER(Q837),ROUND(Q837/(1-Settings!$B$2)/Settings!$B$3,0)*Settings!$B$3,"")</f>
        <v/>
      </c>
      <c r="W837" s="14" t="n">
        <v>2899</v>
      </c>
      <c r="X837" s="14" t="n">
        <v>3577</v>
      </c>
      <c r="Y837" s="11" t="inlineStr"/>
      <c r="Z837" s="11" t="inlineStr"/>
      <c r="AA837" s="8" t="inlineStr">
        <is>
          <t>Inventory master 6/2026 lists Digital Monitor Network at $140 (1 mo)</t>
        </is>
      </c>
      <c r="AB837" s="8" t="inlineStr"/>
      <c r="AC837" s="11" t="inlineStr">
        <is>
          <t>MasterMilitaryOnBaseList 12.2.25 NS.xlsx</t>
        </is>
      </c>
      <c r="AD837" s="11" t="inlineStr">
        <is>
          <t>2025 Sponsorship Packet_April KS.pdf</t>
        </is>
      </c>
      <c r="AE837" s="15" t="inlineStr">
        <is>
          <t>Open in Box</t>
        </is>
      </c>
      <c r="AF837" s="15" t="inlineStr">
        <is>
          <t>Open in Box</t>
        </is>
      </c>
    </row>
    <row r="838">
      <c r="A838" s="11" t="inlineStr">
        <is>
          <t>KS-MCCONNEL-005</t>
        </is>
      </c>
      <c r="B838" s="8" t="inlineStr">
        <is>
          <t>McConnell AFB</t>
        </is>
      </c>
      <c r="C838" s="11" t="inlineStr"/>
      <c r="D838" s="11" t="inlineStr">
        <is>
          <t>KS</t>
        </is>
      </c>
      <c r="E838" s="11" t="inlineStr">
        <is>
          <t>Wichita-Hutchinson Plus</t>
        </is>
      </c>
      <c r="F838" s="11" t="inlineStr">
        <is>
          <t>67221</t>
        </is>
      </c>
      <c r="G838" s="11" t="inlineStr">
        <is>
          <t>Air Force</t>
        </is>
      </c>
      <c r="H838" s="11" t="inlineStr">
        <is>
          <t>Print &amp; Publications</t>
        </is>
      </c>
      <c r="I838" s="8" t="inlineStr">
        <is>
          <t>Event Guide Ad</t>
        </is>
      </c>
      <c r="J838" s="11" t="inlineStr">
        <is>
          <t>3.27" x 0.86"</t>
        </is>
      </c>
      <c r="K838" s="8" t="inlineStr">
        <is>
          <t>Your ad will appear in the monthly McConnell Event Guide.</t>
        </is>
      </c>
      <c r="L838" s="11" t="n">
        <v>1</v>
      </c>
      <c r="M838" s="12" t="n">
        <v>100</v>
      </c>
      <c r="N838" s="12" t="n">
        <v>300</v>
      </c>
      <c r="O838" s="12" t="n">
        <v>600</v>
      </c>
      <c r="P838" s="12" t="n">
        <v>1200</v>
      </c>
      <c r="Q838" s="12" t="n">
        <v>100</v>
      </c>
      <c r="R838" s="13">
        <f>IF(ISNUMBER(M838),ROUND(M838/(1-Settings!$B$2)/Settings!$B$3,0)*Settings!$B$3,"")</f>
        <v/>
      </c>
      <c r="S838" s="13">
        <f>IF(ISNUMBER(N838),ROUND(N838/(1-Settings!$B$2)/Settings!$B$3,0)*Settings!$B$3,"")</f>
        <v/>
      </c>
      <c r="T838" s="13">
        <f>IF(ISNUMBER(O838),ROUND(O838/(1-Settings!$B$2)/Settings!$B$3,0)*Settings!$B$3,"")</f>
        <v/>
      </c>
      <c r="U838" s="13">
        <f>IF(ISNUMBER(P838),ROUND(P838/(1-Settings!$B$2)/Settings!$B$3,0)*Settings!$B$3,"")</f>
        <v/>
      </c>
      <c r="V838" s="13">
        <f>IF(ISNUMBER(Q838),ROUND(Q838/(1-Settings!$B$2)/Settings!$B$3,0)*Settings!$B$3,"")</f>
        <v/>
      </c>
      <c r="W838" s="14" t="n">
        <v>2899</v>
      </c>
      <c r="X838" s="14" t="n">
        <v>3577</v>
      </c>
      <c r="Y838" s="11" t="inlineStr"/>
      <c r="Z838" s="11" t="inlineStr"/>
      <c r="AA838" s="8" t="inlineStr"/>
      <c r="AB838" s="8" t="inlineStr"/>
      <c r="AC838" s="11" t="inlineStr">
        <is>
          <t>MasterMilitaryOnBaseList 12.2.25 NS.xlsx</t>
        </is>
      </c>
      <c r="AD838" s="11" t="inlineStr">
        <is>
          <t>2025 Sponsorship Packet_April KS.pdf</t>
        </is>
      </c>
      <c r="AE838" s="15" t="inlineStr">
        <is>
          <t>Open in Box</t>
        </is>
      </c>
      <c r="AF838" s="15" t="inlineStr">
        <is>
          <t>Open in Box</t>
        </is>
      </c>
    </row>
    <row r="839">
      <c r="A839" s="11" t="inlineStr">
        <is>
          <t>KS-MCCONNEL-003</t>
        </is>
      </c>
      <c r="B839" s="8" t="inlineStr">
        <is>
          <t>McConnell AFB</t>
        </is>
      </c>
      <c r="C839" s="11" t="inlineStr"/>
      <c r="D839" s="11" t="inlineStr">
        <is>
          <t>KS</t>
        </is>
      </c>
      <c r="E839" s="11" t="inlineStr">
        <is>
          <t>Wichita-Hutchinson Plus</t>
        </is>
      </c>
      <c r="F839" s="11" t="inlineStr">
        <is>
          <t>67221</t>
        </is>
      </c>
      <c r="G839" s="11" t="inlineStr">
        <is>
          <t>Air Force</t>
        </is>
      </c>
      <c r="H839" s="11" t="inlineStr">
        <is>
          <t>Standard Media</t>
        </is>
      </c>
      <c r="I839" s="8" t="inlineStr">
        <is>
          <t>Banners</t>
        </is>
      </c>
      <c r="J839" s="11" t="inlineStr">
        <is>
          <t>TBD based on location.</t>
        </is>
      </c>
      <c r="K839" s="8" t="inlineStr">
        <is>
          <t>Your ad will appear in approved locations on the installtion.</t>
        </is>
      </c>
      <c r="L839" s="11" t="n">
        <v>1</v>
      </c>
      <c r="M839" s="12" t="n">
        <v>150</v>
      </c>
      <c r="N839" s="12" t="n">
        <v>450</v>
      </c>
      <c r="O839" s="12" t="n">
        <v>900</v>
      </c>
      <c r="P839" s="12" t="n">
        <v>1800</v>
      </c>
      <c r="Q839" s="12" t="n">
        <v>200</v>
      </c>
      <c r="R839" s="13">
        <f>IF(ISNUMBER(M839),ROUND(M839/(1-Settings!$B$2)/Settings!$B$3,0)*Settings!$B$3,"")</f>
        <v/>
      </c>
      <c r="S839" s="13">
        <f>IF(ISNUMBER(N839),ROUND(N839/(1-Settings!$B$2)/Settings!$B$3,0)*Settings!$B$3,"")</f>
        <v/>
      </c>
      <c r="T839" s="13">
        <f>IF(ISNUMBER(O839),ROUND(O839/(1-Settings!$B$2)/Settings!$B$3,0)*Settings!$B$3,"")</f>
        <v/>
      </c>
      <c r="U839" s="13">
        <f>IF(ISNUMBER(P839),ROUND(P839/(1-Settings!$B$2)/Settings!$B$3,0)*Settings!$B$3,"")</f>
        <v/>
      </c>
      <c r="V839" s="13">
        <f>IF(ISNUMBER(Q839),ROUND(Q839/(1-Settings!$B$2)/Settings!$B$3,0)*Settings!$B$3,"")</f>
        <v/>
      </c>
      <c r="W839" s="14" t="n">
        <v>2899</v>
      </c>
      <c r="X839" s="14" t="n">
        <v>3577</v>
      </c>
      <c r="Y839" s="11" t="inlineStr"/>
      <c r="Z839" s="11" t="inlineStr"/>
      <c r="AA839" s="8" t="inlineStr"/>
      <c r="AB839" s="8" t="inlineStr"/>
      <c r="AC839" s="11" t="inlineStr">
        <is>
          <t>MasterMilitaryOnBaseList 12.2.25 NS.xlsx</t>
        </is>
      </c>
      <c r="AD839" s="11" t="inlineStr">
        <is>
          <t>2025 Sponsorship Packet_April KS.pdf</t>
        </is>
      </c>
      <c r="AE839" s="15" t="inlineStr">
        <is>
          <t>Open in Box</t>
        </is>
      </c>
      <c r="AF839" s="15" t="inlineStr">
        <is>
          <t>Open in Box</t>
        </is>
      </c>
    </row>
    <row r="840">
      <c r="A840" s="11" t="inlineStr">
        <is>
          <t>KS-MCCONNEL-004</t>
        </is>
      </c>
      <c r="B840" s="8" t="inlineStr">
        <is>
          <t>McConnell AFB</t>
        </is>
      </c>
      <c r="C840" s="11" t="inlineStr"/>
      <c r="D840" s="11" t="inlineStr">
        <is>
          <t>KS</t>
        </is>
      </c>
      <c r="E840" s="11" t="inlineStr">
        <is>
          <t>Wichita-Hutchinson Plus</t>
        </is>
      </c>
      <c r="F840" s="11" t="inlineStr">
        <is>
          <t>67221</t>
        </is>
      </c>
      <c r="G840" s="11" t="inlineStr">
        <is>
          <t>Air Force</t>
        </is>
      </c>
      <c r="H840" s="11" t="inlineStr">
        <is>
          <t>Standard Media</t>
        </is>
      </c>
      <c r="I840" s="8" t="inlineStr">
        <is>
          <t>Posters</t>
        </is>
      </c>
      <c r="J840" s="11" t="inlineStr">
        <is>
          <t>11" x 17", 22" x 28", or 30" x 40"</t>
        </is>
      </c>
      <c r="K840" s="8" t="inlineStr">
        <is>
          <t>Your ad will appear in approved locations on the installtion.</t>
        </is>
      </c>
      <c r="L840" s="11" t="n">
        <v>1</v>
      </c>
      <c r="M840" s="12" t="n">
        <v>100</v>
      </c>
      <c r="N840" s="12" t="n">
        <v>300</v>
      </c>
      <c r="O840" s="12" t="n">
        <v>600</v>
      </c>
      <c r="P840" s="12" t="n">
        <v>1200</v>
      </c>
      <c r="Q840" s="12" t="n">
        <v>100</v>
      </c>
      <c r="R840" s="13">
        <f>IF(ISNUMBER(M840),ROUND(M840/(1-Settings!$B$2)/Settings!$B$3,0)*Settings!$B$3,"")</f>
        <v/>
      </c>
      <c r="S840" s="13">
        <f>IF(ISNUMBER(N840),ROUND(N840/(1-Settings!$B$2)/Settings!$B$3,0)*Settings!$B$3,"")</f>
        <v/>
      </c>
      <c r="T840" s="13">
        <f>IF(ISNUMBER(O840),ROUND(O840/(1-Settings!$B$2)/Settings!$B$3,0)*Settings!$B$3,"")</f>
        <v/>
      </c>
      <c r="U840" s="13">
        <f>IF(ISNUMBER(P840),ROUND(P840/(1-Settings!$B$2)/Settings!$B$3,0)*Settings!$B$3,"")</f>
        <v/>
      </c>
      <c r="V840" s="13">
        <f>IF(ISNUMBER(Q840),ROUND(Q840/(1-Settings!$B$2)/Settings!$B$3,0)*Settings!$B$3,"")</f>
        <v/>
      </c>
      <c r="W840" s="14" t="n">
        <v>2899</v>
      </c>
      <c r="X840" s="14" t="n">
        <v>3577</v>
      </c>
      <c r="Y840" s="11" t="inlineStr"/>
      <c r="Z840" s="11" t="inlineStr"/>
      <c r="AA840" s="8" t="inlineStr"/>
      <c r="AB840" s="8" t="inlineStr"/>
      <c r="AC840" s="11" t="inlineStr">
        <is>
          <t>MasterMilitaryOnBaseList 12.2.25 NS.xlsx</t>
        </is>
      </c>
      <c r="AD840" s="11" t="inlineStr">
        <is>
          <t>2025 Sponsorship Packet_April KS.pdf</t>
        </is>
      </c>
      <c r="AE840" s="15" t="inlineStr">
        <is>
          <t>Open in Box</t>
        </is>
      </c>
      <c r="AF840" s="15" t="inlineStr">
        <is>
          <t>Open in Box</t>
        </is>
      </c>
    </row>
    <row r="841">
      <c r="A841" s="11" t="inlineStr">
        <is>
          <t>KS-MCCONNEL-006</t>
        </is>
      </c>
      <c r="B841" s="8" t="inlineStr">
        <is>
          <t>McConnell AFB</t>
        </is>
      </c>
      <c r="C841" s="11" t="inlineStr"/>
      <c r="D841" s="11" t="inlineStr">
        <is>
          <t>KS</t>
        </is>
      </c>
      <c r="E841" s="11" t="inlineStr">
        <is>
          <t>Wichita-Hutchinson Plus</t>
        </is>
      </c>
      <c r="F841" s="11" t="inlineStr"/>
      <c r="G841" s="11" t="inlineStr">
        <is>
          <t>Air Force</t>
        </is>
      </c>
      <c r="H841" s="11" t="inlineStr">
        <is>
          <t>Web &amp; Email</t>
        </is>
      </c>
      <c r="I841" s="8" t="inlineStr">
        <is>
          <t>Monthly E-Newsletter Ad</t>
        </is>
      </c>
      <c r="J841" s="11" t="inlineStr"/>
      <c r="K841" s="8" t="inlineStr">
        <is>
          <t>Your ad will appear in the monthly e-newsletter emailed to the installation community.</t>
        </is>
      </c>
      <c r="L841" s="11" t="n">
        <v>1</v>
      </c>
      <c r="M841" s="12" t="n">
        <v>100</v>
      </c>
      <c r="N841" s="12" t="n"/>
      <c r="O841" s="12" t="n"/>
      <c r="P841" s="12" t="n"/>
      <c r="Q841" s="12" t="n"/>
      <c r="R841" s="13">
        <f>IF(ISNUMBER(M841),ROUND(M841/(1-Settings!$B$2)/Settings!$B$3,0)*Settings!$B$3,"")</f>
        <v/>
      </c>
      <c r="S841" s="13">
        <f>IF(ISNUMBER(N841),ROUND(N841/(1-Settings!$B$2)/Settings!$B$3,0)*Settings!$B$3,"")</f>
        <v/>
      </c>
      <c r="T841" s="13">
        <f>IF(ISNUMBER(O841),ROUND(O841/(1-Settings!$B$2)/Settings!$B$3,0)*Settings!$B$3,"")</f>
        <v/>
      </c>
      <c r="U841" s="13">
        <f>IF(ISNUMBER(P841),ROUND(P841/(1-Settings!$B$2)/Settings!$B$3,0)*Settings!$B$3,"")</f>
        <v/>
      </c>
      <c r="V841" s="13">
        <f>IF(ISNUMBER(Q841),ROUND(Q841/(1-Settings!$B$2)/Settings!$B$3,0)*Settings!$B$3,"")</f>
        <v/>
      </c>
      <c r="W841" s="14" t="n">
        <v>2899</v>
      </c>
      <c r="X841" s="14" t="n">
        <v>3577</v>
      </c>
      <c r="Y841" s="11" t="inlineStr">
        <is>
          <t>2026</t>
        </is>
      </c>
      <c r="Z841" s="11" t="inlineStr">
        <is>
          <t>2026-06</t>
        </is>
      </c>
      <c r="AA841" s="8" t="inlineStr"/>
      <c r="AB841" s="8" t="inlineStr"/>
      <c r="AC841" s="11" t="inlineStr">
        <is>
          <t>Military - National Publication Inventory Master_June 2026.xlsx</t>
        </is>
      </c>
      <c r="AD841" s="11" t="inlineStr">
        <is>
          <t>2025 Sponsorship Packet_April KS.pdf</t>
        </is>
      </c>
      <c r="AE841" s="15" t="inlineStr">
        <is>
          <t>Open in Box</t>
        </is>
      </c>
      <c r="AF841" s="15" t="inlineStr">
        <is>
          <t>Open in Box</t>
        </is>
      </c>
    </row>
    <row r="842">
      <c r="A842" s="11" t="inlineStr">
        <is>
          <t>KS-MCCONNEL-007</t>
        </is>
      </c>
      <c r="B842" s="8" t="inlineStr">
        <is>
          <t>McConnell AFB</t>
        </is>
      </c>
      <c r="C842" s="11" t="inlineStr"/>
      <c r="D842" s="11" t="inlineStr">
        <is>
          <t>KS</t>
        </is>
      </c>
      <c r="E842" s="11" t="inlineStr">
        <is>
          <t>Wichita-Hutchinson Plus</t>
        </is>
      </c>
      <c r="F842" s="11" t="inlineStr"/>
      <c r="G842" s="11" t="inlineStr">
        <is>
          <t>Air Force</t>
        </is>
      </c>
      <c r="H842" s="11" t="inlineStr">
        <is>
          <t>Web &amp; Email</t>
        </is>
      </c>
      <c r="I842" s="8" t="inlineStr">
        <is>
          <t>Web Ad</t>
        </is>
      </c>
      <c r="J842" s="11" t="inlineStr"/>
      <c r="K842" s="8" t="inlineStr">
        <is>
          <t>Your ad will appear on the installation MWR / FSS website.</t>
        </is>
      </c>
      <c r="L842" s="11" t="n">
        <v>1</v>
      </c>
      <c r="M842" s="12" t="n">
        <v>150</v>
      </c>
      <c r="N842" s="12" t="n"/>
      <c r="O842" s="12" t="n"/>
      <c r="P842" s="12" t="n"/>
      <c r="Q842" s="12" t="n"/>
      <c r="R842" s="13">
        <f>IF(ISNUMBER(M842),ROUND(M842/(1-Settings!$B$2)/Settings!$B$3,0)*Settings!$B$3,"")</f>
        <v/>
      </c>
      <c r="S842" s="13">
        <f>IF(ISNUMBER(N842),ROUND(N842/(1-Settings!$B$2)/Settings!$B$3,0)*Settings!$B$3,"")</f>
        <v/>
      </c>
      <c r="T842" s="13">
        <f>IF(ISNUMBER(O842),ROUND(O842/(1-Settings!$B$2)/Settings!$B$3,0)*Settings!$B$3,"")</f>
        <v/>
      </c>
      <c r="U842" s="13">
        <f>IF(ISNUMBER(P842),ROUND(P842/(1-Settings!$B$2)/Settings!$B$3,0)*Settings!$B$3,"")</f>
        <v/>
      </c>
      <c r="V842" s="13">
        <f>IF(ISNUMBER(Q842),ROUND(Q842/(1-Settings!$B$2)/Settings!$B$3,0)*Settings!$B$3,"")</f>
        <v/>
      </c>
      <c r="W842" s="14" t="n">
        <v>2899</v>
      </c>
      <c r="X842" s="14" t="n">
        <v>3577</v>
      </c>
      <c r="Y842" s="11" t="inlineStr">
        <is>
          <t>2026</t>
        </is>
      </c>
      <c r="Z842" s="11" t="inlineStr">
        <is>
          <t>2026-06</t>
        </is>
      </c>
      <c r="AA842" s="8" t="inlineStr"/>
      <c r="AB842" s="8" t="inlineStr"/>
      <c r="AC842" s="11" t="inlineStr">
        <is>
          <t>Military - National Publication Inventory Master_June 2026.xlsx</t>
        </is>
      </c>
      <c r="AD842" s="11" t="inlineStr">
        <is>
          <t>2025 Sponsorship Packet_April KS.pdf</t>
        </is>
      </c>
      <c r="AE842" s="15" t="inlineStr">
        <is>
          <t>Open in Box</t>
        </is>
      </c>
      <c r="AF842" s="15" t="inlineStr">
        <is>
          <t>Open in Box</t>
        </is>
      </c>
    </row>
    <row r="843">
      <c r="A843" s="11" t="inlineStr">
        <is>
          <t>KY-FORTKNOX-001</t>
        </is>
      </c>
      <c r="B843" s="8" t="inlineStr">
        <is>
          <t>Fort Knox</t>
        </is>
      </c>
      <c r="C843" s="11" t="inlineStr"/>
      <c r="D843" s="11" t="inlineStr">
        <is>
          <t>KY</t>
        </is>
      </c>
      <c r="E843" s="11" t="inlineStr">
        <is>
          <t>Louisville</t>
        </is>
      </c>
      <c r="F843" s="11" t="inlineStr">
        <is>
          <t>40121</t>
        </is>
      </c>
      <c r="G843" s="11" t="inlineStr">
        <is>
          <t>Army</t>
        </is>
      </c>
      <c r="H843" s="11" t="inlineStr">
        <is>
          <t>Digital</t>
        </is>
      </c>
      <c r="I843" s="8" t="inlineStr">
        <is>
          <t>Bowling Center Banner</t>
        </is>
      </c>
      <c r="J843" s="11" t="inlineStr">
        <is>
          <t>TBD</t>
        </is>
      </c>
      <c r="K843" s="8" t="inlineStr">
        <is>
          <t>Your ad will appear at the bowling center.</t>
        </is>
      </c>
      <c r="L843" s="11" t="n">
        <v>12</v>
      </c>
      <c r="M843" s="12" t="n"/>
      <c r="N843" s="12" t="n"/>
      <c r="O843" s="12" t="n"/>
      <c r="P843" s="12" t="n">
        <v>1500</v>
      </c>
      <c r="Q843" s="12" t="n"/>
      <c r="R843" s="13">
        <f>IF(ISNUMBER(M843),ROUND(M843/(1-Settings!$B$2)/Settings!$B$3,0)*Settings!$B$3,"")</f>
        <v/>
      </c>
      <c r="S843" s="13">
        <f>IF(ISNUMBER(N843),ROUND(N843/(1-Settings!$B$2)/Settings!$B$3,0)*Settings!$B$3,"")</f>
        <v/>
      </c>
      <c r="T843" s="13">
        <f>IF(ISNUMBER(O843),ROUND(O843/(1-Settings!$B$2)/Settings!$B$3,0)*Settings!$B$3,"")</f>
        <v/>
      </c>
      <c r="U843" s="13">
        <f>IF(ISNUMBER(P843),ROUND(P843/(1-Settings!$B$2)/Settings!$B$3,0)*Settings!$B$3,"")</f>
        <v/>
      </c>
      <c r="V843" s="13">
        <f>IF(ISNUMBER(Q843),ROUND(Q843/(1-Settings!$B$2)/Settings!$B$3,0)*Settings!$B$3,"")</f>
        <v/>
      </c>
      <c r="W843" s="14" t="n">
        <v>4842</v>
      </c>
      <c r="X843" s="14" t="n">
        <v>7088</v>
      </c>
      <c r="Y843" s="11" t="inlineStr"/>
      <c r="Z843" s="11" t="inlineStr"/>
      <c r="AA843" s="8" t="inlineStr"/>
      <c r="AB843" s="16" t="inlineStr">
        <is>
          <t>Source formula errors</t>
        </is>
      </c>
      <c r="AC843" s="11" t="inlineStr">
        <is>
          <t>MasterMilitaryOnBaseList 12.2.25 NS.xlsx</t>
        </is>
      </c>
      <c r="AD843" s="11" t="inlineStr">
        <is>
          <t>Knox Updated 2026 Digital Prices.docx</t>
        </is>
      </c>
      <c r="AE843" s="15" t="inlineStr">
        <is>
          <t>Open in Box</t>
        </is>
      </c>
      <c r="AF843" s="15" t="inlineStr">
        <is>
          <t>Open in Box</t>
        </is>
      </c>
    </row>
    <row r="844">
      <c r="A844" s="11" t="inlineStr">
        <is>
          <t>KY-FORTKNOX-002</t>
        </is>
      </c>
      <c r="B844" s="8" t="inlineStr">
        <is>
          <t>Fort Knox</t>
        </is>
      </c>
      <c r="C844" s="11" t="inlineStr"/>
      <c r="D844" s="11" t="inlineStr">
        <is>
          <t>KY</t>
        </is>
      </c>
      <c r="E844" s="11" t="inlineStr">
        <is>
          <t>Louisville</t>
        </is>
      </c>
      <c r="F844" s="11" t="inlineStr">
        <is>
          <t>40121</t>
        </is>
      </c>
      <c r="G844" s="11" t="inlineStr">
        <is>
          <t>Army</t>
        </is>
      </c>
      <c r="H844" s="11" t="inlineStr">
        <is>
          <t>Digital</t>
        </is>
      </c>
      <c r="I844" s="8" t="inlineStr">
        <is>
          <t>Bowling Center Lane Banner</t>
        </is>
      </c>
      <c r="J844" s="11" t="inlineStr">
        <is>
          <t>TBD</t>
        </is>
      </c>
      <c r="K844" s="8" t="inlineStr">
        <is>
          <t>Your ad will appear in the Houston Bowling Center on the installation.</t>
        </is>
      </c>
      <c r="L844" s="11" t="n">
        <v>12</v>
      </c>
      <c r="M844" s="12" t="n"/>
      <c r="N844" s="12" t="n"/>
      <c r="O844" s="12" t="n"/>
      <c r="P844" s="12" t="n">
        <v>1500</v>
      </c>
      <c r="Q844" s="12" t="n">
        <v>200</v>
      </c>
      <c r="R844" s="13">
        <f>IF(ISNUMBER(M844),ROUND(M844/(1-Settings!$B$2)/Settings!$B$3,0)*Settings!$B$3,"")</f>
        <v/>
      </c>
      <c r="S844" s="13">
        <f>IF(ISNUMBER(N844),ROUND(N844/(1-Settings!$B$2)/Settings!$B$3,0)*Settings!$B$3,"")</f>
        <v/>
      </c>
      <c r="T844" s="13">
        <f>IF(ISNUMBER(O844),ROUND(O844/(1-Settings!$B$2)/Settings!$B$3,0)*Settings!$B$3,"")</f>
        <v/>
      </c>
      <c r="U844" s="13">
        <f>IF(ISNUMBER(P844),ROUND(P844/(1-Settings!$B$2)/Settings!$B$3,0)*Settings!$B$3,"")</f>
        <v/>
      </c>
      <c r="V844" s="13">
        <f>IF(ISNUMBER(Q844),ROUND(Q844/(1-Settings!$B$2)/Settings!$B$3,0)*Settings!$B$3,"")</f>
        <v/>
      </c>
      <c r="W844" s="14" t="n">
        <v>4842</v>
      </c>
      <c r="X844" s="14" t="n">
        <v>7088</v>
      </c>
      <c r="Y844" s="11" t="inlineStr"/>
      <c r="Z844" s="11" t="inlineStr"/>
      <c r="AA844" s="8" t="inlineStr"/>
      <c r="AB844" s="8" t="inlineStr"/>
      <c r="AC844" s="11" t="inlineStr">
        <is>
          <t>MasterMilitaryOnBaseList 12.2.25 NS.xlsx</t>
        </is>
      </c>
      <c r="AD844" s="11" t="inlineStr">
        <is>
          <t>Knox Updated 2026 Digital Prices.docx</t>
        </is>
      </c>
      <c r="AE844" s="15" t="inlineStr">
        <is>
          <t>Open in Box</t>
        </is>
      </c>
      <c r="AF844" s="15" t="inlineStr">
        <is>
          <t>Open in Box</t>
        </is>
      </c>
    </row>
    <row r="845">
      <c r="A845" s="11" t="inlineStr">
        <is>
          <t>KY-FORTKNOX-003</t>
        </is>
      </c>
      <c r="B845" s="8" t="inlineStr">
        <is>
          <t>Fort Knox</t>
        </is>
      </c>
      <c r="C845" s="11" t="inlineStr"/>
      <c r="D845" s="11" t="inlineStr">
        <is>
          <t>KY</t>
        </is>
      </c>
      <c r="E845" s="11" t="inlineStr">
        <is>
          <t>Louisville</t>
        </is>
      </c>
      <c r="F845" s="11" t="inlineStr">
        <is>
          <t>40121</t>
        </is>
      </c>
      <c r="G845" s="11" t="inlineStr">
        <is>
          <t>Army</t>
        </is>
      </c>
      <c r="H845" s="11" t="inlineStr">
        <is>
          <t>Digital</t>
        </is>
      </c>
      <c r="I845" s="8" t="inlineStr">
        <is>
          <t>Bowling Center Lane Rake</t>
        </is>
      </c>
      <c r="J845" s="11" t="inlineStr">
        <is>
          <t>TBD</t>
        </is>
      </c>
      <c r="K845" s="8" t="inlineStr">
        <is>
          <t>Your ad will appear in the Houston Bowling Center on the installation.</t>
        </is>
      </c>
      <c r="L845" s="11" t="n">
        <v>12</v>
      </c>
      <c r="M845" s="12" t="n"/>
      <c r="N845" s="12" t="n"/>
      <c r="O845" s="12" t="n"/>
      <c r="P845" s="12" t="n">
        <v>1200</v>
      </c>
      <c r="Q845" s="12" t="n"/>
      <c r="R845" s="13">
        <f>IF(ISNUMBER(M845),ROUND(M845/(1-Settings!$B$2)/Settings!$B$3,0)*Settings!$B$3,"")</f>
        <v/>
      </c>
      <c r="S845" s="13">
        <f>IF(ISNUMBER(N845),ROUND(N845/(1-Settings!$B$2)/Settings!$B$3,0)*Settings!$B$3,"")</f>
        <v/>
      </c>
      <c r="T845" s="13">
        <f>IF(ISNUMBER(O845),ROUND(O845/(1-Settings!$B$2)/Settings!$B$3,0)*Settings!$B$3,"")</f>
        <v/>
      </c>
      <c r="U845" s="13">
        <f>IF(ISNUMBER(P845),ROUND(P845/(1-Settings!$B$2)/Settings!$B$3,0)*Settings!$B$3,"")</f>
        <v/>
      </c>
      <c r="V845" s="13">
        <f>IF(ISNUMBER(Q845),ROUND(Q845/(1-Settings!$B$2)/Settings!$B$3,0)*Settings!$B$3,"")</f>
        <v/>
      </c>
      <c r="W845" s="14" t="n">
        <v>4842</v>
      </c>
      <c r="X845" s="14" t="n">
        <v>7088</v>
      </c>
      <c r="Y845" s="11" t="inlineStr"/>
      <c r="Z845" s="11" t="inlineStr"/>
      <c r="AA845" s="8" t="inlineStr"/>
      <c r="AB845" s="8" t="inlineStr"/>
      <c r="AC845" s="11" t="inlineStr">
        <is>
          <t>MasterMilitaryOnBaseList 12.2.25 NS.xlsx</t>
        </is>
      </c>
      <c r="AD845" s="11" t="inlineStr">
        <is>
          <t>Knox Updated 2026 Digital Prices.docx</t>
        </is>
      </c>
      <c r="AE845" s="15" t="inlineStr">
        <is>
          <t>Open in Box</t>
        </is>
      </c>
      <c r="AF845" s="15" t="inlineStr">
        <is>
          <t>Open in Box</t>
        </is>
      </c>
    </row>
    <row r="846">
      <c r="A846" s="11" t="inlineStr">
        <is>
          <t>KY-FORTKNOX-004</t>
        </is>
      </c>
      <c r="B846" s="8" t="inlineStr">
        <is>
          <t>Fort Knox</t>
        </is>
      </c>
      <c r="C846" s="11" t="inlineStr"/>
      <c r="D846" s="11" t="inlineStr">
        <is>
          <t>KY</t>
        </is>
      </c>
      <c r="E846" s="11" t="inlineStr">
        <is>
          <t>Louisville</t>
        </is>
      </c>
      <c r="F846" s="11" t="inlineStr">
        <is>
          <t>40121</t>
        </is>
      </c>
      <c r="G846" s="11" t="inlineStr">
        <is>
          <t>Army</t>
        </is>
      </c>
      <c r="H846" s="11" t="inlineStr">
        <is>
          <t>Digital</t>
        </is>
      </c>
      <c r="I846" s="8" t="inlineStr">
        <is>
          <t>Bowling Center Lane Rake</t>
        </is>
      </c>
      <c r="J846" s="11" t="inlineStr">
        <is>
          <t>TBD</t>
        </is>
      </c>
      <c r="K846" s="8" t="inlineStr">
        <is>
          <t>Your ad will appear on 8 lanes.</t>
        </is>
      </c>
      <c r="L846" s="11" t="n">
        <v>12</v>
      </c>
      <c r="M846" s="12" t="n"/>
      <c r="N846" s="12" t="n"/>
      <c r="O846" s="12" t="n"/>
      <c r="P846" s="12" t="n">
        <v>1200</v>
      </c>
      <c r="Q846" s="12" t="n"/>
      <c r="R846" s="13">
        <f>IF(ISNUMBER(M846),ROUND(M846/(1-Settings!$B$2)/Settings!$B$3,0)*Settings!$B$3,"")</f>
        <v/>
      </c>
      <c r="S846" s="13">
        <f>IF(ISNUMBER(N846),ROUND(N846/(1-Settings!$B$2)/Settings!$B$3,0)*Settings!$B$3,"")</f>
        <v/>
      </c>
      <c r="T846" s="13">
        <f>IF(ISNUMBER(O846),ROUND(O846/(1-Settings!$B$2)/Settings!$B$3,0)*Settings!$B$3,"")</f>
        <v/>
      </c>
      <c r="U846" s="13">
        <f>IF(ISNUMBER(P846),ROUND(P846/(1-Settings!$B$2)/Settings!$B$3,0)*Settings!$B$3,"")</f>
        <v/>
      </c>
      <c r="V846" s="13">
        <f>IF(ISNUMBER(Q846),ROUND(Q846/(1-Settings!$B$2)/Settings!$B$3,0)*Settings!$B$3,"")</f>
        <v/>
      </c>
      <c r="W846" s="14" t="n">
        <v>4842</v>
      </c>
      <c r="X846" s="14" t="n">
        <v>7088</v>
      </c>
      <c r="Y846" s="11" t="inlineStr"/>
      <c r="Z846" s="11" t="inlineStr"/>
      <c r="AA846" s="8" t="inlineStr"/>
      <c r="AB846" s="16" t="inlineStr">
        <is>
          <t>Source formula errors</t>
        </is>
      </c>
      <c r="AC846" s="11" t="inlineStr">
        <is>
          <t>MasterMilitaryOnBaseList 12.2.25 NS.xlsx</t>
        </is>
      </c>
      <c r="AD846" s="11" t="inlineStr">
        <is>
          <t>Knox Updated 2026 Digital Prices.docx</t>
        </is>
      </c>
      <c r="AE846" s="15" t="inlineStr">
        <is>
          <t>Open in Box</t>
        </is>
      </c>
      <c r="AF846" s="15" t="inlineStr">
        <is>
          <t>Open in Box</t>
        </is>
      </c>
    </row>
    <row r="847">
      <c r="A847" s="11" t="inlineStr">
        <is>
          <t>KY-FORTKNOX-005</t>
        </is>
      </c>
      <c r="B847" s="8" t="inlineStr">
        <is>
          <t>Fort Knox</t>
        </is>
      </c>
      <c r="C847" s="11" t="inlineStr"/>
      <c r="D847" s="11" t="inlineStr">
        <is>
          <t>KY</t>
        </is>
      </c>
      <c r="E847" s="11" t="inlineStr">
        <is>
          <t>Louisville</t>
        </is>
      </c>
      <c r="F847" s="11" t="inlineStr">
        <is>
          <t>40121</t>
        </is>
      </c>
      <c r="G847" s="11" t="inlineStr">
        <is>
          <t>Army</t>
        </is>
      </c>
      <c r="H847" s="11" t="inlineStr">
        <is>
          <t>Digital</t>
        </is>
      </c>
      <c r="I847" s="8" t="inlineStr">
        <is>
          <t>Digital Monitor - Bowling Center - Static Ads</t>
        </is>
      </c>
      <c r="J847" s="11" t="inlineStr">
        <is>
          <t>TBD</t>
        </is>
      </c>
      <c r="K847" s="8" t="inlineStr">
        <is>
          <t>Your ad will appear on a network of 32 monitors in approved locations on the installation.</t>
        </is>
      </c>
      <c r="L847" s="11" t="n">
        <v>12</v>
      </c>
      <c r="M847" s="12" t="n"/>
      <c r="N847" s="12" t="n"/>
      <c r="O847" s="12" t="n"/>
      <c r="P847" s="12" t="n">
        <v>1500</v>
      </c>
      <c r="Q847" s="12" t="n"/>
      <c r="R847" s="13">
        <f>IF(ISNUMBER(M847),ROUND(M847/(1-Settings!$B$2)/Settings!$B$3,0)*Settings!$B$3,"")</f>
        <v/>
      </c>
      <c r="S847" s="13">
        <f>IF(ISNUMBER(N847),ROUND(N847/(1-Settings!$B$2)/Settings!$B$3,0)*Settings!$B$3,"")</f>
        <v/>
      </c>
      <c r="T847" s="13">
        <f>IF(ISNUMBER(O847),ROUND(O847/(1-Settings!$B$2)/Settings!$B$3,0)*Settings!$B$3,"")</f>
        <v/>
      </c>
      <c r="U847" s="13">
        <f>IF(ISNUMBER(P847),ROUND(P847/(1-Settings!$B$2)/Settings!$B$3,0)*Settings!$B$3,"")</f>
        <v/>
      </c>
      <c r="V847" s="13">
        <f>IF(ISNUMBER(Q847),ROUND(Q847/(1-Settings!$B$2)/Settings!$B$3,0)*Settings!$B$3,"")</f>
        <v/>
      </c>
      <c r="W847" s="14" t="n">
        <v>4842</v>
      </c>
      <c r="X847" s="14" t="n">
        <v>7088</v>
      </c>
      <c r="Y847" s="11" t="inlineStr"/>
      <c r="Z847" s="11" t="inlineStr"/>
      <c r="AA847" s="8" t="inlineStr">
        <is>
          <t>Inventory master 6/2026 lists Digital Monitor Network at $500 (1 mo)</t>
        </is>
      </c>
      <c r="AB847" s="8" t="inlineStr"/>
      <c r="AC847" s="11" t="inlineStr">
        <is>
          <t>MasterMilitaryOnBaseList 12.2.25 NS.xlsx</t>
        </is>
      </c>
      <c r="AD847" s="11" t="inlineStr">
        <is>
          <t>Knox Updated 2026 Digital Prices.docx</t>
        </is>
      </c>
      <c r="AE847" s="15" t="inlineStr">
        <is>
          <t>Open in Box</t>
        </is>
      </c>
      <c r="AF847" s="15" t="inlineStr">
        <is>
          <t>Open in Box</t>
        </is>
      </c>
    </row>
    <row r="848">
      <c r="A848" s="11" t="inlineStr">
        <is>
          <t>KY-FORTKNOX-006</t>
        </is>
      </c>
      <c r="B848" s="8" t="inlineStr">
        <is>
          <t>Fort Knox</t>
        </is>
      </c>
      <c r="C848" s="11" t="inlineStr"/>
      <c r="D848" s="11" t="inlineStr">
        <is>
          <t>KY</t>
        </is>
      </c>
      <c r="E848" s="11" t="inlineStr">
        <is>
          <t>Louisville</t>
        </is>
      </c>
      <c r="F848" s="11" t="inlineStr">
        <is>
          <t>40121</t>
        </is>
      </c>
      <c r="G848" s="11" t="inlineStr">
        <is>
          <t>Army</t>
        </is>
      </c>
      <c r="H848" s="11" t="inlineStr">
        <is>
          <t>Digital</t>
        </is>
      </c>
      <c r="I848" s="8" t="inlineStr">
        <is>
          <t>Digital Monitor Network - Static Ads</t>
        </is>
      </c>
      <c r="J848" s="11" t="inlineStr">
        <is>
          <t>TBD</t>
        </is>
      </c>
      <c r="K848" s="8" t="inlineStr">
        <is>
          <t>Your ad will appear on 47 digital monitors in approved locations on the installation.</t>
        </is>
      </c>
      <c r="L848" s="11" t="n">
        <v>12</v>
      </c>
      <c r="M848" s="12" t="n"/>
      <c r="N848" s="12" t="n"/>
      <c r="O848" s="12" t="n"/>
      <c r="P848" s="12" t="n">
        <v>3500</v>
      </c>
      <c r="Q848" s="12" t="n">
        <v>0</v>
      </c>
      <c r="R848" s="13">
        <f>IF(ISNUMBER(M848),ROUND(M848/(1-Settings!$B$2)/Settings!$B$3,0)*Settings!$B$3,"")</f>
        <v/>
      </c>
      <c r="S848" s="13">
        <f>IF(ISNUMBER(N848),ROUND(N848/(1-Settings!$B$2)/Settings!$B$3,0)*Settings!$B$3,"")</f>
        <v/>
      </c>
      <c r="T848" s="13">
        <f>IF(ISNUMBER(O848),ROUND(O848/(1-Settings!$B$2)/Settings!$B$3,0)*Settings!$B$3,"")</f>
        <v/>
      </c>
      <c r="U848" s="13">
        <f>IF(ISNUMBER(P848),ROUND(P848/(1-Settings!$B$2)/Settings!$B$3,0)*Settings!$B$3,"")</f>
        <v/>
      </c>
      <c r="V848" s="13">
        <f>IF(ISNUMBER(Q848),ROUND(Q848/(1-Settings!$B$2)/Settings!$B$3,0)*Settings!$B$3,"")</f>
        <v/>
      </c>
      <c r="W848" s="14" t="n">
        <v>4842</v>
      </c>
      <c r="X848" s="14" t="n">
        <v>7088</v>
      </c>
      <c r="Y848" s="11" t="inlineStr"/>
      <c r="Z848" s="11" t="inlineStr"/>
      <c r="AA848" s="8" t="inlineStr">
        <is>
          <t>Inventory master 6/2026 lists Digital Monitor Network at $500 (1 mo)</t>
        </is>
      </c>
      <c r="AB848" s="8" t="inlineStr"/>
      <c r="AC848" s="11" t="inlineStr">
        <is>
          <t>MasterMilitaryOnBaseList 12.2.25 NS.xlsx</t>
        </is>
      </c>
      <c r="AD848" s="11" t="inlineStr">
        <is>
          <t>Knox Updated 2026 Digital Prices.docx</t>
        </is>
      </c>
      <c r="AE848" s="15" t="inlineStr">
        <is>
          <t>Open in Box</t>
        </is>
      </c>
      <c r="AF848" s="15" t="inlineStr">
        <is>
          <t>Open in Box</t>
        </is>
      </c>
    </row>
    <row r="849">
      <c r="A849" s="11" t="inlineStr">
        <is>
          <t>KY-FORTKNOX-007</t>
        </is>
      </c>
      <c r="B849" s="8" t="inlineStr">
        <is>
          <t>Fort Knox</t>
        </is>
      </c>
      <c r="C849" s="11" t="inlineStr"/>
      <c r="D849" s="11" t="inlineStr">
        <is>
          <t>KY</t>
        </is>
      </c>
      <c r="E849" s="11" t="inlineStr">
        <is>
          <t>Louisville</t>
        </is>
      </c>
      <c r="F849" s="11" t="inlineStr">
        <is>
          <t>40121</t>
        </is>
      </c>
      <c r="G849" s="11" t="inlineStr">
        <is>
          <t>Army</t>
        </is>
      </c>
      <c r="H849" s="11" t="inlineStr">
        <is>
          <t>Digital</t>
        </is>
      </c>
      <c r="I849" s="8" t="inlineStr">
        <is>
          <t>Digital Monitor Static Ads Package</t>
        </is>
      </c>
      <c r="J849" s="11" t="inlineStr">
        <is>
          <t>TBD</t>
        </is>
      </c>
      <c r="K849" s="8" t="inlineStr">
        <is>
          <t>Your ad will appear on a network of 72 monitors in approved locations on the installation.</t>
        </is>
      </c>
      <c r="L849" s="11" t="n">
        <v>12</v>
      </c>
      <c r="M849" s="12" t="n"/>
      <c r="N849" s="12" t="n"/>
      <c r="O849" s="12" t="n"/>
      <c r="P849" s="12" t="n">
        <v>6000</v>
      </c>
      <c r="Q849" s="12" t="n">
        <v>0</v>
      </c>
      <c r="R849" s="13">
        <f>IF(ISNUMBER(M849),ROUND(M849/(1-Settings!$B$2)/Settings!$B$3,0)*Settings!$B$3,"")</f>
        <v/>
      </c>
      <c r="S849" s="13">
        <f>IF(ISNUMBER(N849),ROUND(N849/(1-Settings!$B$2)/Settings!$B$3,0)*Settings!$B$3,"")</f>
        <v/>
      </c>
      <c r="T849" s="13">
        <f>IF(ISNUMBER(O849),ROUND(O849/(1-Settings!$B$2)/Settings!$B$3,0)*Settings!$B$3,"")</f>
        <v/>
      </c>
      <c r="U849" s="13">
        <f>IF(ISNUMBER(P849),ROUND(P849/(1-Settings!$B$2)/Settings!$B$3,0)*Settings!$B$3,"")</f>
        <v/>
      </c>
      <c r="V849" s="13">
        <f>IF(ISNUMBER(Q849),ROUND(Q849/(1-Settings!$B$2)/Settings!$B$3,0)*Settings!$B$3,"")</f>
        <v/>
      </c>
      <c r="W849" s="14" t="n">
        <v>4842</v>
      </c>
      <c r="X849" s="14" t="n">
        <v>7088</v>
      </c>
      <c r="Y849" s="11" t="inlineStr"/>
      <c r="Z849" s="11" t="inlineStr"/>
      <c r="AA849" s="8" t="inlineStr">
        <is>
          <t>Inventory master 6/2026 lists Digital Monitor Network at $500 (1 mo)</t>
        </is>
      </c>
      <c r="AB849" s="8" t="inlineStr"/>
      <c r="AC849" s="11" t="inlineStr">
        <is>
          <t>MasterMilitaryOnBaseList 12.2.25 NS.xlsx</t>
        </is>
      </c>
      <c r="AD849" s="11" t="inlineStr">
        <is>
          <t>Knox Updated 2026 Digital Prices.docx</t>
        </is>
      </c>
      <c r="AE849" s="15" t="inlineStr">
        <is>
          <t>Open in Box</t>
        </is>
      </c>
      <c r="AF849" s="15" t="inlineStr">
        <is>
          <t>Open in Box</t>
        </is>
      </c>
    </row>
    <row r="850">
      <c r="A850" s="11" t="inlineStr">
        <is>
          <t>KY-FORTKNOX-008</t>
        </is>
      </c>
      <c r="B850" s="8" t="inlineStr">
        <is>
          <t>Fort Knox</t>
        </is>
      </c>
      <c r="C850" s="11" t="inlineStr"/>
      <c r="D850" s="11" t="inlineStr">
        <is>
          <t>KY</t>
        </is>
      </c>
      <c r="E850" s="11" t="inlineStr">
        <is>
          <t>Louisville</t>
        </is>
      </c>
      <c r="F850" s="11" t="inlineStr">
        <is>
          <t>40121</t>
        </is>
      </c>
      <c r="G850" s="11" t="inlineStr">
        <is>
          <t>Army</t>
        </is>
      </c>
      <c r="H850" s="11" t="inlineStr">
        <is>
          <t>Digital</t>
        </is>
      </c>
      <c r="I850" s="8" t="inlineStr">
        <is>
          <t>JumboTron - Static Ads</t>
        </is>
      </c>
      <c r="J850" s="11" t="inlineStr">
        <is>
          <t>TBD</t>
        </is>
      </c>
      <c r="K850" s="8" t="inlineStr">
        <is>
          <t>Your ad will appear on the big screen LED monitors located at approved locations on the installation.</t>
        </is>
      </c>
      <c r="L850" s="11" t="n">
        <v>12</v>
      </c>
      <c r="M850" s="12" t="n"/>
      <c r="N850" s="12" t="n"/>
      <c r="O850" s="12" t="n"/>
      <c r="P850" s="12" t="n">
        <v>3500</v>
      </c>
      <c r="Q850" s="12" t="n">
        <v>0</v>
      </c>
      <c r="R850" s="13">
        <f>IF(ISNUMBER(M850),ROUND(M850/(1-Settings!$B$2)/Settings!$B$3,0)*Settings!$B$3,"")</f>
        <v/>
      </c>
      <c r="S850" s="13">
        <f>IF(ISNUMBER(N850),ROUND(N850/(1-Settings!$B$2)/Settings!$B$3,0)*Settings!$B$3,"")</f>
        <v/>
      </c>
      <c r="T850" s="13">
        <f>IF(ISNUMBER(O850),ROUND(O850/(1-Settings!$B$2)/Settings!$B$3,0)*Settings!$B$3,"")</f>
        <v/>
      </c>
      <c r="U850" s="13">
        <f>IF(ISNUMBER(P850),ROUND(P850/(1-Settings!$B$2)/Settings!$B$3,0)*Settings!$B$3,"")</f>
        <v/>
      </c>
      <c r="V850" s="13">
        <f>IF(ISNUMBER(Q850),ROUND(Q850/(1-Settings!$B$2)/Settings!$B$3,0)*Settings!$B$3,"")</f>
        <v/>
      </c>
      <c r="W850" s="14" t="n">
        <v>4842</v>
      </c>
      <c r="X850" s="14" t="n">
        <v>7088</v>
      </c>
      <c r="Y850" s="11" t="inlineStr"/>
      <c r="Z850" s="11" t="inlineStr"/>
      <c r="AA850" s="8" t="inlineStr"/>
      <c r="AB850" s="8" t="inlineStr"/>
      <c r="AC850" s="11" t="inlineStr">
        <is>
          <t>MasterMilitaryOnBaseList 12.2.25 NS.xlsx</t>
        </is>
      </c>
      <c r="AD850" s="11" t="inlineStr">
        <is>
          <t>Knox Updated 2026 Digital Prices.docx</t>
        </is>
      </c>
      <c r="AE850" s="15" t="inlineStr">
        <is>
          <t>Open in Box</t>
        </is>
      </c>
      <c r="AF850" s="15" t="inlineStr">
        <is>
          <t>Open in Box</t>
        </is>
      </c>
    </row>
    <row r="851">
      <c r="A851" s="11" t="inlineStr">
        <is>
          <t>KY-FORTKNOX-009</t>
        </is>
      </c>
      <c r="B851" s="8" t="inlineStr">
        <is>
          <t>Fort Knox</t>
        </is>
      </c>
      <c r="C851" s="11" t="inlineStr"/>
      <c r="D851" s="11" t="inlineStr">
        <is>
          <t>KY</t>
        </is>
      </c>
      <c r="E851" s="11" t="inlineStr">
        <is>
          <t>Louisville</t>
        </is>
      </c>
      <c r="F851" s="11" t="inlineStr">
        <is>
          <t>40121</t>
        </is>
      </c>
      <c r="G851" s="11" t="inlineStr">
        <is>
          <t>Army</t>
        </is>
      </c>
      <c r="H851" s="11" t="inlineStr">
        <is>
          <t>Digital</t>
        </is>
      </c>
      <c r="I851" s="8" t="inlineStr">
        <is>
          <t>Scoreboard Ad - Caruso Youth Sports Complex</t>
        </is>
      </c>
      <c r="J851" s="11" t="inlineStr">
        <is>
          <t>32' x 18'</t>
        </is>
      </c>
      <c r="K851" s="8" t="inlineStr">
        <is>
          <t>Your ad will appear on the Caruso Youth Sports Complex Scoreboard.</t>
        </is>
      </c>
      <c r="L851" s="11" t="n">
        <v>12</v>
      </c>
      <c r="M851" s="12" t="n"/>
      <c r="N851" s="12" t="n"/>
      <c r="O851" s="12" t="n"/>
      <c r="P851" s="12" t="n">
        <v>2500</v>
      </c>
      <c r="Q851" s="12" t="n">
        <v>200</v>
      </c>
      <c r="R851" s="13">
        <f>IF(ISNUMBER(M851),ROUND(M851/(1-Settings!$B$2)/Settings!$B$3,0)*Settings!$B$3,"")</f>
        <v/>
      </c>
      <c r="S851" s="13">
        <f>IF(ISNUMBER(N851),ROUND(N851/(1-Settings!$B$2)/Settings!$B$3,0)*Settings!$B$3,"")</f>
        <v/>
      </c>
      <c r="T851" s="13">
        <f>IF(ISNUMBER(O851),ROUND(O851/(1-Settings!$B$2)/Settings!$B$3,0)*Settings!$B$3,"")</f>
        <v/>
      </c>
      <c r="U851" s="13">
        <f>IF(ISNUMBER(P851),ROUND(P851/(1-Settings!$B$2)/Settings!$B$3,0)*Settings!$B$3,"")</f>
        <v/>
      </c>
      <c r="V851" s="13">
        <f>IF(ISNUMBER(Q851),ROUND(Q851/(1-Settings!$B$2)/Settings!$B$3,0)*Settings!$B$3,"")</f>
        <v/>
      </c>
      <c r="W851" s="14" t="n">
        <v>4842</v>
      </c>
      <c r="X851" s="14" t="n">
        <v>7088</v>
      </c>
      <c r="Y851" s="11" t="inlineStr"/>
      <c r="Z851" s="11" t="inlineStr"/>
      <c r="AA851" s="8" t="inlineStr"/>
      <c r="AB851" s="8" t="inlineStr"/>
      <c r="AC851" s="11" t="inlineStr">
        <is>
          <t>MasterMilitaryOnBaseList 12.2.25 NS.xlsx</t>
        </is>
      </c>
      <c r="AD851" s="11" t="inlineStr">
        <is>
          <t>Knox Updated 2026 Digital Prices.docx</t>
        </is>
      </c>
      <c r="AE851" s="15" t="inlineStr">
        <is>
          <t>Open in Box</t>
        </is>
      </c>
      <c r="AF851" s="15" t="inlineStr">
        <is>
          <t>Open in Box</t>
        </is>
      </c>
    </row>
    <row r="852">
      <c r="A852" s="11" t="inlineStr">
        <is>
          <t>KY-FORTKNOX-022</t>
        </is>
      </c>
      <c r="B852" s="8" t="inlineStr">
        <is>
          <t>Fort Knox</t>
        </is>
      </c>
      <c r="C852" s="11" t="inlineStr"/>
      <c r="D852" s="11" t="inlineStr">
        <is>
          <t>KY</t>
        </is>
      </c>
      <c r="E852" s="11" t="inlineStr">
        <is>
          <t>Louisville</t>
        </is>
      </c>
      <c r="F852" s="11" t="inlineStr">
        <is>
          <t>40121</t>
        </is>
      </c>
      <c r="G852" s="11" t="inlineStr">
        <is>
          <t>Army</t>
        </is>
      </c>
      <c r="H852" s="11" t="inlineStr">
        <is>
          <t>Large Format</t>
        </is>
      </c>
      <c r="I852" s="8" t="inlineStr">
        <is>
          <t>Banner - Kilianski Intramural Complex</t>
        </is>
      </c>
      <c r="J852" s="11" t="inlineStr">
        <is>
          <t>TBD</t>
        </is>
      </c>
      <c r="K852" s="8" t="inlineStr">
        <is>
          <t>Your ad will appear on the Kilianski Intramural Sports Complex.</t>
        </is>
      </c>
      <c r="L852" s="11" t="n">
        <v>12</v>
      </c>
      <c r="M852" s="12" t="n"/>
      <c r="N852" s="12" t="n"/>
      <c r="O852" s="12" t="n"/>
      <c r="P852" s="12" t="n">
        <v>500</v>
      </c>
      <c r="Q852" s="12" t="n">
        <v>200</v>
      </c>
      <c r="R852" s="13">
        <f>IF(ISNUMBER(M852),ROUND(M852/(1-Settings!$B$2)/Settings!$B$3,0)*Settings!$B$3,"")</f>
        <v/>
      </c>
      <c r="S852" s="13">
        <f>IF(ISNUMBER(N852),ROUND(N852/(1-Settings!$B$2)/Settings!$B$3,0)*Settings!$B$3,"")</f>
        <v/>
      </c>
      <c r="T852" s="13">
        <f>IF(ISNUMBER(O852),ROUND(O852/(1-Settings!$B$2)/Settings!$B$3,0)*Settings!$B$3,"")</f>
        <v/>
      </c>
      <c r="U852" s="13">
        <f>IF(ISNUMBER(P852),ROUND(P852/(1-Settings!$B$2)/Settings!$B$3,0)*Settings!$B$3,"")</f>
        <v/>
      </c>
      <c r="V852" s="13">
        <f>IF(ISNUMBER(Q852),ROUND(Q852/(1-Settings!$B$2)/Settings!$B$3,0)*Settings!$B$3,"")</f>
        <v/>
      </c>
      <c r="W852" s="14" t="n">
        <v>4842</v>
      </c>
      <c r="X852" s="14" t="n">
        <v>7088</v>
      </c>
      <c r="Y852" s="11" t="inlineStr"/>
      <c r="Z852" s="11" t="inlineStr"/>
      <c r="AA852" s="8" t="inlineStr"/>
      <c r="AB852" s="8" t="inlineStr"/>
      <c r="AC852" s="11" t="inlineStr">
        <is>
          <t>MasterMilitaryOnBaseList 12.2.25 NS.xlsx</t>
        </is>
      </c>
      <c r="AD852" s="11" t="inlineStr">
        <is>
          <t>Knox Updated 2026 Digital Prices.docx</t>
        </is>
      </c>
      <c r="AE852" s="15" t="inlineStr">
        <is>
          <t>Open in Box</t>
        </is>
      </c>
      <c r="AF852" s="15" t="inlineStr">
        <is>
          <t>Open in Box</t>
        </is>
      </c>
    </row>
    <row r="853">
      <c r="A853" s="11" t="inlineStr">
        <is>
          <t>KY-FORTKNOX-023</t>
        </is>
      </c>
      <c r="B853" s="8" t="inlineStr">
        <is>
          <t>Fort Knox</t>
        </is>
      </c>
      <c r="C853" s="11" t="inlineStr"/>
      <c r="D853" s="11" t="inlineStr">
        <is>
          <t>KY</t>
        </is>
      </c>
      <c r="E853" s="11" t="inlineStr">
        <is>
          <t>Louisville</t>
        </is>
      </c>
      <c r="F853" s="11" t="inlineStr">
        <is>
          <t>40121</t>
        </is>
      </c>
      <c r="G853" s="11" t="inlineStr">
        <is>
          <t>Army</t>
        </is>
      </c>
      <c r="H853" s="11" t="inlineStr">
        <is>
          <t>Large Format</t>
        </is>
      </c>
      <c r="I853" s="8" t="inlineStr">
        <is>
          <t>Billboard</t>
        </is>
      </c>
      <c r="J853" s="11" t="inlineStr">
        <is>
          <t>15.5' H x 45'W</t>
        </is>
      </c>
      <c r="K853" s="8" t="inlineStr">
        <is>
          <t>Your ad will appear on an approved billboard.</t>
        </is>
      </c>
      <c r="L853" s="11" t="n">
        <v>12</v>
      </c>
      <c r="M853" s="12" t="n"/>
      <c r="N853" s="12" t="n"/>
      <c r="O853" s="12" t="n"/>
      <c r="P853" s="12" t="n">
        <v>10000</v>
      </c>
      <c r="Q853" s="12" t="n"/>
      <c r="R853" s="13">
        <f>IF(ISNUMBER(M853),ROUND(M853/(1-Settings!$B$2)/Settings!$B$3,0)*Settings!$B$3,"")</f>
        <v/>
      </c>
      <c r="S853" s="13">
        <f>IF(ISNUMBER(N853),ROUND(N853/(1-Settings!$B$2)/Settings!$B$3,0)*Settings!$B$3,"")</f>
        <v/>
      </c>
      <c r="T853" s="13">
        <f>IF(ISNUMBER(O853),ROUND(O853/(1-Settings!$B$2)/Settings!$B$3,0)*Settings!$B$3,"")</f>
        <v/>
      </c>
      <c r="U853" s="13">
        <f>IF(ISNUMBER(P853),ROUND(P853/(1-Settings!$B$2)/Settings!$B$3,0)*Settings!$B$3,"")</f>
        <v/>
      </c>
      <c r="V853" s="13">
        <f>IF(ISNUMBER(Q853),ROUND(Q853/(1-Settings!$B$2)/Settings!$B$3,0)*Settings!$B$3,"")</f>
        <v/>
      </c>
      <c r="W853" s="14" t="n">
        <v>4842</v>
      </c>
      <c r="X853" s="14" t="n">
        <v>7088</v>
      </c>
      <c r="Y853" s="11" t="inlineStr"/>
      <c r="Z853" s="11" t="inlineStr"/>
      <c r="AA853" s="8" t="inlineStr"/>
      <c r="AB853" s="16" t="inlineStr">
        <is>
          <t>Source formula errors</t>
        </is>
      </c>
      <c r="AC853" s="11" t="inlineStr">
        <is>
          <t>MasterMilitaryOnBaseList 12.2.25 NS.xlsx</t>
        </is>
      </c>
      <c r="AD853" s="11" t="inlineStr">
        <is>
          <t>Knox Updated 2026 Digital Prices.docx</t>
        </is>
      </c>
      <c r="AE853" s="15" t="inlineStr">
        <is>
          <t>Open in Box</t>
        </is>
      </c>
      <c r="AF853" s="15" t="inlineStr">
        <is>
          <t>Open in Box</t>
        </is>
      </c>
    </row>
    <row r="854">
      <c r="A854" s="11" t="inlineStr">
        <is>
          <t>KY-FORTKNOX-024</t>
        </is>
      </c>
      <c r="B854" s="8" t="inlineStr">
        <is>
          <t>Fort Knox</t>
        </is>
      </c>
      <c r="C854" s="11" t="inlineStr"/>
      <c r="D854" s="11" t="inlineStr">
        <is>
          <t>KY</t>
        </is>
      </c>
      <c r="E854" s="11" t="inlineStr">
        <is>
          <t>Louisville</t>
        </is>
      </c>
      <c r="F854" s="11" t="inlineStr">
        <is>
          <t>40121</t>
        </is>
      </c>
      <c r="G854" s="11" t="inlineStr">
        <is>
          <t>Army</t>
        </is>
      </c>
      <c r="H854" s="11" t="inlineStr">
        <is>
          <t>Large Format</t>
        </is>
      </c>
      <c r="I854" s="8" t="inlineStr">
        <is>
          <t>Golf Course Billboard</t>
        </is>
      </c>
      <c r="J854" s="11" t="inlineStr">
        <is>
          <t>15.5' x 45'</t>
        </is>
      </c>
      <c r="K854" s="8" t="inlineStr">
        <is>
          <t>Your ad will appear on an approved billboard on the Lindsey Golf Course on the installation.</t>
        </is>
      </c>
      <c r="L854" s="11" t="n">
        <v>12</v>
      </c>
      <c r="M854" s="12" t="n"/>
      <c r="N854" s="12" t="n"/>
      <c r="O854" s="12" t="n"/>
      <c r="P854" s="12" t="n">
        <v>10000</v>
      </c>
      <c r="Q854" s="12" t="n"/>
      <c r="R854" s="13">
        <f>IF(ISNUMBER(M854),ROUND(M854/(1-Settings!$B$2)/Settings!$B$3,0)*Settings!$B$3,"")</f>
        <v/>
      </c>
      <c r="S854" s="13">
        <f>IF(ISNUMBER(N854),ROUND(N854/(1-Settings!$B$2)/Settings!$B$3,0)*Settings!$B$3,"")</f>
        <v/>
      </c>
      <c r="T854" s="13">
        <f>IF(ISNUMBER(O854),ROUND(O854/(1-Settings!$B$2)/Settings!$B$3,0)*Settings!$B$3,"")</f>
        <v/>
      </c>
      <c r="U854" s="13">
        <f>IF(ISNUMBER(P854),ROUND(P854/(1-Settings!$B$2)/Settings!$B$3,0)*Settings!$B$3,"")</f>
        <v/>
      </c>
      <c r="V854" s="13">
        <f>IF(ISNUMBER(Q854),ROUND(Q854/(1-Settings!$B$2)/Settings!$B$3,0)*Settings!$B$3,"")</f>
        <v/>
      </c>
      <c r="W854" s="14" t="n">
        <v>4842</v>
      </c>
      <c r="X854" s="14" t="n">
        <v>7088</v>
      </c>
      <c r="Y854" s="11" t="inlineStr"/>
      <c r="Z854" s="11" t="inlineStr"/>
      <c r="AA854" s="8" t="inlineStr"/>
      <c r="AB854" s="8" t="inlineStr"/>
      <c r="AC854" s="11" t="inlineStr">
        <is>
          <t>MasterMilitaryOnBaseList 12.2.25 NS.xlsx</t>
        </is>
      </c>
      <c r="AD854" s="11" t="inlineStr">
        <is>
          <t>Knox Updated 2026 Digital Prices.docx</t>
        </is>
      </c>
      <c r="AE854" s="15" t="inlineStr">
        <is>
          <t>Open in Box</t>
        </is>
      </c>
      <c r="AF854" s="15" t="inlineStr">
        <is>
          <t>Open in Box</t>
        </is>
      </c>
    </row>
    <row r="855">
      <c r="A855" s="11" t="inlineStr">
        <is>
          <t>KY-FORTKNOX-025</t>
        </is>
      </c>
      <c r="B855" s="8" t="inlineStr">
        <is>
          <t>Fort Knox</t>
        </is>
      </c>
      <c r="C855" s="11" t="inlineStr"/>
      <c r="D855" s="11" t="inlineStr">
        <is>
          <t>KY</t>
        </is>
      </c>
      <c r="E855" s="11" t="inlineStr">
        <is>
          <t>Louisville</t>
        </is>
      </c>
      <c r="F855" s="11" t="inlineStr">
        <is>
          <t>40121</t>
        </is>
      </c>
      <c r="G855" s="11" t="inlineStr">
        <is>
          <t>Army</t>
        </is>
      </c>
      <c r="H855" s="11" t="inlineStr">
        <is>
          <t>Large Format</t>
        </is>
      </c>
      <c r="I855" s="8" t="inlineStr">
        <is>
          <t>Marketing Van Wrap</t>
        </is>
      </c>
      <c r="J855" s="11" t="inlineStr">
        <is>
          <t>TBD</t>
        </is>
      </c>
      <c r="K855" s="8" t="inlineStr">
        <is>
          <t>Your ad will appear on an approved van.</t>
        </is>
      </c>
      <c r="L855" s="11" t="n">
        <v>12</v>
      </c>
      <c r="M855" s="12" t="n"/>
      <c r="N855" s="12" t="n"/>
      <c r="O855" s="12" t="n"/>
      <c r="P855" s="12" t="n">
        <v>10000</v>
      </c>
      <c r="Q855" s="12" t="n"/>
      <c r="R855" s="13">
        <f>IF(ISNUMBER(M855),ROUND(M855/(1-Settings!$B$2)/Settings!$B$3,0)*Settings!$B$3,"")</f>
        <v/>
      </c>
      <c r="S855" s="13">
        <f>IF(ISNUMBER(N855),ROUND(N855/(1-Settings!$B$2)/Settings!$B$3,0)*Settings!$B$3,"")</f>
        <v/>
      </c>
      <c r="T855" s="13">
        <f>IF(ISNUMBER(O855),ROUND(O855/(1-Settings!$B$2)/Settings!$B$3,0)*Settings!$B$3,"")</f>
        <v/>
      </c>
      <c r="U855" s="13">
        <f>IF(ISNUMBER(P855),ROUND(P855/(1-Settings!$B$2)/Settings!$B$3,0)*Settings!$B$3,"")</f>
        <v/>
      </c>
      <c r="V855" s="13">
        <f>IF(ISNUMBER(Q855),ROUND(Q855/(1-Settings!$B$2)/Settings!$B$3,0)*Settings!$B$3,"")</f>
        <v/>
      </c>
      <c r="W855" s="14" t="n">
        <v>4842</v>
      </c>
      <c r="X855" s="14" t="n">
        <v>7088</v>
      </c>
      <c r="Y855" s="11" t="inlineStr"/>
      <c r="Z855" s="11" t="inlineStr"/>
      <c r="AA855" s="8" t="inlineStr"/>
      <c r="AB855" s="16" t="inlineStr">
        <is>
          <t>Source formula errors</t>
        </is>
      </c>
      <c r="AC855" s="11" t="inlineStr">
        <is>
          <t>MasterMilitaryOnBaseList 12.2.25 NS.xlsx</t>
        </is>
      </c>
      <c r="AD855" s="11" t="inlineStr">
        <is>
          <t>Knox Updated 2026 Digital Prices.docx</t>
        </is>
      </c>
      <c r="AE855" s="15" t="inlineStr">
        <is>
          <t>Open in Box</t>
        </is>
      </c>
      <c r="AF855" s="15" t="inlineStr">
        <is>
          <t>Open in Box</t>
        </is>
      </c>
    </row>
    <row r="856">
      <c r="A856" s="11" t="inlineStr">
        <is>
          <t>KY-FORTKNOX-026</t>
        </is>
      </c>
      <c r="B856" s="8" t="inlineStr">
        <is>
          <t>Fort Knox</t>
        </is>
      </c>
      <c r="C856" s="11" t="inlineStr"/>
      <c r="D856" s="11" t="inlineStr">
        <is>
          <t>KY</t>
        </is>
      </c>
      <c r="E856" s="11" t="inlineStr">
        <is>
          <t>Louisville</t>
        </is>
      </c>
      <c r="F856" s="11" t="inlineStr">
        <is>
          <t>40121</t>
        </is>
      </c>
      <c r="G856" s="11" t="inlineStr">
        <is>
          <t>Army</t>
        </is>
      </c>
      <c r="H856" s="11" t="inlineStr">
        <is>
          <t>Large Format</t>
        </is>
      </c>
      <c r="I856" s="8" t="inlineStr">
        <is>
          <t>Van Wrap</t>
        </is>
      </c>
      <c r="J856" s="11" t="inlineStr">
        <is>
          <t>TBD</t>
        </is>
      </c>
      <c r="K856" s="8" t="inlineStr">
        <is>
          <t>Your ad will appear on a 16 passenger van driven throughout the installation.</t>
        </is>
      </c>
      <c r="L856" s="11" t="n">
        <v>12</v>
      </c>
      <c r="M856" s="12" t="n"/>
      <c r="N856" s="12" t="n"/>
      <c r="O856" s="12" t="n"/>
      <c r="P856" s="12" t="n">
        <v>10000</v>
      </c>
      <c r="Q856" s="12" t="n"/>
      <c r="R856" s="13">
        <f>IF(ISNUMBER(M856),ROUND(M856/(1-Settings!$B$2)/Settings!$B$3,0)*Settings!$B$3,"")</f>
        <v/>
      </c>
      <c r="S856" s="13">
        <f>IF(ISNUMBER(N856),ROUND(N856/(1-Settings!$B$2)/Settings!$B$3,0)*Settings!$B$3,"")</f>
        <v/>
      </c>
      <c r="T856" s="13">
        <f>IF(ISNUMBER(O856),ROUND(O856/(1-Settings!$B$2)/Settings!$B$3,0)*Settings!$B$3,"")</f>
        <v/>
      </c>
      <c r="U856" s="13">
        <f>IF(ISNUMBER(P856),ROUND(P856/(1-Settings!$B$2)/Settings!$B$3,0)*Settings!$B$3,"")</f>
        <v/>
      </c>
      <c r="V856" s="13">
        <f>IF(ISNUMBER(Q856),ROUND(Q856/(1-Settings!$B$2)/Settings!$B$3,0)*Settings!$B$3,"")</f>
        <v/>
      </c>
      <c r="W856" s="14" t="n">
        <v>4842</v>
      </c>
      <c r="X856" s="14" t="n">
        <v>7088</v>
      </c>
      <c r="Y856" s="11" t="inlineStr"/>
      <c r="Z856" s="11" t="inlineStr"/>
      <c r="AA856" s="8" t="inlineStr"/>
      <c r="AB856" s="8" t="inlineStr"/>
      <c r="AC856" s="11" t="inlineStr">
        <is>
          <t>MasterMilitaryOnBaseList 12.2.25 NS.xlsx</t>
        </is>
      </c>
      <c r="AD856" s="11" t="inlineStr">
        <is>
          <t>Knox Updated 2026 Digital Prices.docx</t>
        </is>
      </c>
      <c r="AE856" s="15" t="inlineStr">
        <is>
          <t>Open in Box</t>
        </is>
      </c>
      <c r="AF856" s="15" t="inlineStr">
        <is>
          <t>Open in Box</t>
        </is>
      </c>
    </row>
    <row r="857">
      <c r="A857" s="11" t="inlineStr">
        <is>
          <t>KY-FORTKNOX-027</t>
        </is>
      </c>
      <c r="B857" s="8" t="inlineStr">
        <is>
          <t>Fort Knox</t>
        </is>
      </c>
      <c r="C857" s="11" t="inlineStr"/>
      <c r="D857" s="11" t="inlineStr">
        <is>
          <t>KY</t>
        </is>
      </c>
      <c r="E857" s="11" t="inlineStr">
        <is>
          <t>Louisville</t>
        </is>
      </c>
      <c r="F857" s="11" t="inlineStr">
        <is>
          <t>40121</t>
        </is>
      </c>
      <c r="G857" s="11" t="inlineStr">
        <is>
          <t>Army</t>
        </is>
      </c>
      <c r="H857" s="11" t="inlineStr">
        <is>
          <t>Large Format</t>
        </is>
      </c>
      <c r="I857" s="8" t="inlineStr">
        <is>
          <t>Wall Decal</t>
        </is>
      </c>
      <c r="J857" s="11" t="inlineStr">
        <is>
          <t>50 sq ft</t>
        </is>
      </c>
      <c r="K857" s="8" t="inlineStr">
        <is>
          <t>Your ad will appear at an approved installation facility.</t>
        </is>
      </c>
      <c r="L857" s="11" t="n">
        <v>12</v>
      </c>
      <c r="M857" s="12" t="n"/>
      <c r="N857" s="12" t="n"/>
      <c r="O857" s="12" t="n"/>
      <c r="P857" s="12" t="n">
        <v>1000</v>
      </c>
      <c r="Q857" s="12" t="n"/>
      <c r="R857" s="13">
        <f>IF(ISNUMBER(M857),ROUND(M857/(1-Settings!$B$2)/Settings!$B$3,0)*Settings!$B$3,"")</f>
        <v/>
      </c>
      <c r="S857" s="13">
        <f>IF(ISNUMBER(N857),ROUND(N857/(1-Settings!$B$2)/Settings!$B$3,0)*Settings!$B$3,"")</f>
        <v/>
      </c>
      <c r="T857" s="13">
        <f>IF(ISNUMBER(O857),ROUND(O857/(1-Settings!$B$2)/Settings!$B$3,0)*Settings!$B$3,"")</f>
        <v/>
      </c>
      <c r="U857" s="13">
        <f>IF(ISNUMBER(P857),ROUND(P857/(1-Settings!$B$2)/Settings!$B$3,0)*Settings!$B$3,"")</f>
        <v/>
      </c>
      <c r="V857" s="13">
        <f>IF(ISNUMBER(Q857),ROUND(Q857/(1-Settings!$B$2)/Settings!$B$3,0)*Settings!$B$3,"")</f>
        <v/>
      </c>
      <c r="W857" s="14" t="n">
        <v>4842</v>
      </c>
      <c r="X857" s="14" t="n">
        <v>7088</v>
      </c>
      <c r="Y857" s="11" t="inlineStr"/>
      <c r="Z857" s="11" t="inlineStr"/>
      <c r="AA857" s="8" t="inlineStr"/>
      <c r="AB857" s="16" t="inlineStr">
        <is>
          <t>Source formula errors</t>
        </is>
      </c>
      <c r="AC857" s="11" t="inlineStr">
        <is>
          <t>MasterMilitaryOnBaseList 12.2.25 NS.xlsx</t>
        </is>
      </c>
      <c r="AD857" s="11" t="inlineStr">
        <is>
          <t>Knox Updated 2026 Digital Prices.docx</t>
        </is>
      </c>
      <c r="AE857" s="15" t="inlineStr">
        <is>
          <t>Open in Box</t>
        </is>
      </c>
      <c r="AF857" s="15" t="inlineStr">
        <is>
          <t>Open in Box</t>
        </is>
      </c>
    </row>
    <row r="858">
      <c r="A858" s="11" t="inlineStr">
        <is>
          <t>KY-FORTKNOX-028</t>
        </is>
      </c>
      <c r="B858" s="8" t="inlineStr">
        <is>
          <t>Fort Knox</t>
        </is>
      </c>
      <c r="C858" s="11" t="inlineStr"/>
      <c r="D858" s="11" t="inlineStr">
        <is>
          <t>KY</t>
        </is>
      </c>
      <c r="E858" s="11" t="inlineStr">
        <is>
          <t>Louisville</t>
        </is>
      </c>
      <c r="F858" s="11" t="inlineStr">
        <is>
          <t>40121</t>
        </is>
      </c>
      <c r="G858" s="11" t="inlineStr">
        <is>
          <t>Army</t>
        </is>
      </c>
      <c r="H858" s="11" t="inlineStr">
        <is>
          <t>Large Format</t>
        </is>
      </c>
      <c r="I858" s="8" t="inlineStr">
        <is>
          <t>Wall Vinyl Decal - Big</t>
        </is>
      </c>
      <c r="J858" s="11" t="inlineStr">
        <is>
          <t>50 sq. ft.</t>
        </is>
      </c>
      <c r="K858" s="8" t="inlineStr">
        <is>
          <t>Your ad will appear in approved high traffic MWR facilities.</t>
        </is>
      </c>
      <c r="L858" s="11" t="n">
        <v>12</v>
      </c>
      <c r="M858" s="12" t="n"/>
      <c r="N858" s="12" t="n"/>
      <c r="O858" s="12" t="n"/>
      <c r="P858" s="12" t="n">
        <v>1000</v>
      </c>
      <c r="Q858" s="12" t="n"/>
      <c r="R858" s="13">
        <f>IF(ISNUMBER(M858),ROUND(M858/(1-Settings!$B$2)/Settings!$B$3,0)*Settings!$B$3,"")</f>
        <v/>
      </c>
      <c r="S858" s="13">
        <f>IF(ISNUMBER(N858),ROUND(N858/(1-Settings!$B$2)/Settings!$B$3,0)*Settings!$B$3,"")</f>
        <v/>
      </c>
      <c r="T858" s="13">
        <f>IF(ISNUMBER(O858),ROUND(O858/(1-Settings!$B$2)/Settings!$B$3,0)*Settings!$B$3,"")</f>
        <v/>
      </c>
      <c r="U858" s="13">
        <f>IF(ISNUMBER(P858),ROUND(P858/(1-Settings!$B$2)/Settings!$B$3,0)*Settings!$B$3,"")</f>
        <v/>
      </c>
      <c r="V858" s="13">
        <f>IF(ISNUMBER(Q858),ROUND(Q858/(1-Settings!$B$2)/Settings!$B$3,0)*Settings!$B$3,"")</f>
        <v/>
      </c>
      <c r="W858" s="14" t="n">
        <v>4842</v>
      </c>
      <c r="X858" s="14" t="n">
        <v>7088</v>
      </c>
      <c r="Y858" s="11" t="inlineStr"/>
      <c r="Z858" s="11" t="inlineStr"/>
      <c r="AA858" s="8" t="inlineStr"/>
      <c r="AB858" s="8" t="inlineStr"/>
      <c r="AC858" s="11" t="inlineStr">
        <is>
          <t>MasterMilitaryOnBaseList 12.2.25 NS.xlsx</t>
        </is>
      </c>
      <c r="AD858" s="11" t="inlineStr">
        <is>
          <t>Knox Updated 2026 Digital Prices.docx</t>
        </is>
      </c>
      <c r="AE858" s="15" t="inlineStr">
        <is>
          <t>Open in Box</t>
        </is>
      </c>
      <c r="AF858" s="15" t="inlineStr">
        <is>
          <t>Open in Box</t>
        </is>
      </c>
    </row>
    <row r="859">
      <c r="A859" s="11" t="inlineStr">
        <is>
          <t>KY-FORTKNOX-029</t>
        </is>
      </c>
      <c r="B859" s="8" t="inlineStr">
        <is>
          <t>Fort Knox</t>
        </is>
      </c>
      <c r="C859" s="11" t="inlineStr"/>
      <c r="D859" s="11" t="inlineStr">
        <is>
          <t>KY</t>
        </is>
      </c>
      <c r="E859" s="11" t="inlineStr">
        <is>
          <t>Louisville</t>
        </is>
      </c>
      <c r="F859" s="11" t="inlineStr">
        <is>
          <t>40121</t>
        </is>
      </c>
      <c r="G859" s="11" t="inlineStr">
        <is>
          <t>Army</t>
        </is>
      </c>
      <c r="H859" s="11" t="inlineStr">
        <is>
          <t>Large Format</t>
        </is>
      </c>
      <c r="I859" s="8" t="inlineStr">
        <is>
          <t>Wall Vinyl Decal - Small</t>
        </is>
      </c>
      <c r="J859" s="11" t="inlineStr">
        <is>
          <t>25 sq. ft.</t>
        </is>
      </c>
      <c r="K859" s="8" t="inlineStr">
        <is>
          <t>Your ad will appear in an approved high traffic MWR facilities.</t>
        </is>
      </c>
      <c r="L859" s="11" t="n">
        <v>12</v>
      </c>
      <c r="M859" s="12" t="n"/>
      <c r="N859" s="12" t="n"/>
      <c r="O859" s="12" t="n"/>
      <c r="P859" s="12" t="n">
        <v>500</v>
      </c>
      <c r="Q859" s="12" t="n"/>
      <c r="R859" s="13">
        <f>IF(ISNUMBER(M859),ROUND(M859/(1-Settings!$B$2)/Settings!$B$3,0)*Settings!$B$3,"")</f>
        <v/>
      </c>
      <c r="S859" s="13">
        <f>IF(ISNUMBER(N859),ROUND(N859/(1-Settings!$B$2)/Settings!$B$3,0)*Settings!$B$3,"")</f>
        <v/>
      </c>
      <c r="T859" s="13">
        <f>IF(ISNUMBER(O859),ROUND(O859/(1-Settings!$B$2)/Settings!$B$3,0)*Settings!$B$3,"")</f>
        <v/>
      </c>
      <c r="U859" s="13">
        <f>IF(ISNUMBER(P859),ROUND(P859/(1-Settings!$B$2)/Settings!$B$3,0)*Settings!$B$3,"")</f>
        <v/>
      </c>
      <c r="V859" s="13">
        <f>IF(ISNUMBER(Q859),ROUND(Q859/(1-Settings!$B$2)/Settings!$B$3,0)*Settings!$B$3,"")</f>
        <v/>
      </c>
      <c r="W859" s="14" t="n">
        <v>4842</v>
      </c>
      <c r="X859" s="14" t="n">
        <v>7088</v>
      </c>
      <c r="Y859" s="11" t="inlineStr"/>
      <c r="Z859" s="11" t="inlineStr"/>
      <c r="AA859" s="8" t="inlineStr"/>
      <c r="AB859" s="8" t="inlineStr"/>
      <c r="AC859" s="11" t="inlineStr">
        <is>
          <t>MasterMilitaryOnBaseList 12.2.25 NS.xlsx</t>
        </is>
      </c>
      <c r="AD859" s="11" t="inlineStr">
        <is>
          <t>Knox Updated 2026 Digital Prices.docx</t>
        </is>
      </c>
      <c r="AE859" s="15" t="inlineStr">
        <is>
          <t>Open in Box</t>
        </is>
      </c>
      <c r="AF859" s="15" t="inlineStr">
        <is>
          <t>Open in Box</t>
        </is>
      </c>
    </row>
    <row r="860">
      <c r="A860" s="11" t="inlineStr">
        <is>
          <t>KY-FORTKNOX-031</t>
        </is>
      </c>
      <c r="B860" s="8" t="inlineStr">
        <is>
          <t>Fort Knox</t>
        </is>
      </c>
      <c r="C860" s="11" t="inlineStr"/>
      <c r="D860" s="11" t="inlineStr">
        <is>
          <t>KY</t>
        </is>
      </c>
      <c r="E860" s="11" t="inlineStr">
        <is>
          <t>Louisville</t>
        </is>
      </c>
      <c r="F860" s="11" t="inlineStr">
        <is>
          <t>40121</t>
        </is>
      </c>
      <c r="G860" s="11" t="inlineStr">
        <is>
          <t>Army</t>
        </is>
      </c>
      <c r="H860" s="11" t="inlineStr">
        <is>
          <t>Sponsorship &amp; Other</t>
        </is>
      </c>
      <c r="I860" s="8" t="inlineStr">
        <is>
          <t>Golf Cart Advertisement</t>
        </is>
      </c>
      <c r="J860" s="11" t="inlineStr">
        <is>
          <t>TBD</t>
        </is>
      </c>
      <c r="K860" s="8" t="inlineStr">
        <is>
          <t>Your ad will appear on approved golf carts on the installation. (Price/Cart - Annually, minimum of 10 carts).</t>
        </is>
      </c>
      <c r="L860" s="11" t="n">
        <v>12</v>
      </c>
      <c r="M860" s="12" t="n"/>
      <c r="N860" s="12" t="n"/>
      <c r="O860" s="12" t="n"/>
      <c r="P860" s="12" t="n">
        <v>50</v>
      </c>
      <c r="Q860" s="12" t="n"/>
      <c r="R860" s="13">
        <f>IF(ISNUMBER(M860),ROUND(M860/(1-Settings!$B$2)/Settings!$B$3,0)*Settings!$B$3,"")</f>
        <v/>
      </c>
      <c r="S860" s="13">
        <f>IF(ISNUMBER(N860),ROUND(N860/(1-Settings!$B$2)/Settings!$B$3,0)*Settings!$B$3,"")</f>
        <v/>
      </c>
      <c r="T860" s="13">
        <f>IF(ISNUMBER(O860),ROUND(O860/(1-Settings!$B$2)/Settings!$B$3,0)*Settings!$B$3,"")</f>
        <v/>
      </c>
      <c r="U860" s="13">
        <f>IF(ISNUMBER(P860),ROUND(P860/(1-Settings!$B$2)/Settings!$B$3,0)*Settings!$B$3,"")</f>
        <v/>
      </c>
      <c r="V860" s="13">
        <f>IF(ISNUMBER(Q860),ROUND(Q860/(1-Settings!$B$2)/Settings!$B$3,0)*Settings!$B$3,"")</f>
        <v/>
      </c>
      <c r="W860" s="14" t="n">
        <v>4842</v>
      </c>
      <c r="X860" s="14" t="n">
        <v>7088</v>
      </c>
      <c r="Y860" s="11" t="inlineStr"/>
      <c r="Z860" s="11" t="inlineStr"/>
      <c r="AA860" s="8" t="inlineStr"/>
      <c r="AB860" s="8" t="inlineStr"/>
      <c r="AC860" s="11" t="inlineStr">
        <is>
          <t>MasterMilitaryOnBaseList 12.2.25 NS.xlsx</t>
        </is>
      </c>
      <c r="AD860" s="11" t="inlineStr">
        <is>
          <t>Knox Updated 2026 Digital Prices.docx</t>
        </is>
      </c>
      <c r="AE860" s="15" t="inlineStr">
        <is>
          <t>Open in Box</t>
        </is>
      </c>
      <c r="AF860" s="15" t="inlineStr">
        <is>
          <t>Open in Box</t>
        </is>
      </c>
    </row>
    <row r="861">
      <c r="A861" s="11" t="inlineStr">
        <is>
          <t>KY-FORTKNOX-032</t>
        </is>
      </c>
      <c r="B861" s="8" t="inlineStr">
        <is>
          <t>Fort Knox</t>
        </is>
      </c>
      <c r="C861" s="11" t="inlineStr"/>
      <c r="D861" s="11" t="inlineStr">
        <is>
          <t>KY</t>
        </is>
      </c>
      <c r="E861" s="11" t="inlineStr">
        <is>
          <t>Louisville</t>
        </is>
      </c>
      <c r="F861" s="11" t="inlineStr">
        <is>
          <t>40121</t>
        </is>
      </c>
      <c r="G861" s="11" t="inlineStr">
        <is>
          <t>Army</t>
        </is>
      </c>
      <c r="H861" s="11" t="inlineStr">
        <is>
          <t>Sponsorship &amp; Other</t>
        </is>
      </c>
      <c r="I861" s="8" t="inlineStr">
        <is>
          <t>Golf Course Hole Sponsor</t>
        </is>
      </c>
      <c r="J861" s="11" t="inlineStr">
        <is>
          <t>TBD</t>
        </is>
      </c>
      <c r="K861" s="8" t="inlineStr">
        <is>
          <t>Your ad will appear at an approved hole on the Lindsey Golf Course on the installation.</t>
        </is>
      </c>
      <c r="L861" s="11" t="n">
        <v>12</v>
      </c>
      <c r="M861" s="12" t="n"/>
      <c r="N861" s="12" t="n"/>
      <c r="O861" s="12" t="n"/>
      <c r="P861" s="12" t="n">
        <v>500</v>
      </c>
      <c r="Q861" s="12" t="n"/>
      <c r="R861" s="13">
        <f>IF(ISNUMBER(M861),ROUND(M861/(1-Settings!$B$2)/Settings!$B$3,0)*Settings!$B$3,"")</f>
        <v/>
      </c>
      <c r="S861" s="13">
        <f>IF(ISNUMBER(N861),ROUND(N861/(1-Settings!$B$2)/Settings!$B$3,0)*Settings!$B$3,"")</f>
        <v/>
      </c>
      <c r="T861" s="13">
        <f>IF(ISNUMBER(O861),ROUND(O861/(1-Settings!$B$2)/Settings!$B$3,0)*Settings!$B$3,"")</f>
        <v/>
      </c>
      <c r="U861" s="13">
        <f>IF(ISNUMBER(P861),ROUND(P861/(1-Settings!$B$2)/Settings!$B$3,0)*Settings!$B$3,"")</f>
        <v/>
      </c>
      <c r="V861" s="13">
        <f>IF(ISNUMBER(Q861),ROUND(Q861/(1-Settings!$B$2)/Settings!$B$3,0)*Settings!$B$3,"")</f>
        <v/>
      </c>
      <c r="W861" s="14" t="n">
        <v>4842</v>
      </c>
      <c r="X861" s="14" t="n">
        <v>7088</v>
      </c>
      <c r="Y861" s="11" t="inlineStr"/>
      <c r="Z861" s="11" t="inlineStr"/>
      <c r="AA861" s="8" t="inlineStr"/>
      <c r="AB861" s="8" t="inlineStr"/>
      <c r="AC861" s="11" t="inlineStr">
        <is>
          <t>MasterMilitaryOnBaseList 12.2.25 NS.xlsx</t>
        </is>
      </c>
      <c r="AD861" s="11" t="inlineStr">
        <is>
          <t>Knox Updated 2026 Digital Prices.docx</t>
        </is>
      </c>
      <c r="AE861" s="15" t="inlineStr">
        <is>
          <t>Open in Box</t>
        </is>
      </c>
      <c r="AF861" s="15" t="inlineStr">
        <is>
          <t>Open in Box</t>
        </is>
      </c>
    </row>
    <row r="862">
      <c r="A862" s="11" t="inlineStr">
        <is>
          <t>KY-FORTKNOX-010</t>
        </is>
      </c>
      <c r="B862" s="8" t="inlineStr">
        <is>
          <t>Fort Knox</t>
        </is>
      </c>
      <c r="C862" s="11" t="inlineStr"/>
      <c r="D862" s="11" t="inlineStr">
        <is>
          <t>KY</t>
        </is>
      </c>
      <c r="E862" s="11" t="inlineStr">
        <is>
          <t>Louisville</t>
        </is>
      </c>
      <c r="F862" s="11" t="inlineStr">
        <is>
          <t>40121</t>
        </is>
      </c>
      <c r="G862" s="11" t="inlineStr">
        <is>
          <t>Army</t>
        </is>
      </c>
      <c r="H862" s="11" t="inlineStr">
        <is>
          <t>Standard Media</t>
        </is>
      </c>
      <c r="I862" s="8" t="inlineStr">
        <is>
          <t>Banner</t>
        </is>
      </c>
      <c r="J862" s="11" t="inlineStr">
        <is>
          <t>TBD</t>
        </is>
      </c>
      <c r="K862" s="8" t="inlineStr">
        <is>
          <t>Your ad will appear in all 4 fitness centers.</t>
        </is>
      </c>
      <c r="L862" s="11" t="n">
        <v>12</v>
      </c>
      <c r="M862" s="12" t="n"/>
      <c r="N862" s="12" t="n"/>
      <c r="O862" s="12" t="n"/>
      <c r="P862" s="12" t="n">
        <v>3000</v>
      </c>
      <c r="Q862" s="12" t="n"/>
      <c r="R862" s="13">
        <f>IF(ISNUMBER(M862),ROUND(M862/(1-Settings!$B$2)/Settings!$B$3,0)*Settings!$B$3,"")</f>
        <v/>
      </c>
      <c r="S862" s="13">
        <f>IF(ISNUMBER(N862),ROUND(N862/(1-Settings!$B$2)/Settings!$B$3,0)*Settings!$B$3,"")</f>
        <v/>
      </c>
      <c r="T862" s="13">
        <f>IF(ISNUMBER(O862),ROUND(O862/(1-Settings!$B$2)/Settings!$B$3,0)*Settings!$B$3,"")</f>
        <v/>
      </c>
      <c r="U862" s="13">
        <f>IF(ISNUMBER(P862),ROUND(P862/(1-Settings!$B$2)/Settings!$B$3,0)*Settings!$B$3,"")</f>
        <v/>
      </c>
      <c r="V862" s="13">
        <f>IF(ISNUMBER(Q862),ROUND(Q862/(1-Settings!$B$2)/Settings!$B$3,0)*Settings!$B$3,"")</f>
        <v/>
      </c>
      <c r="W862" s="14" t="n">
        <v>4842</v>
      </c>
      <c r="X862" s="14" t="n">
        <v>7088</v>
      </c>
      <c r="Y862" s="11" t="inlineStr"/>
      <c r="Z862" s="11" t="inlineStr"/>
      <c r="AA862" s="8" t="inlineStr"/>
      <c r="AB862" s="16" t="inlineStr">
        <is>
          <t>Source formula errors</t>
        </is>
      </c>
      <c r="AC862" s="11" t="inlineStr">
        <is>
          <t>MasterMilitaryOnBaseList 12.2.25 NS.xlsx</t>
        </is>
      </c>
      <c r="AD862" s="11" t="inlineStr">
        <is>
          <t>Knox Updated 2026 Digital Prices.docx</t>
        </is>
      </c>
      <c r="AE862" s="15" t="inlineStr">
        <is>
          <t>Open in Box</t>
        </is>
      </c>
      <c r="AF862" s="15" t="inlineStr">
        <is>
          <t>Open in Box</t>
        </is>
      </c>
    </row>
    <row r="863">
      <c r="A863" s="11" t="inlineStr">
        <is>
          <t>KY-FORTKNOX-011</t>
        </is>
      </c>
      <c r="B863" s="8" t="inlineStr">
        <is>
          <t>Fort Knox</t>
        </is>
      </c>
      <c r="C863" s="11" t="inlineStr"/>
      <c r="D863" s="11" t="inlineStr">
        <is>
          <t>KY</t>
        </is>
      </c>
      <c r="E863" s="11" t="inlineStr">
        <is>
          <t>Louisville</t>
        </is>
      </c>
      <c r="F863" s="11" t="inlineStr">
        <is>
          <t>40121</t>
        </is>
      </c>
      <c r="G863" s="11" t="inlineStr">
        <is>
          <t>Army</t>
        </is>
      </c>
      <c r="H863" s="11" t="inlineStr">
        <is>
          <t>Standard Media</t>
        </is>
      </c>
      <c r="I863" s="8" t="inlineStr">
        <is>
          <t>Banner - Caruso Youth Sports Complex</t>
        </is>
      </c>
      <c r="J863" s="11" t="inlineStr">
        <is>
          <t>TBD</t>
        </is>
      </c>
      <c r="K863" s="8" t="inlineStr">
        <is>
          <t>Your ad will appear on the Caruso Youth Sports Complex.</t>
        </is>
      </c>
      <c r="L863" s="11" t="n">
        <v>12</v>
      </c>
      <c r="M863" s="12" t="n"/>
      <c r="N863" s="12" t="n"/>
      <c r="O863" s="12" t="n"/>
      <c r="P863" s="12" t="n">
        <v>500</v>
      </c>
      <c r="Q863" s="12" t="n">
        <v>200</v>
      </c>
      <c r="R863" s="13">
        <f>IF(ISNUMBER(M863),ROUND(M863/(1-Settings!$B$2)/Settings!$B$3,0)*Settings!$B$3,"")</f>
        <v/>
      </c>
      <c r="S863" s="13">
        <f>IF(ISNUMBER(N863),ROUND(N863/(1-Settings!$B$2)/Settings!$B$3,0)*Settings!$B$3,"")</f>
        <v/>
      </c>
      <c r="T863" s="13">
        <f>IF(ISNUMBER(O863),ROUND(O863/(1-Settings!$B$2)/Settings!$B$3,0)*Settings!$B$3,"")</f>
        <v/>
      </c>
      <c r="U863" s="13">
        <f>IF(ISNUMBER(P863),ROUND(P863/(1-Settings!$B$2)/Settings!$B$3,0)*Settings!$B$3,"")</f>
        <v/>
      </c>
      <c r="V863" s="13">
        <f>IF(ISNUMBER(Q863),ROUND(Q863/(1-Settings!$B$2)/Settings!$B$3,0)*Settings!$B$3,"")</f>
        <v/>
      </c>
      <c r="W863" s="14" t="n">
        <v>4842</v>
      </c>
      <c r="X863" s="14" t="n">
        <v>7088</v>
      </c>
      <c r="Y863" s="11" t="inlineStr"/>
      <c r="Z863" s="11" t="inlineStr"/>
      <c r="AA863" s="8" t="inlineStr"/>
      <c r="AB863" s="8" t="inlineStr"/>
      <c r="AC863" s="11" t="inlineStr">
        <is>
          <t>MasterMilitaryOnBaseList 12.2.25 NS.xlsx</t>
        </is>
      </c>
      <c r="AD863" s="11" t="inlineStr">
        <is>
          <t>Knox Updated 2026 Digital Prices.docx</t>
        </is>
      </c>
      <c r="AE863" s="15" t="inlineStr">
        <is>
          <t>Open in Box</t>
        </is>
      </c>
      <c r="AF863" s="15" t="inlineStr">
        <is>
          <t>Open in Box</t>
        </is>
      </c>
    </row>
    <row r="864">
      <c r="A864" s="11" t="inlineStr">
        <is>
          <t>KY-FORTKNOX-012</t>
        </is>
      </c>
      <c r="B864" s="8" t="inlineStr">
        <is>
          <t>Fort Knox</t>
        </is>
      </c>
      <c r="C864" s="11" t="inlineStr"/>
      <c r="D864" s="11" t="inlineStr">
        <is>
          <t>KY</t>
        </is>
      </c>
      <c r="E864" s="11" t="inlineStr">
        <is>
          <t>Louisville</t>
        </is>
      </c>
      <c r="F864" s="11" t="inlineStr">
        <is>
          <t>40121</t>
        </is>
      </c>
      <c r="G864" s="11" t="inlineStr">
        <is>
          <t>Army</t>
        </is>
      </c>
      <c r="H864" s="11" t="inlineStr">
        <is>
          <t>Standard Media</t>
        </is>
      </c>
      <c r="I864" s="8" t="inlineStr">
        <is>
          <t>Banner - Gammon Fitness Center</t>
        </is>
      </c>
      <c r="J864" s="11" t="inlineStr">
        <is>
          <t>TBD</t>
        </is>
      </c>
      <c r="K864" s="8" t="inlineStr">
        <is>
          <t>Your ad will appear in the Gammon Fitness Center.</t>
        </is>
      </c>
      <c r="L864" s="11" t="n">
        <v>12</v>
      </c>
      <c r="M864" s="12" t="n"/>
      <c r="N864" s="12" t="n"/>
      <c r="O864" s="12" t="n"/>
      <c r="P864" s="12" t="n">
        <v>1500</v>
      </c>
      <c r="Q864" s="12" t="n">
        <v>200</v>
      </c>
      <c r="R864" s="13">
        <f>IF(ISNUMBER(M864),ROUND(M864/(1-Settings!$B$2)/Settings!$B$3,0)*Settings!$B$3,"")</f>
        <v/>
      </c>
      <c r="S864" s="13">
        <f>IF(ISNUMBER(N864),ROUND(N864/(1-Settings!$B$2)/Settings!$B$3,0)*Settings!$B$3,"")</f>
        <v/>
      </c>
      <c r="T864" s="13">
        <f>IF(ISNUMBER(O864),ROUND(O864/(1-Settings!$B$2)/Settings!$B$3,0)*Settings!$B$3,"")</f>
        <v/>
      </c>
      <c r="U864" s="13">
        <f>IF(ISNUMBER(P864),ROUND(P864/(1-Settings!$B$2)/Settings!$B$3,0)*Settings!$B$3,"")</f>
        <v/>
      </c>
      <c r="V864" s="13">
        <f>IF(ISNUMBER(Q864),ROUND(Q864/(1-Settings!$B$2)/Settings!$B$3,0)*Settings!$B$3,"")</f>
        <v/>
      </c>
      <c r="W864" s="14" t="n">
        <v>4842</v>
      </c>
      <c r="X864" s="14" t="n">
        <v>7088</v>
      </c>
      <c r="Y864" s="11" t="inlineStr"/>
      <c r="Z864" s="11" t="inlineStr"/>
      <c r="AA864" s="8" t="inlineStr"/>
      <c r="AB864" s="8" t="inlineStr"/>
      <c r="AC864" s="11" t="inlineStr">
        <is>
          <t>MasterMilitaryOnBaseList 12.2.25 NS.xlsx</t>
        </is>
      </c>
      <c r="AD864" s="11" t="inlineStr">
        <is>
          <t>Knox Updated 2026 Digital Prices.docx</t>
        </is>
      </c>
      <c r="AE864" s="15" t="inlineStr">
        <is>
          <t>Open in Box</t>
        </is>
      </c>
      <c r="AF864" s="15" t="inlineStr">
        <is>
          <t>Open in Box</t>
        </is>
      </c>
    </row>
    <row r="865">
      <c r="A865" s="11" t="inlineStr">
        <is>
          <t>KY-FORTKNOX-013</t>
        </is>
      </c>
      <c r="B865" s="8" t="inlineStr">
        <is>
          <t>Fort Knox</t>
        </is>
      </c>
      <c r="C865" s="11" t="inlineStr"/>
      <c r="D865" s="11" t="inlineStr">
        <is>
          <t>KY</t>
        </is>
      </c>
      <c r="E865" s="11" t="inlineStr">
        <is>
          <t>Louisville</t>
        </is>
      </c>
      <c r="F865" s="11" t="inlineStr">
        <is>
          <t>40121</t>
        </is>
      </c>
      <c r="G865" s="11" t="inlineStr">
        <is>
          <t>Army</t>
        </is>
      </c>
      <c r="H865" s="11" t="inlineStr">
        <is>
          <t>Standard Media</t>
        </is>
      </c>
      <c r="I865" s="8" t="inlineStr">
        <is>
          <t>Banner - Natcher Fitness Center</t>
        </is>
      </c>
      <c r="J865" s="11" t="inlineStr">
        <is>
          <t>TBD</t>
        </is>
      </c>
      <c r="K865" s="8" t="inlineStr">
        <is>
          <t>Your ad will appear in the Natcher Fitness Center.</t>
        </is>
      </c>
      <c r="L865" s="11" t="n">
        <v>12</v>
      </c>
      <c r="M865" s="12" t="n"/>
      <c r="N865" s="12" t="n"/>
      <c r="O865" s="12" t="n"/>
      <c r="P865" s="12" t="n">
        <v>1000</v>
      </c>
      <c r="Q865" s="12" t="n">
        <v>200</v>
      </c>
      <c r="R865" s="13">
        <f>IF(ISNUMBER(M865),ROUND(M865/(1-Settings!$B$2)/Settings!$B$3,0)*Settings!$B$3,"")</f>
        <v/>
      </c>
      <c r="S865" s="13">
        <f>IF(ISNUMBER(N865),ROUND(N865/(1-Settings!$B$2)/Settings!$B$3,0)*Settings!$B$3,"")</f>
        <v/>
      </c>
      <c r="T865" s="13">
        <f>IF(ISNUMBER(O865),ROUND(O865/(1-Settings!$B$2)/Settings!$B$3,0)*Settings!$B$3,"")</f>
        <v/>
      </c>
      <c r="U865" s="13">
        <f>IF(ISNUMBER(P865),ROUND(P865/(1-Settings!$B$2)/Settings!$B$3,0)*Settings!$B$3,"")</f>
        <v/>
      </c>
      <c r="V865" s="13">
        <f>IF(ISNUMBER(Q865),ROUND(Q865/(1-Settings!$B$2)/Settings!$B$3,0)*Settings!$B$3,"")</f>
        <v/>
      </c>
      <c r="W865" s="14" t="n">
        <v>4842</v>
      </c>
      <c r="X865" s="14" t="n">
        <v>7088</v>
      </c>
      <c r="Y865" s="11" t="inlineStr"/>
      <c r="Z865" s="11" t="inlineStr"/>
      <c r="AA865" s="8" t="inlineStr"/>
      <c r="AB865" s="8" t="inlineStr"/>
      <c r="AC865" s="11" t="inlineStr">
        <is>
          <t>MasterMilitaryOnBaseList 12.2.25 NS.xlsx</t>
        </is>
      </c>
      <c r="AD865" s="11" t="inlineStr">
        <is>
          <t>Knox Updated 2026 Digital Prices.docx</t>
        </is>
      </c>
      <c r="AE865" s="15" t="inlineStr">
        <is>
          <t>Open in Box</t>
        </is>
      </c>
      <c r="AF865" s="15" t="inlineStr">
        <is>
          <t>Open in Box</t>
        </is>
      </c>
    </row>
    <row r="866">
      <c r="A866" s="11" t="inlineStr">
        <is>
          <t>KY-FORTKNOX-014</t>
        </is>
      </c>
      <c r="B866" s="8" t="inlineStr">
        <is>
          <t>Fort Knox</t>
        </is>
      </c>
      <c r="C866" s="11" t="inlineStr"/>
      <c r="D866" s="11" t="inlineStr">
        <is>
          <t>KY</t>
        </is>
      </c>
      <c r="E866" s="11" t="inlineStr">
        <is>
          <t>Louisville</t>
        </is>
      </c>
      <c r="F866" s="11" t="inlineStr">
        <is>
          <t>40121</t>
        </is>
      </c>
      <c r="G866" s="11" t="inlineStr">
        <is>
          <t>Army</t>
        </is>
      </c>
      <c r="H866" s="11" t="inlineStr">
        <is>
          <t>Standard Media</t>
        </is>
      </c>
      <c r="I866" s="8" t="inlineStr">
        <is>
          <t>Banner - Otto Fitness Center</t>
        </is>
      </c>
      <c r="J866" s="11" t="inlineStr">
        <is>
          <t>TBD</t>
        </is>
      </c>
      <c r="K866" s="8" t="inlineStr">
        <is>
          <t>Your ad will appear in the Otto Fitness Center.</t>
        </is>
      </c>
      <c r="L866" s="11" t="n">
        <v>12</v>
      </c>
      <c r="M866" s="12" t="n"/>
      <c r="N866" s="12" t="n"/>
      <c r="O866" s="12" t="n"/>
      <c r="P866" s="12" t="n">
        <v>500</v>
      </c>
      <c r="Q866" s="12" t="n">
        <v>200</v>
      </c>
      <c r="R866" s="13">
        <f>IF(ISNUMBER(M866),ROUND(M866/(1-Settings!$B$2)/Settings!$B$3,0)*Settings!$B$3,"")</f>
        <v/>
      </c>
      <c r="S866" s="13">
        <f>IF(ISNUMBER(N866),ROUND(N866/(1-Settings!$B$2)/Settings!$B$3,0)*Settings!$B$3,"")</f>
        <v/>
      </c>
      <c r="T866" s="13">
        <f>IF(ISNUMBER(O866),ROUND(O866/(1-Settings!$B$2)/Settings!$B$3,0)*Settings!$B$3,"")</f>
        <v/>
      </c>
      <c r="U866" s="13">
        <f>IF(ISNUMBER(P866),ROUND(P866/(1-Settings!$B$2)/Settings!$B$3,0)*Settings!$B$3,"")</f>
        <v/>
      </c>
      <c r="V866" s="13">
        <f>IF(ISNUMBER(Q866),ROUND(Q866/(1-Settings!$B$2)/Settings!$B$3,0)*Settings!$B$3,"")</f>
        <v/>
      </c>
      <c r="W866" s="14" t="n">
        <v>4842</v>
      </c>
      <c r="X866" s="14" t="n">
        <v>7088</v>
      </c>
      <c r="Y866" s="11" t="inlineStr"/>
      <c r="Z866" s="11" t="inlineStr"/>
      <c r="AA866" s="8" t="inlineStr"/>
      <c r="AB866" s="8" t="inlineStr"/>
      <c r="AC866" s="11" t="inlineStr">
        <is>
          <t>MasterMilitaryOnBaseList 12.2.25 NS.xlsx</t>
        </is>
      </c>
      <c r="AD866" s="11" t="inlineStr">
        <is>
          <t>Knox Updated 2026 Digital Prices.docx</t>
        </is>
      </c>
      <c r="AE866" s="15" t="inlineStr">
        <is>
          <t>Open in Box</t>
        </is>
      </c>
      <c r="AF866" s="15" t="inlineStr">
        <is>
          <t>Open in Box</t>
        </is>
      </c>
    </row>
    <row r="867">
      <c r="A867" s="11" t="inlineStr">
        <is>
          <t>KY-FORTKNOX-015</t>
        </is>
      </c>
      <c r="B867" s="8" t="inlineStr">
        <is>
          <t>Fort Knox</t>
        </is>
      </c>
      <c r="C867" s="11" t="inlineStr"/>
      <c r="D867" s="11" t="inlineStr">
        <is>
          <t>KY</t>
        </is>
      </c>
      <c r="E867" s="11" t="inlineStr">
        <is>
          <t>Louisville</t>
        </is>
      </c>
      <c r="F867" s="11" t="inlineStr">
        <is>
          <t>40121</t>
        </is>
      </c>
      <c r="G867" s="11" t="inlineStr">
        <is>
          <t>Army</t>
        </is>
      </c>
      <c r="H867" s="11" t="inlineStr">
        <is>
          <t>Standard Media</t>
        </is>
      </c>
      <c r="I867" s="8" t="inlineStr">
        <is>
          <t>Banner - Smith Fitness Center</t>
        </is>
      </c>
      <c r="J867" s="11" t="inlineStr">
        <is>
          <t>TBD</t>
        </is>
      </c>
      <c r="K867" s="8" t="inlineStr">
        <is>
          <t>Your ad will apear in the Smith Fitness Center.</t>
        </is>
      </c>
      <c r="L867" s="11" t="n">
        <v>12</v>
      </c>
      <c r="M867" s="12" t="n"/>
      <c r="N867" s="12" t="n"/>
      <c r="O867" s="12" t="n"/>
      <c r="P867" s="12" t="n">
        <v>500</v>
      </c>
      <c r="Q867" s="12" t="n">
        <v>200</v>
      </c>
      <c r="R867" s="13">
        <f>IF(ISNUMBER(M867),ROUND(M867/(1-Settings!$B$2)/Settings!$B$3,0)*Settings!$B$3,"")</f>
        <v/>
      </c>
      <c r="S867" s="13">
        <f>IF(ISNUMBER(N867),ROUND(N867/(1-Settings!$B$2)/Settings!$B$3,0)*Settings!$B$3,"")</f>
        <v/>
      </c>
      <c r="T867" s="13">
        <f>IF(ISNUMBER(O867),ROUND(O867/(1-Settings!$B$2)/Settings!$B$3,0)*Settings!$B$3,"")</f>
        <v/>
      </c>
      <c r="U867" s="13">
        <f>IF(ISNUMBER(P867),ROUND(P867/(1-Settings!$B$2)/Settings!$B$3,0)*Settings!$B$3,"")</f>
        <v/>
      </c>
      <c r="V867" s="13">
        <f>IF(ISNUMBER(Q867),ROUND(Q867/(1-Settings!$B$2)/Settings!$B$3,0)*Settings!$B$3,"")</f>
        <v/>
      </c>
      <c r="W867" s="14" t="n">
        <v>4842</v>
      </c>
      <c r="X867" s="14" t="n">
        <v>7088</v>
      </c>
      <c r="Y867" s="11" t="inlineStr"/>
      <c r="Z867" s="11" t="inlineStr"/>
      <c r="AA867" s="8" t="inlineStr"/>
      <c r="AB867" s="8" t="inlineStr"/>
      <c r="AC867" s="11" t="inlineStr">
        <is>
          <t>MasterMilitaryOnBaseList 12.2.25 NS.xlsx</t>
        </is>
      </c>
      <c r="AD867" s="11" t="inlineStr">
        <is>
          <t>Knox Updated 2026 Digital Prices.docx</t>
        </is>
      </c>
      <c r="AE867" s="15" t="inlineStr">
        <is>
          <t>Open in Box</t>
        </is>
      </c>
      <c r="AF867" s="15" t="inlineStr">
        <is>
          <t>Open in Box</t>
        </is>
      </c>
    </row>
    <row r="868">
      <c r="A868" s="11" t="inlineStr">
        <is>
          <t>KY-FORTKNOX-016</t>
        </is>
      </c>
      <c r="B868" s="8" t="inlineStr">
        <is>
          <t>Fort Knox</t>
        </is>
      </c>
      <c r="C868" s="11" t="inlineStr"/>
      <c r="D868" s="11" t="inlineStr">
        <is>
          <t>KY</t>
        </is>
      </c>
      <c r="E868" s="11" t="inlineStr">
        <is>
          <t>Louisville</t>
        </is>
      </c>
      <c r="F868" s="11" t="inlineStr">
        <is>
          <t>40121</t>
        </is>
      </c>
      <c r="G868" s="11" t="inlineStr">
        <is>
          <t>Army</t>
        </is>
      </c>
      <c r="H868" s="11" t="inlineStr">
        <is>
          <t>Standard Media</t>
        </is>
      </c>
      <c r="I868" s="8" t="inlineStr">
        <is>
          <t>Facility Signage</t>
        </is>
      </c>
      <c r="J868" s="11" t="inlineStr">
        <is>
          <t>TBD</t>
        </is>
      </c>
      <c r="K868" s="8" t="inlineStr">
        <is>
          <t>Your ad will appear at an approved installation outdoor facility.</t>
        </is>
      </c>
      <c r="L868" s="11" t="n">
        <v>12</v>
      </c>
      <c r="M868" s="12" t="n"/>
      <c r="N868" s="12" t="n"/>
      <c r="O868" s="12" t="n"/>
      <c r="P868" s="12" t="n">
        <v>1000</v>
      </c>
      <c r="Q868" s="12" t="n"/>
      <c r="R868" s="13">
        <f>IF(ISNUMBER(M868),ROUND(M868/(1-Settings!$B$2)/Settings!$B$3,0)*Settings!$B$3,"")</f>
        <v/>
      </c>
      <c r="S868" s="13">
        <f>IF(ISNUMBER(N868),ROUND(N868/(1-Settings!$B$2)/Settings!$B$3,0)*Settings!$B$3,"")</f>
        <v/>
      </c>
      <c r="T868" s="13">
        <f>IF(ISNUMBER(O868),ROUND(O868/(1-Settings!$B$2)/Settings!$B$3,0)*Settings!$B$3,"")</f>
        <v/>
      </c>
      <c r="U868" s="13">
        <f>IF(ISNUMBER(P868),ROUND(P868/(1-Settings!$B$2)/Settings!$B$3,0)*Settings!$B$3,"")</f>
        <v/>
      </c>
      <c r="V868" s="13">
        <f>IF(ISNUMBER(Q868),ROUND(Q868/(1-Settings!$B$2)/Settings!$B$3,0)*Settings!$B$3,"")</f>
        <v/>
      </c>
      <c r="W868" s="14" t="n">
        <v>4842</v>
      </c>
      <c r="X868" s="14" t="n">
        <v>7088</v>
      </c>
      <c r="Y868" s="11" t="inlineStr"/>
      <c r="Z868" s="11" t="inlineStr"/>
      <c r="AA868" s="8" t="inlineStr"/>
      <c r="AB868" s="16" t="inlineStr">
        <is>
          <t>Source formula errors</t>
        </is>
      </c>
      <c r="AC868" s="11" t="inlineStr">
        <is>
          <t>MasterMilitaryOnBaseList 12.2.25 NS.xlsx</t>
        </is>
      </c>
      <c r="AD868" s="11" t="inlineStr">
        <is>
          <t>Knox Updated 2026 Digital Prices.docx</t>
        </is>
      </c>
      <c r="AE868" s="15" t="inlineStr">
        <is>
          <t>Open in Box</t>
        </is>
      </c>
      <c r="AF868" s="15" t="inlineStr">
        <is>
          <t>Open in Box</t>
        </is>
      </c>
    </row>
    <row r="869">
      <c r="A869" s="11" t="inlineStr">
        <is>
          <t>KY-FORTKNOX-017</t>
        </is>
      </c>
      <c r="B869" s="8" t="inlineStr">
        <is>
          <t>Fort Knox</t>
        </is>
      </c>
      <c r="C869" s="11" t="inlineStr"/>
      <c r="D869" s="11" t="inlineStr">
        <is>
          <t>KY</t>
        </is>
      </c>
      <c r="E869" s="11" t="inlineStr">
        <is>
          <t>Louisville</t>
        </is>
      </c>
      <c r="F869" s="11" t="inlineStr">
        <is>
          <t>40121</t>
        </is>
      </c>
      <c r="G869" s="11" t="inlineStr">
        <is>
          <t>Army</t>
        </is>
      </c>
      <c r="H869" s="11" t="inlineStr">
        <is>
          <t>Standard Media</t>
        </is>
      </c>
      <c r="I869" s="8" t="inlineStr">
        <is>
          <t>Fitness Center Banner Package</t>
        </is>
      </c>
      <c r="J869" s="11" t="inlineStr">
        <is>
          <t>TBD</t>
        </is>
      </c>
      <c r="K869" s="8" t="inlineStr">
        <is>
          <t>Your ad will appear in all of the above Fitness Centers.</t>
        </is>
      </c>
      <c r="L869" s="11" t="n">
        <v>12</v>
      </c>
      <c r="M869" s="12" t="n"/>
      <c r="N869" s="12" t="n"/>
      <c r="O869" s="12" t="n"/>
      <c r="P869" s="12" t="n">
        <v>3000</v>
      </c>
      <c r="Q869" s="12" t="n">
        <v>200</v>
      </c>
      <c r="R869" s="13">
        <f>IF(ISNUMBER(M869),ROUND(M869/(1-Settings!$B$2)/Settings!$B$3,0)*Settings!$B$3,"")</f>
        <v/>
      </c>
      <c r="S869" s="13">
        <f>IF(ISNUMBER(N869),ROUND(N869/(1-Settings!$B$2)/Settings!$B$3,0)*Settings!$B$3,"")</f>
        <v/>
      </c>
      <c r="T869" s="13">
        <f>IF(ISNUMBER(O869),ROUND(O869/(1-Settings!$B$2)/Settings!$B$3,0)*Settings!$B$3,"")</f>
        <v/>
      </c>
      <c r="U869" s="13">
        <f>IF(ISNUMBER(P869),ROUND(P869/(1-Settings!$B$2)/Settings!$B$3,0)*Settings!$B$3,"")</f>
        <v/>
      </c>
      <c r="V869" s="13">
        <f>IF(ISNUMBER(Q869),ROUND(Q869/(1-Settings!$B$2)/Settings!$B$3,0)*Settings!$B$3,"")</f>
        <v/>
      </c>
      <c r="W869" s="14" t="n">
        <v>4842</v>
      </c>
      <c r="X869" s="14" t="n">
        <v>7088</v>
      </c>
      <c r="Y869" s="11" t="inlineStr"/>
      <c r="Z869" s="11" t="inlineStr"/>
      <c r="AA869" s="8" t="inlineStr"/>
      <c r="AB869" s="8" t="inlineStr"/>
      <c r="AC869" s="11" t="inlineStr">
        <is>
          <t>MasterMilitaryOnBaseList 12.2.25 NS.xlsx</t>
        </is>
      </c>
      <c r="AD869" s="11" t="inlineStr">
        <is>
          <t>Knox Updated 2026 Digital Prices.docx</t>
        </is>
      </c>
      <c r="AE869" s="15" t="inlineStr">
        <is>
          <t>Open in Box</t>
        </is>
      </c>
      <c r="AF869" s="15" t="inlineStr">
        <is>
          <t>Open in Box</t>
        </is>
      </c>
    </row>
    <row r="870">
      <c r="A870" s="11" t="inlineStr">
        <is>
          <t>KY-FORTKNOX-018</t>
        </is>
      </c>
      <c r="B870" s="8" t="inlineStr">
        <is>
          <t>Fort Knox</t>
        </is>
      </c>
      <c r="C870" s="11" t="inlineStr"/>
      <c r="D870" s="11" t="inlineStr">
        <is>
          <t>KY</t>
        </is>
      </c>
      <c r="E870" s="11" t="inlineStr">
        <is>
          <t>Louisville</t>
        </is>
      </c>
      <c r="F870" s="11" t="inlineStr">
        <is>
          <t>40121</t>
        </is>
      </c>
      <c r="G870" s="11" t="inlineStr">
        <is>
          <t>Army</t>
        </is>
      </c>
      <c r="H870" s="11" t="inlineStr">
        <is>
          <t>Standard Media</t>
        </is>
      </c>
      <c r="I870" s="8" t="inlineStr">
        <is>
          <t>Golf Course Drive Range Banner</t>
        </is>
      </c>
      <c r="J870" s="11" t="inlineStr">
        <is>
          <t>4' x 8'</t>
        </is>
      </c>
      <c r="K870" s="8" t="inlineStr">
        <is>
          <t>Your ad will appear at an approved location on the driving range on the installation.</t>
        </is>
      </c>
      <c r="L870" s="11" t="n">
        <v>12</v>
      </c>
      <c r="M870" s="12" t="n"/>
      <c r="N870" s="12" t="n"/>
      <c r="O870" s="12" t="n"/>
      <c r="P870" s="12" t="n">
        <v>750</v>
      </c>
      <c r="Q870" s="12" t="n">
        <v>200</v>
      </c>
      <c r="R870" s="13">
        <f>IF(ISNUMBER(M870),ROUND(M870/(1-Settings!$B$2)/Settings!$B$3,0)*Settings!$B$3,"")</f>
        <v/>
      </c>
      <c r="S870" s="13">
        <f>IF(ISNUMBER(N870),ROUND(N870/(1-Settings!$B$2)/Settings!$B$3,0)*Settings!$B$3,"")</f>
        <v/>
      </c>
      <c r="T870" s="13">
        <f>IF(ISNUMBER(O870),ROUND(O870/(1-Settings!$B$2)/Settings!$B$3,0)*Settings!$B$3,"")</f>
        <v/>
      </c>
      <c r="U870" s="13">
        <f>IF(ISNUMBER(P870),ROUND(P870/(1-Settings!$B$2)/Settings!$B$3,0)*Settings!$B$3,"")</f>
        <v/>
      </c>
      <c r="V870" s="13">
        <f>IF(ISNUMBER(Q870),ROUND(Q870/(1-Settings!$B$2)/Settings!$B$3,0)*Settings!$B$3,"")</f>
        <v/>
      </c>
      <c r="W870" s="14" t="n">
        <v>4842</v>
      </c>
      <c r="X870" s="14" t="n">
        <v>7088</v>
      </c>
      <c r="Y870" s="11" t="inlineStr"/>
      <c r="Z870" s="11" t="inlineStr"/>
      <c r="AA870" s="8" t="inlineStr"/>
      <c r="AB870" s="8" t="inlineStr"/>
      <c r="AC870" s="11" t="inlineStr">
        <is>
          <t>MasterMilitaryOnBaseList 12.2.25 NS.xlsx</t>
        </is>
      </c>
      <c r="AD870" s="11" t="inlineStr">
        <is>
          <t>Knox Updated 2026 Digital Prices.docx</t>
        </is>
      </c>
      <c r="AE870" s="15" t="inlineStr">
        <is>
          <t>Open in Box</t>
        </is>
      </c>
      <c r="AF870" s="15" t="inlineStr">
        <is>
          <t>Open in Box</t>
        </is>
      </c>
    </row>
    <row r="871">
      <c r="A871" s="11" t="inlineStr">
        <is>
          <t>KY-FORTKNOX-019</t>
        </is>
      </c>
      <c r="B871" s="8" t="inlineStr">
        <is>
          <t>Fort Knox</t>
        </is>
      </c>
      <c r="C871" s="11" t="inlineStr"/>
      <c r="D871" s="11" t="inlineStr">
        <is>
          <t>KY</t>
        </is>
      </c>
      <c r="E871" s="11" t="inlineStr">
        <is>
          <t>Louisville</t>
        </is>
      </c>
      <c r="F871" s="11" t="inlineStr">
        <is>
          <t>40121</t>
        </is>
      </c>
      <c r="G871" s="11" t="inlineStr">
        <is>
          <t>Army</t>
        </is>
      </c>
      <c r="H871" s="11" t="inlineStr">
        <is>
          <t>Standard Media</t>
        </is>
      </c>
      <c r="I871" s="8" t="inlineStr">
        <is>
          <t>Golf Course Score Board Signage</t>
        </is>
      </c>
      <c r="J871" s="11" t="inlineStr">
        <is>
          <t>TBD</t>
        </is>
      </c>
      <c r="K871" s="8" t="inlineStr">
        <is>
          <t>Your ad will appear on the scoreboard at the Lindsey Golf Course on the installation.</t>
        </is>
      </c>
      <c r="L871" s="11" t="n">
        <v>12</v>
      </c>
      <c r="M871" s="12" t="n"/>
      <c r="N871" s="12" t="n"/>
      <c r="O871" s="12" t="n"/>
      <c r="P871" s="12" t="n">
        <v>1000</v>
      </c>
      <c r="Q871" s="12" t="n"/>
      <c r="R871" s="13">
        <f>IF(ISNUMBER(M871),ROUND(M871/(1-Settings!$B$2)/Settings!$B$3,0)*Settings!$B$3,"")</f>
        <v/>
      </c>
      <c r="S871" s="13">
        <f>IF(ISNUMBER(N871),ROUND(N871/(1-Settings!$B$2)/Settings!$B$3,0)*Settings!$B$3,"")</f>
        <v/>
      </c>
      <c r="T871" s="13">
        <f>IF(ISNUMBER(O871),ROUND(O871/(1-Settings!$B$2)/Settings!$B$3,0)*Settings!$B$3,"")</f>
        <v/>
      </c>
      <c r="U871" s="13">
        <f>IF(ISNUMBER(P871),ROUND(P871/(1-Settings!$B$2)/Settings!$B$3,0)*Settings!$B$3,"")</f>
        <v/>
      </c>
      <c r="V871" s="13">
        <f>IF(ISNUMBER(Q871),ROUND(Q871/(1-Settings!$B$2)/Settings!$B$3,0)*Settings!$B$3,"")</f>
        <v/>
      </c>
      <c r="W871" s="14" t="n">
        <v>4842</v>
      </c>
      <c r="X871" s="14" t="n">
        <v>7088</v>
      </c>
      <c r="Y871" s="11" t="inlineStr"/>
      <c r="Z871" s="11" t="inlineStr"/>
      <c r="AA871" s="8" t="inlineStr"/>
      <c r="AB871" s="8" t="inlineStr"/>
      <c r="AC871" s="11" t="inlineStr">
        <is>
          <t>MasterMilitaryOnBaseList 12.2.25 NS.xlsx</t>
        </is>
      </c>
      <c r="AD871" s="11" t="inlineStr">
        <is>
          <t>Knox Updated 2026 Digital Prices.docx</t>
        </is>
      </c>
      <c r="AE871" s="15" t="inlineStr">
        <is>
          <t>Open in Box</t>
        </is>
      </c>
      <c r="AF871" s="15" t="inlineStr">
        <is>
          <t>Open in Box</t>
        </is>
      </c>
    </row>
    <row r="872">
      <c r="A872" s="11" t="inlineStr">
        <is>
          <t>KY-FORTKNOX-020</t>
        </is>
      </c>
      <c r="B872" s="8" t="inlineStr">
        <is>
          <t>Fort Knox</t>
        </is>
      </c>
      <c r="C872" s="11" t="inlineStr"/>
      <c r="D872" s="11" t="inlineStr">
        <is>
          <t>KY</t>
        </is>
      </c>
      <c r="E872" s="11" t="inlineStr">
        <is>
          <t>Louisville</t>
        </is>
      </c>
      <c r="F872" s="11" t="inlineStr">
        <is>
          <t>40121</t>
        </is>
      </c>
      <c r="G872" s="11" t="inlineStr">
        <is>
          <t>Army</t>
        </is>
      </c>
      <c r="H872" s="11" t="inlineStr">
        <is>
          <t>Standard Media</t>
        </is>
      </c>
      <c r="I872" s="8" t="inlineStr">
        <is>
          <t>Pull Up Banner</t>
        </is>
      </c>
      <c r="J872" s="11" t="inlineStr">
        <is>
          <t>TBD</t>
        </is>
      </c>
      <c r="K872" s="8" t="inlineStr">
        <is>
          <t>Your ad will appear in approved high traffic MWR facilities.</t>
        </is>
      </c>
      <c r="L872" s="11" t="n">
        <v>12</v>
      </c>
      <c r="M872" s="12" t="n"/>
      <c r="N872" s="12" t="n"/>
      <c r="O872" s="12" t="n"/>
      <c r="P872" s="12" t="n">
        <v>2000</v>
      </c>
      <c r="Q872" s="12" t="n">
        <v>200</v>
      </c>
      <c r="R872" s="13">
        <f>IF(ISNUMBER(M872),ROUND(M872/(1-Settings!$B$2)/Settings!$B$3,0)*Settings!$B$3,"")</f>
        <v/>
      </c>
      <c r="S872" s="13">
        <f>IF(ISNUMBER(N872),ROUND(N872/(1-Settings!$B$2)/Settings!$B$3,0)*Settings!$B$3,"")</f>
        <v/>
      </c>
      <c r="T872" s="13">
        <f>IF(ISNUMBER(O872),ROUND(O872/(1-Settings!$B$2)/Settings!$B$3,0)*Settings!$B$3,"")</f>
        <v/>
      </c>
      <c r="U872" s="13">
        <f>IF(ISNUMBER(P872),ROUND(P872/(1-Settings!$B$2)/Settings!$B$3,0)*Settings!$B$3,"")</f>
        <v/>
      </c>
      <c r="V872" s="13">
        <f>IF(ISNUMBER(Q872),ROUND(Q872/(1-Settings!$B$2)/Settings!$B$3,0)*Settings!$B$3,"")</f>
        <v/>
      </c>
      <c r="W872" s="14" t="n">
        <v>4842</v>
      </c>
      <c r="X872" s="14" t="n">
        <v>7088</v>
      </c>
      <c r="Y872" s="11" t="inlineStr"/>
      <c r="Z872" s="11" t="inlineStr"/>
      <c r="AA872" s="8" t="inlineStr"/>
      <c r="AB872" s="8" t="inlineStr"/>
      <c r="AC872" s="11" t="inlineStr">
        <is>
          <t>MasterMilitaryOnBaseList 12.2.25 NS.xlsx</t>
        </is>
      </c>
      <c r="AD872" s="11" t="inlineStr">
        <is>
          <t>Knox Updated 2026 Digital Prices.docx</t>
        </is>
      </c>
      <c r="AE872" s="15" t="inlineStr">
        <is>
          <t>Open in Box</t>
        </is>
      </c>
      <c r="AF872" s="15" t="inlineStr">
        <is>
          <t>Open in Box</t>
        </is>
      </c>
    </row>
    <row r="873">
      <c r="A873" s="11" t="inlineStr">
        <is>
          <t>KY-FORTKNOX-021</t>
        </is>
      </c>
      <c r="B873" s="8" t="inlineStr">
        <is>
          <t>Fort Knox</t>
        </is>
      </c>
      <c r="C873" s="11" t="inlineStr"/>
      <c r="D873" s="11" t="inlineStr">
        <is>
          <t>KY</t>
        </is>
      </c>
      <c r="E873" s="11" t="inlineStr">
        <is>
          <t>Louisville</t>
        </is>
      </c>
      <c r="F873" s="11" t="inlineStr">
        <is>
          <t>40121</t>
        </is>
      </c>
      <c r="G873" s="11" t="inlineStr">
        <is>
          <t>Army</t>
        </is>
      </c>
      <c r="H873" s="11" t="inlineStr">
        <is>
          <t>Standard Media</t>
        </is>
      </c>
      <c r="I873" s="8" t="inlineStr">
        <is>
          <t>Vertical Banner</t>
        </is>
      </c>
      <c r="J873" s="11" t="inlineStr">
        <is>
          <t>TBD</t>
        </is>
      </c>
      <c r="K873" s="8" t="inlineStr">
        <is>
          <t>Your ad will appear in 3 locations.</t>
        </is>
      </c>
      <c r="L873" s="11" t="n">
        <v>12</v>
      </c>
      <c r="M873" s="12" t="n"/>
      <c r="N873" s="12" t="n"/>
      <c r="O873" s="12" t="n"/>
      <c r="P873" s="12" t="n">
        <v>2000</v>
      </c>
      <c r="Q873" s="12" t="n"/>
      <c r="R873" s="13">
        <f>IF(ISNUMBER(M873),ROUND(M873/(1-Settings!$B$2)/Settings!$B$3,0)*Settings!$B$3,"")</f>
        <v/>
      </c>
      <c r="S873" s="13">
        <f>IF(ISNUMBER(N873),ROUND(N873/(1-Settings!$B$2)/Settings!$B$3,0)*Settings!$B$3,"")</f>
        <v/>
      </c>
      <c r="T873" s="13">
        <f>IF(ISNUMBER(O873),ROUND(O873/(1-Settings!$B$2)/Settings!$B$3,0)*Settings!$B$3,"")</f>
        <v/>
      </c>
      <c r="U873" s="13">
        <f>IF(ISNUMBER(P873),ROUND(P873/(1-Settings!$B$2)/Settings!$B$3,0)*Settings!$B$3,"")</f>
        <v/>
      </c>
      <c r="V873" s="13">
        <f>IF(ISNUMBER(Q873),ROUND(Q873/(1-Settings!$B$2)/Settings!$B$3,0)*Settings!$B$3,"")</f>
        <v/>
      </c>
      <c r="W873" s="14" t="n">
        <v>4842</v>
      </c>
      <c r="X873" s="14" t="n">
        <v>7088</v>
      </c>
      <c r="Y873" s="11" t="inlineStr"/>
      <c r="Z873" s="11" t="inlineStr"/>
      <c r="AA873" s="8" t="inlineStr"/>
      <c r="AB873" s="16" t="inlineStr">
        <is>
          <t>Source formula errors</t>
        </is>
      </c>
      <c r="AC873" s="11" t="inlineStr">
        <is>
          <t>MasterMilitaryOnBaseList 12.2.25 NS.xlsx</t>
        </is>
      </c>
      <c r="AD873" s="11" t="inlineStr">
        <is>
          <t>Knox Updated 2026 Digital Prices.docx</t>
        </is>
      </c>
      <c r="AE873" s="15" t="inlineStr">
        <is>
          <t>Open in Box</t>
        </is>
      </c>
      <c r="AF873" s="15" t="inlineStr">
        <is>
          <t>Open in Box</t>
        </is>
      </c>
    </row>
    <row r="874">
      <c r="A874" s="11" t="inlineStr">
        <is>
          <t>KY-FORTKNOX-030</t>
        </is>
      </c>
      <c r="B874" s="8" t="inlineStr">
        <is>
          <t>Fort Knox</t>
        </is>
      </c>
      <c r="C874" s="11" t="inlineStr"/>
      <c r="D874" s="11" t="inlineStr">
        <is>
          <t>KY</t>
        </is>
      </c>
      <c r="E874" s="11" t="inlineStr">
        <is>
          <t>Louisville</t>
        </is>
      </c>
      <c r="F874" s="11" t="inlineStr">
        <is>
          <t>40121</t>
        </is>
      </c>
      <c r="G874" s="11" t="inlineStr">
        <is>
          <t>Army</t>
        </is>
      </c>
      <c r="H874" s="11" t="inlineStr">
        <is>
          <t>Web &amp; Email</t>
        </is>
      </c>
      <c r="I874" s="8" t="inlineStr">
        <is>
          <t>Social Media Package</t>
        </is>
      </c>
      <c r="J874" s="11" t="inlineStr">
        <is>
          <t>TBD</t>
        </is>
      </c>
      <c r="K874" s="8" t="inlineStr">
        <is>
          <t>Your ads will appear on the Fort Knox Facebook page. (20 posts/year)</t>
        </is>
      </c>
      <c r="L874" s="11" t="n">
        <v>12</v>
      </c>
      <c r="M874" s="12" t="n"/>
      <c r="N874" s="12" t="n"/>
      <c r="O874" s="12" t="n"/>
      <c r="P874" s="12" t="n">
        <v>2000</v>
      </c>
      <c r="Q874" s="12" t="n"/>
      <c r="R874" s="13">
        <f>IF(ISNUMBER(M874),ROUND(M874/(1-Settings!$B$2)/Settings!$B$3,0)*Settings!$B$3,"")</f>
        <v/>
      </c>
      <c r="S874" s="13">
        <f>IF(ISNUMBER(N874),ROUND(N874/(1-Settings!$B$2)/Settings!$B$3,0)*Settings!$B$3,"")</f>
        <v/>
      </c>
      <c r="T874" s="13">
        <f>IF(ISNUMBER(O874),ROUND(O874/(1-Settings!$B$2)/Settings!$B$3,0)*Settings!$B$3,"")</f>
        <v/>
      </c>
      <c r="U874" s="13">
        <f>IF(ISNUMBER(P874),ROUND(P874/(1-Settings!$B$2)/Settings!$B$3,0)*Settings!$B$3,"")</f>
        <v/>
      </c>
      <c r="V874" s="13">
        <f>IF(ISNUMBER(Q874),ROUND(Q874/(1-Settings!$B$2)/Settings!$B$3,0)*Settings!$B$3,"")</f>
        <v/>
      </c>
      <c r="W874" s="14" t="n">
        <v>4842</v>
      </c>
      <c r="X874" s="14" t="n">
        <v>7088</v>
      </c>
      <c r="Y874" s="11" t="inlineStr"/>
      <c r="Z874" s="11" t="inlineStr"/>
      <c r="AA874" s="8" t="inlineStr"/>
      <c r="AB874" s="8" t="inlineStr"/>
      <c r="AC874" s="11" t="inlineStr">
        <is>
          <t>MasterMilitaryOnBaseList 12.2.25 NS.xlsx</t>
        </is>
      </c>
      <c r="AD874" s="11" t="inlineStr">
        <is>
          <t>Knox Updated 2026 Digital Prices.docx</t>
        </is>
      </c>
      <c r="AE874" s="15" t="inlineStr">
        <is>
          <t>Open in Box</t>
        </is>
      </c>
      <c r="AF874" s="15" t="inlineStr">
        <is>
          <t>Open in Box</t>
        </is>
      </c>
    </row>
    <row r="875">
      <c r="A875" s="11" t="inlineStr">
        <is>
          <t>KY-FORTKNOX-033</t>
        </is>
      </c>
      <c r="B875" s="8" t="inlineStr">
        <is>
          <t>Fort Knox</t>
        </is>
      </c>
      <c r="C875" s="11" t="inlineStr"/>
      <c r="D875" s="11" t="inlineStr">
        <is>
          <t>KY</t>
        </is>
      </c>
      <c r="E875" s="11" t="inlineStr">
        <is>
          <t>Louisville</t>
        </is>
      </c>
      <c r="F875" s="11" t="inlineStr"/>
      <c r="G875" s="11" t="inlineStr">
        <is>
          <t>Army</t>
        </is>
      </c>
      <c r="H875" s="11" t="inlineStr">
        <is>
          <t>Web &amp; Email</t>
        </is>
      </c>
      <c r="I875" s="8" t="inlineStr">
        <is>
          <t>Web Ad</t>
        </is>
      </c>
      <c r="J875" s="11" t="inlineStr"/>
      <c r="K875" s="8" t="inlineStr">
        <is>
          <t>Your ad will appear on the installation MWR / FSS website.</t>
        </is>
      </c>
      <c r="L875" s="11" t="n">
        <v>12</v>
      </c>
      <c r="M875" s="12" t="n"/>
      <c r="N875" s="12" t="n"/>
      <c r="O875" s="12" t="n"/>
      <c r="P875" s="12" t="n">
        <v>1500</v>
      </c>
      <c r="Q875" s="12" t="n"/>
      <c r="R875" s="13">
        <f>IF(ISNUMBER(M875),ROUND(M875/(1-Settings!$B$2)/Settings!$B$3,0)*Settings!$B$3,"")</f>
        <v/>
      </c>
      <c r="S875" s="13">
        <f>IF(ISNUMBER(N875),ROUND(N875/(1-Settings!$B$2)/Settings!$B$3,0)*Settings!$B$3,"")</f>
        <v/>
      </c>
      <c r="T875" s="13">
        <f>IF(ISNUMBER(O875),ROUND(O875/(1-Settings!$B$2)/Settings!$B$3,0)*Settings!$B$3,"")</f>
        <v/>
      </c>
      <c r="U875" s="13">
        <f>IF(ISNUMBER(P875),ROUND(P875/(1-Settings!$B$2)/Settings!$B$3,0)*Settings!$B$3,"")</f>
        <v/>
      </c>
      <c r="V875" s="13">
        <f>IF(ISNUMBER(Q875),ROUND(Q875/(1-Settings!$B$2)/Settings!$B$3,0)*Settings!$B$3,"")</f>
        <v/>
      </c>
      <c r="W875" s="14" t="n">
        <v>4842</v>
      </c>
      <c r="X875" s="14" t="n">
        <v>7088</v>
      </c>
      <c r="Y875" s="11" t="inlineStr">
        <is>
          <t>2026</t>
        </is>
      </c>
      <c r="Z875" s="11" t="inlineStr">
        <is>
          <t>2026-06</t>
        </is>
      </c>
      <c r="AA875" s="8" t="inlineStr">
        <is>
          <t>Annual</t>
        </is>
      </c>
      <c r="AB875" s="8" t="inlineStr"/>
      <c r="AC875" s="11" t="inlineStr">
        <is>
          <t>Military - National Publication Inventory Master_June 2026.xlsx</t>
        </is>
      </c>
      <c r="AD875" s="11" t="inlineStr">
        <is>
          <t>Knox Updated 2026 Digital Prices.docx</t>
        </is>
      </c>
      <c r="AE875" s="15" t="inlineStr">
        <is>
          <t>Open in Box</t>
        </is>
      </c>
      <c r="AF875" s="15" t="inlineStr">
        <is>
          <t>Open in Box</t>
        </is>
      </c>
    </row>
    <row r="876">
      <c r="A876" s="11" t="inlineStr">
        <is>
          <t>KY/TN-FORTCAMP-001</t>
        </is>
      </c>
      <c r="B876" s="8" t="inlineStr">
        <is>
          <t>Fort Campbell</t>
        </is>
      </c>
      <c r="C876" s="11" t="inlineStr"/>
      <c r="D876" s="11" t="inlineStr">
        <is>
          <t>KY/TN</t>
        </is>
      </c>
      <c r="E876" s="11" t="inlineStr">
        <is>
          <t>Nashville</t>
        </is>
      </c>
      <c r="F876" s="11" t="inlineStr">
        <is>
          <t>42223</t>
        </is>
      </c>
      <c r="G876" s="11" t="inlineStr">
        <is>
          <t>Army</t>
        </is>
      </c>
      <c r="H876" s="11" t="inlineStr">
        <is>
          <t>Digital</t>
        </is>
      </c>
      <c r="I876" s="8" t="inlineStr">
        <is>
          <t>Bowling Scoring Monitors</t>
        </is>
      </c>
      <c r="J876" s="11" t="inlineStr">
        <is>
          <t>1920pxW x 1080pxH</t>
        </is>
      </c>
      <c r="K876" s="8" t="inlineStr">
        <is>
          <t>Your ad will appear on the digital bowling scoring monitors.</t>
        </is>
      </c>
      <c r="L876" s="11" t="n">
        <v>3</v>
      </c>
      <c r="M876" s="12" t="n"/>
      <c r="N876" s="12" t="n">
        <v>2000</v>
      </c>
      <c r="O876" s="12" t="n">
        <v>3500</v>
      </c>
      <c r="P876" s="12" t="n">
        <v>6000</v>
      </c>
      <c r="Q876" s="12" t="n">
        <v>0</v>
      </c>
      <c r="R876" s="13">
        <f>IF(ISNUMBER(M876),ROUND(M876/(1-Settings!$B$2)/Settings!$B$3,0)*Settings!$B$3,"")</f>
        <v/>
      </c>
      <c r="S876" s="13">
        <f>IF(ISNUMBER(N876),ROUND(N876/(1-Settings!$B$2)/Settings!$B$3,0)*Settings!$B$3,"")</f>
        <v/>
      </c>
      <c r="T876" s="13">
        <f>IF(ISNUMBER(O876),ROUND(O876/(1-Settings!$B$2)/Settings!$B$3,0)*Settings!$B$3,"")</f>
        <v/>
      </c>
      <c r="U876" s="13">
        <f>IF(ISNUMBER(P876),ROUND(P876/(1-Settings!$B$2)/Settings!$B$3,0)*Settings!$B$3,"")</f>
        <v/>
      </c>
      <c r="V876" s="13">
        <f>IF(ISNUMBER(Q876),ROUND(Q876/(1-Settings!$B$2)/Settings!$B$3,0)*Settings!$B$3,"")</f>
        <v/>
      </c>
      <c r="W876" s="14" t="n">
        <v>26824</v>
      </c>
      <c r="X876" s="14" t="n">
        <v>36153</v>
      </c>
      <c r="Y876" s="11" t="inlineStr"/>
      <c r="Z876" s="11" t="inlineStr"/>
      <c r="AA876" s="8" t="inlineStr">
        <is>
          <t>Inventory master 6/2026 lists Bowling Scoring Monitors at $1,000 (1 mo)</t>
        </is>
      </c>
      <c r="AB876" s="16" t="inlineStr">
        <is>
          <t>Source formula errors</t>
        </is>
      </c>
      <c r="AC876" s="11" t="inlineStr">
        <is>
          <t>MasterMilitaryOnBaseList 12.2.25 NS.xlsx</t>
        </is>
      </c>
      <c r="AD876" s="11" t="inlineStr">
        <is>
          <t>Campbell-Advertising Rate Card 2023-2024.pdf</t>
        </is>
      </c>
      <c r="AE876" s="15" t="inlineStr">
        <is>
          <t>Open in Box</t>
        </is>
      </c>
      <c r="AF876" s="15" t="inlineStr">
        <is>
          <t>Open in Box</t>
        </is>
      </c>
    </row>
    <row r="877">
      <c r="A877" s="11" t="inlineStr">
        <is>
          <t>KY/TN-FORTCAMP-002</t>
        </is>
      </c>
      <c r="B877" s="8" t="inlineStr">
        <is>
          <t>Fort Campbell</t>
        </is>
      </c>
      <c r="C877" s="11" t="inlineStr"/>
      <c r="D877" s="11" t="inlineStr">
        <is>
          <t>KY/TN</t>
        </is>
      </c>
      <c r="E877" s="11" t="inlineStr">
        <is>
          <t>Nashville</t>
        </is>
      </c>
      <c r="F877" s="11" t="inlineStr">
        <is>
          <t>42223</t>
        </is>
      </c>
      <c r="G877" s="11" t="inlineStr">
        <is>
          <t>Army</t>
        </is>
      </c>
      <c r="H877" s="11" t="inlineStr">
        <is>
          <t>Digital</t>
        </is>
      </c>
      <c r="I877" s="8" t="inlineStr">
        <is>
          <t>Digital Monitor Network</t>
        </is>
      </c>
      <c r="J877" s="11" t="inlineStr">
        <is>
          <t>1920pxW x 1080pxH</t>
        </is>
      </c>
      <c r="K877" s="8" t="inlineStr">
        <is>
          <t>Your ad will appear on approved screens on the installation.</t>
        </is>
      </c>
      <c r="L877" s="11" t="n">
        <v>1</v>
      </c>
      <c r="M877" s="12" t="n">
        <v>1500</v>
      </c>
      <c r="N877" s="12" t="n">
        <v>4000</v>
      </c>
      <c r="O877" s="12" t="n">
        <v>7500</v>
      </c>
      <c r="P877" s="12" t="n">
        <v>15000</v>
      </c>
      <c r="Q877" s="12" t="n">
        <v>0</v>
      </c>
      <c r="R877" s="13">
        <f>IF(ISNUMBER(M877),ROUND(M877/(1-Settings!$B$2)/Settings!$B$3,0)*Settings!$B$3,"")</f>
        <v/>
      </c>
      <c r="S877" s="13">
        <f>IF(ISNUMBER(N877),ROUND(N877/(1-Settings!$B$2)/Settings!$B$3,0)*Settings!$B$3,"")</f>
        <v/>
      </c>
      <c r="T877" s="13">
        <f>IF(ISNUMBER(O877),ROUND(O877/(1-Settings!$B$2)/Settings!$B$3,0)*Settings!$B$3,"")</f>
        <v/>
      </c>
      <c r="U877" s="13">
        <f>IF(ISNUMBER(P877),ROUND(P877/(1-Settings!$B$2)/Settings!$B$3,0)*Settings!$B$3,"")</f>
        <v/>
      </c>
      <c r="V877" s="13">
        <f>IF(ISNUMBER(Q877),ROUND(Q877/(1-Settings!$B$2)/Settings!$B$3,0)*Settings!$B$3,"")</f>
        <v/>
      </c>
      <c r="W877" s="14" t="n">
        <v>26824</v>
      </c>
      <c r="X877" s="14" t="n">
        <v>36153</v>
      </c>
      <c r="Y877" s="11" t="inlineStr"/>
      <c r="Z877" s="11" t="inlineStr"/>
      <c r="AA877" s="8" t="inlineStr">
        <is>
          <t>Inventory master 6/2026 lists Digital Marquee at $2,500 (1 mo)</t>
        </is>
      </c>
      <c r="AB877" s="8" t="inlineStr"/>
      <c r="AC877" s="11" t="inlineStr">
        <is>
          <t>MasterMilitaryOnBaseList 12.2.25 NS.xlsx</t>
        </is>
      </c>
      <c r="AD877" s="11" t="inlineStr">
        <is>
          <t>Campbell-Advertising Rate Card 2023-2024.pdf</t>
        </is>
      </c>
      <c r="AE877" s="15" t="inlineStr">
        <is>
          <t>Open in Box</t>
        </is>
      </c>
      <c r="AF877" s="15" t="inlineStr">
        <is>
          <t>Open in Box</t>
        </is>
      </c>
    </row>
    <row r="878">
      <c r="A878" s="11" t="inlineStr">
        <is>
          <t>KY/TN-FORTCAMP-003</t>
        </is>
      </c>
      <c r="B878" s="8" t="inlineStr">
        <is>
          <t>Fort Campbell</t>
        </is>
      </c>
      <c r="C878" s="11" t="inlineStr"/>
      <c r="D878" s="11" t="inlineStr">
        <is>
          <t>KY/TN</t>
        </is>
      </c>
      <c r="E878" s="11" t="inlineStr">
        <is>
          <t>Nashville</t>
        </is>
      </c>
      <c r="F878" s="11" t="inlineStr">
        <is>
          <t>42223</t>
        </is>
      </c>
      <c r="G878" s="11" t="inlineStr">
        <is>
          <t>Army</t>
        </is>
      </c>
      <c r="H878" s="11" t="inlineStr">
        <is>
          <t>Digital</t>
        </is>
      </c>
      <c r="I878" s="8" t="inlineStr">
        <is>
          <t>Digital Monitors - Bowling Center</t>
        </is>
      </c>
      <c r="J878" s="11" t="inlineStr">
        <is>
          <t>TBD</t>
        </is>
      </c>
      <c r="K878" s="8" t="inlineStr">
        <is>
          <t>Your ad will appear on screens in the Hooper Bowling Center on the installation.</t>
        </is>
      </c>
      <c r="L878" s="11" t="n">
        <v>3</v>
      </c>
      <c r="M878" s="12" t="n"/>
      <c r="N878" s="12" t="n">
        <v>2000</v>
      </c>
      <c r="O878" s="12" t="n">
        <v>3500</v>
      </c>
      <c r="P878" s="12" t="n">
        <v>6000</v>
      </c>
      <c r="Q878" s="12" t="n"/>
      <c r="R878" s="13">
        <f>IF(ISNUMBER(M878),ROUND(M878/(1-Settings!$B$2)/Settings!$B$3,0)*Settings!$B$3,"")</f>
        <v/>
      </c>
      <c r="S878" s="13">
        <f>IF(ISNUMBER(N878),ROUND(N878/(1-Settings!$B$2)/Settings!$B$3,0)*Settings!$B$3,"")</f>
        <v/>
      </c>
      <c r="T878" s="13">
        <f>IF(ISNUMBER(O878),ROUND(O878/(1-Settings!$B$2)/Settings!$B$3,0)*Settings!$B$3,"")</f>
        <v/>
      </c>
      <c r="U878" s="13">
        <f>IF(ISNUMBER(P878),ROUND(P878/(1-Settings!$B$2)/Settings!$B$3,0)*Settings!$B$3,"")</f>
        <v/>
      </c>
      <c r="V878" s="13">
        <f>IF(ISNUMBER(Q878),ROUND(Q878/(1-Settings!$B$2)/Settings!$B$3,0)*Settings!$B$3,"")</f>
        <v/>
      </c>
      <c r="W878" s="14" t="n">
        <v>26824</v>
      </c>
      <c r="X878" s="14" t="n">
        <v>36153</v>
      </c>
      <c r="Y878" s="11" t="inlineStr"/>
      <c r="Z878" s="11" t="inlineStr"/>
      <c r="AA878" s="8" t="inlineStr">
        <is>
          <t>Inventory master 6/2026 lists Bowling Scoring Monitors at $1,000 (1 mo); Inventory master 6/2026 lists Digital Marquee at $2,500 (1 mo)</t>
        </is>
      </c>
      <c r="AB878" s="8" t="inlineStr"/>
      <c r="AC878" s="11" t="inlineStr">
        <is>
          <t>MasterMilitaryOnBaseList 12.2.25 NS.xlsx</t>
        </is>
      </c>
      <c r="AD878" s="11" t="inlineStr">
        <is>
          <t>Campbell-Advertising Rate Card 2023-2024.pdf</t>
        </is>
      </c>
      <c r="AE878" s="15" t="inlineStr">
        <is>
          <t>Open in Box</t>
        </is>
      </c>
      <c r="AF878" s="15" t="inlineStr">
        <is>
          <t>Open in Box</t>
        </is>
      </c>
    </row>
    <row r="879">
      <c r="A879" s="11" t="inlineStr">
        <is>
          <t>KY/TN-FORTCAMP-004</t>
        </is>
      </c>
      <c r="B879" s="8" t="inlineStr">
        <is>
          <t>Fort Campbell</t>
        </is>
      </c>
      <c r="C879" s="11" t="inlineStr"/>
      <c r="D879" s="11" t="inlineStr">
        <is>
          <t>KY/TN</t>
        </is>
      </c>
      <c r="E879" s="11" t="inlineStr">
        <is>
          <t>Nashville</t>
        </is>
      </c>
      <c r="F879" s="11" t="inlineStr">
        <is>
          <t>42223</t>
        </is>
      </c>
      <c r="G879" s="11" t="inlineStr">
        <is>
          <t>Army</t>
        </is>
      </c>
      <c r="H879" s="11" t="inlineStr">
        <is>
          <t>Digital</t>
        </is>
      </c>
      <c r="I879" s="8" t="inlineStr">
        <is>
          <t>Outdoor LED Marquees</t>
        </is>
      </c>
      <c r="J879" s="11" t="inlineStr">
        <is>
          <t>TBD</t>
        </is>
      </c>
      <c r="K879" s="8" t="inlineStr">
        <is>
          <t>Your ad will appear in approved high traffic locations on the installation.</t>
        </is>
      </c>
      <c r="L879" s="11" t="n">
        <v>1</v>
      </c>
      <c r="M879" s="12" t="n">
        <v>2000</v>
      </c>
      <c r="N879" s="12" t="n">
        <v>5000</v>
      </c>
      <c r="O879" s="12" t="n">
        <v>9000</v>
      </c>
      <c r="P879" s="12" t="n">
        <v>18000</v>
      </c>
      <c r="Q879" s="12" t="n"/>
      <c r="R879" s="13">
        <f>IF(ISNUMBER(M879),ROUND(M879/(1-Settings!$B$2)/Settings!$B$3,0)*Settings!$B$3,"")</f>
        <v/>
      </c>
      <c r="S879" s="13">
        <f>IF(ISNUMBER(N879),ROUND(N879/(1-Settings!$B$2)/Settings!$B$3,0)*Settings!$B$3,"")</f>
        <v/>
      </c>
      <c r="T879" s="13">
        <f>IF(ISNUMBER(O879),ROUND(O879/(1-Settings!$B$2)/Settings!$B$3,0)*Settings!$B$3,"")</f>
        <v/>
      </c>
      <c r="U879" s="13">
        <f>IF(ISNUMBER(P879),ROUND(P879/(1-Settings!$B$2)/Settings!$B$3,0)*Settings!$B$3,"")</f>
        <v/>
      </c>
      <c r="V879" s="13">
        <f>IF(ISNUMBER(Q879),ROUND(Q879/(1-Settings!$B$2)/Settings!$B$3,0)*Settings!$B$3,"")</f>
        <v/>
      </c>
      <c r="W879" s="14" t="n">
        <v>26824</v>
      </c>
      <c r="X879" s="14" t="n">
        <v>36153</v>
      </c>
      <c r="Y879" s="11" t="inlineStr"/>
      <c r="Z879" s="11" t="inlineStr"/>
      <c r="AA879" s="8" t="inlineStr">
        <is>
          <t>Inventory master 6/2026 lists Digital Marquee at $2,500 (1 mo)</t>
        </is>
      </c>
      <c r="AB879" s="8" t="inlineStr"/>
      <c r="AC879" s="11" t="inlineStr">
        <is>
          <t>MasterMilitaryOnBaseList 12.2.25 NS.xlsx</t>
        </is>
      </c>
      <c r="AD879" s="11" t="inlineStr">
        <is>
          <t>Campbell-Advertising Rate Card 2023-2024.pdf</t>
        </is>
      </c>
      <c r="AE879" s="15" t="inlineStr">
        <is>
          <t>Open in Box</t>
        </is>
      </c>
      <c r="AF879" s="15" t="inlineStr">
        <is>
          <t>Open in Box</t>
        </is>
      </c>
    </row>
    <row r="880">
      <c r="A880" s="11" t="inlineStr">
        <is>
          <t>KY/TN-FORTCAMP-005</t>
        </is>
      </c>
      <c r="B880" s="8" t="inlineStr">
        <is>
          <t>Fort Campbell</t>
        </is>
      </c>
      <c r="C880" s="11" t="inlineStr"/>
      <c r="D880" s="11" t="inlineStr">
        <is>
          <t>KY/TN</t>
        </is>
      </c>
      <c r="E880" s="11" t="inlineStr">
        <is>
          <t>Nashville</t>
        </is>
      </c>
      <c r="F880" s="11" t="inlineStr">
        <is>
          <t>42223</t>
        </is>
      </c>
      <c r="G880" s="11" t="inlineStr">
        <is>
          <t>Army</t>
        </is>
      </c>
      <c r="H880" s="11" t="inlineStr">
        <is>
          <t>Digital</t>
        </is>
      </c>
      <c r="I880" s="8" t="inlineStr">
        <is>
          <t>Outdoor Marquee</t>
        </is>
      </c>
      <c r="J880" s="11" t="inlineStr">
        <is>
          <t>TBD</t>
        </is>
      </c>
      <c r="K880" s="8" t="inlineStr">
        <is>
          <t>Your ad will appear on 4 digital marquees.</t>
        </is>
      </c>
      <c r="L880" s="11" t="n">
        <v>1</v>
      </c>
      <c r="M880" s="12" t="n">
        <v>2000</v>
      </c>
      <c r="N880" s="12" t="n">
        <v>5000</v>
      </c>
      <c r="O880" s="12" t="n">
        <v>9000</v>
      </c>
      <c r="P880" s="12" t="n">
        <v>18000</v>
      </c>
      <c r="Q880" s="12" t="n">
        <v>0</v>
      </c>
      <c r="R880" s="13">
        <f>IF(ISNUMBER(M880),ROUND(M880/(1-Settings!$B$2)/Settings!$B$3,0)*Settings!$B$3,"")</f>
        <v/>
      </c>
      <c r="S880" s="13">
        <f>IF(ISNUMBER(N880),ROUND(N880/(1-Settings!$B$2)/Settings!$B$3,0)*Settings!$B$3,"")</f>
        <v/>
      </c>
      <c r="T880" s="13">
        <f>IF(ISNUMBER(O880),ROUND(O880/(1-Settings!$B$2)/Settings!$B$3,0)*Settings!$B$3,"")</f>
        <v/>
      </c>
      <c r="U880" s="13">
        <f>IF(ISNUMBER(P880),ROUND(P880/(1-Settings!$B$2)/Settings!$B$3,0)*Settings!$B$3,"")</f>
        <v/>
      </c>
      <c r="V880" s="13">
        <f>IF(ISNUMBER(Q880),ROUND(Q880/(1-Settings!$B$2)/Settings!$B$3,0)*Settings!$B$3,"")</f>
        <v/>
      </c>
      <c r="W880" s="14" t="n">
        <v>26824</v>
      </c>
      <c r="X880" s="14" t="n">
        <v>36153</v>
      </c>
      <c r="Y880" s="11" t="inlineStr"/>
      <c r="Z880" s="11" t="inlineStr"/>
      <c r="AA880" s="8" t="inlineStr">
        <is>
          <t>Inventory master 6/2026 lists Digital Marquee at $2,500 (1 mo)</t>
        </is>
      </c>
      <c r="AB880" s="8" t="inlineStr"/>
      <c r="AC880" s="11" t="inlineStr">
        <is>
          <t>MasterMilitaryOnBaseList 12.2.25 NS.xlsx</t>
        </is>
      </c>
      <c r="AD880" s="11" t="inlineStr">
        <is>
          <t>Campbell-Advertising Rate Card 2023-2024.pdf</t>
        </is>
      </c>
      <c r="AE880" s="15" t="inlineStr">
        <is>
          <t>Open in Box</t>
        </is>
      </c>
      <c r="AF880" s="15" t="inlineStr">
        <is>
          <t>Open in Box</t>
        </is>
      </c>
    </row>
    <row r="881">
      <c r="A881" s="11" t="inlineStr">
        <is>
          <t>KY/TN-FORTCAMP-016</t>
        </is>
      </c>
      <c r="B881" s="8" t="inlineStr">
        <is>
          <t>Fort Campbell</t>
        </is>
      </c>
      <c r="C881" s="11" t="inlineStr"/>
      <c r="D881" s="11" t="inlineStr">
        <is>
          <t>KY/TN</t>
        </is>
      </c>
      <c r="E881" s="11" t="inlineStr">
        <is>
          <t>Nashville</t>
        </is>
      </c>
      <c r="F881" s="11" t="inlineStr">
        <is>
          <t>42223</t>
        </is>
      </c>
      <c r="G881" s="11" t="inlineStr">
        <is>
          <t>Army</t>
        </is>
      </c>
      <c r="H881" s="11" t="inlineStr">
        <is>
          <t>Large Format</t>
        </is>
      </c>
      <c r="I881" s="8" t="inlineStr">
        <is>
          <t>Counter Wrap</t>
        </is>
      </c>
      <c r="J881" s="11" t="inlineStr">
        <is>
          <t>6'W x 3'H</t>
        </is>
      </c>
      <c r="K881" s="8" t="inlineStr">
        <is>
          <t>Your ad will appear in an approved installation facility.</t>
        </is>
      </c>
      <c r="L881" s="11" t="n">
        <v>6</v>
      </c>
      <c r="M881" s="12" t="n"/>
      <c r="N881" s="12" t="n"/>
      <c r="O881" s="12" t="n">
        <v>9500</v>
      </c>
      <c r="P881" s="12" t="n">
        <v>18000</v>
      </c>
      <c r="Q881" s="12" t="n">
        <v>200</v>
      </c>
      <c r="R881" s="13">
        <f>IF(ISNUMBER(M881),ROUND(M881/(1-Settings!$B$2)/Settings!$B$3,0)*Settings!$B$3,"")</f>
        <v/>
      </c>
      <c r="S881" s="13">
        <f>IF(ISNUMBER(N881),ROUND(N881/(1-Settings!$B$2)/Settings!$B$3,0)*Settings!$B$3,"")</f>
        <v/>
      </c>
      <c r="T881" s="13">
        <f>IF(ISNUMBER(O881),ROUND(O881/(1-Settings!$B$2)/Settings!$B$3,0)*Settings!$B$3,"")</f>
        <v/>
      </c>
      <c r="U881" s="13">
        <f>IF(ISNUMBER(P881),ROUND(P881/(1-Settings!$B$2)/Settings!$B$3,0)*Settings!$B$3,"")</f>
        <v/>
      </c>
      <c r="V881" s="13">
        <f>IF(ISNUMBER(Q881),ROUND(Q881/(1-Settings!$B$2)/Settings!$B$3,0)*Settings!$B$3,"")</f>
        <v/>
      </c>
      <c r="W881" s="14" t="n">
        <v>26824</v>
      </c>
      <c r="X881" s="14" t="n">
        <v>36153</v>
      </c>
      <c r="Y881" s="11" t="inlineStr"/>
      <c r="Z881" s="11" t="inlineStr"/>
      <c r="AA881" s="8" t="inlineStr"/>
      <c r="AB881" s="16" t="inlineStr">
        <is>
          <t>Source formula errors</t>
        </is>
      </c>
      <c r="AC881" s="11" t="inlineStr">
        <is>
          <t>MasterMilitaryOnBaseList 12.2.25 NS.xlsx</t>
        </is>
      </c>
      <c r="AD881" s="11" t="inlineStr">
        <is>
          <t>Campbell-Advertising Rate Card 2023-2024.pdf</t>
        </is>
      </c>
      <c r="AE881" s="15" t="inlineStr">
        <is>
          <t>Open in Box</t>
        </is>
      </c>
      <c r="AF881" s="15" t="inlineStr">
        <is>
          <t>Open in Box</t>
        </is>
      </c>
    </row>
    <row r="882">
      <c r="A882" s="11" t="inlineStr">
        <is>
          <t>KY/TN-FORTCAMP-017</t>
        </is>
      </c>
      <c r="B882" s="8" t="inlineStr">
        <is>
          <t>Fort Campbell</t>
        </is>
      </c>
      <c r="C882" s="11" t="inlineStr"/>
      <c r="D882" s="11" t="inlineStr">
        <is>
          <t>KY/TN</t>
        </is>
      </c>
      <c r="E882" s="11" t="inlineStr">
        <is>
          <t>Nashville</t>
        </is>
      </c>
      <c r="F882" s="11" t="inlineStr">
        <is>
          <t>42223</t>
        </is>
      </c>
      <c r="G882" s="11" t="inlineStr">
        <is>
          <t>Army</t>
        </is>
      </c>
      <c r="H882" s="11" t="inlineStr">
        <is>
          <t>Large Format</t>
        </is>
      </c>
      <c r="I882" s="8" t="inlineStr">
        <is>
          <t>Indoor Wall/Counter Wrap - Tier 1</t>
        </is>
      </c>
      <c r="J882" s="11" t="inlineStr">
        <is>
          <t>3' x 6'</t>
        </is>
      </c>
      <c r="K882" s="8" t="inlineStr">
        <is>
          <t>Your ad will appear in approved high traffic locations on the installation.</t>
        </is>
      </c>
      <c r="L882" s="11" t="n">
        <v>6</v>
      </c>
      <c r="M882" s="12" t="n"/>
      <c r="N882" s="12" t="n"/>
      <c r="O882" s="12" t="n">
        <v>9500</v>
      </c>
      <c r="P882" s="12" t="n">
        <v>18000</v>
      </c>
      <c r="Q882" s="12" t="n"/>
      <c r="R882" s="13">
        <f>IF(ISNUMBER(M882),ROUND(M882/(1-Settings!$B$2)/Settings!$B$3,0)*Settings!$B$3,"")</f>
        <v/>
      </c>
      <c r="S882" s="13">
        <f>IF(ISNUMBER(N882),ROUND(N882/(1-Settings!$B$2)/Settings!$B$3,0)*Settings!$B$3,"")</f>
        <v/>
      </c>
      <c r="T882" s="13">
        <f>IF(ISNUMBER(O882),ROUND(O882/(1-Settings!$B$2)/Settings!$B$3,0)*Settings!$B$3,"")</f>
        <v/>
      </c>
      <c r="U882" s="13">
        <f>IF(ISNUMBER(P882),ROUND(P882/(1-Settings!$B$2)/Settings!$B$3,0)*Settings!$B$3,"")</f>
        <v/>
      </c>
      <c r="V882" s="13">
        <f>IF(ISNUMBER(Q882),ROUND(Q882/(1-Settings!$B$2)/Settings!$B$3,0)*Settings!$B$3,"")</f>
        <v/>
      </c>
      <c r="W882" s="14" t="n">
        <v>26824</v>
      </c>
      <c r="X882" s="14" t="n">
        <v>36153</v>
      </c>
      <c r="Y882" s="11" t="inlineStr"/>
      <c r="Z882" s="11" t="inlineStr"/>
      <c r="AA882" s="8" t="inlineStr"/>
      <c r="AB882" s="8" t="inlineStr"/>
      <c r="AC882" s="11" t="inlineStr">
        <is>
          <t>MasterMilitaryOnBaseList 12.2.25 NS.xlsx</t>
        </is>
      </c>
      <c r="AD882" s="11" t="inlineStr">
        <is>
          <t>Campbell-Advertising Rate Card 2023-2024.pdf</t>
        </is>
      </c>
      <c r="AE882" s="15" t="inlineStr">
        <is>
          <t>Open in Box</t>
        </is>
      </c>
      <c r="AF882" s="15" t="inlineStr">
        <is>
          <t>Open in Box</t>
        </is>
      </c>
    </row>
    <row r="883">
      <c r="A883" s="11" t="inlineStr">
        <is>
          <t>KY/TN-FORTCAMP-018</t>
        </is>
      </c>
      <c r="B883" s="8" t="inlineStr">
        <is>
          <t>Fort Campbell</t>
        </is>
      </c>
      <c r="C883" s="11" t="inlineStr"/>
      <c r="D883" s="11" t="inlineStr">
        <is>
          <t>KY/TN</t>
        </is>
      </c>
      <c r="E883" s="11" t="inlineStr">
        <is>
          <t>Nashville</t>
        </is>
      </c>
      <c r="F883" s="11" t="inlineStr">
        <is>
          <t>42223</t>
        </is>
      </c>
      <c r="G883" s="11" t="inlineStr">
        <is>
          <t>Army</t>
        </is>
      </c>
      <c r="H883" s="11" t="inlineStr">
        <is>
          <t>Large Format</t>
        </is>
      </c>
      <c r="I883" s="8" t="inlineStr">
        <is>
          <t>Indoor Wall/Counter Wrap - Tier 2</t>
        </is>
      </c>
      <c r="J883" s="11" t="inlineStr">
        <is>
          <t>3' x 6'</t>
        </is>
      </c>
      <c r="K883" s="8" t="inlineStr">
        <is>
          <t>Your ad will appear in approved high traffic locations on the installation.</t>
        </is>
      </c>
      <c r="L883" s="11" t="n">
        <v>6</v>
      </c>
      <c r="M883" s="12" t="n"/>
      <c r="N883" s="12" t="n"/>
      <c r="O883" s="12" t="n">
        <v>7500</v>
      </c>
      <c r="P883" s="12" t="n">
        <v>14000</v>
      </c>
      <c r="Q883" s="12" t="n"/>
      <c r="R883" s="13">
        <f>IF(ISNUMBER(M883),ROUND(M883/(1-Settings!$B$2)/Settings!$B$3,0)*Settings!$B$3,"")</f>
        <v/>
      </c>
      <c r="S883" s="13">
        <f>IF(ISNUMBER(N883),ROUND(N883/(1-Settings!$B$2)/Settings!$B$3,0)*Settings!$B$3,"")</f>
        <v/>
      </c>
      <c r="T883" s="13">
        <f>IF(ISNUMBER(O883),ROUND(O883/(1-Settings!$B$2)/Settings!$B$3,0)*Settings!$B$3,"")</f>
        <v/>
      </c>
      <c r="U883" s="13">
        <f>IF(ISNUMBER(P883),ROUND(P883/(1-Settings!$B$2)/Settings!$B$3,0)*Settings!$B$3,"")</f>
        <v/>
      </c>
      <c r="V883" s="13">
        <f>IF(ISNUMBER(Q883),ROUND(Q883/(1-Settings!$B$2)/Settings!$B$3,0)*Settings!$B$3,"")</f>
        <v/>
      </c>
      <c r="W883" s="14" t="n">
        <v>26824</v>
      </c>
      <c r="X883" s="14" t="n">
        <v>36153</v>
      </c>
      <c r="Y883" s="11" t="inlineStr"/>
      <c r="Z883" s="11" t="inlineStr"/>
      <c r="AA883" s="8" t="inlineStr"/>
      <c r="AB883" s="8" t="inlineStr"/>
      <c r="AC883" s="11" t="inlineStr">
        <is>
          <t>MasterMilitaryOnBaseList 12.2.25 NS.xlsx</t>
        </is>
      </c>
      <c r="AD883" s="11" t="inlineStr">
        <is>
          <t>Campbell-Advertising Rate Card 2023-2024.pdf</t>
        </is>
      </c>
      <c r="AE883" s="15" t="inlineStr">
        <is>
          <t>Open in Box</t>
        </is>
      </c>
      <c r="AF883" s="15" t="inlineStr">
        <is>
          <t>Open in Box</t>
        </is>
      </c>
    </row>
    <row r="884">
      <c r="A884" s="11" t="inlineStr">
        <is>
          <t>KY/TN-FORTCAMP-019</t>
        </is>
      </c>
      <c r="B884" s="8" t="inlineStr">
        <is>
          <t>Fort Campbell</t>
        </is>
      </c>
      <c r="C884" s="11" t="inlineStr"/>
      <c r="D884" s="11" t="inlineStr">
        <is>
          <t>KY/TN</t>
        </is>
      </c>
      <c r="E884" s="11" t="inlineStr">
        <is>
          <t>Nashville</t>
        </is>
      </c>
      <c r="F884" s="11" t="inlineStr">
        <is>
          <t>42223</t>
        </is>
      </c>
      <c r="G884" s="11" t="inlineStr">
        <is>
          <t>Army</t>
        </is>
      </c>
      <c r="H884" s="11" t="inlineStr">
        <is>
          <t>Large Format</t>
        </is>
      </c>
      <c r="I884" s="8" t="inlineStr">
        <is>
          <t>Signage - North Sports Field</t>
        </is>
      </c>
      <c r="J884" s="11" t="inlineStr">
        <is>
          <t>TBD (4 Signs)</t>
        </is>
      </c>
      <c r="K884" s="8" t="inlineStr">
        <is>
          <t>Your ad will appear on the North Sports Field on the installation.</t>
        </is>
      </c>
      <c r="L884" s="11" t="n"/>
      <c r="M884" s="12" t="n"/>
      <c r="N884" s="12" t="n"/>
      <c r="O884" s="12" t="n"/>
      <c r="P884" s="12" t="n"/>
      <c r="Q884" s="12" t="n"/>
      <c r="R884" s="13">
        <f>IF(ISNUMBER(M884),ROUND(M884/(1-Settings!$B$2)/Settings!$B$3,0)*Settings!$B$3,"")</f>
        <v/>
      </c>
      <c r="S884" s="13">
        <f>IF(ISNUMBER(N884),ROUND(N884/(1-Settings!$B$2)/Settings!$B$3,0)*Settings!$B$3,"")</f>
        <v/>
      </c>
      <c r="T884" s="13">
        <f>IF(ISNUMBER(O884),ROUND(O884/(1-Settings!$B$2)/Settings!$B$3,0)*Settings!$B$3,"")</f>
        <v/>
      </c>
      <c r="U884" s="13">
        <f>IF(ISNUMBER(P884),ROUND(P884/(1-Settings!$B$2)/Settings!$B$3,0)*Settings!$B$3,"")</f>
        <v/>
      </c>
      <c r="V884" s="13">
        <f>IF(ISNUMBER(Q884),ROUND(Q884/(1-Settings!$B$2)/Settings!$B$3,0)*Settings!$B$3,"")</f>
        <v/>
      </c>
      <c r="W884" s="14" t="n">
        <v>26824</v>
      </c>
      <c r="X884" s="14" t="n">
        <v>36153</v>
      </c>
      <c r="Y884" s="11" t="inlineStr"/>
      <c r="Z884" s="11" t="inlineStr"/>
      <c r="AA884" s="8" t="inlineStr"/>
      <c r="AB884" s="16" t="inlineStr">
        <is>
          <t>No price on file - inquire</t>
        </is>
      </c>
      <c r="AC884" s="11" t="inlineStr">
        <is>
          <t>MasterMilitaryOnBaseList 12.2.25 NS.xlsx</t>
        </is>
      </c>
      <c r="AD884" s="11" t="inlineStr">
        <is>
          <t>Campbell-Advertising Rate Card 2023-2024.pdf</t>
        </is>
      </c>
      <c r="AE884" s="15" t="inlineStr">
        <is>
          <t>Open in Box</t>
        </is>
      </c>
      <c r="AF884" s="15" t="inlineStr">
        <is>
          <t>Open in Box</t>
        </is>
      </c>
    </row>
    <row r="885">
      <c r="A885" s="11" t="inlineStr">
        <is>
          <t>KY/TN-FORTCAMP-020</t>
        </is>
      </c>
      <c r="B885" s="8" t="inlineStr">
        <is>
          <t>Fort Campbell</t>
        </is>
      </c>
      <c r="C885" s="11" t="inlineStr"/>
      <c r="D885" s="11" t="inlineStr">
        <is>
          <t>KY/TN</t>
        </is>
      </c>
      <c r="E885" s="11" t="inlineStr">
        <is>
          <t>Nashville</t>
        </is>
      </c>
      <c r="F885" s="11" t="inlineStr">
        <is>
          <t>42223</t>
        </is>
      </c>
      <c r="G885" s="11" t="inlineStr">
        <is>
          <t>Army</t>
        </is>
      </c>
      <c r="H885" s="11" t="inlineStr">
        <is>
          <t>Large Format</t>
        </is>
      </c>
      <c r="I885" s="8" t="inlineStr">
        <is>
          <t>Signage - South Sports Field</t>
        </is>
      </c>
      <c r="J885" s="11" t="inlineStr">
        <is>
          <t>TBD (4 Signs)</t>
        </is>
      </c>
      <c r="K885" s="8" t="inlineStr">
        <is>
          <t>Your ad will appear on the South Sports Field on the installation.</t>
        </is>
      </c>
      <c r="L885" s="11" t="n">
        <v>12</v>
      </c>
      <c r="M885" s="12" t="n"/>
      <c r="N885" s="12" t="n"/>
      <c r="O885" s="12" t="n"/>
      <c r="P885" s="12" t="n">
        <v>8000</v>
      </c>
      <c r="Q885" s="12" t="n"/>
      <c r="R885" s="13">
        <f>IF(ISNUMBER(M885),ROUND(M885/(1-Settings!$B$2)/Settings!$B$3,0)*Settings!$B$3,"")</f>
        <v/>
      </c>
      <c r="S885" s="13">
        <f>IF(ISNUMBER(N885),ROUND(N885/(1-Settings!$B$2)/Settings!$B$3,0)*Settings!$B$3,"")</f>
        <v/>
      </c>
      <c r="T885" s="13">
        <f>IF(ISNUMBER(O885),ROUND(O885/(1-Settings!$B$2)/Settings!$B$3,0)*Settings!$B$3,"")</f>
        <v/>
      </c>
      <c r="U885" s="13">
        <f>IF(ISNUMBER(P885),ROUND(P885/(1-Settings!$B$2)/Settings!$B$3,0)*Settings!$B$3,"")</f>
        <v/>
      </c>
      <c r="V885" s="13">
        <f>IF(ISNUMBER(Q885),ROUND(Q885/(1-Settings!$B$2)/Settings!$B$3,0)*Settings!$B$3,"")</f>
        <v/>
      </c>
      <c r="W885" s="14" t="n">
        <v>26824</v>
      </c>
      <c r="X885" s="14" t="n">
        <v>36153</v>
      </c>
      <c r="Y885" s="11" t="inlineStr"/>
      <c r="Z885" s="11" t="inlineStr"/>
      <c r="AA885" s="8" t="inlineStr"/>
      <c r="AB885" s="8" t="inlineStr"/>
      <c r="AC885" s="11" t="inlineStr">
        <is>
          <t>MasterMilitaryOnBaseList 12.2.25 NS.xlsx</t>
        </is>
      </c>
      <c r="AD885" s="11" t="inlineStr">
        <is>
          <t>Campbell-Advertising Rate Card 2023-2024.pdf</t>
        </is>
      </c>
      <c r="AE885" s="15" t="inlineStr">
        <is>
          <t>Open in Box</t>
        </is>
      </c>
      <c r="AF885" s="15" t="inlineStr">
        <is>
          <t>Open in Box</t>
        </is>
      </c>
    </row>
    <row r="886">
      <c r="A886" s="11" t="inlineStr">
        <is>
          <t>KY/TN-FORTCAMP-021</t>
        </is>
      </c>
      <c r="B886" s="8" t="inlineStr">
        <is>
          <t>Fort Campbell</t>
        </is>
      </c>
      <c r="C886" s="11" t="inlineStr"/>
      <c r="D886" s="11" t="inlineStr">
        <is>
          <t>KY/TN</t>
        </is>
      </c>
      <c r="E886" s="11" t="inlineStr">
        <is>
          <t>Nashville</t>
        </is>
      </c>
      <c r="F886" s="11" t="inlineStr">
        <is>
          <t>42223</t>
        </is>
      </c>
      <c r="G886" s="11" t="inlineStr">
        <is>
          <t>Army</t>
        </is>
      </c>
      <c r="H886" s="11" t="inlineStr">
        <is>
          <t>Large Format</t>
        </is>
      </c>
      <c r="I886" s="8" t="inlineStr">
        <is>
          <t>Sports Field Signage</t>
        </is>
      </c>
      <c r="J886" s="11" t="inlineStr">
        <is>
          <t>TBD</t>
        </is>
      </c>
      <c r="K886" s="8" t="inlineStr">
        <is>
          <t>Your ad will appear at an approved sports field.</t>
        </is>
      </c>
      <c r="L886" s="11" t="n">
        <v>12</v>
      </c>
      <c r="M886" s="12" t="n"/>
      <c r="N886" s="12" t="n"/>
      <c r="O886" s="12" t="n"/>
      <c r="P886" s="12" t="n">
        <v>11000</v>
      </c>
      <c r="Q886" s="12" t="n"/>
      <c r="R886" s="13">
        <f>IF(ISNUMBER(M886),ROUND(M886/(1-Settings!$B$2)/Settings!$B$3,0)*Settings!$B$3,"")</f>
        <v/>
      </c>
      <c r="S886" s="13">
        <f>IF(ISNUMBER(N886),ROUND(N886/(1-Settings!$B$2)/Settings!$B$3,0)*Settings!$B$3,"")</f>
        <v/>
      </c>
      <c r="T886" s="13">
        <f>IF(ISNUMBER(O886),ROUND(O886/(1-Settings!$B$2)/Settings!$B$3,0)*Settings!$B$3,"")</f>
        <v/>
      </c>
      <c r="U886" s="13">
        <f>IF(ISNUMBER(P886),ROUND(P886/(1-Settings!$B$2)/Settings!$B$3,0)*Settings!$B$3,"")</f>
        <v/>
      </c>
      <c r="V886" s="13">
        <f>IF(ISNUMBER(Q886),ROUND(Q886/(1-Settings!$B$2)/Settings!$B$3,0)*Settings!$B$3,"")</f>
        <v/>
      </c>
      <c r="W886" s="14" t="n">
        <v>26824</v>
      </c>
      <c r="X886" s="14" t="n">
        <v>36153</v>
      </c>
      <c r="Y886" s="11" t="inlineStr"/>
      <c r="Z886" s="11" t="inlineStr"/>
      <c r="AA886" s="8" t="inlineStr"/>
      <c r="AB886" s="16" t="inlineStr">
        <is>
          <t>Source formula errors</t>
        </is>
      </c>
      <c r="AC886" s="11" t="inlineStr">
        <is>
          <t>MasterMilitaryOnBaseList 12.2.25 NS.xlsx</t>
        </is>
      </c>
      <c r="AD886" s="11" t="inlineStr">
        <is>
          <t>Campbell-Advertising Rate Card 2023-2024.pdf</t>
        </is>
      </c>
      <c r="AE886" s="15" t="inlineStr">
        <is>
          <t>Open in Box</t>
        </is>
      </c>
      <c r="AF886" s="15" t="inlineStr">
        <is>
          <t>Open in Box</t>
        </is>
      </c>
    </row>
    <row r="887">
      <c r="A887" s="11" t="inlineStr">
        <is>
          <t>KY/TN-FORTCAMP-022</t>
        </is>
      </c>
      <c r="B887" s="8" t="inlineStr">
        <is>
          <t>Fort Campbell</t>
        </is>
      </c>
      <c r="C887" s="11" t="inlineStr"/>
      <c r="D887" s="11" t="inlineStr">
        <is>
          <t>KY/TN</t>
        </is>
      </c>
      <c r="E887" s="11" t="inlineStr">
        <is>
          <t>Nashville</t>
        </is>
      </c>
      <c r="F887" s="11" t="inlineStr">
        <is>
          <t>42223</t>
        </is>
      </c>
      <c r="G887" s="11" t="inlineStr">
        <is>
          <t>Army</t>
        </is>
      </c>
      <c r="H887" s="11" t="inlineStr">
        <is>
          <t>Print &amp; Publications</t>
        </is>
      </c>
      <c r="I887" s="8" t="inlineStr">
        <is>
          <t>MWR Monthly Calendar</t>
        </is>
      </c>
      <c r="J887" s="11" t="inlineStr">
        <is>
          <t>TBD</t>
        </is>
      </c>
      <c r="K887" s="8" t="inlineStr">
        <is>
          <t>Your ad will appear in the monthly MWR calendar.</t>
        </is>
      </c>
      <c r="L887" s="11" t="n">
        <v>1</v>
      </c>
      <c r="M887" s="12" t="n">
        <v>1500</v>
      </c>
      <c r="N887" s="12" t="n">
        <v>4000</v>
      </c>
      <c r="O887" s="12" t="n">
        <v>7500</v>
      </c>
      <c r="P887" s="12" t="n"/>
      <c r="Q887" s="12" t="n"/>
      <c r="R887" s="13">
        <f>IF(ISNUMBER(M887),ROUND(M887/(1-Settings!$B$2)/Settings!$B$3,0)*Settings!$B$3,"")</f>
        <v/>
      </c>
      <c r="S887" s="13">
        <f>IF(ISNUMBER(N887),ROUND(N887/(1-Settings!$B$2)/Settings!$B$3,0)*Settings!$B$3,"")</f>
        <v/>
      </c>
      <c r="T887" s="13">
        <f>IF(ISNUMBER(O887),ROUND(O887/(1-Settings!$B$2)/Settings!$B$3,0)*Settings!$B$3,"")</f>
        <v/>
      </c>
      <c r="U887" s="13">
        <f>IF(ISNUMBER(P887),ROUND(P887/(1-Settings!$B$2)/Settings!$B$3,0)*Settings!$B$3,"")</f>
        <v/>
      </c>
      <c r="V887" s="13">
        <f>IF(ISNUMBER(Q887),ROUND(Q887/(1-Settings!$B$2)/Settings!$B$3,0)*Settings!$B$3,"")</f>
        <v/>
      </c>
      <c r="W887" s="14" t="n">
        <v>26824</v>
      </c>
      <c r="X887" s="14" t="n">
        <v>36153</v>
      </c>
      <c r="Y887" s="11" t="inlineStr"/>
      <c r="Z887" s="11" t="inlineStr"/>
      <c r="AA887" s="8" t="inlineStr">
        <is>
          <t>Inventory master 6/2026 lists Calendar Ad at $9,000 (6 mo)</t>
        </is>
      </c>
      <c r="AB887" s="8" t="inlineStr"/>
      <c r="AC887" s="11" t="inlineStr">
        <is>
          <t>MasterMilitaryOnBaseList 12.2.25 NS.xlsx</t>
        </is>
      </c>
      <c r="AD887" s="11" t="inlineStr">
        <is>
          <t>Campbell-Advertising Rate Card 2023-2024.pdf</t>
        </is>
      </c>
      <c r="AE887" s="15" t="inlineStr">
        <is>
          <t>Open in Box</t>
        </is>
      </c>
      <c r="AF887" s="15" t="inlineStr">
        <is>
          <t>Open in Box</t>
        </is>
      </c>
    </row>
    <row r="888">
      <c r="A888" s="11" t="inlineStr">
        <is>
          <t>KY/TN-FORTCAMP-023</t>
        </is>
      </c>
      <c r="B888" s="8" t="inlineStr">
        <is>
          <t>Fort Campbell</t>
        </is>
      </c>
      <c r="C888" s="11" t="inlineStr"/>
      <c r="D888" s="11" t="inlineStr">
        <is>
          <t>KY/TN</t>
        </is>
      </c>
      <c r="E888" s="11" t="inlineStr">
        <is>
          <t>Nashville</t>
        </is>
      </c>
      <c r="F888" s="11" t="inlineStr">
        <is>
          <t>42223</t>
        </is>
      </c>
      <c r="G888" s="11" t="inlineStr">
        <is>
          <t>Army</t>
        </is>
      </c>
      <c r="H888" s="11" t="inlineStr">
        <is>
          <t>Print &amp; Publications</t>
        </is>
      </c>
      <c r="I888" s="8" t="inlineStr">
        <is>
          <t>Magnets</t>
        </is>
      </c>
      <c r="J888" s="11" t="inlineStr">
        <is>
          <t>TBD</t>
        </is>
      </c>
      <c r="K888" s="8" t="inlineStr">
        <is>
          <t>Your ad will appear as an endcap magnet on the library bookshelves on the installation.</t>
        </is>
      </c>
      <c r="L888" s="11" t="n">
        <v>6</v>
      </c>
      <c r="M888" s="12" t="n"/>
      <c r="N888" s="12" t="n"/>
      <c r="O888" s="12" t="n">
        <v>550</v>
      </c>
      <c r="P888" s="12" t="n">
        <v>1000</v>
      </c>
      <c r="Q888" s="12" t="n"/>
      <c r="R888" s="13">
        <f>IF(ISNUMBER(M888),ROUND(M888/(1-Settings!$B$2)/Settings!$B$3,0)*Settings!$B$3,"")</f>
        <v/>
      </c>
      <c r="S888" s="13">
        <f>IF(ISNUMBER(N888),ROUND(N888/(1-Settings!$B$2)/Settings!$B$3,0)*Settings!$B$3,"")</f>
        <v/>
      </c>
      <c r="T888" s="13">
        <f>IF(ISNUMBER(O888),ROUND(O888/(1-Settings!$B$2)/Settings!$B$3,0)*Settings!$B$3,"")</f>
        <v/>
      </c>
      <c r="U888" s="13">
        <f>IF(ISNUMBER(P888),ROUND(P888/(1-Settings!$B$2)/Settings!$B$3,0)*Settings!$B$3,"")</f>
        <v/>
      </c>
      <c r="V888" s="13">
        <f>IF(ISNUMBER(Q888),ROUND(Q888/(1-Settings!$B$2)/Settings!$B$3,0)*Settings!$B$3,"")</f>
        <v/>
      </c>
      <c r="W888" s="14" t="n">
        <v>26824</v>
      </c>
      <c r="X888" s="14" t="n">
        <v>36153</v>
      </c>
      <c r="Y888" s="11" t="inlineStr"/>
      <c r="Z888" s="11" t="inlineStr"/>
      <c r="AA888" s="8" t="inlineStr"/>
      <c r="AB888" s="8" t="inlineStr"/>
      <c r="AC888" s="11" t="inlineStr">
        <is>
          <t>MasterMilitaryOnBaseList 12.2.25 NS.xlsx</t>
        </is>
      </c>
      <c r="AD888" s="11" t="inlineStr">
        <is>
          <t>Campbell-Advertising Rate Card 2023-2024.pdf</t>
        </is>
      </c>
      <c r="AE888" s="15" t="inlineStr">
        <is>
          <t>Open in Box</t>
        </is>
      </c>
      <c r="AF888" s="15" t="inlineStr">
        <is>
          <t>Open in Box</t>
        </is>
      </c>
    </row>
    <row r="889">
      <c r="A889" s="11" t="inlineStr">
        <is>
          <t>KY/TN-FORTCAMP-025</t>
        </is>
      </c>
      <c r="B889" s="8" t="inlineStr">
        <is>
          <t>Fort Campbell</t>
        </is>
      </c>
      <c r="C889" s="11" t="inlineStr"/>
      <c r="D889" s="11" t="inlineStr">
        <is>
          <t>KY/TN</t>
        </is>
      </c>
      <c r="E889" s="11" t="inlineStr">
        <is>
          <t>Nashville</t>
        </is>
      </c>
      <c r="F889" s="11" t="inlineStr">
        <is>
          <t>42223</t>
        </is>
      </c>
      <c r="G889" s="11" t="inlineStr">
        <is>
          <t>Army</t>
        </is>
      </c>
      <c r="H889" s="11" t="inlineStr">
        <is>
          <t>Sponsorship &amp; Other</t>
        </is>
      </c>
      <c r="I889" s="8" t="inlineStr">
        <is>
          <t>Library Endcap Magnets</t>
        </is>
      </c>
      <c r="J889" s="11" t="inlineStr">
        <is>
          <t>TBD</t>
        </is>
      </c>
      <c r="K889" s="8" t="inlineStr">
        <is>
          <t>Your ad will appear in the library.</t>
        </is>
      </c>
      <c r="L889" s="11" t="n">
        <v>6</v>
      </c>
      <c r="M889" s="12" t="n"/>
      <c r="N889" s="12" t="n"/>
      <c r="O889" s="12" t="n">
        <v>550</v>
      </c>
      <c r="P889" s="12" t="n">
        <v>1000</v>
      </c>
      <c r="Q889" s="12" t="n"/>
      <c r="R889" s="13">
        <f>IF(ISNUMBER(M889),ROUND(M889/(1-Settings!$B$2)/Settings!$B$3,0)*Settings!$B$3,"")</f>
        <v/>
      </c>
      <c r="S889" s="13">
        <f>IF(ISNUMBER(N889),ROUND(N889/(1-Settings!$B$2)/Settings!$B$3,0)*Settings!$B$3,"")</f>
        <v/>
      </c>
      <c r="T889" s="13">
        <f>IF(ISNUMBER(O889),ROUND(O889/(1-Settings!$B$2)/Settings!$B$3,0)*Settings!$B$3,"")</f>
        <v/>
      </c>
      <c r="U889" s="13">
        <f>IF(ISNUMBER(P889),ROUND(P889/(1-Settings!$B$2)/Settings!$B$3,0)*Settings!$B$3,"")</f>
        <v/>
      </c>
      <c r="V889" s="13">
        <f>IF(ISNUMBER(Q889),ROUND(Q889/(1-Settings!$B$2)/Settings!$B$3,0)*Settings!$B$3,"")</f>
        <v/>
      </c>
      <c r="W889" s="14" t="n">
        <v>26824</v>
      </c>
      <c r="X889" s="14" t="n">
        <v>36153</v>
      </c>
      <c r="Y889" s="11" t="inlineStr"/>
      <c r="Z889" s="11" t="inlineStr"/>
      <c r="AA889" s="8" t="inlineStr"/>
      <c r="AB889" s="16" t="inlineStr">
        <is>
          <t>Source formula errors</t>
        </is>
      </c>
      <c r="AC889" s="11" t="inlineStr">
        <is>
          <t>MasterMilitaryOnBaseList 12.2.25 NS.xlsx</t>
        </is>
      </c>
      <c r="AD889" s="11" t="inlineStr">
        <is>
          <t>Campbell-Advertising Rate Card 2023-2024.pdf</t>
        </is>
      </c>
      <c r="AE889" s="15" t="inlineStr">
        <is>
          <t>Open in Box</t>
        </is>
      </c>
      <c r="AF889" s="15" t="inlineStr">
        <is>
          <t>Open in Box</t>
        </is>
      </c>
    </row>
    <row r="890">
      <c r="A890" s="11" t="inlineStr">
        <is>
          <t>KY/TN-FORTCAMP-006</t>
        </is>
      </c>
      <c r="B890" s="8" t="inlineStr">
        <is>
          <t>Fort Campbell</t>
        </is>
      </c>
      <c r="C890" s="11" t="inlineStr"/>
      <c r="D890" s="11" t="inlineStr">
        <is>
          <t>KY/TN</t>
        </is>
      </c>
      <c r="E890" s="11" t="inlineStr">
        <is>
          <t>Nashville</t>
        </is>
      </c>
      <c r="F890" s="11" t="inlineStr">
        <is>
          <t>42223</t>
        </is>
      </c>
      <c r="G890" s="11" t="inlineStr">
        <is>
          <t>Army</t>
        </is>
      </c>
      <c r="H890" s="11" t="inlineStr">
        <is>
          <t>Standard Media</t>
        </is>
      </c>
      <c r="I890" s="8" t="inlineStr">
        <is>
          <t>Banner</t>
        </is>
      </c>
      <c r="J890" s="11" t="inlineStr">
        <is>
          <t>6'W x 3'H</t>
        </is>
      </c>
      <c r="K890" s="8" t="inlineStr">
        <is>
          <t>Your ad will appear in an approved installation facility.</t>
        </is>
      </c>
      <c r="L890" s="11" t="n">
        <v>3</v>
      </c>
      <c r="M890" s="12" t="n"/>
      <c r="N890" s="12" t="n">
        <v>5000</v>
      </c>
      <c r="O890" s="12" t="n">
        <v>8500</v>
      </c>
      <c r="P890" s="12" t="n">
        <v>16000</v>
      </c>
      <c r="Q890" s="12" t="n">
        <v>200</v>
      </c>
      <c r="R890" s="13">
        <f>IF(ISNUMBER(M890),ROUND(M890/(1-Settings!$B$2)/Settings!$B$3,0)*Settings!$B$3,"")</f>
        <v/>
      </c>
      <c r="S890" s="13">
        <f>IF(ISNUMBER(N890),ROUND(N890/(1-Settings!$B$2)/Settings!$B$3,0)*Settings!$B$3,"")</f>
        <v/>
      </c>
      <c r="T890" s="13">
        <f>IF(ISNUMBER(O890),ROUND(O890/(1-Settings!$B$2)/Settings!$B$3,0)*Settings!$B$3,"")</f>
        <v/>
      </c>
      <c r="U890" s="13">
        <f>IF(ISNUMBER(P890),ROUND(P890/(1-Settings!$B$2)/Settings!$B$3,0)*Settings!$B$3,"")</f>
        <v/>
      </c>
      <c r="V890" s="13">
        <f>IF(ISNUMBER(Q890),ROUND(Q890/(1-Settings!$B$2)/Settings!$B$3,0)*Settings!$B$3,"")</f>
        <v/>
      </c>
      <c r="W890" s="14" t="n">
        <v>26824</v>
      </c>
      <c r="X890" s="14" t="n">
        <v>36153</v>
      </c>
      <c r="Y890" s="11" t="inlineStr"/>
      <c r="Z890" s="11" t="inlineStr"/>
      <c r="AA890" s="8" t="inlineStr"/>
      <c r="AB890" s="16" t="inlineStr">
        <is>
          <t>Source formula errors</t>
        </is>
      </c>
      <c r="AC890" s="11" t="inlineStr">
        <is>
          <t>MasterMilitaryOnBaseList 12.2.25 NS.xlsx</t>
        </is>
      </c>
      <c r="AD890" s="11" t="inlineStr">
        <is>
          <t>Campbell-Advertising Rate Card 2023-2024.pdf</t>
        </is>
      </c>
      <c r="AE890" s="15" t="inlineStr">
        <is>
          <t>Open in Box</t>
        </is>
      </c>
      <c r="AF890" s="15" t="inlineStr">
        <is>
          <t>Open in Box</t>
        </is>
      </c>
    </row>
    <row r="891">
      <c r="A891" s="11" t="inlineStr">
        <is>
          <t>KY/TN-FORTCAMP-007</t>
        </is>
      </c>
      <c r="B891" s="8" t="inlineStr">
        <is>
          <t>Fort Campbell</t>
        </is>
      </c>
      <c r="C891" s="11" t="inlineStr"/>
      <c r="D891" s="11" t="inlineStr">
        <is>
          <t>KY/TN</t>
        </is>
      </c>
      <c r="E891" s="11" t="inlineStr">
        <is>
          <t>Nashville</t>
        </is>
      </c>
      <c r="F891" s="11" t="inlineStr">
        <is>
          <t>42223</t>
        </is>
      </c>
      <c r="G891" s="11" t="inlineStr">
        <is>
          <t>Army</t>
        </is>
      </c>
      <c r="H891" s="11" t="inlineStr">
        <is>
          <t>Standard Media</t>
        </is>
      </c>
      <c r="I891" s="8" t="inlineStr">
        <is>
          <t>Indoor Banners - Tier 1</t>
        </is>
      </c>
      <c r="J891" s="11" t="inlineStr">
        <is>
          <t>3' x 6'</t>
        </is>
      </c>
      <c r="K891" s="8" t="inlineStr">
        <is>
          <t>Your ad will appear in approved high traffic locations on the installation.</t>
        </is>
      </c>
      <c r="L891" s="11" t="n">
        <v>3</v>
      </c>
      <c r="M891" s="12" t="n"/>
      <c r="N891" s="12" t="n">
        <v>5000</v>
      </c>
      <c r="O891" s="12" t="n">
        <v>8500</v>
      </c>
      <c r="P891" s="12" t="n">
        <v>16000</v>
      </c>
      <c r="Q891" s="12" t="n">
        <v>200</v>
      </c>
      <c r="R891" s="13">
        <f>IF(ISNUMBER(M891),ROUND(M891/(1-Settings!$B$2)/Settings!$B$3,0)*Settings!$B$3,"")</f>
        <v/>
      </c>
      <c r="S891" s="13">
        <f>IF(ISNUMBER(N891),ROUND(N891/(1-Settings!$B$2)/Settings!$B$3,0)*Settings!$B$3,"")</f>
        <v/>
      </c>
      <c r="T891" s="13">
        <f>IF(ISNUMBER(O891),ROUND(O891/(1-Settings!$B$2)/Settings!$B$3,0)*Settings!$B$3,"")</f>
        <v/>
      </c>
      <c r="U891" s="13">
        <f>IF(ISNUMBER(P891),ROUND(P891/(1-Settings!$B$2)/Settings!$B$3,0)*Settings!$B$3,"")</f>
        <v/>
      </c>
      <c r="V891" s="13">
        <f>IF(ISNUMBER(Q891),ROUND(Q891/(1-Settings!$B$2)/Settings!$B$3,0)*Settings!$B$3,"")</f>
        <v/>
      </c>
      <c r="W891" s="14" t="n">
        <v>26824</v>
      </c>
      <c r="X891" s="14" t="n">
        <v>36153</v>
      </c>
      <c r="Y891" s="11" t="inlineStr"/>
      <c r="Z891" s="11" t="inlineStr"/>
      <c r="AA891" s="8" t="inlineStr"/>
      <c r="AB891" s="8" t="inlineStr"/>
      <c r="AC891" s="11" t="inlineStr">
        <is>
          <t>MasterMilitaryOnBaseList 12.2.25 NS.xlsx</t>
        </is>
      </c>
      <c r="AD891" s="11" t="inlineStr">
        <is>
          <t>Campbell-Advertising Rate Card 2023-2024.pdf</t>
        </is>
      </c>
      <c r="AE891" s="15" t="inlineStr">
        <is>
          <t>Open in Box</t>
        </is>
      </c>
      <c r="AF891" s="15" t="inlineStr">
        <is>
          <t>Open in Box</t>
        </is>
      </c>
    </row>
    <row r="892">
      <c r="A892" s="11" t="inlineStr">
        <is>
          <t>KY/TN-FORTCAMP-008</t>
        </is>
      </c>
      <c r="B892" s="8" t="inlineStr">
        <is>
          <t>Fort Campbell</t>
        </is>
      </c>
      <c r="C892" s="11" t="inlineStr"/>
      <c r="D892" s="11" t="inlineStr">
        <is>
          <t>KY/TN</t>
        </is>
      </c>
      <c r="E892" s="11" t="inlineStr">
        <is>
          <t>Nashville</t>
        </is>
      </c>
      <c r="F892" s="11" t="inlineStr">
        <is>
          <t>42223</t>
        </is>
      </c>
      <c r="G892" s="11" t="inlineStr">
        <is>
          <t>Army</t>
        </is>
      </c>
      <c r="H892" s="11" t="inlineStr">
        <is>
          <t>Standard Media</t>
        </is>
      </c>
      <c r="I892" s="8" t="inlineStr">
        <is>
          <t>Indoor Banners - Tier 1</t>
        </is>
      </c>
      <c r="J892" s="11" t="inlineStr">
        <is>
          <t>3' x 6'</t>
        </is>
      </c>
      <c r="K892" s="8" t="inlineStr">
        <is>
          <t>Your ad will appear in approved high traffic locations on the installation.</t>
        </is>
      </c>
      <c r="L892" s="11" t="n">
        <v>3</v>
      </c>
      <c r="M892" s="12" t="n"/>
      <c r="N892" s="12" t="n">
        <v>3500</v>
      </c>
      <c r="O892" s="12" t="n">
        <v>6500</v>
      </c>
      <c r="P892" s="12" t="n">
        <v>11500</v>
      </c>
      <c r="Q892" s="12" t="n">
        <v>200</v>
      </c>
      <c r="R892" s="13">
        <f>IF(ISNUMBER(M892),ROUND(M892/(1-Settings!$B$2)/Settings!$B$3,0)*Settings!$B$3,"")</f>
        <v/>
      </c>
      <c r="S892" s="13">
        <f>IF(ISNUMBER(N892),ROUND(N892/(1-Settings!$B$2)/Settings!$B$3,0)*Settings!$B$3,"")</f>
        <v/>
      </c>
      <c r="T892" s="13">
        <f>IF(ISNUMBER(O892),ROUND(O892/(1-Settings!$B$2)/Settings!$B$3,0)*Settings!$B$3,"")</f>
        <v/>
      </c>
      <c r="U892" s="13">
        <f>IF(ISNUMBER(P892),ROUND(P892/(1-Settings!$B$2)/Settings!$B$3,0)*Settings!$B$3,"")</f>
        <v/>
      </c>
      <c r="V892" s="13">
        <f>IF(ISNUMBER(Q892),ROUND(Q892/(1-Settings!$B$2)/Settings!$B$3,0)*Settings!$B$3,"")</f>
        <v/>
      </c>
      <c r="W892" s="14" t="n">
        <v>26824</v>
      </c>
      <c r="X892" s="14" t="n">
        <v>36153</v>
      </c>
      <c r="Y892" s="11" t="inlineStr"/>
      <c r="Z892" s="11" t="inlineStr"/>
      <c r="AA892" s="8" t="inlineStr"/>
      <c r="AB892" s="8" t="inlineStr"/>
      <c r="AC892" s="11" t="inlineStr">
        <is>
          <t>MasterMilitaryOnBaseList 12.2.25 NS.xlsx</t>
        </is>
      </c>
      <c r="AD892" s="11" t="inlineStr">
        <is>
          <t>Campbell-Advertising Rate Card 2023-2024.pdf</t>
        </is>
      </c>
      <c r="AE892" s="15" t="inlineStr">
        <is>
          <t>Open in Box</t>
        </is>
      </c>
      <c r="AF892" s="15" t="inlineStr">
        <is>
          <t>Open in Box</t>
        </is>
      </c>
    </row>
    <row r="893">
      <c r="A893" s="11" t="inlineStr">
        <is>
          <t>KY/TN-FORTCAMP-009</t>
        </is>
      </c>
      <c r="B893" s="8" t="inlineStr">
        <is>
          <t>Fort Campbell</t>
        </is>
      </c>
      <c r="C893" s="11" t="inlineStr"/>
      <c r="D893" s="11" t="inlineStr">
        <is>
          <t>KY/TN</t>
        </is>
      </c>
      <c r="E893" s="11" t="inlineStr">
        <is>
          <t>Nashville</t>
        </is>
      </c>
      <c r="F893" s="11" t="inlineStr">
        <is>
          <t>42223</t>
        </is>
      </c>
      <c r="G893" s="11" t="inlineStr">
        <is>
          <t>Army</t>
        </is>
      </c>
      <c r="H893" s="11" t="inlineStr">
        <is>
          <t>Standard Media</t>
        </is>
      </c>
      <c r="I893" s="8" t="inlineStr">
        <is>
          <t>Indoor Banners - Tier 1</t>
        </is>
      </c>
      <c r="J893" s="11" t="inlineStr">
        <is>
          <t>3' x 6'</t>
        </is>
      </c>
      <c r="K893" s="8" t="inlineStr">
        <is>
          <t>Your ad will appear in approved high traffic locations on the installation.</t>
        </is>
      </c>
      <c r="L893" s="11" t="n">
        <v>3</v>
      </c>
      <c r="M893" s="12" t="n"/>
      <c r="N893" s="12" t="n">
        <v>2000</v>
      </c>
      <c r="O893" s="12" t="n">
        <v>3500</v>
      </c>
      <c r="P893" s="12" t="n">
        <v>6500</v>
      </c>
      <c r="Q893" s="12" t="n">
        <v>200</v>
      </c>
      <c r="R893" s="13">
        <f>IF(ISNUMBER(M893),ROUND(M893/(1-Settings!$B$2)/Settings!$B$3,0)*Settings!$B$3,"")</f>
        <v/>
      </c>
      <c r="S893" s="13">
        <f>IF(ISNUMBER(N893),ROUND(N893/(1-Settings!$B$2)/Settings!$B$3,0)*Settings!$B$3,"")</f>
        <v/>
      </c>
      <c r="T893" s="13">
        <f>IF(ISNUMBER(O893),ROUND(O893/(1-Settings!$B$2)/Settings!$B$3,0)*Settings!$B$3,"")</f>
        <v/>
      </c>
      <c r="U893" s="13">
        <f>IF(ISNUMBER(P893),ROUND(P893/(1-Settings!$B$2)/Settings!$B$3,0)*Settings!$B$3,"")</f>
        <v/>
      </c>
      <c r="V893" s="13">
        <f>IF(ISNUMBER(Q893),ROUND(Q893/(1-Settings!$B$2)/Settings!$B$3,0)*Settings!$B$3,"")</f>
        <v/>
      </c>
      <c r="W893" s="14" t="n">
        <v>26824</v>
      </c>
      <c r="X893" s="14" t="n">
        <v>36153</v>
      </c>
      <c r="Y893" s="11" t="inlineStr"/>
      <c r="Z893" s="11" t="inlineStr"/>
      <c r="AA893" s="8" t="inlineStr"/>
      <c r="AB893" s="8" t="inlineStr"/>
      <c r="AC893" s="11" t="inlineStr">
        <is>
          <t>MasterMilitaryOnBaseList 12.2.25 NS.xlsx</t>
        </is>
      </c>
      <c r="AD893" s="11" t="inlineStr">
        <is>
          <t>Campbell-Advertising Rate Card 2023-2024.pdf</t>
        </is>
      </c>
      <c r="AE893" s="15" t="inlineStr">
        <is>
          <t>Open in Box</t>
        </is>
      </c>
      <c r="AF893" s="15" t="inlineStr">
        <is>
          <t>Open in Box</t>
        </is>
      </c>
    </row>
    <row r="894">
      <c r="A894" s="11" t="inlineStr">
        <is>
          <t>KY/TN-FORTCAMP-010</t>
        </is>
      </c>
      <c r="B894" s="8" t="inlineStr">
        <is>
          <t>Fort Campbell</t>
        </is>
      </c>
      <c r="C894" s="11" t="inlineStr"/>
      <c r="D894" s="11" t="inlineStr">
        <is>
          <t>KY/TN</t>
        </is>
      </c>
      <c r="E894" s="11" t="inlineStr">
        <is>
          <t>Nashville</t>
        </is>
      </c>
      <c r="F894" s="11" t="inlineStr">
        <is>
          <t>42223</t>
        </is>
      </c>
      <c r="G894" s="11" t="inlineStr">
        <is>
          <t>Army</t>
        </is>
      </c>
      <c r="H894" s="11" t="inlineStr">
        <is>
          <t>Standard Media</t>
        </is>
      </c>
      <c r="I894" s="8" t="inlineStr">
        <is>
          <t>Mouse Pads</t>
        </is>
      </c>
      <c r="J894" s="11" t="inlineStr">
        <is>
          <t>TBD</t>
        </is>
      </c>
      <c r="K894" s="8" t="inlineStr">
        <is>
          <t>Your ad will appear on 60 mouse pads.</t>
        </is>
      </c>
      <c r="L894" s="11" t="n">
        <v>6</v>
      </c>
      <c r="M894" s="12" t="n"/>
      <c r="N894" s="12" t="n"/>
      <c r="O894" s="12" t="n">
        <v>5500</v>
      </c>
      <c r="P894" s="12" t="n">
        <v>10000</v>
      </c>
      <c r="Q894" s="12" t="n"/>
      <c r="R894" s="13">
        <f>IF(ISNUMBER(M894),ROUND(M894/(1-Settings!$B$2)/Settings!$B$3,0)*Settings!$B$3,"")</f>
        <v/>
      </c>
      <c r="S894" s="13">
        <f>IF(ISNUMBER(N894),ROUND(N894/(1-Settings!$B$2)/Settings!$B$3,0)*Settings!$B$3,"")</f>
        <v/>
      </c>
      <c r="T894" s="13">
        <f>IF(ISNUMBER(O894),ROUND(O894/(1-Settings!$B$2)/Settings!$B$3,0)*Settings!$B$3,"")</f>
        <v/>
      </c>
      <c r="U894" s="13">
        <f>IF(ISNUMBER(P894),ROUND(P894/(1-Settings!$B$2)/Settings!$B$3,0)*Settings!$B$3,"")</f>
        <v/>
      </c>
      <c r="V894" s="13">
        <f>IF(ISNUMBER(Q894),ROUND(Q894/(1-Settings!$B$2)/Settings!$B$3,0)*Settings!$B$3,"")</f>
        <v/>
      </c>
      <c r="W894" s="14" t="n">
        <v>26824</v>
      </c>
      <c r="X894" s="14" t="n">
        <v>36153</v>
      </c>
      <c r="Y894" s="11" t="inlineStr"/>
      <c r="Z894" s="11" t="inlineStr"/>
      <c r="AA894" s="8" t="inlineStr"/>
      <c r="AB894" s="16" t="inlineStr">
        <is>
          <t>Source formula errors</t>
        </is>
      </c>
      <c r="AC894" s="11" t="inlineStr">
        <is>
          <t>MasterMilitaryOnBaseList 12.2.25 NS.xlsx</t>
        </is>
      </c>
      <c r="AD894" s="11" t="inlineStr">
        <is>
          <t>Campbell-Advertising Rate Card 2023-2024.pdf</t>
        </is>
      </c>
      <c r="AE894" s="15" t="inlineStr">
        <is>
          <t>Open in Box</t>
        </is>
      </c>
      <c r="AF894" s="15" t="inlineStr">
        <is>
          <t>Open in Box</t>
        </is>
      </c>
    </row>
    <row r="895">
      <c r="A895" s="11" t="inlineStr">
        <is>
          <t>KY/TN-FORTCAMP-011</t>
        </is>
      </c>
      <c r="B895" s="8" t="inlineStr">
        <is>
          <t>Fort Campbell</t>
        </is>
      </c>
      <c r="C895" s="11" t="inlineStr"/>
      <c r="D895" s="11" t="inlineStr">
        <is>
          <t>KY/TN</t>
        </is>
      </c>
      <c r="E895" s="11" t="inlineStr">
        <is>
          <t>Nashville</t>
        </is>
      </c>
      <c r="F895" s="11" t="inlineStr">
        <is>
          <t>42223</t>
        </is>
      </c>
      <c r="G895" s="11" t="inlineStr">
        <is>
          <t>Army</t>
        </is>
      </c>
      <c r="H895" s="11" t="inlineStr">
        <is>
          <t>Standard Media</t>
        </is>
      </c>
      <c r="I895" s="8" t="inlineStr">
        <is>
          <t>Mouse pads</t>
        </is>
      </c>
      <c r="J895" s="11" t="inlineStr">
        <is>
          <t>TBD</t>
        </is>
      </c>
      <c r="K895" s="8" t="inlineStr">
        <is>
          <t>Your ad will appear on mouse pads in approved locations on the installation.</t>
        </is>
      </c>
      <c r="L895" s="11" t="n">
        <v>6</v>
      </c>
      <c r="M895" s="12" t="n"/>
      <c r="N895" s="12" t="n"/>
      <c r="O895" s="12" t="n">
        <v>5500</v>
      </c>
      <c r="P895" s="12" t="n">
        <v>10000</v>
      </c>
      <c r="Q895" s="12" t="n"/>
      <c r="R895" s="13">
        <f>IF(ISNUMBER(M895),ROUND(M895/(1-Settings!$B$2)/Settings!$B$3,0)*Settings!$B$3,"")</f>
        <v/>
      </c>
      <c r="S895" s="13">
        <f>IF(ISNUMBER(N895),ROUND(N895/(1-Settings!$B$2)/Settings!$B$3,0)*Settings!$B$3,"")</f>
        <v/>
      </c>
      <c r="T895" s="13">
        <f>IF(ISNUMBER(O895),ROUND(O895/(1-Settings!$B$2)/Settings!$B$3,0)*Settings!$B$3,"")</f>
        <v/>
      </c>
      <c r="U895" s="13">
        <f>IF(ISNUMBER(P895),ROUND(P895/(1-Settings!$B$2)/Settings!$B$3,0)*Settings!$B$3,"")</f>
        <v/>
      </c>
      <c r="V895" s="13">
        <f>IF(ISNUMBER(Q895),ROUND(Q895/(1-Settings!$B$2)/Settings!$B$3,0)*Settings!$B$3,"")</f>
        <v/>
      </c>
      <c r="W895" s="14" t="n">
        <v>26824</v>
      </c>
      <c r="X895" s="14" t="n">
        <v>36153</v>
      </c>
      <c r="Y895" s="11" t="inlineStr"/>
      <c r="Z895" s="11" t="inlineStr"/>
      <c r="AA895" s="8" t="inlineStr"/>
      <c r="AB895" s="8" t="inlineStr"/>
      <c r="AC895" s="11" t="inlineStr">
        <is>
          <t>MasterMilitaryOnBaseList 12.2.25 NS.xlsx</t>
        </is>
      </c>
      <c r="AD895" s="11" t="inlineStr">
        <is>
          <t>Campbell-Advertising Rate Card 2023-2024.pdf</t>
        </is>
      </c>
      <c r="AE895" s="15" t="inlineStr">
        <is>
          <t>Open in Box</t>
        </is>
      </c>
      <c r="AF895" s="15" t="inlineStr">
        <is>
          <t>Open in Box</t>
        </is>
      </c>
    </row>
    <row r="896">
      <c r="A896" s="11" t="inlineStr">
        <is>
          <t>KY/TN-FORTCAMP-012</t>
        </is>
      </c>
      <c r="B896" s="8" t="inlineStr">
        <is>
          <t>Fort Campbell</t>
        </is>
      </c>
      <c r="C896" s="11" t="inlineStr"/>
      <c r="D896" s="11" t="inlineStr">
        <is>
          <t>KY/TN</t>
        </is>
      </c>
      <c r="E896" s="11" t="inlineStr">
        <is>
          <t>Nashville</t>
        </is>
      </c>
      <c r="F896" s="11" t="inlineStr">
        <is>
          <t>42223</t>
        </is>
      </c>
      <c r="G896" s="11" t="inlineStr">
        <is>
          <t>Army</t>
        </is>
      </c>
      <c r="H896" s="11" t="inlineStr">
        <is>
          <t>Standard Media</t>
        </is>
      </c>
      <c r="I896" s="8" t="inlineStr">
        <is>
          <t>Outdoor Banner</t>
        </is>
      </c>
      <c r="J896" s="11" t="inlineStr">
        <is>
          <t>6'W x 3'H</t>
        </is>
      </c>
      <c r="K896" s="8" t="inlineStr">
        <is>
          <t>Your ad will appear in an approved installation facility.</t>
        </is>
      </c>
      <c r="L896" s="11" t="n">
        <v>3</v>
      </c>
      <c r="M896" s="12" t="n"/>
      <c r="N896" s="12" t="n">
        <v>5500</v>
      </c>
      <c r="O896" s="12" t="n">
        <v>9500</v>
      </c>
      <c r="P896" s="12" t="n">
        <v>18000</v>
      </c>
      <c r="Q896" s="12" t="n">
        <v>200</v>
      </c>
      <c r="R896" s="13">
        <f>IF(ISNUMBER(M896),ROUND(M896/(1-Settings!$B$2)/Settings!$B$3,0)*Settings!$B$3,"")</f>
        <v/>
      </c>
      <c r="S896" s="13">
        <f>IF(ISNUMBER(N896),ROUND(N896/(1-Settings!$B$2)/Settings!$B$3,0)*Settings!$B$3,"")</f>
        <v/>
      </c>
      <c r="T896" s="13">
        <f>IF(ISNUMBER(O896),ROUND(O896/(1-Settings!$B$2)/Settings!$B$3,0)*Settings!$B$3,"")</f>
        <v/>
      </c>
      <c r="U896" s="13">
        <f>IF(ISNUMBER(P896),ROUND(P896/(1-Settings!$B$2)/Settings!$B$3,0)*Settings!$B$3,"")</f>
        <v/>
      </c>
      <c r="V896" s="13">
        <f>IF(ISNUMBER(Q896),ROUND(Q896/(1-Settings!$B$2)/Settings!$B$3,0)*Settings!$B$3,"")</f>
        <v/>
      </c>
      <c r="W896" s="14" t="n">
        <v>26824</v>
      </c>
      <c r="X896" s="14" t="n">
        <v>36153</v>
      </c>
      <c r="Y896" s="11" t="inlineStr"/>
      <c r="Z896" s="11" t="inlineStr"/>
      <c r="AA896" s="8" t="inlineStr"/>
      <c r="AB896" s="16" t="inlineStr">
        <is>
          <t>Source formula errors</t>
        </is>
      </c>
      <c r="AC896" s="11" t="inlineStr">
        <is>
          <t>MasterMilitaryOnBaseList 12.2.25 NS.xlsx</t>
        </is>
      </c>
      <c r="AD896" s="11" t="inlineStr">
        <is>
          <t>Campbell-Advertising Rate Card 2023-2024.pdf</t>
        </is>
      </c>
      <c r="AE896" s="15" t="inlineStr">
        <is>
          <t>Open in Box</t>
        </is>
      </c>
      <c r="AF896" s="15" t="inlineStr">
        <is>
          <t>Open in Box</t>
        </is>
      </c>
    </row>
    <row r="897">
      <c r="A897" s="11" t="inlineStr">
        <is>
          <t>KY/TN-FORTCAMP-013</t>
        </is>
      </c>
      <c r="B897" s="8" t="inlineStr">
        <is>
          <t>Fort Campbell</t>
        </is>
      </c>
      <c r="C897" s="11" t="inlineStr"/>
      <c r="D897" s="11" t="inlineStr">
        <is>
          <t>KY/TN</t>
        </is>
      </c>
      <c r="E897" s="11" t="inlineStr">
        <is>
          <t>Nashville</t>
        </is>
      </c>
      <c r="F897" s="11" t="inlineStr">
        <is>
          <t>42223</t>
        </is>
      </c>
      <c r="G897" s="11" t="inlineStr">
        <is>
          <t>Army</t>
        </is>
      </c>
      <c r="H897" s="11" t="inlineStr">
        <is>
          <t>Standard Media</t>
        </is>
      </c>
      <c r="I897" s="8" t="inlineStr">
        <is>
          <t>Outdoor Banners</t>
        </is>
      </c>
      <c r="J897" s="11" t="inlineStr">
        <is>
          <t>3' x 6'</t>
        </is>
      </c>
      <c r="K897" s="8" t="inlineStr">
        <is>
          <t>Your ad will appear on approved outdoor fences on the installation.</t>
        </is>
      </c>
      <c r="L897" s="11" t="n">
        <v>3</v>
      </c>
      <c r="M897" s="12" t="n"/>
      <c r="N897" s="12" t="n">
        <v>5500</v>
      </c>
      <c r="O897" s="12" t="n">
        <v>9500</v>
      </c>
      <c r="P897" s="12" t="n">
        <v>18000</v>
      </c>
      <c r="Q897" s="12" t="n"/>
      <c r="R897" s="13">
        <f>IF(ISNUMBER(M897),ROUND(M897/(1-Settings!$B$2)/Settings!$B$3,0)*Settings!$B$3,"")</f>
        <v/>
      </c>
      <c r="S897" s="13">
        <f>IF(ISNUMBER(N897),ROUND(N897/(1-Settings!$B$2)/Settings!$B$3,0)*Settings!$B$3,"")</f>
        <v/>
      </c>
      <c r="T897" s="13">
        <f>IF(ISNUMBER(O897),ROUND(O897/(1-Settings!$B$2)/Settings!$B$3,0)*Settings!$B$3,"")</f>
        <v/>
      </c>
      <c r="U897" s="13">
        <f>IF(ISNUMBER(P897),ROUND(P897/(1-Settings!$B$2)/Settings!$B$3,0)*Settings!$B$3,"")</f>
        <v/>
      </c>
      <c r="V897" s="13">
        <f>IF(ISNUMBER(Q897),ROUND(Q897/(1-Settings!$B$2)/Settings!$B$3,0)*Settings!$B$3,"")</f>
        <v/>
      </c>
      <c r="W897" s="14" t="n">
        <v>26824</v>
      </c>
      <c r="X897" s="14" t="n">
        <v>36153</v>
      </c>
      <c r="Y897" s="11" t="inlineStr"/>
      <c r="Z897" s="11" t="inlineStr"/>
      <c r="AA897" s="8" t="inlineStr"/>
      <c r="AB897" s="8" t="inlineStr"/>
      <c r="AC897" s="11" t="inlineStr">
        <is>
          <t>MasterMilitaryOnBaseList 12.2.25 NS.xlsx</t>
        </is>
      </c>
      <c r="AD897" s="11" t="inlineStr">
        <is>
          <t>Campbell-Advertising Rate Card 2023-2024.pdf</t>
        </is>
      </c>
      <c r="AE897" s="15" t="inlineStr">
        <is>
          <t>Open in Box</t>
        </is>
      </c>
      <c r="AF897" s="15" t="inlineStr">
        <is>
          <t>Open in Box</t>
        </is>
      </c>
    </row>
    <row r="898">
      <c r="A898" s="11" t="inlineStr">
        <is>
          <t>KY/TN-FORTCAMP-014</t>
        </is>
      </c>
      <c r="B898" s="8" t="inlineStr">
        <is>
          <t>Fort Campbell</t>
        </is>
      </c>
      <c r="C898" s="11" t="inlineStr"/>
      <c r="D898" s="11" t="inlineStr">
        <is>
          <t>KY/TN</t>
        </is>
      </c>
      <c r="E898" s="11" t="inlineStr">
        <is>
          <t>Nashville</t>
        </is>
      </c>
      <c r="F898" s="11" t="inlineStr">
        <is>
          <t>42223</t>
        </is>
      </c>
      <c r="G898" s="11" t="inlineStr">
        <is>
          <t>Army</t>
        </is>
      </c>
      <c r="H898" s="11" t="inlineStr">
        <is>
          <t>Standard Media</t>
        </is>
      </c>
      <c r="I898" s="8" t="inlineStr">
        <is>
          <t>Signage - Fryar Stadium</t>
        </is>
      </c>
      <c r="J898" s="11" t="inlineStr">
        <is>
          <t>TBD</t>
        </is>
      </c>
      <c r="K898" s="8" t="inlineStr">
        <is>
          <t>Your ad will appear in Fryar Stadium on the installation.</t>
        </is>
      </c>
      <c r="L898" s="11" t="n">
        <v>12</v>
      </c>
      <c r="M898" s="12" t="n"/>
      <c r="N898" s="12" t="n"/>
      <c r="O898" s="12" t="n"/>
      <c r="P898" s="12" t="n">
        <v>11000</v>
      </c>
      <c r="Q898" s="12" t="n"/>
      <c r="R898" s="13">
        <f>IF(ISNUMBER(M898),ROUND(M898/(1-Settings!$B$2)/Settings!$B$3,0)*Settings!$B$3,"")</f>
        <v/>
      </c>
      <c r="S898" s="13">
        <f>IF(ISNUMBER(N898),ROUND(N898/(1-Settings!$B$2)/Settings!$B$3,0)*Settings!$B$3,"")</f>
        <v/>
      </c>
      <c r="T898" s="13">
        <f>IF(ISNUMBER(O898),ROUND(O898/(1-Settings!$B$2)/Settings!$B$3,0)*Settings!$B$3,"")</f>
        <v/>
      </c>
      <c r="U898" s="13">
        <f>IF(ISNUMBER(P898),ROUND(P898/(1-Settings!$B$2)/Settings!$B$3,0)*Settings!$B$3,"")</f>
        <v/>
      </c>
      <c r="V898" s="13">
        <f>IF(ISNUMBER(Q898),ROUND(Q898/(1-Settings!$B$2)/Settings!$B$3,0)*Settings!$B$3,"")</f>
        <v/>
      </c>
      <c r="W898" s="14" t="n">
        <v>26824</v>
      </c>
      <c r="X898" s="14" t="n">
        <v>36153</v>
      </c>
      <c r="Y898" s="11" t="inlineStr"/>
      <c r="Z898" s="11" t="inlineStr"/>
      <c r="AA898" s="8" t="inlineStr"/>
      <c r="AB898" s="8" t="inlineStr"/>
      <c r="AC898" s="11" t="inlineStr">
        <is>
          <t>MasterMilitaryOnBaseList 12.2.25 NS.xlsx</t>
        </is>
      </c>
      <c r="AD898" s="11" t="inlineStr">
        <is>
          <t>Campbell-Advertising Rate Card 2023-2024.pdf</t>
        </is>
      </c>
      <c r="AE898" s="15" t="inlineStr">
        <is>
          <t>Open in Box</t>
        </is>
      </c>
      <c r="AF898" s="15" t="inlineStr">
        <is>
          <t>Open in Box</t>
        </is>
      </c>
    </row>
    <row r="899">
      <c r="A899" s="11" t="inlineStr">
        <is>
          <t>KY/TN-FORTCAMP-015</t>
        </is>
      </c>
      <c r="B899" s="8" t="inlineStr">
        <is>
          <t>Fort Campbell</t>
        </is>
      </c>
      <c r="C899" s="11" t="inlineStr"/>
      <c r="D899" s="11" t="inlineStr">
        <is>
          <t>KY/TN</t>
        </is>
      </c>
      <c r="E899" s="11" t="inlineStr">
        <is>
          <t>Nashville</t>
        </is>
      </c>
      <c r="F899" s="11" t="inlineStr">
        <is>
          <t>42223</t>
        </is>
      </c>
      <c r="G899" s="11" t="inlineStr">
        <is>
          <t>Army</t>
        </is>
      </c>
      <c r="H899" s="11" t="inlineStr">
        <is>
          <t>Standard Media</t>
        </is>
      </c>
      <c r="I899" s="8" t="inlineStr">
        <is>
          <t>Signage - Youth Sports Complex</t>
        </is>
      </c>
      <c r="J899" s="11" t="inlineStr">
        <is>
          <t>TBD</t>
        </is>
      </c>
      <c r="K899" s="8" t="inlineStr">
        <is>
          <t>Your ad will appear in the Youth Sports Complex. - PRICES VARY.</t>
        </is>
      </c>
      <c r="L899" s="11" t="n"/>
      <c r="M899" s="12" t="n"/>
      <c r="N899" s="12" t="n"/>
      <c r="O899" s="12" t="n"/>
      <c r="P899" s="12" t="n"/>
      <c r="Q899" s="12" t="n"/>
      <c r="R899" s="13">
        <f>IF(ISNUMBER(M899),ROUND(M899/(1-Settings!$B$2)/Settings!$B$3,0)*Settings!$B$3,"")</f>
        <v/>
      </c>
      <c r="S899" s="13">
        <f>IF(ISNUMBER(N899),ROUND(N899/(1-Settings!$B$2)/Settings!$B$3,0)*Settings!$B$3,"")</f>
        <v/>
      </c>
      <c r="T899" s="13">
        <f>IF(ISNUMBER(O899),ROUND(O899/(1-Settings!$B$2)/Settings!$B$3,0)*Settings!$B$3,"")</f>
        <v/>
      </c>
      <c r="U899" s="13">
        <f>IF(ISNUMBER(P899),ROUND(P899/(1-Settings!$B$2)/Settings!$B$3,0)*Settings!$B$3,"")</f>
        <v/>
      </c>
      <c r="V899" s="13">
        <f>IF(ISNUMBER(Q899),ROUND(Q899/(1-Settings!$B$2)/Settings!$B$3,0)*Settings!$B$3,"")</f>
        <v/>
      </c>
      <c r="W899" s="14" t="n">
        <v>26824</v>
      </c>
      <c r="X899" s="14" t="n">
        <v>36153</v>
      </c>
      <c r="Y899" s="11" t="inlineStr"/>
      <c r="Z899" s="11" t="inlineStr"/>
      <c r="AA899" s="8" t="inlineStr"/>
      <c r="AB899" s="16" t="inlineStr">
        <is>
          <t>No price on file - inquire</t>
        </is>
      </c>
      <c r="AC899" s="11" t="inlineStr">
        <is>
          <t>MasterMilitaryOnBaseList 12.2.25 NS.xlsx</t>
        </is>
      </c>
      <c r="AD899" s="11" t="inlineStr">
        <is>
          <t>Campbell-Advertising Rate Card 2023-2024.pdf</t>
        </is>
      </c>
      <c r="AE899" s="15" t="inlineStr">
        <is>
          <t>Open in Box</t>
        </is>
      </c>
      <c r="AF899" s="15" t="inlineStr">
        <is>
          <t>Open in Box</t>
        </is>
      </c>
    </row>
    <row r="900">
      <c r="A900" s="11" t="inlineStr">
        <is>
          <t>KY/TN-FORTCAMP-024</t>
        </is>
      </c>
      <c r="B900" s="8" t="inlineStr">
        <is>
          <t>Fort Campbell</t>
        </is>
      </c>
      <c r="C900" s="11" t="inlineStr"/>
      <c r="D900" s="11" t="inlineStr">
        <is>
          <t>KY/TN</t>
        </is>
      </c>
      <c r="E900" s="11" t="inlineStr">
        <is>
          <t>Nashville</t>
        </is>
      </c>
      <c r="F900" s="11" t="inlineStr">
        <is>
          <t>42223</t>
        </is>
      </c>
      <c r="G900" s="11" t="inlineStr">
        <is>
          <t>Army</t>
        </is>
      </c>
      <c r="H900" s="11" t="inlineStr">
        <is>
          <t>Web &amp; Email</t>
        </is>
      </c>
      <c r="I900" s="8" t="inlineStr">
        <is>
          <t>Social Media Posts</t>
        </is>
      </c>
      <c r="J900" s="11" t="inlineStr">
        <is>
          <t>TBD</t>
        </is>
      </c>
      <c r="K900" s="8" t="inlineStr">
        <is>
          <t>Your ad will appear on the Fort Campbell Facebook page. (Each month gets 4 posts, 1/week).</t>
        </is>
      </c>
      <c r="L900" s="11" t="n">
        <v>1</v>
      </c>
      <c r="M900" s="12" t="n">
        <v>1500</v>
      </c>
      <c r="N900" s="12" t="n">
        <v>4000</v>
      </c>
      <c r="O900" s="12" t="n">
        <v>7500</v>
      </c>
      <c r="P900" s="12" t="n">
        <v>15000</v>
      </c>
      <c r="Q900" s="12" t="n"/>
      <c r="R900" s="13">
        <f>IF(ISNUMBER(M900),ROUND(M900/(1-Settings!$B$2)/Settings!$B$3,0)*Settings!$B$3,"")</f>
        <v/>
      </c>
      <c r="S900" s="13">
        <f>IF(ISNUMBER(N900),ROUND(N900/(1-Settings!$B$2)/Settings!$B$3,0)*Settings!$B$3,"")</f>
        <v/>
      </c>
      <c r="T900" s="13">
        <f>IF(ISNUMBER(O900),ROUND(O900/(1-Settings!$B$2)/Settings!$B$3,0)*Settings!$B$3,"")</f>
        <v/>
      </c>
      <c r="U900" s="13">
        <f>IF(ISNUMBER(P900),ROUND(P900/(1-Settings!$B$2)/Settings!$B$3,0)*Settings!$B$3,"")</f>
        <v/>
      </c>
      <c r="V900" s="13">
        <f>IF(ISNUMBER(Q900),ROUND(Q900/(1-Settings!$B$2)/Settings!$B$3,0)*Settings!$B$3,"")</f>
        <v/>
      </c>
      <c r="W900" s="14" t="n">
        <v>26824</v>
      </c>
      <c r="X900" s="14" t="n">
        <v>36153</v>
      </c>
      <c r="Y900" s="11" t="inlineStr"/>
      <c r="Z900" s="11" t="inlineStr"/>
      <c r="AA900" s="8" t="inlineStr"/>
      <c r="AB900" s="8" t="inlineStr"/>
      <c r="AC900" s="11" t="inlineStr">
        <is>
          <t>MasterMilitaryOnBaseList 12.2.25 NS.xlsx</t>
        </is>
      </c>
      <c r="AD900" s="11" t="inlineStr">
        <is>
          <t>Campbell-Advertising Rate Card 2023-2024.pdf</t>
        </is>
      </c>
      <c r="AE900" s="15" t="inlineStr">
        <is>
          <t>Open in Box</t>
        </is>
      </c>
      <c r="AF900" s="15" t="inlineStr">
        <is>
          <t>Open in Box</t>
        </is>
      </c>
    </row>
    <row r="901">
      <c r="A901" s="11" t="inlineStr">
        <is>
          <t>KY/TN-FORTCAMP-026</t>
        </is>
      </c>
      <c r="B901" s="8" t="inlineStr">
        <is>
          <t>Fort Campbell</t>
        </is>
      </c>
      <c r="C901" s="11" t="inlineStr"/>
      <c r="D901" s="11" t="inlineStr">
        <is>
          <t>KY/TN</t>
        </is>
      </c>
      <c r="E901" s="11" t="inlineStr">
        <is>
          <t>Nashville</t>
        </is>
      </c>
      <c r="F901" s="11" t="inlineStr"/>
      <c r="G901" s="11" t="inlineStr">
        <is>
          <t>Army</t>
        </is>
      </c>
      <c r="H901" s="11" t="inlineStr">
        <is>
          <t>Web &amp; Email</t>
        </is>
      </c>
      <c r="I901" s="8" t="inlineStr">
        <is>
          <t>Web Ad</t>
        </is>
      </c>
      <c r="J901" s="11" t="inlineStr"/>
      <c r="K901" s="8" t="inlineStr">
        <is>
          <t>Your ad will appear on the installation MWR / FSS website.</t>
        </is>
      </c>
      <c r="L901" s="11" t="n">
        <v>6</v>
      </c>
      <c r="M901" s="12" t="n"/>
      <c r="N901" s="12" t="n"/>
      <c r="O901" s="12" t="n">
        <v>9000</v>
      </c>
      <c r="P901" s="12" t="n"/>
      <c r="Q901" s="12" t="n"/>
      <c r="R901" s="13">
        <f>IF(ISNUMBER(M901),ROUND(M901/(1-Settings!$B$2)/Settings!$B$3,0)*Settings!$B$3,"")</f>
        <v/>
      </c>
      <c r="S901" s="13">
        <f>IF(ISNUMBER(N901),ROUND(N901/(1-Settings!$B$2)/Settings!$B$3,0)*Settings!$B$3,"")</f>
        <v/>
      </c>
      <c r="T901" s="13">
        <f>IF(ISNUMBER(O901),ROUND(O901/(1-Settings!$B$2)/Settings!$B$3,0)*Settings!$B$3,"")</f>
        <v/>
      </c>
      <c r="U901" s="13">
        <f>IF(ISNUMBER(P901),ROUND(P901/(1-Settings!$B$2)/Settings!$B$3,0)*Settings!$B$3,"")</f>
        <v/>
      </c>
      <c r="V901" s="13">
        <f>IF(ISNUMBER(Q901),ROUND(Q901/(1-Settings!$B$2)/Settings!$B$3,0)*Settings!$B$3,"")</f>
        <v/>
      </c>
      <c r="W901" s="14" t="n">
        <v>26824</v>
      </c>
      <c r="X901" s="14" t="n">
        <v>36153</v>
      </c>
      <c r="Y901" s="11" t="inlineStr">
        <is>
          <t>2026</t>
        </is>
      </c>
      <c r="Z901" s="11" t="inlineStr">
        <is>
          <t>2026-06</t>
        </is>
      </c>
      <c r="AA901" s="8" t="inlineStr">
        <is>
          <t>6-month commitment</t>
        </is>
      </c>
      <c r="AB901" s="8" t="inlineStr"/>
      <c r="AC901" s="11" t="inlineStr">
        <is>
          <t>Military - National Publication Inventory Master_June 2026.xlsx</t>
        </is>
      </c>
      <c r="AD901" s="11" t="inlineStr">
        <is>
          <t>Campbell-Advertising Rate Card 2023-2024.pdf</t>
        </is>
      </c>
      <c r="AE901" s="15" t="inlineStr">
        <is>
          <t>Open in Box</t>
        </is>
      </c>
      <c r="AF901" s="15" t="inlineStr">
        <is>
          <t>Open in Box</t>
        </is>
      </c>
    </row>
    <row r="902">
      <c r="A902" s="11" t="inlineStr">
        <is>
          <t>LA-BARKSDAL-001</t>
        </is>
      </c>
      <c r="B902" s="8" t="inlineStr">
        <is>
          <t>Barksdale AFB</t>
        </is>
      </c>
      <c r="C902" s="11" t="inlineStr"/>
      <c r="D902" s="11" t="inlineStr">
        <is>
          <t>LA</t>
        </is>
      </c>
      <c r="E902" s="11" t="inlineStr">
        <is>
          <t>Shreveport, LA</t>
        </is>
      </c>
      <c r="F902" s="11" t="inlineStr"/>
      <c r="G902" s="11" t="inlineStr">
        <is>
          <t>Air Force</t>
        </is>
      </c>
      <c r="H902" s="11" t="inlineStr">
        <is>
          <t>Digital</t>
        </is>
      </c>
      <c r="I902" s="8" t="inlineStr">
        <is>
          <t>Digital Monitor Network</t>
        </is>
      </c>
      <c r="J902" s="11" t="inlineStr">
        <is>
          <t>4 screens</t>
        </is>
      </c>
      <c r="K902" s="8" t="inlineStr">
        <is>
          <t>Your ad will appear on the 4-screen digital monitor network in approved installation facilities.</t>
        </is>
      </c>
      <c r="L902" s="11" t="n">
        <v>1</v>
      </c>
      <c r="M902" s="12" t="n">
        <v>600</v>
      </c>
      <c r="N902" s="12" t="n"/>
      <c r="O902" s="12" t="n"/>
      <c r="P902" s="12" t="n"/>
      <c r="Q902" s="12" t="n"/>
      <c r="R902" s="13">
        <f>IF(ISNUMBER(M902),ROUND(M902/(1-Settings!$B$2)/Settings!$B$3,0)*Settings!$B$3,"")</f>
        <v/>
      </c>
      <c r="S902" s="13">
        <f>IF(ISNUMBER(N902),ROUND(N902/(1-Settings!$B$2)/Settings!$B$3,0)*Settings!$B$3,"")</f>
        <v/>
      </c>
      <c r="T902" s="13">
        <f>IF(ISNUMBER(O902),ROUND(O902/(1-Settings!$B$2)/Settings!$B$3,0)*Settings!$B$3,"")</f>
        <v/>
      </c>
      <c r="U902" s="13">
        <f>IF(ISNUMBER(P902),ROUND(P902/(1-Settings!$B$2)/Settings!$B$3,0)*Settings!$B$3,"")</f>
        <v/>
      </c>
      <c r="V902" s="13">
        <f>IF(ISNUMBER(Q902),ROUND(Q902/(1-Settings!$B$2)/Settings!$B$3,0)*Settings!$B$3,"")</f>
        <v/>
      </c>
      <c r="W902" s="14" t="n">
        <v>5175</v>
      </c>
      <c r="X902" s="14" t="n">
        <v>6715</v>
      </c>
      <c r="Y902" s="11" t="inlineStr">
        <is>
          <t>2026</t>
        </is>
      </c>
      <c r="Z902" s="11" t="inlineStr">
        <is>
          <t>2026-06</t>
        </is>
      </c>
      <c r="AA902" s="8" t="inlineStr"/>
      <c r="AB902" s="8" t="inlineStr"/>
      <c r="AC902" s="11" t="inlineStr">
        <is>
          <t>Military - National Digital Inventory Master 6.3.26.xlsx</t>
        </is>
      </c>
      <c r="AD902" s="11" t="inlineStr">
        <is>
          <t>2026 ADV (1).pdf</t>
        </is>
      </c>
      <c r="AE902" s="15" t="inlineStr">
        <is>
          <t>Open in Box</t>
        </is>
      </c>
      <c r="AF902" s="15" t="inlineStr">
        <is>
          <t>Open in Box</t>
        </is>
      </c>
    </row>
    <row r="903">
      <c r="A903" s="11" t="inlineStr">
        <is>
          <t>LA-BARKSDAL-002</t>
        </is>
      </c>
      <c r="B903" s="8" t="inlineStr">
        <is>
          <t>Barksdale AFB</t>
        </is>
      </c>
      <c r="C903" s="11" t="inlineStr"/>
      <c r="D903" s="11" t="inlineStr">
        <is>
          <t>LA</t>
        </is>
      </c>
      <c r="E903" s="11" t="inlineStr">
        <is>
          <t>Shreveport, LA</t>
        </is>
      </c>
      <c r="F903" s="11" t="inlineStr"/>
      <c r="G903" s="11" t="inlineStr">
        <is>
          <t>Air Force</t>
        </is>
      </c>
      <c r="H903" s="11" t="inlineStr">
        <is>
          <t>Web &amp; Email</t>
        </is>
      </c>
      <c r="I903" s="8" t="inlineStr">
        <is>
          <t>Web Ad</t>
        </is>
      </c>
      <c r="J903" s="11" t="inlineStr"/>
      <c r="K903" s="8" t="inlineStr">
        <is>
          <t>Your ad will appear on the installation MWR / FSS website.</t>
        </is>
      </c>
      <c r="L903" s="11" t="n">
        <v>1</v>
      </c>
      <c r="M903" s="12" t="n">
        <v>150</v>
      </c>
      <c r="N903" s="12" t="n"/>
      <c r="O903" s="12" t="n"/>
      <c r="P903" s="12" t="n"/>
      <c r="Q903" s="12" t="n"/>
      <c r="R903" s="13">
        <f>IF(ISNUMBER(M903),ROUND(M903/(1-Settings!$B$2)/Settings!$B$3,0)*Settings!$B$3,"")</f>
        <v/>
      </c>
      <c r="S903" s="13">
        <f>IF(ISNUMBER(N903),ROUND(N903/(1-Settings!$B$2)/Settings!$B$3,0)*Settings!$B$3,"")</f>
        <v/>
      </c>
      <c r="T903" s="13">
        <f>IF(ISNUMBER(O903),ROUND(O903/(1-Settings!$B$2)/Settings!$B$3,0)*Settings!$B$3,"")</f>
        <v/>
      </c>
      <c r="U903" s="13">
        <f>IF(ISNUMBER(P903),ROUND(P903/(1-Settings!$B$2)/Settings!$B$3,0)*Settings!$B$3,"")</f>
        <v/>
      </c>
      <c r="V903" s="13">
        <f>IF(ISNUMBER(Q903),ROUND(Q903/(1-Settings!$B$2)/Settings!$B$3,0)*Settings!$B$3,"")</f>
        <v/>
      </c>
      <c r="W903" s="14" t="n">
        <v>5175</v>
      </c>
      <c r="X903" s="14" t="n">
        <v>6715</v>
      </c>
      <c r="Y903" s="11" t="inlineStr">
        <is>
          <t>2026</t>
        </is>
      </c>
      <c r="Z903" s="11" t="inlineStr">
        <is>
          <t>2026-06</t>
        </is>
      </c>
      <c r="AA903" s="8" t="inlineStr"/>
      <c r="AB903" s="8" t="inlineStr"/>
      <c r="AC903" s="11" t="inlineStr">
        <is>
          <t>Military - National Publication Inventory Master_June 2026.xlsx</t>
        </is>
      </c>
      <c r="AD903" s="11" t="inlineStr">
        <is>
          <t>2026 ADV (1).pdf</t>
        </is>
      </c>
      <c r="AE903" s="15" t="inlineStr">
        <is>
          <t>Open in Box</t>
        </is>
      </c>
      <c r="AF903" s="15" t="inlineStr">
        <is>
          <t>Open in Box</t>
        </is>
      </c>
    </row>
    <row r="904">
      <c r="A904" s="11" t="inlineStr">
        <is>
          <t>LA-FORTJOHN-001</t>
        </is>
      </c>
      <c r="B904" s="8" t="inlineStr">
        <is>
          <t>Fort Johnson</t>
        </is>
      </c>
      <c r="C904" s="11" t="inlineStr">
        <is>
          <t>Fort Polk</t>
        </is>
      </c>
      <c r="D904" s="11" t="inlineStr">
        <is>
          <t>LA</t>
        </is>
      </c>
      <c r="E904" s="11" t="inlineStr">
        <is>
          <t>Alexandria, La</t>
        </is>
      </c>
      <c r="F904" s="11" t="inlineStr">
        <is>
          <t>71459</t>
        </is>
      </c>
      <c r="G904" s="11" t="inlineStr">
        <is>
          <t>Army</t>
        </is>
      </c>
      <c r="H904" s="11" t="inlineStr">
        <is>
          <t>Digital</t>
        </is>
      </c>
      <c r="I904" s="8" t="inlineStr">
        <is>
          <t>Digital LCD Advertising</t>
        </is>
      </c>
      <c r="J904" s="11" t="inlineStr">
        <is>
          <t>1500px x 900px</t>
        </is>
      </c>
      <c r="K904" s="8" t="inlineStr">
        <is>
          <t>Your ad will appear in 35 locations throughout the installation.</t>
        </is>
      </c>
      <c r="L904" s="11" t="n">
        <v>6</v>
      </c>
      <c r="M904" s="12" t="n"/>
      <c r="N904" s="12" t="n"/>
      <c r="O904" s="12" t="n">
        <v>2000</v>
      </c>
      <c r="P904" s="12" t="n">
        <v>3500</v>
      </c>
      <c r="Q904" s="12" t="n"/>
      <c r="R904" s="13">
        <f>IF(ISNUMBER(M904),ROUND(M904/(1-Settings!$B$2)/Settings!$B$3,0)*Settings!$B$3,"")</f>
        <v/>
      </c>
      <c r="S904" s="13">
        <f>IF(ISNUMBER(N904),ROUND(N904/(1-Settings!$B$2)/Settings!$B$3,0)*Settings!$B$3,"")</f>
        <v/>
      </c>
      <c r="T904" s="13">
        <f>IF(ISNUMBER(O904),ROUND(O904/(1-Settings!$B$2)/Settings!$B$3,0)*Settings!$B$3,"")</f>
        <v/>
      </c>
      <c r="U904" s="13">
        <f>IF(ISNUMBER(P904),ROUND(P904/(1-Settings!$B$2)/Settings!$B$3,0)*Settings!$B$3,"")</f>
        <v/>
      </c>
      <c r="V904" s="13">
        <f>IF(ISNUMBER(Q904),ROUND(Q904/(1-Settings!$B$2)/Settings!$B$3,0)*Settings!$B$3,"")</f>
        <v/>
      </c>
      <c r="W904" s="14" t="n">
        <v>7783</v>
      </c>
      <c r="X904" s="14" t="n">
        <v>9601</v>
      </c>
      <c r="Y904" s="11" t="inlineStr"/>
      <c r="Z904" s="11" t="inlineStr"/>
      <c r="AA904" s="8" t="inlineStr">
        <is>
          <t>Inventory master 6/2026 lists Digital Monitor Network at $1,000 (1 mo); Inventory master 6/2026 lists Digital Marquee at $1,250 (1 mo)</t>
        </is>
      </c>
      <c r="AB904" s="8" t="inlineStr"/>
      <c r="AC904" s="11" t="inlineStr">
        <is>
          <t>MasterMilitaryOnBaseList 12.2.25 NS.xlsx</t>
        </is>
      </c>
      <c r="AD904" s="11" t="inlineStr">
        <is>
          <t>Bowling Center Advertisement.jpg</t>
        </is>
      </c>
      <c r="AE904" s="15" t="inlineStr">
        <is>
          <t>Open in Box</t>
        </is>
      </c>
      <c r="AF904" s="15" t="inlineStr">
        <is>
          <t>Open in Box</t>
        </is>
      </c>
    </row>
    <row r="905">
      <c r="A905" s="11" t="inlineStr">
        <is>
          <t>LA-FORTJOHN-002</t>
        </is>
      </c>
      <c r="B905" s="8" t="inlineStr">
        <is>
          <t>Fort Johnson</t>
        </is>
      </c>
      <c r="C905" s="11" t="inlineStr">
        <is>
          <t>Fort Polk</t>
        </is>
      </c>
      <c r="D905" s="11" t="inlineStr">
        <is>
          <t>LA</t>
        </is>
      </c>
      <c r="E905" s="11" t="inlineStr">
        <is>
          <t>Alexandria, La</t>
        </is>
      </c>
      <c r="F905" s="11" t="inlineStr">
        <is>
          <t>71459</t>
        </is>
      </c>
      <c r="G905" s="11" t="inlineStr">
        <is>
          <t>Army</t>
        </is>
      </c>
      <c r="H905" s="11" t="inlineStr">
        <is>
          <t>Digital</t>
        </is>
      </c>
      <c r="I905" s="8" t="inlineStr">
        <is>
          <t>LED Outdoor Digital Monitors</t>
        </is>
      </c>
      <c r="J905" s="11" t="inlineStr">
        <is>
          <t>TBD</t>
        </is>
      </c>
      <c r="K905" s="8" t="inlineStr">
        <is>
          <t>Your ad will appear on 3 outdoor digital monitors on the installation.</t>
        </is>
      </c>
      <c r="L905" s="11" t="n">
        <v>6</v>
      </c>
      <c r="M905" s="12" t="n"/>
      <c r="N905" s="12" t="n"/>
      <c r="O905" s="12" t="n">
        <v>1500</v>
      </c>
      <c r="P905" s="12" t="n">
        <v>2000</v>
      </c>
      <c r="Q905" s="12" t="n"/>
      <c r="R905" s="13">
        <f>IF(ISNUMBER(M905),ROUND(M905/(1-Settings!$B$2)/Settings!$B$3,0)*Settings!$B$3,"")</f>
        <v/>
      </c>
      <c r="S905" s="13">
        <f>IF(ISNUMBER(N905),ROUND(N905/(1-Settings!$B$2)/Settings!$B$3,0)*Settings!$B$3,"")</f>
        <v/>
      </c>
      <c r="T905" s="13">
        <f>IF(ISNUMBER(O905),ROUND(O905/(1-Settings!$B$2)/Settings!$B$3,0)*Settings!$B$3,"")</f>
        <v/>
      </c>
      <c r="U905" s="13">
        <f>IF(ISNUMBER(P905),ROUND(P905/(1-Settings!$B$2)/Settings!$B$3,0)*Settings!$B$3,"")</f>
        <v/>
      </c>
      <c r="V905" s="13">
        <f>IF(ISNUMBER(Q905),ROUND(Q905/(1-Settings!$B$2)/Settings!$B$3,0)*Settings!$B$3,"")</f>
        <v/>
      </c>
      <c r="W905" s="14" t="n">
        <v>7783</v>
      </c>
      <c r="X905" s="14" t="n">
        <v>9601</v>
      </c>
      <c r="Y905" s="11" t="inlineStr"/>
      <c r="Z905" s="11" t="inlineStr"/>
      <c r="AA905" s="8" t="inlineStr">
        <is>
          <t>Inventory master 6/2026 lists Digital Monitor Network at $1,000 (1 mo)</t>
        </is>
      </c>
      <c r="AB905" s="8" t="inlineStr"/>
      <c r="AC905" s="11" t="inlineStr">
        <is>
          <t>MasterMilitaryOnBaseList 12.2.25 NS.xlsx</t>
        </is>
      </c>
      <c r="AD905" s="11" t="inlineStr">
        <is>
          <t>Bowling Center Advertisement.jpg</t>
        </is>
      </c>
      <c r="AE905" s="15" t="inlineStr">
        <is>
          <t>Open in Box</t>
        </is>
      </c>
      <c r="AF905" s="15" t="inlineStr">
        <is>
          <t>Open in Box</t>
        </is>
      </c>
    </row>
    <row r="906">
      <c r="A906" s="11" t="inlineStr">
        <is>
          <t>LA-FORTJOHN-007</t>
        </is>
      </c>
      <c r="B906" s="8" t="inlineStr">
        <is>
          <t>Fort Johnson</t>
        </is>
      </c>
      <c r="C906" s="11" t="inlineStr">
        <is>
          <t>Fort Polk</t>
        </is>
      </c>
      <c r="D906" s="11" t="inlineStr">
        <is>
          <t>LA</t>
        </is>
      </c>
      <c r="E906" s="11" t="inlineStr">
        <is>
          <t>Alexandria, La</t>
        </is>
      </c>
      <c r="F906" s="11" t="inlineStr">
        <is>
          <t>71459</t>
        </is>
      </c>
      <c r="G906" s="11" t="inlineStr">
        <is>
          <t>Army</t>
        </is>
      </c>
      <c r="H906" s="11" t="inlineStr">
        <is>
          <t>Large Format</t>
        </is>
      </c>
      <c r="I906" s="8" t="inlineStr">
        <is>
          <t>Banner - Anvil Field</t>
        </is>
      </c>
      <c r="J906" s="11" t="inlineStr">
        <is>
          <t>3'H x 5'W</t>
        </is>
      </c>
      <c r="K906" s="8" t="inlineStr">
        <is>
          <t>Your ad will appear in an approved location on the installation.</t>
        </is>
      </c>
      <c r="L906" s="11" t="n">
        <v>1</v>
      </c>
      <c r="M906" s="12" t="n">
        <v>800</v>
      </c>
      <c r="N906" s="12" t="n"/>
      <c r="O906" s="12" t="n"/>
      <c r="P906" s="12" t="n"/>
      <c r="Q906" s="12" t="n"/>
      <c r="R906" s="13">
        <f>IF(ISNUMBER(M906),ROUND(M906/(1-Settings!$B$2)/Settings!$B$3,0)*Settings!$B$3,"")</f>
        <v/>
      </c>
      <c r="S906" s="13">
        <f>IF(ISNUMBER(N906),ROUND(N906/(1-Settings!$B$2)/Settings!$B$3,0)*Settings!$B$3,"")</f>
        <v/>
      </c>
      <c r="T906" s="13">
        <f>IF(ISNUMBER(O906),ROUND(O906/(1-Settings!$B$2)/Settings!$B$3,0)*Settings!$B$3,"")</f>
        <v/>
      </c>
      <c r="U906" s="13">
        <f>IF(ISNUMBER(P906),ROUND(P906/(1-Settings!$B$2)/Settings!$B$3,0)*Settings!$B$3,"")</f>
        <v/>
      </c>
      <c r="V906" s="13">
        <f>IF(ISNUMBER(Q906),ROUND(Q906/(1-Settings!$B$2)/Settings!$B$3,0)*Settings!$B$3,"")</f>
        <v/>
      </c>
      <c r="W906" s="14" t="n">
        <v>7783</v>
      </c>
      <c r="X906" s="14" t="n">
        <v>9601</v>
      </c>
      <c r="Y906" s="11" t="inlineStr"/>
      <c r="Z906" s="11" t="inlineStr"/>
      <c r="AA906" s="8" t="inlineStr"/>
      <c r="AB906" s="8" t="inlineStr"/>
      <c r="AC906" s="11" t="inlineStr">
        <is>
          <t>MasterMilitaryOnBaseList 12.2.25 NS.xlsx</t>
        </is>
      </c>
      <c r="AD906" s="11" t="inlineStr">
        <is>
          <t>Bowling Center Advertisement.jpg</t>
        </is>
      </c>
      <c r="AE906" s="15" t="inlineStr">
        <is>
          <t>Open in Box</t>
        </is>
      </c>
      <c r="AF906" s="15" t="inlineStr">
        <is>
          <t>Open in Box</t>
        </is>
      </c>
    </row>
    <row r="907">
      <c r="A907" s="11" t="inlineStr">
        <is>
          <t>LA-FORTJOHN-008</t>
        </is>
      </c>
      <c r="B907" s="8" t="inlineStr">
        <is>
          <t>Fort Johnson</t>
        </is>
      </c>
      <c r="C907" s="11" t="inlineStr">
        <is>
          <t>Fort Polk</t>
        </is>
      </c>
      <c r="D907" s="11" t="inlineStr">
        <is>
          <t>LA</t>
        </is>
      </c>
      <c r="E907" s="11" t="inlineStr">
        <is>
          <t>Alexandria, La</t>
        </is>
      </c>
      <c r="F907" s="11" t="inlineStr">
        <is>
          <t>71459</t>
        </is>
      </c>
      <c r="G907" s="11" t="inlineStr">
        <is>
          <t>Army</t>
        </is>
      </c>
      <c r="H907" s="11" t="inlineStr">
        <is>
          <t>Large Format</t>
        </is>
      </c>
      <c r="I907" s="8" t="inlineStr">
        <is>
          <t>Banner - Perez Youth Sports Complex Fences</t>
        </is>
      </c>
      <c r="J907" s="11" t="inlineStr">
        <is>
          <t>3'H x 5'W</t>
        </is>
      </c>
      <c r="K907" s="8" t="inlineStr">
        <is>
          <t>Your ad will appear in an approved location on the installation.</t>
        </is>
      </c>
      <c r="L907" s="11" t="n">
        <v>1</v>
      </c>
      <c r="M907" s="12" t="n">
        <v>700</v>
      </c>
      <c r="N907" s="12" t="n"/>
      <c r="O907" s="12" t="n"/>
      <c r="P907" s="12" t="n"/>
      <c r="Q907" s="12" t="n"/>
      <c r="R907" s="13">
        <f>IF(ISNUMBER(M907),ROUND(M907/(1-Settings!$B$2)/Settings!$B$3,0)*Settings!$B$3,"")</f>
        <v/>
      </c>
      <c r="S907" s="13">
        <f>IF(ISNUMBER(N907),ROUND(N907/(1-Settings!$B$2)/Settings!$B$3,0)*Settings!$B$3,"")</f>
        <v/>
      </c>
      <c r="T907" s="13">
        <f>IF(ISNUMBER(O907),ROUND(O907/(1-Settings!$B$2)/Settings!$B$3,0)*Settings!$B$3,"")</f>
        <v/>
      </c>
      <c r="U907" s="13">
        <f>IF(ISNUMBER(P907),ROUND(P907/(1-Settings!$B$2)/Settings!$B$3,0)*Settings!$B$3,"")</f>
        <v/>
      </c>
      <c r="V907" s="13">
        <f>IF(ISNUMBER(Q907),ROUND(Q907/(1-Settings!$B$2)/Settings!$B$3,0)*Settings!$B$3,"")</f>
        <v/>
      </c>
      <c r="W907" s="14" t="n">
        <v>7783</v>
      </c>
      <c r="X907" s="14" t="n">
        <v>9601</v>
      </c>
      <c r="Y907" s="11" t="inlineStr"/>
      <c r="Z907" s="11" t="inlineStr"/>
      <c r="AA907" s="8" t="inlineStr"/>
      <c r="AB907" s="8" t="inlineStr"/>
      <c r="AC907" s="11" t="inlineStr">
        <is>
          <t>MasterMilitaryOnBaseList 12.2.25 NS.xlsx</t>
        </is>
      </c>
      <c r="AD907" s="11" t="inlineStr">
        <is>
          <t>Bowling Center Advertisement.jpg</t>
        </is>
      </c>
      <c r="AE907" s="15" t="inlineStr">
        <is>
          <t>Open in Box</t>
        </is>
      </c>
      <c r="AF907" s="15" t="inlineStr">
        <is>
          <t>Open in Box</t>
        </is>
      </c>
    </row>
    <row r="908">
      <c r="A908" s="11" t="inlineStr">
        <is>
          <t>LA-FORTJOHN-010</t>
        </is>
      </c>
      <c r="B908" s="8" t="inlineStr">
        <is>
          <t>Fort Johnson</t>
        </is>
      </c>
      <c r="C908" s="11" t="inlineStr"/>
      <c r="D908" s="11" t="inlineStr">
        <is>
          <t>LA</t>
        </is>
      </c>
      <c r="E908" s="11" t="inlineStr">
        <is>
          <t>Alexandria, La</t>
        </is>
      </c>
      <c r="F908" s="11" t="inlineStr"/>
      <c r="G908" s="11" t="inlineStr">
        <is>
          <t>Army</t>
        </is>
      </c>
      <c r="H908" s="11" t="inlineStr">
        <is>
          <t>Print &amp; Publications</t>
        </is>
      </c>
      <c r="I908" s="8" t="inlineStr">
        <is>
          <t>Magazine Ad</t>
        </is>
      </c>
      <c r="J908" s="11" t="inlineStr"/>
      <c r="K908" s="8" t="inlineStr">
        <is>
          <t>Your ad will appear in the installation magazine.</t>
        </is>
      </c>
      <c r="L908" s="11" t="n">
        <v>1</v>
      </c>
      <c r="M908" s="12" t="n">
        <v>350</v>
      </c>
      <c r="N908" s="12" t="n"/>
      <c r="O908" s="12" t="n"/>
      <c r="P908" s="12" t="n"/>
      <c r="Q908" s="12" t="n"/>
      <c r="R908" s="13">
        <f>IF(ISNUMBER(M908),ROUND(M908/(1-Settings!$B$2)/Settings!$B$3,0)*Settings!$B$3,"")</f>
        <v/>
      </c>
      <c r="S908" s="13">
        <f>IF(ISNUMBER(N908),ROUND(N908/(1-Settings!$B$2)/Settings!$B$3,0)*Settings!$B$3,"")</f>
        <v/>
      </c>
      <c r="T908" s="13">
        <f>IF(ISNUMBER(O908),ROUND(O908/(1-Settings!$B$2)/Settings!$B$3,0)*Settings!$B$3,"")</f>
        <v/>
      </c>
      <c r="U908" s="13">
        <f>IF(ISNUMBER(P908),ROUND(P908/(1-Settings!$B$2)/Settings!$B$3,0)*Settings!$B$3,"")</f>
        <v/>
      </c>
      <c r="V908" s="13">
        <f>IF(ISNUMBER(Q908),ROUND(Q908/(1-Settings!$B$2)/Settings!$B$3,0)*Settings!$B$3,"")</f>
        <v/>
      </c>
      <c r="W908" s="14" t="n">
        <v>4100</v>
      </c>
      <c r="X908" s="14" t="n">
        <v>6000</v>
      </c>
      <c r="Y908" s="11" t="inlineStr">
        <is>
          <t>2026</t>
        </is>
      </c>
      <c r="Z908" s="11" t="inlineStr">
        <is>
          <t>2026-06</t>
        </is>
      </c>
      <c r="AA908" s="8" t="inlineStr"/>
      <c r="AB908" s="8" t="inlineStr"/>
      <c r="AC908" s="11" t="inlineStr">
        <is>
          <t>Military - National Publication Inventory Master_June 2026.xlsx</t>
        </is>
      </c>
      <c r="AD908" s="11" t="inlineStr">
        <is>
          <t>Bowling Center Advertisement.jpg</t>
        </is>
      </c>
      <c r="AE908" s="15" t="inlineStr">
        <is>
          <t>Open in Box</t>
        </is>
      </c>
      <c r="AF908" s="15" t="inlineStr">
        <is>
          <t>Open in Box</t>
        </is>
      </c>
    </row>
    <row r="909">
      <c r="A909" s="11" t="inlineStr">
        <is>
          <t>LA-FORTJOHN-003</t>
        </is>
      </c>
      <c r="B909" s="8" t="inlineStr">
        <is>
          <t>Fort Johnson</t>
        </is>
      </c>
      <c r="C909" s="11" t="inlineStr">
        <is>
          <t>Fort Polk</t>
        </is>
      </c>
      <c r="D909" s="11" t="inlineStr">
        <is>
          <t>LA</t>
        </is>
      </c>
      <c r="E909" s="11" t="inlineStr">
        <is>
          <t>Alexandria, La</t>
        </is>
      </c>
      <c r="F909" s="11" t="inlineStr">
        <is>
          <t>71459</t>
        </is>
      </c>
      <c r="G909" s="11" t="inlineStr">
        <is>
          <t>Army</t>
        </is>
      </c>
      <c r="H909" s="11" t="inlineStr">
        <is>
          <t>Standard Media</t>
        </is>
      </c>
      <c r="I909" s="8" t="inlineStr">
        <is>
          <t>Banner - JRTC Functional Fitness Center</t>
        </is>
      </c>
      <c r="J909" s="11" t="inlineStr">
        <is>
          <t>3'H x 5'W</t>
        </is>
      </c>
      <c r="K909" s="8" t="inlineStr">
        <is>
          <t>Your ad will appear in an approved location on the installation.</t>
        </is>
      </c>
      <c r="L909" s="11" t="n">
        <v>1</v>
      </c>
      <c r="M909" s="12" t="n">
        <v>500</v>
      </c>
      <c r="N909" s="12" t="n"/>
      <c r="O909" s="12" t="n"/>
      <c r="P909" s="12" t="n"/>
      <c r="Q909" s="12" t="n"/>
      <c r="R909" s="13">
        <f>IF(ISNUMBER(M909),ROUND(M909/(1-Settings!$B$2)/Settings!$B$3,0)*Settings!$B$3,"")</f>
        <v/>
      </c>
      <c r="S909" s="13">
        <f>IF(ISNUMBER(N909),ROUND(N909/(1-Settings!$B$2)/Settings!$B$3,0)*Settings!$B$3,"")</f>
        <v/>
      </c>
      <c r="T909" s="13">
        <f>IF(ISNUMBER(O909),ROUND(O909/(1-Settings!$B$2)/Settings!$B$3,0)*Settings!$B$3,"")</f>
        <v/>
      </c>
      <c r="U909" s="13">
        <f>IF(ISNUMBER(P909),ROUND(P909/(1-Settings!$B$2)/Settings!$B$3,0)*Settings!$B$3,"")</f>
        <v/>
      </c>
      <c r="V909" s="13">
        <f>IF(ISNUMBER(Q909),ROUND(Q909/(1-Settings!$B$2)/Settings!$B$3,0)*Settings!$B$3,"")</f>
        <v/>
      </c>
      <c r="W909" s="14" t="n">
        <v>7783</v>
      </c>
      <c r="X909" s="14" t="n">
        <v>9601</v>
      </c>
      <c r="Y909" s="11" t="inlineStr"/>
      <c r="Z909" s="11" t="inlineStr"/>
      <c r="AA909" s="8" t="inlineStr"/>
      <c r="AB909" s="8" t="inlineStr"/>
      <c r="AC909" s="11" t="inlineStr">
        <is>
          <t>MasterMilitaryOnBaseList 12.2.25 NS.xlsx</t>
        </is>
      </c>
      <c r="AD909" s="11" t="inlineStr">
        <is>
          <t>Bowling Center Advertisement.jpg</t>
        </is>
      </c>
      <c r="AE909" s="15" t="inlineStr">
        <is>
          <t>Open in Box</t>
        </is>
      </c>
      <c r="AF909" s="15" t="inlineStr">
        <is>
          <t>Open in Box</t>
        </is>
      </c>
    </row>
    <row r="910">
      <c r="A910" s="11" t="inlineStr">
        <is>
          <t>LA-FORTJOHN-004</t>
        </is>
      </c>
      <c r="B910" s="8" t="inlineStr">
        <is>
          <t>Fort Johnson</t>
        </is>
      </c>
      <c r="C910" s="11" t="inlineStr">
        <is>
          <t>Fort Polk</t>
        </is>
      </c>
      <c r="D910" s="11" t="inlineStr">
        <is>
          <t>LA</t>
        </is>
      </c>
      <c r="E910" s="11" t="inlineStr">
        <is>
          <t>Alexandria, La</t>
        </is>
      </c>
      <c r="F910" s="11" t="inlineStr">
        <is>
          <t>71459</t>
        </is>
      </c>
      <c r="G910" s="11" t="inlineStr">
        <is>
          <t>Army</t>
        </is>
      </c>
      <c r="H910" s="11" t="inlineStr">
        <is>
          <t>Standard Media</t>
        </is>
      </c>
      <c r="I910" s="8" t="inlineStr">
        <is>
          <t>Banner - Klubs &amp; Karts</t>
        </is>
      </c>
      <c r="J910" s="11" t="inlineStr">
        <is>
          <t>3'H x 5'W</t>
        </is>
      </c>
      <c r="K910" s="8" t="inlineStr">
        <is>
          <t>Your ad will appear in an approved location on the installation.</t>
        </is>
      </c>
      <c r="L910" s="11" t="n">
        <v>1</v>
      </c>
      <c r="M910" s="12" t="n">
        <v>700</v>
      </c>
      <c r="N910" s="12" t="n"/>
      <c r="O910" s="12" t="n"/>
      <c r="P910" s="12" t="n"/>
      <c r="Q910" s="12" t="n"/>
      <c r="R910" s="13">
        <f>IF(ISNUMBER(M910),ROUND(M910/(1-Settings!$B$2)/Settings!$B$3,0)*Settings!$B$3,"")</f>
        <v/>
      </c>
      <c r="S910" s="13">
        <f>IF(ISNUMBER(N910),ROUND(N910/(1-Settings!$B$2)/Settings!$B$3,0)*Settings!$B$3,"")</f>
        <v/>
      </c>
      <c r="T910" s="13">
        <f>IF(ISNUMBER(O910),ROUND(O910/(1-Settings!$B$2)/Settings!$B$3,0)*Settings!$B$3,"")</f>
        <v/>
      </c>
      <c r="U910" s="13">
        <f>IF(ISNUMBER(P910),ROUND(P910/(1-Settings!$B$2)/Settings!$B$3,0)*Settings!$B$3,"")</f>
        <v/>
      </c>
      <c r="V910" s="13">
        <f>IF(ISNUMBER(Q910),ROUND(Q910/(1-Settings!$B$2)/Settings!$B$3,0)*Settings!$B$3,"")</f>
        <v/>
      </c>
      <c r="W910" s="14" t="n">
        <v>7783</v>
      </c>
      <c r="X910" s="14" t="n">
        <v>9601</v>
      </c>
      <c r="Y910" s="11" t="inlineStr"/>
      <c r="Z910" s="11" t="inlineStr"/>
      <c r="AA910" s="8" t="inlineStr"/>
      <c r="AB910" s="8" t="inlineStr"/>
      <c r="AC910" s="11" t="inlineStr">
        <is>
          <t>MasterMilitaryOnBaseList 12.2.25 NS.xlsx</t>
        </is>
      </c>
      <c r="AD910" s="11" t="inlineStr">
        <is>
          <t>Bowling Center Advertisement.jpg</t>
        </is>
      </c>
      <c r="AE910" s="15" t="inlineStr">
        <is>
          <t>Open in Box</t>
        </is>
      </c>
      <c r="AF910" s="15" t="inlineStr">
        <is>
          <t>Open in Box</t>
        </is>
      </c>
    </row>
    <row r="911">
      <c r="A911" s="11" t="inlineStr">
        <is>
          <t>LA-FORTJOHN-005</t>
        </is>
      </c>
      <c r="B911" s="8" t="inlineStr">
        <is>
          <t>Fort Johnson</t>
        </is>
      </c>
      <c r="C911" s="11" t="inlineStr">
        <is>
          <t>Fort Polk</t>
        </is>
      </c>
      <c r="D911" s="11" t="inlineStr">
        <is>
          <t>LA</t>
        </is>
      </c>
      <c r="E911" s="11" t="inlineStr">
        <is>
          <t>Alexandria, La</t>
        </is>
      </c>
      <c r="F911" s="11" t="inlineStr">
        <is>
          <t>71459</t>
        </is>
      </c>
      <c r="G911" s="11" t="inlineStr">
        <is>
          <t>Army</t>
        </is>
      </c>
      <c r="H911" s="11" t="inlineStr">
        <is>
          <t>Standard Media</t>
        </is>
      </c>
      <c r="I911" s="8" t="inlineStr">
        <is>
          <t>Banner - Soldiers Athletic Complex</t>
        </is>
      </c>
      <c r="J911" s="11" t="inlineStr">
        <is>
          <t>3'H x 5'W</t>
        </is>
      </c>
      <c r="K911" s="8" t="inlineStr">
        <is>
          <t>Your ad will appear in an approved location on the installation.</t>
        </is>
      </c>
      <c r="L911" s="11" t="n">
        <v>1</v>
      </c>
      <c r="M911" s="12" t="n">
        <v>600</v>
      </c>
      <c r="N911" s="12" t="n"/>
      <c r="O911" s="12" t="n"/>
      <c r="P911" s="12" t="n"/>
      <c r="Q911" s="12" t="n"/>
      <c r="R911" s="13">
        <f>IF(ISNUMBER(M911),ROUND(M911/(1-Settings!$B$2)/Settings!$B$3,0)*Settings!$B$3,"")</f>
        <v/>
      </c>
      <c r="S911" s="13">
        <f>IF(ISNUMBER(N911),ROUND(N911/(1-Settings!$B$2)/Settings!$B$3,0)*Settings!$B$3,"")</f>
        <v/>
      </c>
      <c r="T911" s="13">
        <f>IF(ISNUMBER(O911),ROUND(O911/(1-Settings!$B$2)/Settings!$B$3,0)*Settings!$B$3,"")</f>
        <v/>
      </c>
      <c r="U911" s="13">
        <f>IF(ISNUMBER(P911),ROUND(P911/(1-Settings!$B$2)/Settings!$B$3,0)*Settings!$B$3,"")</f>
        <v/>
      </c>
      <c r="V911" s="13">
        <f>IF(ISNUMBER(Q911),ROUND(Q911/(1-Settings!$B$2)/Settings!$B$3,0)*Settings!$B$3,"")</f>
        <v/>
      </c>
      <c r="W911" s="14" t="n">
        <v>7783</v>
      </c>
      <c r="X911" s="14" t="n">
        <v>9601</v>
      </c>
      <c r="Y911" s="11" t="inlineStr"/>
      <c r="Z911" s="11" t="inlineStr"/>
      <c r="AA911" s="8" t="inlineStr"/>
      <c r="AB911" s="8" t="inlineStr"/>
      <c r="AC911" s="11" t="inlineStr">
        <is>
          <t>MasterMilitaryOnBaseList 12.2.25 NS.xlsx</t>
        </is>
      </c>
      <c r="AD911" s="11" t="inlineStr">
        <is>
          <t>Bowling Center Advertisement.jpg</t>
        </is>
      </c>
      <c r="AE911" s="15" t="inlineStr">
        <is>
          <t>Open in Box</t>
        </is>
      </c>
      <c r="AF911" s="15" t="inlineStr">
        <is>
          <t>Open in Box</t>
        </is>
      </c>
    </row>
    <row r="912">
      <c r="A912" s="11" t="inlineStr">
        <is>
          <t>LA-FORTJOHN-006</t>
        </is>
      </c>
      <c r="B912" s="8" t="inlineStr">
        <is>
          <t>Fort Johnson</t>
        </is>
      </c>
      <c r="C912" s="11" t="inlineStr">
        <is>
          <t>Fort Polk</t>
        </is>
      </c>
      <c r="D912" s="11" t="inlineStr">
        <is>
          <t>LA</t>
        </is>
      </c>
      <c r="E912" s="11" t="inlineStr">
        <is>
          <t>Alexandria, La</t>
        </is>
      </c>
      <c r="F912" s="11" t="inlineStr">
        <is>
          <t>71459</t>
        </is>
      </c>
      <c r="G912" s="11" t="inlineStr">
        <is>
          <t>Army</t>
        </is>
      </c>
      <c r="H912" s="11" t="inlineStr">
        <is>
          <t>Standard Media</t>
        </is>
      </c>
      <c r="I912" s="8" t="inlineStr">
        <is>
          <t>Banner - Wheelock Fitness Center</t>
        </is>
      </c>
      <c r="J912" s="11" t="inlineStr">
        <is>
          <t>3'H x 5'W</t>
        </is>
      </c>
      <c r="K912" s="8" t="inlineStr">
        <is>
          <t>Your ad will appear in an approved location on the installation.</t>
        </is>
      </c>
      <c r="L912" s="11" t="n">
        <v>1</v>
      </c>
      <c r="M912" s="12" t="n">
        <v>800</v>
      </c>
      <c r="N912" s="12" t="n"/>
      <c r="O912" s="12" t="n"/>
      <c r="P912" s="12" t="n"/>
      <c r="Q912" s="12" t="n"/>
      <c r="R912" s="13">
        <f>IF(ISNUMBER(M912),ROUND(M912/(1-Settings!$B$2)/Settings!$B$3,0)*Settings!$B$3,"")</f>
        <v/>
      </c>
      <c r="S912" s="13">
        <f>IF(ISNUMBER(N912),ROUND(N912/(1-Settings!$B$2)/Settings!$B$3,0)*Settings!$B$3,"")</f>
        <v/>
      </c>
      <c r="T912" s="13">
        <f>IF(ISNUMBER(O912),ROUND(O912/(1-Settings!$B$2)/Settings!$B$3,0)*Settings!$B$3,"")</f>
        <v/>
      </c>
      <c r="U912" s="13">
        <f>IF(ISNUMBER(P912),ROUND(P912/(1-Settings!$B$2)/Settings!$B$3,0)*Settings!$B$3,"")</f>
        <v/>
      </c>
      <c r="V912" s="13">
        <f>IF(ISNUMBER(Q912),ROUND(Q912/(1-Settings!$B$2)/Settings!$B$3,0)*Settings!$B$3,"")</f>
        <v/>
      </c>
      <c r="W912" s="14" t="n">
        <v>7783</v>
      </c>
      <c r="X912" s="14" t="n">
        <v>9601</v>
      </c>
      <c r="Y912" s="11" t="inlineStr"/>
      <c r="Z912" s="11" t="inlineStr"/>
      <c r="AA912" s="8" t="inlineStr"/>
      <c r="AB912" s="8" t="inlineStr"/>
      <c r="AC912" s="11" t="inlineStr">
        <is>
          <t>MasterMilitaryOnBaseList 12.2.25 NS.xlsx</t>
        </is>
      </c>
      <c r="AD912" s="11" t="inlineStr">
        <is>
          <t>Bowling Center Advertisement.jpg</t>
        </is>
      </c>
      <c r="AE912" s="15" t="inlineStr">
        <is>
          <t>Open in Box</t>
        </is>
      </c>
      <c r="AF912" s="15" t="inlineStr">
        <is>
          <t>Open in Box</t>
        </is>
      </c>
    </row>
    <row r="913">
      <c r="A913" s="11" t="inlineStr">
        <is>
          <t>LA-FORTJOHN-009</t>
        </is>
      </c>
      <c r="B913" s="8" t="inlineStr">
        <is>
          <t>Fort Johnson</t>
        </is>
      </c>
      <c r="C913" s="11" t="inlineStr"/>
      <c r="D913" s="11" t="inlineStr">
        <is>
          <t>LA</t>
        </is>
      </c>
      <c r="E913" s="11" t="inlineStr">
        <is>
          <t>Alexandria, La</t>
        </is>
      </c>
      <c r="F913" s="11" t="inlineStr"/>
      <c r="G913" s="11" t="inlineStr">
        <is>
          <t>Army</t>
        </is>
      </c>
      <c r="H913" s="11" t="inlineStr">
        <is>
          <t>Web &amp; Email</t>
        </is>
      </c>
      <c r="I913" s="8" t="inlineStr">
        <is>
          <t>Web Ad</t>
        </is>
      </c>
      <c r="J913" s="11" t="inlineStr"/>
      <c r="K913" s="8" t="inlineStr">
        <is>
          <t>Your ad will appear on the installation MWR / FSS website.</t>
        </is>
      </c>
      <c r="L913" s="11" t="n">
        <v>1</v>
      </c>
      <c r="M913" s="12" t="n">
        <v>4000</v>
      </c>
      <c r="N913" s="12" t="n"/>
      <c r="O913" s="12" t="n"/>
      <c r="P913" s="12" t="n"/>
      <c r="Q913" s="12" t="n"/>
      <c r="R913" s="13">
        <f>IF(ISNUMBER(M913),ROUND(M913/(1-Settings!$B$2)/Settings!$B$3,0)*Settings!$B$3,"")</f>
        <v/>
      </c>
      <c r="S913" s="13">
        <f>IF(ISNUMBER(N913),ROUND(N913/(1-Settings!$B$2)/Settings!$B$3,0)*Settings!$B$3,"")</f>
        <v/>
      </c>
      <c r="T913" s="13">
        <f>IF(ISNUMBER(O913),ROUND(O913/(1-Settings!$B$2)/Settings!$B$3,0)*Settings!$B$3,"")</f>
        <v/>
      </c>
      <c r="U913" s="13">
        <f>IF(ISNUMBER(P913),ROUND(P913/(1-Settings!$B$2)/Settings!$B$3,0)*Settings!$B$3,"")</f>
        <v/>
      </c>
      <c r="V913" s="13">
        <f>IF(ISNUMBER(Q913),ROUND(Q913/(1-Settings!$B$2)/Settings!$B$3,0)*Settings!$B$3,"")</f>
        <v/>
      </c>
      <c r="W913" s="14" t="n">
        <v>7783</v>
      </c>
      <c r="X913" s="14" t="n">
        <v>9601</v>
      </c>
      <c r="Y913" s="11" t="inlineStr">
        <is>
          <t>2026</t>
        </is>
      </c>
      <c r="Z913" s="11" t="inlineStr">
        <is>
          <t>2026-06</t>
        </is>
      </c>
      <c r="AA913" s="8" t="inlineStr">
        <is>
          <t>Inventory master 6/2026 lists Web Ad at $200 (1 mo)</t>
        </is>
      </c>
      <c r="AB913" s="8" t="inlineStr"/>
      <c r="AC913" s="11" t="inlineStr">
        <is>
          <t>Military - National Publication Inventory Master_June 2026.xlsx</t>
        </is>
      </c>
      <c r="AD913" s="11" t="inlineStr">
        <is>
          <t>Bowling Center Advertisement.jpg</t>
        </is>
      </c>
      <c r="AE913" s="15" t="inlineStr">
        <is>
          <t>Open in Box</t>
        </is>
      </c>
      <c r="AF913" s="15" t="inlineStr">
        <is>
          <t>Open in Box</t>
        </is>
      </c>
    </row>
    <row r="914">
      <c r="A914" s="11" t="inlineStr">
        <is>
          <t>LA-NEWORLEA-001</t>
        </is>
      </c>
      <c r="B914" s="8" t="inlineStr">
        <is>
          <t>New Orleans NAS JRB</t>
        </is>
      </c>
      <c r="C914" s="11" t="inlineStr"/>
      <c r="D914" s="11" t="inlineStr">
        <is>
          <t>LA</t>
        </is>
      </c>
      <c r="E914" s="11" t="inlineStr">
        <is>
          <t>New Orleans</t>
        </is>
      </c>
      <c r="F914" s="11" t="inlineStr">
        <is>
          <t>70143</t>
        </is>
      </c>
      <c r="G914" s="11" t="inlineStr">
        <is>
          <t>Navy</t>
        </is>
      </c>
      <c r="H914" s="11" t="inlineStr">
        <is>
          <t>Digital</t>
        </is>
      </c>
      <c r="I914" s="8" t="inlineStr">
        <is>
          <t>Bowling Scoring Monitors</t>
        </is>
      </c>
      <c r="J914" s="11" t="inlineStr">
        <is>
          <t>1920pxW x 1080pxH</t>
        </is>
      </c>
      <c r="K914" s="8" t="inlineStr">
        <is>
          <t>Your ad will appear on 12 bowling scoring monitors.</t>
        </is>
      </c>
      <c r="L914" s="11" t="n">
        <v>1</v>
      </c>
      <c r="M914" s="12" t="n">
        <v>300</v>
      </c>
      <c r="N914" s="12" t="n">
        <v>900</v>
      </c>
      <c r="O914" s="12" t="n">
        <v>1800</v>
      </c>
      <c r="P914" s="12" t="n">
        <v>3600</v>
      </c>
      <c r="Q914" s="12" t="n">
        <v>0</v>
      </c>
      <c r="R914" s="13">
        <f>IF(ISNUMBER(M914),ROUND(M914/(1-Settings!$B$2)/Settings!$B$3,0)*Settings!$B$3,"")</f>
        <v/>
      </c>
      <c r="S914" s="13">
        <f>IF(ISNUMBER(N914),ROUND(N914/(1-Settings!$B$2)/Settings!$B$3,0)*Settings!$B$3,"")</f>
        <v/>
      </c>
      <c r="T914" s="13">
        <f>IF(ISNUMBER(O914),ROUND(O914/(1-Settings!$B$2)/Settings!$B$3,0)*Settings!$B$3,"")</f>
        <v/>
      </c>
      <c r="U914" s="13">
        <f>IF(ISNUMBER(P914),ROUND(P914/(1-Settings!$B$2)/Settings!$B$3,0)*Settings!$B$3,"")</f>
        <v/>
      </c>
      <c r="V914" s="13">
        <f>IF(ISNUMBER(Q914),ROUND(Q914/(1-Settings!$B$2)/Settings!$B$3,0)*Settings!$B$3,"")</f>
        <v/>
      </c>
      <c r="W914" s="14" t="n">
        <v>463</v>
      </c>
      <c r="X914" s="14" t="n">
        <v>1132</v>
      </c>
      <c r="Y914" s="11" t="inlineStr"/>
      <c r="Z914" s="11" t="inlineStr"/>
      <c r="AA914" s="8" t="inlineStr"/>
      <c r="AB914" s="8" t="inlineStr"/>
      <c r="AC914" s="11" t="inlineStr">
        <is>
          <t>MasterMilitaryOnBaseList 12.2.25 NS.xlsx</t>
        </is>
      </c>
      <c r="AD914" s="11" t="inlineStr">
        <is>
          <t>FY26-27 ADVERTISING ASSETS_NRSE.xlsx</t>
        </is>
      </c>
      <c r="AE914" s="15" t="inlineStr">
        <is>
          <t>Open in Box</t>
        </is>
      </c>
      <c r="AF914" s="15" t="inlineStr">
        <is>
          <t>Open in Box</t>
        </is>
      </c>
    </row>
    <row r="915">
      <c r="A915" s="11" t="inlineStr">
        <is>
          <t>LA-NEWORLEA-002</t>
        </is>
      </c>
      <c r="B915" s="8" t="inlineStr">
        <is>
          <t>New Orleans NAS JRB</t>
        </is>
      </c>
      <c r="C915" s="11" t="inlineStr"/>
      <c r="D915" s="11" t="inlineStr">
        <is>
          <t>LA</t>
        </is>
      </c>
      <c r="E915" s="11" t="inlineStr">
        <is>
          <t>New Orleans</t>
        </is>
      </c>
      <c r="F915" s="11" t="inlineStr">
        <is>
          <t>70143</t>
        </is>
      </c>
      <c r="G915" s="11" t="inlineStr">
        <is>
          <t>Navy</t>
        </is>
      </c>
      <c r="H915" s="11" t="inlineStr">
        <is>
          <t>Digital</t>
        </is>
      </c>
      <c r="I915" s="8" t="inlineStr">
        <is>
          <t>Bowling Sweepers</t>
        </is>
      </c>
      <c r="J915" s="11" t="inlineStr">
        <is>
          <t>4'W x 3"H</t>
        </is>
      </c>
      <c r="K915" s="8" t="inlineStr">
        <is>
          <t>Your ad will appear on 12 bowling pin sweepers.</t>
        </is>
      </c>
      <c r="L915" s="11" t="n">
        <v>1</v>
      </c>
      <c r="M915" s="12" t="n">
        <v>200</v>
      </c>
      <c r="N915" s="12" t="n">
        <v>600</v>
      </c>
      <c r="O915" s="12" t="n">
        <v>1200</v>
      </c>
      <c r="P915" s="12" t="n">
        <v>2400</v>
      </c>
      <c r="Q915" s="12" t="n"/>
      <c r="R915" s="13">
        <f>IF(ISNUMBER(M915),ROUND(M915/(1-Settings!$B$2)/Settings!$B$3,0)*Settings!$B$3,"")</f>
        <v/>
      </c>
      <c r="S915" s="13">
        <f>IF(ISNUMBER(N915),ROUND(N915/(1-Settings!$B$2)/Settings!$B$3,0)*Settings!$B$3,"")</f>
        <v/>
      </c>
      <c r="T915" s="13">
        <f>IF(ISNUMBER(O915),ROUND(O915/(1-Settings!$B$2)/Settings!$B$3,0)*Settings!$B$3,"")</f>
        <v/>
      </c>
      <c r="U915" s="13">
        <f>IF(ISNUMBER(P915),ROUND(P915/(1-Settings!$B$2)/Settings!$B$3,0)*Settings!$B$3,"")</f>
        <v/>
      </c>
      <c r="V915" s="13">
        <f>IF(ISNUMBER(Q915),ROUND(Q915/(1-Settings!$B$2)/Settings!$B$3,0)*Settings!$B$3,"")</f>
        <v/>
      </c>
      <c r="W915" s="14" t="n">
        <v>463</v>
      </c>
      <c r="X915" s="14" t="n">
        <v>1132</v>
      </c>
      <c r="Y915" s="11" t="inlineStr"/>
      <c r="Z915" s="11" t="inlineStr"/>
      <c r="AA915" s="8" t="inlineStr"/>
      <c r="AB915" s="8" t="inlineStr"/>
      <c r="AC915" s="11" t="inlineStr">
        <is>
          <t>MasterMilitaryOnBaseList 12.2.25 NS.xlsx</t>
        </is>
      </c>
      <c r="AD915" s="11" t="inlineStr">
        <is>
          <t>FY26-27 ADVERTISING ASSETS_NRSE.xlsx</t>
        </is>
      </c>
      <c r="AE915" s="15" t="inlineStr">
        <is>
          <t>Open in Box</t>
        </is>
      </c>
      <c r="AF915" s="15" t="inlineStr">
        <is>
          <t>Open in Box</t>
        </is>
      </c>
    </row>
    <row r="916">
      <c r="A916" s="11" t="inlineStr">
        <is>
          <t>LA-NEWORLEA-003</t>
        </is>
      </c>
      <c r="B916" s="8" t="inlineStr">
        <is>
          <t>New Orleans NAS JRB</t>
        </is>
      </c>
      <c r="C916" s="11" t="inlineStr"/>
      <c r="D916" s="11" t="inlineStr">
        <is>
          <t>LA</t>
        </is>
      </c>
      <c r="E916" s="11" t="inlineStr">
        <is>
          <t>New Orleans</t>
        </is>
      </c>
      <c r="F916" s="11" t="inlineStr">
        <is>
          <t>70143</t>
        </is>
      </c>
      <c r="G916" s="11" t="inlineStr">
        <is>
          <t>Navy</t>
        </is>
      </c>
      <c r="H916" s="11" t="inlineStr">
        <is>
          <t>Digital</t>
        </is>
      </c>
      <c r="I916" s="8" t="inlineStr">
        <is>
          <t>Digital Monitor Network</t>
        </is>
      </c>
      <c r="J916" s="11" t="inlineStr">
        <is>
          <t>1920pxW x 1080pxH</t>
        </is>
      </c>
      <c r="K916" s="8" t="inlineStr">
        <is>
          <t>Your ad will appear on 16 digital monitors in approved installation facilities.</t>
        </is>
      </c>
      <c r="L916" s="11" t="n">
        <v>1</v>
      </c>
      <c r="M916" s="12" t="n">
        <v>380</v>
      </c>
      <c r="N916" s="12" t="n">
        <v>1140</v>
      </c>
      <c r="O916" s="12" t="n">
        <v>2280</v>
      </c>
      <c r="P916" s="12" t="n">
        <v>4560</v>
      </c>
      <c r="Q916" s="12" t="n">
        <v>0</v>
      </c>
      <c r="R916" s="13">
        <f>IF(ISNUMBER(M916),ROUND(M916/(1-Settings!$B$2)/Settings!$B$3,0)*Settings!$B$3,"")</f>
        <v/>
      </c>
      <c r="S916" s="13">
        <f>IF(ISNUMBER(N916),ROUND(N916/(1-Settings!$B$2)/Settings!$B$3,0)*Settings!$B$3,"")</f>
        <v/>
      </c>
      <c r="T916" s="13">
        <f>IF(ISNUMBER(O916),ROUND(O916/(1-Settings!$B$2)/Settings!$B$3,0)*Settings!$B$3,"")</f>
        <v/>
      </c>
      <c r="U916" s="13">
        <f>IF(ISNUMBER(P916),ROUND(P916/(1-Settings!$B$2)/Settings!$B$3,0)*Settings!$B$3,"")</f>
        <v/>
      </c>
      <c r="V916" s="13">
        <f>IF(ISNUMBER(Q916),ROUND(Q916/(1-Settings!$B$2)/Settings!$B$3,0)*Settings!$B$3,"")</f>
        <v/>
      </c>
      <c r="W916" s="14" t="n">
        <v>463</v>
      </c>
      <c r="X916" s="14" t="n">
        <v>1132</v>
      </c>
      <c r="Y916" s="11" t="inlineStr"/>
      <c r="Z916" s="11" t="inlineStr"/>
      <c r="AA916" s="8" t="inlineStr">
        <is>
          <t>Inventory master 6/2026 lists Digital Monitor Network at $360 (1 mo)</t>
        </is>
      </c>
      <c r="AB916" s="8" t="inlineStr"/>
      <c r="AC916" s="11" t="inlineStr">
        <is>
          <t>MasterMilitaryOnBaseList 12.2.25 NS.xlsx</t>
        </is>
      </c>
      <c r="AD916" s="11" t="inlineStr">
        <is>
          <t>FY26-27 ADVERTISING ASSETS_NRSE.xlsx</t>
        </is>
      </c>
      <c r="AE916" s="15" t="inlineStr">
        <is>
          <t>Open in Box</t>
        </is>
      </c>
      <c r="AF916" s="15" t="inlineStr">
        <is>
          <t>Open in Box</t>
        </is>
      </c>
    </row>
    <row r="917">
      <c r="A917" s="11" t="inlineStr">
        <is>
          <t>LA-NEWORLEA-007</t>
        </is>
      </c>
      <c r="B917" s="8" t="inlineStr">
        <is>
          <t>New Orleans NAS JRB</t>
        </is>
      </c>
      <c r="C917" s="11" t="inlineStr"/>
      <c r="D917" s="11" t="inlineStr">
        <is>
          <t>LA</t>
        </is>
      </c>
      <c r="E917" s="11" t="inlineStr">
        <is>
          <t>New Orleans</t>
        </is>
      </c>
      <c r="F917" s="11" t="inlineStr">
        <is>
          <t>70143</t>
        </is>
      </c>
      <c r="G917" s="11" t="inlineStr">
        <is>
          <t>Navy</t>
        </is>
      </c>
      <c r="H917" s="11" t="inlineStr">
        <is>
          <t>Large Format</t>
        </is>
      </c>
      <c r="I917" s="8" t="inlineStr">
        <is>
          <t>Counter Wrap</t>
        </is>
      </c>
      <c r="J917" s="11" t="inlineStr">
        <is>
          <t>TBD</t>
        </is>
      </c>
      <c r="K917" s="8" t="inlineStr">
        <is>
          <t>Your ad will appear at an approved installation facility.</t>
        </is>
      </c>
      <c r="L917" s="11" t="n">
        <v>1</v>
      </c>
      <c r="M917" s="12" t="n">
        <v>550</v>
      </c>
      <c r="N917" s="12" t="n">
        <v>1650</v>
      </c>
      <c r="O917" s="12" t="n">
        <v>3300</v>
      </c>
      <c r="P917" s="12" t="n">
        <v>6600</v>
      </c>
      <c r="Q917" s="12" t="n"/>
      <c r="R917" s="13">
        <f>IF(ISNUMBER(M917),ROUND(M917/(1-Settings!$B$2)/Settings!$B$3,0)*Settings!$B$3,"")</f>
        <v/>
      </c>
      <c r="S917" s="13">
        <f>IF(ISNUMBER(N917),ROUND(N917/(1-Settings!$B$2)/Settings!$B$3,0)*Settings!$B$3,"")</f>
        <v/>
      </c>
      <c r="T917" s="13">
        <f>IF(ISNUMBER(O917),ROUND(O917/(1-Settings!$B$2)/Settings!$B$3,0)*Settings!$B$3,"")</f>
        <v/>
      </c>
      <c r="U917" s="13">
        <f>IF(ISNUMBER(P917),ROUND(P917/(1-Settings!$B$2)/Settings!$B$3,0)*Settings!$B$3,"")</f>
        <v/>
      </c>
      <c r="V917" s="13">
        <f>IF(ISNUMBER(Q917),ROUND(Q917/(1-Settings!$B$2)/Settings!$B$3,0)*Settings!$B$3,"")</f>
        <v/>
      </c>
      <c r="W917" s="14" t="n">
        <v>463</v>
      </c>
      <c r="X917" s="14" t="n">
        <v>1132</v>
      </c>
      <c r="Y917" s="11" t="inlineStr"/>
      <c r="Z917" s="11" t="inlineStr"/>
      <c r="AA917" s="8" t="inlineStr"/>
      <c r="AB917" s="8" t="inlineStr"/>
      <c r="AC917" s="11" t="inlineStr">
        <is>
          <t>MasterMilitaryOnBaseList 12.2.25 NS.xlsx</t>
        </is>
      </c>
      <c r="AD917" s="11" t="inlineStr">
        <is>
          <t>FY26-27 ADVERTISING ASSETS_NRSE.xlsx</t>
        </is>
      </c>
      <c r="AE917" s="15" t="inlineStr">
        <is>
          <t>Open in Box</t>
        </is>
      </c>
      <c r="AF917" s="15" t="inlineStr">
        <is>
          <t>Open in Box</t>
        </is>
      </c>
    </row>
    <row r="918">
      <c r="A918" s="11" t="inlineStr">
        <is>
          <t>LA-NEWORLEA-008</t>
        </is>
      </c>
      <c r="B918" s="8" t="inlineStr">
        <is>
          <t>New Orleans NAS JRB</t>
        </is>
      </c>
      <c r="C918" s="11" t="inlineStr"/>
      <c r="D918" s="11" t="inlineStr">
        <is>
          <t>LA</t>
        </is>
      </c>
      <c r="E918" s="11" t="inlineStr">
        <is>
          <t>New Orleans</t>
        </is>
      </c>
      <c r="F918" s="11" t="inlineStr">
        <is>
          <t>70143</t>
        </is>
      </c>
      <c r="G918" s="11" t="inlineStr">
        <is>
          <t>Navy</t>
        </is>
      </c>
      <c r="H918" s="11" t="inlineStr">
        <is>
          <t>Print &amp; Publications</t>
        </is>
      </c>
      <c r="I918" s="8" t="inlineStr">
        <is>
          <t>Newsletter</t>
        </is>
      </c>
      <c r="J918" s="11" t="inlineStr">
        <is>
          <t>TBD</t>
        </is>
      </c>
      <c r="K918" s="8" t="inlineStr">
        <is>
          <t>Your ad will appear in the monthly newsletter.</t>
        </is>
      </c>
      <c r="L918" s="11" t="n">
        <v>1</v>
      </c>
      <c r="M918" s="12" t="n">
        <v>150</v>
      </c>
      <c r="N918" s="12" t="n">
        <v>450</v>
      </c>
      <c r="O918" s="12" t="n">
        <v>900</v>
      </c>
      <c r="P918" s="12" t="n">
        <v>1800</v>
      </c>
      <c r="Q918" s="12" t="n">
        <v>0</v>
      </c>
      <c r="R918" s="13">
        <f>IF(ISNUMBER(M918),ROUND(M918/(1-Settings!$B$2)/Settings!$B$3,0)*Settings!$B$3,"")</f>
        <v/>
      </c>
      <c r="S918" s="13">
        <f>IF(ISNUMBER(N918),ROUND(N918/(1-Settings!$B$2)/Settings!$B$3,0)*Settings!$B$3,"")</f>
        <v/>
      </c>
      <c r="T918" s="13">
        <f>IF(ISNUMBER(O918),ROUND(O918/(1-Settings!$B$2)/Settings!$B$3,0)*Settings!$B$3,"")</f>
        <v/>
      </c>
      <c r="U918" s="13">
        <f>IF(ISNUMBER(P918),ROUND(P918/(1-Settings!$B$2)/Settings!$B$3,0)*Settings!$B$3,"")</f>
        <v/>
      </c>
      <c r="V918" s="13">
        <f>IF(ISNUMBER(Q918),ROUND(Q918/(1-Settings!$B$2)/Settings!$B$3,0)*Settings!$B$3,"")</f>
        <v/>
      </c>
      <c r="W918" s="14" t="n">
        <v>463</v>
      </c>
      <c r="X918" s="14" t="n">
        <v>1132</v>
      </c>
      <c r="Y918" s="11" t="inlineStr"/>
      <c r="Z918" s="11" t="inlineStr"/>
      <c r="AA918" s="8" t="inlineStr">
        <is>
          <t>Inventory master 6/2026 lists Monthly E-Newsletter Ad at $200 (1 mo)</t>
        </is>
      </c>
      <c r="AB918" s="8" t="inlineStr"/>
      <c r="AC918" s="11" t="inlineStr">
        <is>
          <t>MasterMilitaryOnBaseList 12.2.25 NS.xlsx</t>
        </is>
      </c>
      <c r="AD918" s="11" t="inlineStr">
        <is>
          <t>FY26-27 ADVERTISING ASSETS_NRSE.xlsx</t>
        </is>
      </c>
      <c r="AE918" s="15" t="inlineStr">
        <is>
          <t>Open in Box</t>
        </is>
      </c>
      <c r="AF918" s="15" t="inlineStr">
        <is>
          <t>Open in Box</t>
        </is>
      </c>
    </row>
    <row r="919">
      <c r="A919" s="11" t="inlineStr">
        <is>
          <t>LA-NEWORLEA-004</t>
        </is>
      </c>
      <c r="B919" s="8" t="inlineStr">
        <is>
          <t>New Orleans NAS JRB</t>
        </is>
      </c>
      <c r="C919" s="11" t="inlineStr"/>
      <c r="D919" s="11" t="inlineStr">
        <is>
          <t>LA</t>
        </is>
      </c>
      <c r="E919" s="11" t="inlineStr">
        <is>
          <t>New Orleans</t>
        </is>
      </c>
      <c r="F919" s="11" t="inlineStr">
        <is>
          <t>70143</t>
        </is>
      </c>
      <c r="G919" s="11" t="inlineStr">
        <is>
          <t>Navy</t>
        </is>
      </c>
      <c r="H919" s="11" t="inlineStr">
        <is>
          <t>Standard Media</t>
        </is>
      </c>
      <c r="I919" s="8" t="inlineStr">
        <is>
          <t>Banner</t>
        </is>
      </c>
      <c r="J919" s="11" t="inlineStr">
        <is>
          <t>8'W x 4'H</t>
        </is>
      </c>
      <c r="K919" s="8" t="inlineStr">
        <is>
          <t>Your ad will appear at an approved installation facility.</t>
        </is>
      </c>
      <c r="L919" s="11" t="n">
        <v>1</v>
      </c>
      <c r="M919" s="12" t="n">
        <v>650</v>
      </c>
      <c r="N919" s="12" t="n">
        <v>1950</v>
      </c>
      <c r="O919" s="12" t="n">
        <v>3900</v>
      </c>
      <c r="P919" s="12" t="n">
        <v>7800</v>
      </c>
      <c r="Q919" s="12" t="n">
        <v>250</v>
      </c>
      <c r="R919" s="13">
        <f>IF(ISNUMBER(M919),ROUND(M919/(1-Settings!$B$2)/Settings!$B$3,0)*Settings!$B$3,"")</f>
        <v/>
      </c>
      <c r="S919" s="13">
        <f>IF(ISNUMBER(N919),ROUND(N919/(1-Settings!$B$2)/Settings!$B$3,0)*Settings!$B$3,"")</f>
        <v/>
      </c>
      <c r="T919" s="13">
        <f>IF(ISNUMBER(O919),ROUND(O919/(1-Settings!$B$2)/Settings!$B$3,0)*Settings!$B$3,"")</f>
        <v/>
      </c>
      <c r="U919" s="13">
        <f>IF(ISNUMBER(P919),ROUND(P919/(1-Settings!$B$2)/Settings!$B$3,0)*Settings!$B$3,"")</f>
        <v/>
      </c>
      <c r="V919" s="13">
        <f>IF(ISNUMBER(Q919),ROUND(Q919/(1-Settings!$B$2)/Settings!$B$3,0)*Settings!$B$3,"")</f>
        <v/>
      </c>
      <c r="W919" s="14" t="n">
        <v>463</v>
      </c>
      <c r="X919" s="14" t="n">
        <v>1132</v>
      </c>
      <c r="Y919" s="11" t="inlineStr"/>
      <c r="Z919" s="11" t="inlineStr"/>
      <c r="AA919" s="8" t="inlineStr"/>
      <c r="AB919" s="8" t="inlineStr"/>
      <c r="AC919" s="11" t="inlineStr">
        <is>
          <t>MasterMilitaryOnBaseList 12.2.25 NS.xlsx</t>
        </is>
      </c>
      <c r="AD919" s="11" t="inlineStr">
        <is>
          <t>FY26-27 ADVERTISING ASSETS_NRSE.xlsx</t>
        </is>
      </c>
      <c r="AE919" s="15" t="inlineStr">
        <is>
          <t>Open in Box</t>
        </is>
      </c>
      <c r="AF919" s="15" t="inlineStr">
        <is>
          <t>Open in Box</t>
        </is>
      </c>
    </row>
    <row r="920">
      <c r="A920" s="11" t="inlineStr">
        <is>
          <t>LA-NEWORLEA-005</t>
        </is>
      </c>
      <c r="B920" s="8" t="inlineStr">
        <is>
          <t>New Orleans NAS JRB</t>
        </is>
      </c>
      <c r="C920" s="11" t="inlineStr"/>
      <c r="D920" s="11" t="inlineStr">
        <is>
          <t>LA</t>
        </is>
      </c>
      <c r="E920" s="11" t="inlineStr">
        <is>
          <t>New Orleans</t>
        </is>
      </c>
      <c r="F920" s="11" t="inlineStr">
        <is>
          <t>70143</t>
        </is>
      </c>
      <c r="G920" s="11" t="inlineStr">
        <is>
          <t>Navy</t>
        </is>
      </c>
      <c r="H920" s="11" t="inlineStr">
        <is>
          <t>Standard Media</t>
        </is>
      </c>
      <c r="I920" s="8" t="inlineStr">
        <is>
          <t>Mouse Pads</t>
        </is>
      </c>
      <c r="J920" s="11" t="inlineStr">
        <is>
          <t>TBD</t>
        </is>
      </c>
      <c r="K920" s="8" t="inlineStr">
        <is>
          <t>Your ad will appear on facility mouse pads.</t>
        </is>
      </c>
      <c r="L920" s="11" t="n">
        <v>1</v>
      </c>
      <c r="M920" s="12" t="n">
        <v>50</v>
      </c>
      <c r="N920" s="12" t="n">
        <v>150</v>
      </c>
      <c r="O920" s="12" t="n">
        <v>300</v>
      </c>
      <c r="P920" s="12" t="n">
        <v>600</v>
      </c>
      <c r="Q920" s="12" t="n"/>
      <c r="R920" s="13">
        <f>IF(ISNUMBER(M920),ROUND(M920/(1-Settings!$B$2)/Settings!$B$3,0)*Settings!$B$3,"")</f>
        <v/>
      </c>
      <c r="S920" s="13">
        <f>IF(ISNUMBER(N920),ROUND(N920/(1-Settings!$B$2)/Settings!$B$3,0)*Settings!$B$3,"")</f>
        <v/>
      </c>
      <c r="T920" s="13">
        <f>IF(ISNUMBER(O920),ROUND(O920/(1-Settings!$B$2)/Settings!$B$3,0)*Settings!$B$3,"")</f>
        <v/>
      </c>
      <c r="U920" s="13">
        <f>IF(ISNUMBER(P920),ROUND(P920/(1-Settings!$B$2)/Settings!$B$3,0)*Settings!$B$3,"")</f>
        <v/>
      </c>
      <c r="V920" s="13">
        <f>IF(ISNUMBER(Q920),ROUND(Q920/(1-Settings!$B$2)/Settings!$B$3,0)*Settings!$B$3,"")</f>
        <v/>
      </c>
      <c r="W920" s="14" t="n">
        <v>463</v>
      </c>
      <c r="X920" s="14" t="n">
        <v>1132</v>
      </c>
      <c r="Y920" s="11" t="inlineStr"/>
      <c r="Z920" s="11" t="inlineStr"/>
      <c r="AA920" s="8" t="inlineStr"/>
      <c r="AB920" s="8" t="inlineStr"/>
      <c r="AC920" s="11" t="inlineStr">
        <is>
          <t>MasterMilitaryOnBaseList 12.2.25 NS.xlsx</t>
        </is>
      </c>
      <c r="AD920" s="11" t="inlineStr">
        <is>
          <t>FY26-27 ADVERTISING ASSETS_NRSE.xlsx</t>
        </is>
      </c>
      <c r="AE920" s="15" t="inlineStr">
        <is>
          <t>Open in Box</t>
        </is>
      </c>
      <c r="AF920" s="15" t="inlineStr">
        <is>
          <t>Open in Box</t>
        </is>
      </c>
    </row>
    <row r="921">
      <c r="A921" s="11" t="inlineStr">
        <is>
          <t>LA-NEWORLEA-006</t>
        </is>
      </c>
      <c r="B921" s="8" t="inlineStr">
        <is>
          <t>New Orleans NAS JRB</t>
        </is>
      </c>
      <c r="C921" s="11" t="inlineStr"/>
      <c r="D921" s="11" t="inlineStr">
        <is>
          <t>LA</t>
        </is>
      </c>
      <c r="E921" s="11" t="inlineStr">
        <is>
          <t>New Orleans</t>
        </is>
      </c>
      <c r="F921" s="11" t="inlineStr">
        <is>
          <t>70143</t>
        </is>
      </c>
      <c r="G921" s="11" t="inlineStr">
        <is>
          <t>Navy</t>
        </is>
      </c>
      <c r="H921" s="11" t="inlineStr">
        <is>
          <t>Standard Media</t>
        </is>
      </c>
      <c r="I921" s="8" t="inlineStr">
        <is>
          <t>Poster</t>
        </is>
      </c>
      <c r="J921" s="11" t="inlineStr">
        <is>
          <t>22"W x 28"H</t>
        </is>
      </c>
      <c r="K921" s="8" t="inlineStr">
        <is>
          <t>Your ad will appear at an approved installation facility.</t>
        </is>
      </c>
      <c r="L921" s="11" t="n">
        <v>1</v>
      </c>
      <c r="M921" s="12" t="n">
        <v>200</v>
      </c>
      <c r="N921" s="12" t="n">
        <v>600</v>
      </c>
      <c r="O921" s="12" t="n">
        <v>1200</v>
      </c>
      <c r="P921" s="12" t="n">
        <v>2400</v>
      </c>
      <c r="Q921" s="12" t="n">
        <v>100</v>
      </c>
      <c r="R921" s="13">
        <f>IF(ISNUMBER(M921),ROUND(M921/(1-Settings!$B$2)/Settings!$B$3,0)*Settings!$B$3,"")</f>
        <v/>
      </c>
      <c r="S921" s="13">
        <f>IF(ISNUMBER(N921),ROUND(N921/(1-Settings!$B$2)/Settings!$B$3,0)*Settings!$B$3,"")</f>
        <v/>
      </c>
      <c r="T921" s="13">
        <f>IF(ISNUMBER(O921),ROUND(O921/(1-Settings!$B$2)/Settings!$B$3,0)*Settings!$B$3,"")</f>
        <v/>
      </c>
      <c r="U921" s="13">
        <f>IF(ISNUMBER(P921),ROUND(P921/(1-Settings!$B$2)/Settings!$B$3,0)*Settings!$B$3,"")</f>
        <v/>
      </c>
      <c r="V921" s="13">
        <f>IF(ISNUMBER(Q921),ROUND(Q921/(1-Settings!$B$2)/Settings!$B$3,0)*Settings!$B$3,"")</f>
        <v/>
      </c>
      <c r="W921" s="14" t="n">
        <v>463</v>
      </c>
      <c r="X921" s="14" t="n">
        <v>1132</v>
      </c>
      <c r="Y921" s="11" t="inlineStr"/>
      <c r="Z921" s="11" t="inlineStr"/>
      <c r="AA921" s="8" t="inlineStr"/>
      <c r="AB921" s="8" t="inlineStr"/>
      <c r="AC921" s="11" t="inlineStr">
        <is>
          <t>MasterMilitaryOnBaseList 12.2.25 NS.xlsx</t>
        </is>
      </c>
      <c r="AD921" s="11" t="inlineStr">
        <is>
          <t>FY26-27 ADVERTISING ASSETS_NRSE.xlsx</t>
        </is>
      </c>
      <c r="AE921" s="15" t="inlineStr">
        <is>
          <t>Open in Box</t>
        </is>
      </c>
      <c r="AF921" s="15" t="inlineStr">
        <is>
          <t>Open in Box</t>
        </is>
      </c>
    </row>
    <row r="922">
      <c r="A922" s="11" t="inlineStr">
        <is>
          <t>LA-NEWORLEA-009</t>
        </is>
      </c>
      <c r="B922" s="8" t="inlineStr">
        <is>
          <t>New Orleans NAS JRB</t>
        </is>
      </c>
      <c r="C922" s="11" t="inlineStr"/>
      <c r="D922" s="11" t="inlineStr">
        <is>
          <t>LA</t>
        </is>
      </c>
      <c r="E922" s="11" t="inlineStr">
        <is>
          <t>New Orleans</t>
        </is>
      </c>
      <c r="F922" s="11" t="inlineStr"/>
      <c r="G922" s="11" t="inlineStr">
        <is>
          <t>Navy</t>
        </is>
      </c>
      <c r="H922" s="11" t="inlineStr">
        <is>
          <t>Web &amp; Email</t>
        </is>
      </c>
      <c r="I922" s="8" t="inlineStr">
        <is>
          <t>Web Ad</t>
        </is>
      </c>
      <c r="J922" s="11" t="inlineStr"/>
      <c r="K922" s="8" t="inlineStr">
        <is>
          <t>Your ad will appear on the installation MWR / FSS website.</t>
        </is>
      </c>
      <c r="L922" s="11" t="n">
        <v>1</v>
      </c>
      <c r="M922" s="12" t="n">
        <v>300</v>
      </c>
      <c r="N922" s="12" t="n"/>
      <c r="O922" s="12" t="n"/>
      <c r="P922" s="12" t="n"/>
      <c r="Q922" s="12" t="n"/>
      <c r="R922" s="13">
        <f>IF(ISNUMBER(M922),ROUND(M922/(1-Settings!$B$2)/Settings!$B$3,0)*Settings!$B$3,"")</f>
        <v/>
      </c>
      <c r="S922" s="13">
        <f>IF(ISNUMBER(N922),ROUND(N922/(1-Settings!$B$2)/Settings!$B$3,0)*Settings!$B$3,"")</f>
        <v/>
      </c>
      <c r="T922" s="13">
        <f>IF(ISNUMBER(O922),ROUND(O922/(1-Settings!$B$2)/Settings!$B$3,0)*Settings!$B$3,"")</f>
        <v/>
      </c>
      <c r="U922" s="13">
        <f>IF(ISNUMBER(P922),ROUND(P922/(1-Settings!$B$2)/Settings!$B$3,0)*Settings!$B$3,"")</f>
        <v/>
      </c>
      <c r="V922" s="13">
        <f>IF(ISNUMBER(Q922),ROUND(Q922/(1-Settings!$B$2)/Settings!$B$3,0)*Settings!$B$3,"")</f>
        <v/>
      </c>
      <c r="W922" s="14" t="n">
        <v>463</v>
      </c>
      <c r="X922" s="14" t="n">
        <v>1132</v>
      </c>
      <c r="Y922" s="11" t="inlineStr">
        <is>
          <t>2026</t>
        </is>
      </c>
      <c r="Z922" s="11" t="inlineStr">
        <is>
          <t>2026-06</t>
        </is>
      </c>
      <c r="AA922" s="8" t="inlineStr"/>
      <c r="AB922" s="8" t="inlineStr"/>
      <c r="AC922" s="11" t="inlineStr">
        <is>
          <t>Military - National Publication Inventory Master_June 2026.xlsx</t>
        </is>
      </c>
      <c r="AD922" s="11" t="inlineStr">
        <is>
          <t>FY26-27 ADVERTISING ASSETS_NRSE.xlsx</t>
        </is>
      </c>
      <c r="AE922" s="15" t="inlineStr">
        <is>
          <t>Open in Box</t>
        </is>
      </c>
      <c r="AF922" s="15" t="inlineStr">
        <is>
          <t>Open in Box</t>
        </is>
      </c>
    </row>
    <row r="923">
      <c r="A923" s="11" t="inlineStr">
        <is>
          <t>MA-HANSCOMA-001</t>
        </is>
      </c>
      <c r="B923" s="8" t="inlineStr">
        <is>
          <t>Hanscom AFB</t>
        </is>
      </c>
      <c r="C923" s="11" t="inlineStr"/>
      <c r="D923" s="11" t="inlineStr">
        <is>
          <t>MA</t>
        </is>
      </c>
      <c r="E923" s="11" t="inlineStr">
        <is>
          <t>Boston (Manchester)</t>
        </is>
      </c>
      <c r="F923" s="11" t="inlineStr">
        <is>
          <t>1731</t>
        </is>
      </c>
      <c r="G923" s="11" t="inlineStr">
        <is>
          <t>Air Force</t>
        </is>
      </c>
      <c r="H923" s="11" t="inlineStr">
        <is>
          <t>Digital</t>
        </is>
      </c>
      <c r="I923" s="8" t="inlineStr">
        <is>
          <t>Digital Kiosk Network</t>
        </is>
      </c>
      <c r="J923" s="11" t="inlineStr">
        <is>
          <t>2250pxW x 4000pxH</t>
        </is>
      </c>
      <c r="K923" s="8" t="inlineStr">
        <is>
          <t>Your ad will appear on 14 digital kiosks in approved installation facilities.</t>
        </is>
      </c>
      <c r="L923" s="11" t="n">
        <v>6</v>
      </c>
      <c r="M923" s="12" t="n"/>
      <c r="N923" s="12" t="n"/>
      <c r="O923" s="12" t="n">
        <v>4000</v>
      </c>
      <c r="P923" s="12" t="n"/>
      <c r="Q923" s="12" t="n">
        <v>0</v>
      </c>
      <c r="R923" s="13">
        <f>IF(ISNUMBER(M923),ROUND(M923/(1-Settings!$B$2)/Settings!$B$3,0)*Settings!$B$3,"")</f>
        <v/>
      </c>
      <c r="S923" s="13">
        <f>IF(ISNUMBER(N923),ROUND(N923/(1-Settings!$B$2)/Settings!$B$3,0)*Settings!$B$3,"")</f>
        <v/>
      </c>
      <c r="T923" s="13">
        <f>IF(ISNUMBER(O923),ROUND(O923/(1-Settings!$B$2)/Settings!$B$3,0)*Settings!$B$3,"")</f>
        <v/>
      </c>
      <c r="U923" s="13">
        <f>IF(ISNUMBER(P923),ROUND(P923/(1-Settings!$B$2)/Settings!$B$3,0)*Settings!$B$3,"")</f>
        <v/>
      </c>
      <c r="V923" s="13">
        <f>IF(ISNUMBER(Q923),ROUND(Q923/(1-Settings!$B$2)/Settings!$B$3,0)*Settings!$B$3,"")</f>
        <v/>
      </c>
      <c r="W923" s="14" t="n">
        <v>833</v>
      </c>
      <c r="X923" s="14" t="n">
        <v>1124</v>
      </c>
      <c r="Y923" s="11" t="inlineStr"/>
      <c r="Z923" s="11" t="inlineStr"/>
      <c r="AA923" s="8" t="inlineStr">
        <is>
          <t>Inventory master 6/2026 lists Digital Monitor Network at $350 (1 mo); Inventory master 6/2026 lists Digital Kiosk Network at $450 (1 mo)</t>
        </is>
      </c>
      <c r="AB923" s="16" t="inlineStr">
        <is>
          <t>Source formula errors</t>
        </is>
      </c>
      <c r="AC923" s="11" t="inlineStr">
        <is>
          <t>MasterMilitaryOnBaseList 12.2.25 NS.xlsx</t>
        </is>
      </c>
      <c r="AD923" s="11" t="inlineStr">
        <is>
          <t>Hanscom POC_September 2026.pdf</t>
        </is>
      </c>
      <c r="AE923" s="15" t="inlineStr">
        <is>
          <t>Open in Box</t>
        </is>
      </c>
      <c r="AF923" s="15" t="inlineStr">
        <is>
          <t>Open in Box</t>
        </is>
      </c>
    </row>
    <row r="924">
      <c r="A924" s="11" t="inlineStr">
        <is>
          <t>MA-HANSCOMA-002</t>
        </is>
      </c>
      <c r="B924" s="8" t="inlineStr">
        <is>
          <t>Hanscom AFB</t>
        </is>
      </c>
      <c r="C924" s="11" t="inlineStr"/>
      <c r="D924" s="11" t="inlineStr">
        <is>
          <t>MA</t>
        </is>
      </c>
      <c r="E924" s="11" t="inlineStr">
        <is>
          <t>Boston (Manchester)</t>
        </is>
      </c>
      <c r="F924" s="11" t="inlineStr">
        <is>
          <t>1731</t>
        </is>
      </c>
      <c r="G924" s="11" t="inlineStr">
        <is>
          <t>Air Force</t>
        </is>
      </c>
      <c r="H924" s="11" t="inlineStr">
        <is>
          <t>Digital</t>
        </is>
      </c>
      <c r="I924" s="8" t="inlineStr">
        <is>
          <t>Digital Monitor Network</t>
        </is>
      </c>
      <c r="J924" s="11" t="inlineStr">
        <is>
          <t>4800pxW x 2700pxH</t>
        </is>
      </c>
      <c r="K924" s="8" t="inlineStr">
        <is>
          <t>Your ad will appear on 7 digital monitors in approved installation facilities.</t>
        </is>
      </c>
      <c r="L924" s="11" t="n">
        <v>1</v>
      </c>
      <c r="M924" s="12" t="n">
        <v>225</v>
      </c>
      <c r="N924" s="12" t="n">
        <v>675</v>
      </c>
      <c r="O924" s="12" t="n">
        <v>1350</v>
      </c>
      <c r="P924" s="12" t="n">
        <v>2700</v>
      </c>
      <c r="Q924" s="12" t="n">
        <v>0</v>
      </c>
      <c r="R924" s="13">
        <f>IF(ISNUMBER(M924),ROUND(M924/(1-Settings!$B$2)/Settings!$B$3,0)*Settings!$B$3,"")</f>
        <v/>
      </c>
      <c r="S924" s="13">
        <f>IF(ISNUMBER(N924),ROUND(N924/(1-Settings!$B$2)/Settings!$B$3,0)*Settings!$B$3,"")</f>
        <v/>
      </c>
      <c r="T924" s="13">
        <f>IF(ISNUMBER(O924),ROUND(O924/(1-Settings!$B$2)/Settings!$B$3,0)*Settings!$B$3,"")</f>
        <v/>
      </c>
      <c r="U924" s="13">
        <f>IF(ISNUMBER(P924),ROUND(P924/(1-Settings!$B$2)/Settings!$B$3,0)*Settings!$B$3,"")</f>
        <v/>
      </c>
      <c r="V924" s="13">
        <f>IF(ISNUMBER(Q924),ROUND(Q924/(1-Settings!$B$2)/Settings!$B$3,0)*Settings!$B$3,"")</f>
        <v/>
      </c>
      <c r="W924" s="14" t="n">
        <v>833</v>
      </c>
      <c r="X924" s="14" t="n">
        <v>1124</v>
      </c>
      <c r="Y924" s="11" t="inlineStr"/>
      <c r="Z924" s="11" t="inlineStr"/>
      <c r="AA924" s="8" t="inlineStr">
        <is>
          <t>Inventory master 6/2026 lists Digital Monitor Network at $350 (1 mo); Inventory master 6/2026 lists Digital Kiosk Network at $450 (1 mo)</t>
        </is>
      </c>
      <c r="AB924" s="8" t="inlineStr"/>
      <c r="AC924" s="11" t="inlineStr">
        <is>
          <t>MasterMilitaryOnBaseList 12.2.25 NS.xlsx</t>
        </is>
      </c>
      <c r="AD924" s="11" t="inlineStr">
        <is>
          <t>Hanscom POC_September 2026.pdf</t>
        </is>
      </c>
      <c r="AE924" s="15" t="inlineStr">
        <is>
          <t>Open in Box</t>
        </is>
      </c>
      <c r="AF924" s="15" t="inlineStr">
        <is>
          <t>Open in Box</t>
        </is>
      </c>
    </row>
    <row r="925">
      <c r="A925" s="11" t="inlineStr">
        <is>
          <t>MA-HANSCOMA-003</t>
        </is>
      </c>
      <c r="B925" s="8" t="inlineStr">
        <is>
          <t>Hanscom AFB</t>
        </is>
      </c>
      <c r="C925" s="11" t="inlineStr"/>
      <c r="D925" s="11" t="inlineStr">
        <is>
          <t>MA</t>
        </is>
      </c>
      <c r="E925" s="11" t="inlineStr">
        <is>
          <t>Boston (Manchester)</t>
        </is>
      </c>
      <c r="F925" s="11" t="inlineStr">
        <is>
          <t>1731</t>
        </is>
      </c>
      <c r="G925" s="11" t="inlineStr">
        <is>
          <t>Air Force</t>
        </is>
      </c>
      <c r="H925" s="11" t="inlineStr">
        <is>
          <t>Digital</t>
        </is>
      </c>
      <c r="I925" s="8" t="inlineStr">
        <is>
          <t>Horizontal TV Screen</t>
        </is>
      </c>
      <c r="J925" s="11" t="inlineStr">
        <is>
          <t>32"W x 18"H</t>
        </is>
      </c>
      <c r="K925" s="8" t="inlineStr">
        <is>
          <t>Your ad will appear in 4 approved locations on the installation.</t>
        </is>
      </c>
      <c r="L925" s="11" t="n">
        <v>1</v>
      </c>
      <c r="M925" s="12" t="n">
        <v>175</v>
      </c>
      <c r="N925" s="12" t="n">
        <v>525</v>
      </c>
      <c r="O925" s="12" t="n">
        <v>1050</v>
      </c>
      <c r="P925" s="12" t="n">
        <v>2100</v>
      </c>
      <c r="Q925" s="12" t="n"/>
      <c r="R925" s="13">
        <f>IF(ISNUMBER(M925),ROUND(M925/(1-Settings!$B$2)/Settings!$B$3,0)*Settings!$B$3,"")</f>
        <v/>
      </c>
      <c r="S925" s="13">
        <f>IF(ISNUMBER(N925),ROUND(N925/(1-Settings!$B$2)/Settings!$B$3,0)*Settings!$B$3,"")</f>
        <v/>
      </c>
      <c r="T925" s="13">
        <f>IF(ISNUMBER(O925),ROUND(O925/(1-Settings!$B$2)/Settings!$B$3,0)*Settings!$B$3,"")</f>
        <v/>
      </c>
      <c r="U925" s="13">
        <f>IF(ISNUMBER(P925),ROUND(P925/(1-Settings!$B$2)/Settings!$B$3,0)*Settings!$B$3,"")</f>
        <v/>
      </c>
      <c r="V925" s="13">
        <f>IF(ISNUMBER(Q925),ROUND(Q925/(1-Settings!$B$2)/Settings!$B$3,0)*Settings!$B$3,"")</f>
        <v/>
      </c>
      <c r="W925" s="14" t="n">
        <v>833</v>
      </c>
      <c r="X925" s="14" t="n">
        <v>1124</v>
      </c>
      <c r="Y925" s="11" t="inlineStr"/>
      <c r="Z925" s="11" t="inlineStr"/>
      <c r="AA925" s="8" t="inlineStr"/>
      <c r="AB925" s="8" t="inlineStr"/>
      <c r="AC925" s="11" t="inlineStr">
        <is>
          <t>MasterMilitaryOnBaseList 12.2.25 NS.xlsx</t>
        </is>
      </c>
      <c r="AD925" s="11" t="inlineStr">
        <is>
          <t>Hanscom POC_September 2026.pdf</t>
        </is>
      </c>
      <c r="AE925" s="15" t="inlineStr">
        <is>
          <t>Open in Box</t>
        </is>
      </c>
      <c r="AF925" s="15" t="inlineStr">
        <is>
          <t>Open in Box</t>
        </is>
      </c>
    </row>
    <row r="926">
      <c r="A926" s="11" t="inlineStr">
        <is>
          <t>MA-HANSCOMA-008</t>
        </is>
      </c>
      <c r="B926" s="8" t="inlineStr">
        <is>
          <t>Hanscom AFB</t>
        </is>
      </c>
      <c r="C926" s="11" t="inlineStr"/>
      <c r="D926" s="11" t="inlineStr">
        <is>
          <t>MA</t>
        </is>
      </c>
      <c r="E926" s="11" t="inlineStr">
        <is>
          <t>Boston (Manchester)</t>
        </is>
      </c>
      <c r="F926" s="11" t="inlineStr"/>
      <c r="G926" s="11" t="inlineStr">
        <is>
          <t>Air Force</t>
        </is>
      </c>
      <c r="H926" s="11" t="inlineStr">
        <is>
          <t>Print &amp; Publications</t>
        </is>
      </c>
      <c r="I926" s="8" t="inlineStr">
        <is>
          <t>Golf Scorecard Ad</t>
        </is>
      </c>
      <c r="J926" s="11" t="inlineStr"/>
      <c r="K926" s="8" t="inlineStr">
        <is>
          <t>Your ad will appear on the golf course scorecard.</t>
        </is>
      </c>
      <c r="L926" s="11" t="n">
        <v>1</v>
      </c>
      <c r="M926" s="12" t="n">
        <v>2500</v>
      </c>
      <c r="N926" s="12" t="n"/>
      <c r="O926" s="12" t="n"/>
      <c r="P926" s="12" t="n"/>
      <c r="Q926" s="12" t="n"/>
      <c r="R926" s="13">
        <f>IF(ISNUMBER(M926),ROUND(M926/(1-Settings!$B$2)/Settings!$B$3,0)*Settings!$B$3,"")</f>
        <v/>
      </c>
      <c r="S926" s="13">
        <f>IF(ISNUMBER(N926),ROUND(N926/(1-Settings!$B$2)/Settings!$B$3,0)*Settings!$B$3,"")</f>
        <v/>
      </c>
      <c r="T926" s="13">
        <f>IF(ISNUMBER(O926),ROUND(O926/(1-Settings!$B$2)/Settings!$B$3,0)*Settings!$B$3,"")</f>
        <v/>
      </c>
      <c r="U926" s="13">
        <f>IF(ISNUMBER(P926),ROUND(P926/(1-Settings!$B$2)/Settings!$B$3,0)*Settings!$B$3,"")</f>
        <v/>
      </c>
      <c r="V926" s="13">
        <f>IF(ISNUMBER(Q926),ROUND(Q926/(1-Settings!$B$2)/Settings!$B$3,0)*Settings!$B$3,"")</f>
        <v/>
      </c>
      <c r="W926" s="14" t="n">
        <v>833</v>
      </c>
      <c r="X926" s="14" t="n">
        <v>1124</v>
      </c>
      <c r="Y926" s="11" t="inlineStr">
        <is>
          <t>2026</t>
        </is>
      </c>
      <c r="Z926" s="11" t="inlineStr">
        <is>
          <t>2026-06</t>
        </is>
      </c>
      <c r="AA926" s="8" t="inlineStr"/>
      <c r="AB926" s="8" t="inlineStr"/>
      <c r="AC926" s="11" t="inlineStr">
        <is>
          <t>Military - National Publication Inventory Master_June 2026.xlsx</t>
        </is>
      </c>
      <c r="AD926" s="11" t="inlineStr">
        <is>
          <t>Hanscom POC_September 2026.pdf</t>
        </is>
      </c>
      <c r="AE926" s="15" t="inlineStr">
        <is>
          <t>Open in Box</t>
        </is>
      </c>
      <c r="AF926" s="15" t="inlineStr">
        <is>
          <t>Open in Box</t>
        </is>
      </c>
    </row>
    <row r="927">
      <c r="A927" s="11" t="inlineStr">
        <is>
          <t>MA-HANSCOMA-004</t>
        </is>
      </c>
      <c r="B927" s="8" t="inlineStr">
        <is>
          <t>Hanscom AFB</t>
        </is>
      </c>
      <c r="C927" s="11" t="inlineStr"/>
      <c r="D927" s="11" t="inlineStr">
        <is>
          <t>MA</t>
        </is>
      </c>
      <c r="E927" s="11" t="inlineStr">
        <is>
          <t>Boston (Manchester)</t>
        </is>
      </c>
      <c r="F927" s="11" t="inlineStr">
        <is>
          <t>1731</t>
        </is>
      </c>
      <c r="G927" s="11" t="inlineStr">
        <is>
          <t>Air Force</t>
        </is>
      </c>
      <c r="H927" s="11" t="inlineStr">
        <is>
          <t>Standard Media</t>
        </is>
      </c>
      <c r="I927" s="8" t="inlineStr">
        <is>
          <t>Banner</t>
        </is>
      </c>
      <c r="J927" s="11" t="inlineStr">
        <is>
          <t>6'W x 3'H</t>
        </is>
      </c>
      <c r="K927" s="8" t="inlineStr">
        <is>
          <t>Your ad will appear at an approved installation facility.</t>
        </is>
      </c>
      <c r="L927" s="11" t="n">
        <v>3</v>
      </c>
      <c r="M927" s="12" t="n"/>
      <c r="N927" s="12" t="n">
        <v>800</v>
      </c>
      <c r="O927" s="12" t="n">
        <v>1600</v>
      </c>
      <c r="P927" s="12" t="n">
        <v>3000</v>
      </c>
      <c r="Q927" s="12" t="n">
        <v>200</v>
      </c>
      <c r="R927" s="13">
        <f>IF(ISNUMBER(M927),ROUND(M927/(1-Settings!$B$2)/Settings!$B$3,0)*Settings!$B$3,"")</f>
        <v/>
      </c>
      <c r="S927" s="13">
        <f>IF(ISNUMBER(N927),ROUND(N927/(1-Settings!$B$2)/Settings!$B$3,0)*Settings!$B$3,"")</f>
        <v/>
      </c>
      <c r="T927" s="13">
        <f>IF(ISNUMBER(O927),ROUND(O927/(1-Settings!$B$2)/Settings!$B$3,0)*Settings!$B$3,"")</f>
        <v/>
      </c>
      <c r="U927" s="13">
        <f>IF(ISNUMBER(P927),ROUND(P927/(1-Settings!$B$2)/Settings!$B$3,0)*Settings!$B$3,"")</f>
        <v/>
      </c>
      <c r="V927" s="13">
        <f>IF(ISNUMBER(Q927),ROUND(Q927/(1-Settings!$B$2)/Settings!$B$3,0)*Settings!$B$3,"")</f>
        <v/>
      </c>
      <c r="W927" s="14" t="n">
        <v>833</v>
      </c>
      <c r="X927" s="14" t="n">
        <v>1124</v>
      </c>
      <c r="Y927" s="11" t="inlineStr"/>
      <c r="Z927" s="11" t="inlineStr"/>
      <c r="AA927" s="8" t="inlineStr"/>
      <c r="AB927" s="16" t="inlineStr">
        <is>
          <t>Source formula errors</t>
        </is>
      </c>
      <c r="AC927" s="11" t="inlineStr">
        <is>
          <t>MasterMilitaryOnBaseList 12.2.25 NS.xlsx</t>
        </is>
      </c>
      <c r="AD927" s="11" t="inlineStr">
        <is>
          <t>Hanscom POC_September 2026.pdf</t>
        </is>
      </c>
      <c r="AE927" s="15" t="inlineStr">
        <is>
          <t>Open in Box</t>
        </is>
      </c>
      <c r="AF927" s="15" t="inlineStr">
        <is>
          <t>Open in Box</t>
        </is>
      </c>
    </row>
    <row r="928">
      <c r="A928" s="11" t="inlineStr">
        <is>
          <t>MA-HANSCOMA-005</t>
        </is>
      </c>
      <c r="B928" s="8" t="inlineStr">
        <is>
          <t>Hanscom AFB</t>
        </is>
      </c>
      <c r="C928" s="11" t="inlineStr"/>
      <c r="D928" s="11" t="inlineStr">
        <is>
          <t>MA</t>
        </is>
      </c>
      <c r="E928" s="11" t="inlineStr">
        <is>
          <t>Boston (Manchester)</t>
        </is>
      </c>
      <c r="F928" s="11" t="inlineStr">
        <is>
          <t>1731</t>
        </is>
      </c>
      <c r="G928" s="11" t="inlineStr">
        <is>
          <t>Air Force</t>
        </is>
      </c>
      <c r="H928" s="11" t="inlineStr">
        <is>
          <t>Standard Media</t>
        </is>
      </c>
      <c r="I928" s="8" t="inlineStr">
        <is>
          <t>Poster</t>
        </is>
      </c>
      <c r="J928" s="11" t="inlineStr">
        <is>
          <t>22"W x 28"H</t>
        </is>
      </c>
      <c r="K928" s="8" t="inlineStr">
        <is>
          <t>Your ad will appear at an approved installation facility.</t>
        </is>
      </c>
      <c r="L928" s="11" t="n">
        <v>6</v>
      </c>
      <c r="M928" s="12" t="n"/>
      <c r="N928" s="12" t="n"/>
      <c r="O928" s="12" t="n">
        <v>600</v>
      </c>
      <c r="P928" s="12" t="n"/>
      <c r="Q928" s="12" t="n">
        <v>100</v>
      </c>
      <c r="R928" s="13">
        <f>IF(ISNUMBER(M928),ROUND(M928/(1-Settings!$B$2)/Settings!$B$3,0)*Settings!$B$3,"")</f>
        <v/>
      </c>
      <c r="S928" s="13">
        <f>IF(ISNUMBER(N928),ROUND(N928/(1-Settings!$B$2)/Settings!$B$3,0)*Settings!$B$3,"")</f>
        <v/>
      </c>
      <c r="T928" s="13">
        <f>IF(ISNUMBER(O928),ROUND(O928/(1-Settings!$B$2)/Settings!$B$3,0)*Settings!$B$3,"")</f>
        <v/>
      </c>
      <c r="U928" s="13">
        <f>IF(ISNUMBER(P928),ROUND(P928/(1-Settings!$B$2)/Settings!$B$3,0)*Settings!$B$3,"")</f>
        <v/>
      </c>
      <c r="V928" s="13">
        <f>IF(ISNUMBER(Q928),ROUND(Q928/(1-Settings!$B$2)/Settings!$B$3,0)*Settings!$B$3,"")</f>
        <v/>
      </c>
      <c r="W928" s="14" t="n">
        <v>833</v>
      </c>
      <c r="X928" s="14" t="n">
        <v>1124</v>
      </c>
      <c r="Y928" s="11" t="inlineStr"/>
      <c r="Z928" s="11" t="inlineStr"/>
      <c r="AA928" s="8" t="inlineStr"/>
      <c r="AB928" s="16" t="inlineStr">
        <is>
          <t>Source formula errors</t>
        </is>
      </c>
      <c r="AC928" s="11" t="inlineStr">
        <is>
          <t>MasterMilitaryOnBaseList 12.2.25 NS.xlsx</t>
        </is>
      </c>
      <c r="AD928" s="11" t="inlineStr">
        <is>
          <t>Hanscom POC_September 2026.pdf</t>
        </is>
      </c>
      <c r="AE928" s="15" t="inlineStr">
        <is>
          <t>Open in Box</t>
        </is>
      </c>
      <c r="AF928" s="15" t="inlineStr">
        <is>
          <t>Open in Box</t>
        </is>
      </c>
    </row>
    <row r="929">
      <c r="A929" s="11" t="inlineStr">
        <is>
          <t>MA-HANSCOMA-006</t>
        </is>
      </c>
      <c r="B929" s="8" t="inlineStr">
        <is>
          <t>Hanscom AFB</t>
        </is>
      </c>
      <c r="C929" s="11" t="inlineStr"/>
      <c r="D929" s="11" t="inlineStr">
        <is>
          <t>MA</t>
        </is>
      </c>
      <c r="E929" s="11" t="inlineStr">
        <is>
          <t>Boston (Manchester)</t>
        </is>
      </c>
      <c r="F929" s="11" t="inlineStr">
        <is>
          <t>1731</t>
        </is>
      </c>
      <c r="G929" s="11" t="inlineStr">
        <is>
          <t>Air Force</t>
        </is>
      </c>
      <c r="H929" s="11" t="inlineStr">
        <is>
          <t>Standard Media</t>
        </is>
      </c>
      <c r="I929" s="8" t="inlineStr">
        <is>
          <t>Posters</t>
        </is>
      </c>
      <c r="J929" s="11" t="inlineStr">
        <is>
          <t>22"W x 28"H</t>
        </is>
      </c>
      <c r="K929" s="8" t="inlineStr">
        <is>
          <t>Your ad will appear in approved locations on the installation.</t>
        </is>
      </c>
      <c r="L929" s="11" t="n">
        <v>1</v>
      </c>
      <c r="M929" s="12" t="n">
        <v>150</v>
      </c>
      <c r="N929" s="12" t="n">
        <v>450</v>
      </c>
      <c r="O929" s="12" t="n">
        <v>900</v>
      </c>
      <c r="P929" s="12" t="n">
        <v>1800</v>
      </c>
      <c r="Q929" s="12" t="n">
        <v>100</v>
      </c>
      <c r="R929" s="13">
        <f>IF(ISNUMBER(M929),ROUND(M929/(1-Settings!$B$2)/Settings!$B$3,0)*Settings!$B$3,"")</f>
        <v/>
      </c>
      <c r="S929" s="13">
        <f>IF(ISNUMBER(N929),ROUND(N929/(1-Settings!$B$2)/Settings!$B$3,0)*Settings!$B$3,"")</f>
        <v/>
      </c>
      <c r="T929" s="13">
        <f>IF(ISNUMBER(O929),ROUND(O929/(1-Settings!$B$2)/Settings!$B$3,0)*Settings!$B$3,"")</f>
        <v/>
      </c>
      <c r="U929" s="13">
        <f>IF(ISNUMBER(P929),ROUND(P929/(1-Settings!$B$2)/Settings!$B$3,0)*Settings!$B$3,"")</f>
        <v/>
      </c>
      <c r="V929" s="13">
        <f>IF(ISNUMBER(Q929),ROUND(Q929/(1-Settings!$B$2)/Settings!$B$3,0)*Settings!$B$3,"")</f>
        <v/>
      </c>
      <c r="W929" s="14" t="n">
        <v>833</v>
      </c>
      <c r="X929" s="14" t="n">
        <v>1124</v>
      </c>
      <c r="Y929" s="11" t="inlineStr"/>
      <c r="Z929" s="11" t="inlineStr"/>
      <c r="AA929" s="8" t="inlineStr"/>
      <c r="AB929" s="8" t="inlineStr"/>
      <c r="AC929" s="11" t="inlineStr">
        <is>
          <t>MasterMilitaryOnBaseList 12.2.25 NS.xlsx</t>
        </is>
      </c>
      <c r="AD929" s="11" t="inlineStr">
        <is>
          <t>Hanscom POC_September 2026.pdf</t>
        </is>
      </c>
      <c r="AE929" s="15" t="inlineStr">
        <is>
          <t>Open in Box</t>
        </is>
      </c>
      <c r="AF929" s="15" t="inlineStr">
        <is>
          <t>Open in Box</t>
        </is>
      </c>
    </row>
    <row r="930">
      <c r="A930" s="11" t="inlineStr">
        <is>
          <t>MA-HANSCOMA-007</t>
        </is>
      </c>
      <c r="B930" s="8" t="inlineStr">
        <is>
          <t>Hanscom AFB</t>
        </is>
      </c>
      <c r="C930" s="11" t="inlineStr"/>
      <c r="D930" s="11" t="inlineStr">
        <is>
          <t>MA</t>
        </is>
      </c>
      <c r="E930" s="11" t="inlineStr">
        <is>
          <t>Boston (Manchester)</t>
        </is>
      </c>
      <c r="F930" s="11" t="inlineStr"/>
      <c r="G930" s="11" t="inlineStr">
        <is>
          <t>Air Force</t>
        </is>
      </c>
      <c r="H930" s="11" t="inlineStr">
        <is>
          <t>Web &amp; Email</t>
        </is>
      </c>
      <c r="I930" s="8" t="inlineStr">
        <is>
          <t>Web Ad</t>
        </is>
      </c>
      <c r="J930" s="11" t="inlineStr"/>
      <c r="K930" s="8" t="inlineStr">
        <is>
          <t>Your ad will appear on the installation MWR / FSS website.</t>
        </is>
      </c>
      <c r="L930" s="11" t="n">
        <v>1</v>
      </c>
      <c r="M930" s="12" t="n">
        <v>200</v>
      </c>
      <c r="N930" s="12" t="n"/>
      <c r="O930" s="12" t="n"/>
      <c r="P930" s="12" t="n"/>
      <c r="Q930" s="12" t="n"/>
      <c r="R930" s="13">
        <f>IF(ISNUMBER(M930),ROUND(M930/(1-Settings!$B$2)/Settings!$B$3,0)*Settings!$B$3,"")</f>
        <v/>
      </c>
      <c r="S930" s="13">
        <f>IF(ISNUMBER(N930),ROUND(N930/(1-Settings!$B$2)/Settings!$B$3,0)*Settings!$B$3,"")</f>
        <v/>
      </c>
      <c r="T930" s="13">
        <f>IF(ISNUMBER(O930),ROUND(O930/(1-Settings!$B$2)/Settings!$B$3,0)*Settings!$B$3,"")</f>
        <v/>
      </c>
      <c r="U930" s="13">
        <f>IF(ISNUMBER(P930),ROUND(P930/(1-Settings!$B$2)/Settings!$B$3,0)*Settings!$B$3,"")</f>
        <v/>
      </c>
      <c r="V930" s="13">
        <f>IF(ISNUMBER(Q930),ROUND(Q930/(1-Settings!$B$2)/Settings!$B$3,0)*Settings!$B$3,"")</f>
        <v/>
      </c>
      <c r="W930" s="14" t="n">
        <v>833</v>
      </c>
      <c r="X930" s="14" t="n">
        <v>1124</v>
      </c>
      <c r="Y930" s="11" t="inlineStr">
        <is>
          <t>2026</t>
        </is>
      </c>
      <c r="Z930" s="11" t="inlineStr">
        <is>
          <t>2026-06</t>
        </is>
      </c>
      <c r="AA930" s="8" t="inlineStr"/>
      <c r="AB930" s="8" t="inlineStr"/>
      <c r="AC930" s="11" t="inlineStr">
        <is>
          <t>Military - National Publication Inventory Master_June 2026.xlsx</t>
        </is>
      </c>
      <c r="AD930" s="11" t="inlineStr">
        <is>
          <t>Hanscom POC_September 2026.pdf</t>
        </is>
      </c>
      <c r="AE930" s="15" t="inlineStr">
        <is>
          <t>Open in Box</t>
        </is>
      </c>
      <c r="AF930" s="15" t="inlineStr">
        <is>
          <t>Open in Box</t>
        </is>
      </c>
    </row>
    <row r="931">
      <c r="A931" s="11" t="inlineStr">
        <is>
          <t>MA-WESTOVER-002</t>
        </is>
      </c>
      <c r="B931" s="8" t="inlineStr">
        <is>
          <t>Westover ARB</t>
        </is>
      </c>
      <c r="C931" s="11" t="inlineStr"/>
      <c r="D931" s="11" t="inlineStr">
        <is>
          <t>MA</t>
        </is>
      </c>
      <c r="E931" s="11" t="inlineStr">
        <is>
          <t>Springfield-Holyoke, MA</t>
        </is>
      </c>
      <c r="F931" s="11" t="inlineStr"/>
      <c r="G931" s="11" t="inlineStr">
        <is>
          <t>Air Force</t>
        </is>
      </c>
      <c r="H931" s="11" t="inlineStr">
        <is>
          <t>Digital</t>
        </is>
      </c>
      <c r="I931" s="8" t="inlineStr">
        <is>
          <t>Bowling Scoring Monitors</t>
        </is>
      </c>
      <c r="J931" s="11" t="inlineStr">
        <is>
          <t>16 screens</t>
        </is>
      </c>
      <c r="K931" s="8" t="inlineStr">
        <is>
          <t>Your ad will appear on the 16-screen scoring monitors in the installation bowling center.</t>
        </is>
      </c>
      <c r="L931" s="11" t="n">
        <v>1</v>
      </c>
      <c r="M931" s="12" t="n">
        <v>120</v>
      </c>
      <c r="N931" s="12" t="n"/>
      <c r="O931" s="12" t="n"/>
      <c r="P931" s="12" t="n"/>
      <c r="Q931" s="12" t="n"/>
      <c r="R931" s="13">
        <f>IF(ISNUMBER(M931),ROUND(M931/(1-Settings!$B$2)/Settings!$B$3,0)*Settings!$B$3,"")</f>
        <v/>
      </c>
      <c r="S931" s="13">
        <f>IF(ISNUMBER(N931),ROUND(N931/(1-Settings!$B$2)/Settings!$B$3,0)*Settings!$B$3,"")</f>
        <v/>
      </c>
      <c r="T931" s="13">
        <f>IF(ISNUMBER(O931),ROUND(O931/(1-Settings!$B$2)/Settings!$B$3,0)*Settings!$B$3,"")</f>
        <v/>
      </c>
      <c r="U931" s="13">
        <f>IF(ISNUMBER(P931),ROUND(P931/(1-Settings!$B$2)/Settings!$B$3,0)*Settings!$B$3,"")</f>
        <v/>
      </c>
      <c r="V931" s="13">
        <f>IF(ISNUMBER(Q931),ROUND(Q931/(1-Settings!$B$2)/Settings!$B$3,0)*Settings!$B$3,"")</f>
        <v/>
      </c>
      <c r="W931" s="14" t="n">
        <v>168</v>
      </c>
      <c r="X931" s="14" t="n">
        <v>247</v>
      </c>
      <c r="Y931" s="11" t="inlineStr">
        <is>
          <t>2026</t>
        </is>
      </c>
      <c r="Z931" s="11" t="inlineStr">
        <is>
          <t>2026-06</t>
        </is>
      </c>
      <c r="AA931" s="8" t="inlineStr"/>
      <c r="AB931" s="8" t="inlineStr"/>
      <c r="AC931" s="11" t="inlineStr">
        <is>
          <t>Military - National Digital Inventory Master 6.3.26.xlsx</t>
        </is>
      </c>
      <c r="AD931" s="11" t="inlineStr">
        <is>
          <t>2025 Advertising Oppertunities.png</t>
        </is>
      </c>
      <c r="AE931" s="15" t="inlineStr">
        <is>
          <t>Open in Box</t>
        </is>
      </c>
      <c r="AF931" s="15" t="inlineStr">
        <is>
          <t>Open in Box</t>
        </is>
      </c>
    </row>
    <row r="932">
      <c r="A932" s="11" t="inlineStr">
        <is>
          <t>MA-WESTOVER-001</t>
        </is>
      </c>
      <c r="B932" s="8" t="inlineStr">
        <is>
          <t>Westover ARB</t>
        </is>
      </c>
      <c r="C932" s="11" t="inlineStr"/>
      <c r="D932" s="11" t="inlineStr">
        <is>
          <t>MA</t>
        </is>
      </c>
      <c r="E932" s="11" t="inlineStr">
        <is>
          <t>Springfield-Holyoke, MA</t>
        </is>
      </c>
      <c r="F932" s="11" t="inlineStr"/>
      <c r="G932" s="11" t="inlineStr">
        <is>
          <t>Air Force</t>
        </is>
      </c>
      <c r="H932" s="11" t="inlineStr">
        <is>
          <t>Digital</t>
        </is>
      </c>
      <c r="I932" s="8" t="inlineStr">
        <is>
          <t>Digital Kiosk Network</t>
        </is>
      </c>
      <c r="J932" s="11" t="inlineStr">
        <is>
          <t>4 screens</t>
        </is>
      </c>
      <c r="K932" s="8" t="inlineStr">
        <is>
          <t>Your ad will appear on the 4-screen digital kiosk network in approved installation facilities.</t>
        </is>
      </c>
      <c r="L932" s="11" t="n">
        <v>1</v>
      </c>
      <c r="M932" s="12" t="n">
        <v>120</v>
      </c>
      <c r="N932" s="12" t="n"/>
      <c r="O932" s="12" t="n"/>
      <c r="P932" s="12" t="n"/>
      <c r="Q932" s="12" t="n"/>
      <c r="R932" s="13">
        <f>IF(ISNUMBER(M932),ROUND(M932/(1-Settings!$B$2)/Settings!$B$3,0)*Settings!$B$3,"")</f>
        <v/>
      </c>
      <c r="S932" s="13">
        <f>IF(ISNUMBER(N932),ROUND(N932/(1-Settings!$B$2)/Settings!$B$3,0)*Settings!$B$3,"")</f>
        <v/>
      </c>
      <c r="T932" s="13">
        <f>IF(ISNUMBER(O932),ROUND(O932/(1-Settings!$B$2)/Settings!$B$3,0)*Settings!$B$3,"")</f>
        <v/>
      </c>
      <c r="U932" s="13">
        <f>IF(ISNUMBER(P932),ROUND(P932/(1-Settings!$B$2)/Settings!$B$3,0)*Settings!$B$3,"")</f>
        <v/>
      </c>
      <c r="V932" s="13">
        <f>IF(ISNUMBER(Q932),ROUND(Q932/(1-Settings!$B$2)/Settings!$B$3,0)*Settings!$B$3,"")</f>
        <v/>
      </c>
      <c r="W932" s="14" t="n">
        <v>168</v>
      </c>
      <c r="X932" s="14" t="n">
        <v>247</v>
      </c>
      <c r="Y932" s="11" t="inlineStr">
        <is>
          <t>2026</t>
        </is>
      </c>
      <c r="Z932" s="11" t="inlineStr">
        <is>
          <t>2026-06</t>
        </is>
      </c>
      <c r="AA932" s="8" t="inlineStr"/>
      <c r="AB932" s="8" t="inlineStr"/>
      <c r="AC932" s="11" t="inlineStr">
        <is>
          <t>Military - National Digital Inventory Master 6.3.26.xlsx</t>
        </is>
      </c>
      <c r="AD932" s="11" t="inlineStr">
        <is>
          <t>2025 Advertising Oppertunities.png</t>
        </is>
      </c>
      <c r="AE932" s="15" t="inlineStr">
        <is>
          <t>Open in Box</t>
        </is>
      </c>
      <c r="AF932" s="15" t="inlineStr">
        <is>
          <t>Open in Box</t>
        </is>
      </c>
    </row>
    <row r="933">
      <c r="A933" s="11" t="inlineStr">
        <is>
          <t>MA-WESTOVER-003</t>
        </is>
      </c>
      <c r="B933" s="8" t="inlineStr">
        <is>
          <t>Westover ARB</t>
        </is>
      </c>
      <c r="C933" s="11" t="inlineStr"/>
      <c r="D933" s="11" t="inlineStr">
        <is>
          <t>MA</t>
        </is>
      </c>
      <c r="E933" s="11" t="inlineStr">
        <is>
          <t>Springfield-Holyoke, MA</t>
        </is>
      </c>
      <c r="F933" s="11" t="inlineStr"/>
      <c r="G933" s="11" t="inlineStr">
        <is>
          <t>Air Force</t>
        </is>
      </c>
      <c r="H933" s="11" t="inlineStr">
        <is>
          <t>Web &amp; Email</t>
        </is>
      </c>
      <c r="I933" s="8" t="inlineStr">
        <is>
          <t>Web Ad</t>
        </is>
      </c>
      <c r="J933" s="11" t="inlineStr"/>
      <c r="K933" s="8" t="inlineStr">
        <is>
          <t>Your ad will appear on the installation MWR / FSS website.</t>
        </is>
      </c>
      <c r="L933" s="11" t="n">
        <v>3</v>
      </c>
      <c r="M933" s="12" t="n"/>
      <c r="N933" s="12" t="n">
        <v>125</v>
      </c>
      <c r="O933" s="12" t="n"/>
      <c r="P933" s="12" t="n"/>
      <c r="Q933" s="12" t="n"/>
      <c r="R933" s="13">
        <f>IF(ISNUMBER(M933),ROUND(M933/(1-Settings!$B$2)/Settings!$B$3,0)*Settings!$B$3,"")</f>
        <v/>
      </c>
      <c r="S933" s="13">
        <f>IF(ISNUMBER(N933),ROUND(N933/(1-Settings!$B$2)/Settings!$B$3,0)*Settings!$B$3,"")</f>
        <v/>
      </c>
      <c r="T933" s="13">
        <f>IF(ISNUMBER(O933),ROUND(O933/(1-Settings!$B$2)/Settings!$B$3,0)*Settings!$B$3,"")</f>
        <v/>
      </c>
      <c r="U933" s="13">
        <f>IF(ISNUMBER(P933),ROUND(P933/(1-Settings!$B$2)/Settings!$B$3,0)*Settings!$B$3,"")</f>
        <v/>
      </c>
      <c r="V933" s="13">
        <f>IF(ISNUMBER(Q933),ROUND(Q933/(1-Settings!$B$2)/Settings!$B$3,0)*Settings!$B$3,"")</f>
        <v/>
      </c>
      <c r="W933" s="14" t="n">
        <v>168</v>
      </c>
      <c r="X933" s="14" t="n">
        <v>247</v>
      </c>
      <c r="Y933" s="11" t="inlineStr">
        <is>
          <t>2026</t>
        </is>
      </c>
      <c r="Z933" s="11" t="inlineStr">
        <is>
          <t>2026-06</t>
        </is>
      </c>
      <c r="AA933" s="8" t="inlineStr">
        <is>
          <t>Sold quarterly</t>
        </is>
      </c>
      <c r="AB933" s="8" t="inlineStr"/>
      <c r="AC933" s="11" t="inlineStr">
        <is>
          <t>Military - National Publication Inventory Master_June 2026.xlsx</t>
        </is>
      </c>
      <c r="AD933" s="11" t="inlineStr">
        <is>
          <t>2025 Advertising Oppertunities.png</t>
        </is>
      </c>
      <c r="AE933" s="15" t="inlineStr">
        <is>
          <t>Open in Box</t>
        </is>
      </c>
      <c r="AF933" s="15" t="inlineStr">
        <is>
          <t>Open in Box</t>
        </is>
      </c>
    </row>
    <row r="934">
      <c r="A934" s="11" t="inlineStr">
        <is>
          <t>MD-ABERDEEN-001</t>
        </is>
      </c>
      <c r="B934" s="8" t="inlineStr">
        <is>
          <t>Aberdeen Proving Ground/ Edgewood Area</t>
        </is>
      </c>
      <c r="C934" s="11" t="inlineStr">
        <is>
          <t>APG</t>
        </is>
      </c>
      <c r="D934" s="11" t="inlineStr">
        <is>
          <t>MD</t>
        </is>
      </c>
      <c r="E934" s="11" t="inlineStr">
        <is>
          <t>Baltimore</t>
        </is>
      </c>
      <c r="F934" s="11" t="inlineStr">
        <is>
          <t>21005</t>
        </is>
      </c>
      <c r="G934" s="11" t="inlineStr">
        <is>
          <t>Army</t>
        </is>
      </c>
      <c r="H934" s="11" t="inlineStr">
        <is>
          <t>Digital</t>
        </is>
      </c>
      <c r="I934" s="8" t="inlineStr">
        <is>
          <t>Bowling Pin Sweep - 1 pin sweep</t>
        </is>
      </c>
      <c r="J934" s="11" t="inlineStr">
        <is>
          <t>TBD</t>
        </is>
      </c>
      <c r="K934" s="8" t="inlineStr">
        <is>
          <t>Your ad will appear on one pin sweep.</t>
        </is>
      </c>
      <c r="L934" s="11" t="n">
        <v>12</v>
      </c>
      <c r="M934" s="12" t="n"/>
      <c r="N934" s="12" t="n"/>
      <c r="O934" s="12" t="n"/>
      <c r="P934" s="12" t="n">
        <v>300</v>
      </c>
      <c r="Q934" s="12" t="n"/>
      <c r="R934" s="13">
        <f>IF(ISNUMBER(M934),ROUND(M934/(1-Settings!$B$2)/Settings!$B$3,0)*Settings!$B$3,"")</f>
        <v/>
      </c>
      <c r="S934" s="13">
        <f>IF(ISNUMBER(N934),ROUND(N934/(1-Settings!$B$2)/Settings!$B$3,0)*Settings!$B$3,"")</f>
        <v/>
      </c>
      <c r="T934" s="13">
        <f>IF(ISNUMBER(O934),ROUND(O934/(1-Settings!$B$2)/Settings!$B$3,0)*Settings!$B$3,"")</f>
        <v/>
      </c>
      <c r="U934" s="13">
        <f>IF(ISNUMBER(P934),ROUND(P934/(1-Settings!$B$2)/Settings!$B$3,0)*Settings!$B$3,"")</f>
        <v/>
      </c>
      <c r="V934" s="13">
        <f>IF(ISNUMBER(Q934),ROUND(Q934/(1-Settings!$B$2)/Settings!$B$3,0)*Settings!$B$3,"")</f>
        <v/>
      </c>
      <c r="W934" s="14" t="n">
        <v>831</v>
      </c>
      <c r="X934" s="14" t="n">
        <v>1841</v>
      </c>
      <c r="Y934" s="11" t="inlineStr">
        <is>
          <t>2024</t>
        </is>
      </c>
      <c r="Z934" s="11" t="inlineStr"/>
      <c r="AA934" s="8" t="inlineStr"/>
      <c r="AB934" s="16" t="inlineStr">
        <is>
          <t>Rate card older than 2025 - reconfirm</t>
        </is>
      </c>
      <c r="AC934" s="11" t="inlineStr">
        <is>
          <t>MasterMilitaryOnBaseList 12.2.25 NS.xlsx</t>
        </is>
      </c>
      <c r="AD934" s="11" t="inlineStr">
        <is>
          <t>APG_Bowling Monitor Pricing &amp; Specs.pdf</t>
        </is>
      </c>
      <c r="AE934" s="15" t="inlineStr">
        <is>
          <t>Open in Box</t>
        </is>
      </c>
      <c r="AF934" s="15" t="inlineStr">
        <is>
          <t>Open in Box</t>
        </is>
      </c>
    </row>
    <row r="935">
      <c r="A935" s="11" t="inlineStr">
        <is>
          <t>MD-ABERDEEN-002</t>
        </is>
      </c>
      <c r="B935" s="8" t="inlineStr">
        <is>
          <t>Aberdeen Proving Ground/ Edgewood Area</t>
        </is>
      </c>
      <c r="C935" s="11" t="inlineStr">
        <is>
          <t>APG</t>
        </is>
      </c>
      <c r="D935" s="11" t="inlineStr">
        <is>
          <t>MD</t>
        </is>
      </c>
      <c r="E935" s="11" t="inlineStr">
        <is>
          <t>Baltimore</t>
        </is>
      </c>
      <c r="F935" s="11" t="inlineStr">
        <is>
          <t>21005</t>
        </is>
      </c>
      <c r="G935" s="11" t="inlineStr">
        <is>
          <t>Army</t>
        </is>
      </c>
      <c r="H935" s="11" t="inlineStr">
        <is>
          <t>Digital</t>
        </is>
      </c>
      <c r="I935" s="8" t="inlineStr">
        <is>
          <t>Bowling Pin Sweep - 12 pin sweeps</t>
        </is>
      </c>
      <c r="J935" s="11" t="inlineStr">
        <is>
          <t>TBD</t>
        </is>
      </c>
      <c r="K935" s="8" t="inlineStr">
        <is>
          <t>Your ad will appear on 12 approved pin sweeps.</t>
        </is>
      </c>
      <c r="L935" s="11" t="n">
        <v>12</v>
      </c>
      <c r="M935" s="12" t="n"/>
      <c r="N935" s="12" t="n"/>
      <c r="O935" s="12" t="n"/>
      <c r="P935" s="12" t="n">
        <v>2600</v>
      </c>
      <c r="Q935" s="12" t="n"/>
      <c r="R935" s="13">
        <f>IF(ISNUMBER(M935),ROUND(M935/(1-Settings!$B$2)/Settings!$B$3,0)*Settings!$B$3,"")</f>
        <v/>
      </c>
      <c r="S935" s="13">
        <f>IF(ISNUMBER(N935),ROUND(N935/(1-Settings!$B$2)/Settings!$B$3,0)*Settings!$B$3,"")</f>
        <v/>
      </c>
      <c r="T935" s="13">
        <f>IF(ISNUMBER(O935),ROUND(O935/(1-Settings!$B$2)/Settings!$B$3,0)*Settings!$B$3,"")</f>
        <v/>
      </c>
      <c r="U935" s="13">
        <f>IF(ISNUMBER(P935),ROUND(P935/(1-Settings!$B$2)/Settings!$B$3,0)*Settings!$B$3,"")</f>
        <v/>
      </c>
      <c r="V935" s="13">
        <f>IF(ISNUMBER(Q935),ROUND(Q935/(1-Settings!$B$2)/Settings!$B$3,0)*Settings!$B$3,"")</f>
        <v/>
      </c>
      <c r="W935" s="14" t="n">
        <v>831</v>
      </c>
      <c r="X935" s="14" t="n">
        <v>1841</v>
      </c>
      <c r="Y935" s="11" t="inlineStr">
        <is>
          <t>2024</t>
        </is>
      </c>
      <c r="Z935" s="11" t="inlineStr"/>
      <c r="AA935" s="8" t="inlineStr"/>
      <c r="AB935" s="16" t="inlineStr">
        <is>
          <t>Rate card older than 2025 - reconfirm</t>
        </is>
      </c>
      <c r="AC935" s="11" t="inlineStr">
        <is>
          <t>MasterMilitaryOnBaseList 12.2.25 NS.xlsx</t>
        </is>
      </c>
      <c r="AD935" s="11" t="inlineStr">
        <is>
          <t>APG_Bowling Monitor Pricing &amp; Specs.pdf</t>
        </is>
      </c>
      <c r="AE935" s="15" t="inlineStr">
        <is>
          <t>Open in Box</t>
        </is>
      </c>
      <c r="AF935" s="15" t="inlineStr">
        <is>
          <t>Open in Box</t>
        </is>
      </c>
    </row>
    <row r="936">
      <c r="A936" s="11" t="inlineStr">
        <is>
          <t>MD-ABERDEEN-008</t>
        </is>
      </c>
      <c r="B936" s="8" t="inlineStr">
        <is>
          <t>Aberdeen Proving Ground/ Edgewood Area</t>
        </is>
      </c>
      <c r="C936" s="11" t="inlineStr">
        <is>
          <t>APG</t>
        </is>
      </c>
      <c r="D936" s="11" t="inlineStr">
        <is>
          <t>MD</t>
        </is>
      </c>
      <c r="E936" s="11" t="inlineStr">
        <is>
          <t>Baltimore</t>
        </is>
      </c>
      <c r="F936" s="11" t="inlineStr">
        <is>
          <t>21005</t>
        </is>
      </c>
      <c r="G936" s="11" t="inlineStr">
        <is>
          <t>Army</t>
        </is>
      </c>
      <c r="H936" s="11" t="inlineStr">
        <is>
          <t>Large Format</t>
        </is>
      </c>
      <c r="I936" s="8" t="inlineStr">
        <is>
          <t>Counter Wraps</t>
        </is>
      </c>
      <c r="J936" s="11" t="inlineStr">
        <is>
          <t>TBD</t>
        </is>
      </c>
      <c r="K936" s="8" t="inlineStr">
        <is>
          <t>Your ad will appear on a counter in an approved installation facitlity.</t>
        </is>
      </c>
      <c r="L936" s="11" t="n">
        <v>1</v>
      </c>
      <c r="M936" s="12" t="n">
        <v>600</v>
      </c>
      <c r="N936" s="12" t="n">
        <v>1000</v>
      </c>
      <c r="O936" s="12" t="n">
        <v>2000</v>
      </c>
      <c r="P936" s="12" t="n">
        <v>3600</v>
      </c>
      <c r="Q936" s="12" t="n"/>
      <c r="R936" s="13">
        <f>IF(ISNUMBER(M936),ROUND(M936/(1-Settings!$B$2)/Settings!$B$3,0)*Settings!$B$3,"")</f>
        <v/>
      </c>
      <c r="S936" s="13">
        <f>IF(ISNUMBER(N936),ROUND(N936/(1-Settings!$B$2)/Settings!$B$3,0)*Settings!$B$3,"")</f>
        <v/>
      </c>
      <c r="T936" s="13">
        <f>IF(ISNUMBER(O936),ROUND(O936/(1-Settings!$B$2)/Settings!$B$3,0)*Settings!$B$3,"")</f>
        <v/>
      </c>
      <c r="U936" s="13">
        <f>IF(ISNUMBER(P936),ROUND(P936/(1-Settings!$B$2)/Settings!$B$3,0)*Settings!$B$3,"")</f>
        <v/>
      </c>
      <c r="V936" s="13">
        <f>IF(ISNUMBER(Q936),ROUND(Q936/(1-Settings!$B$2)/Settings!$B$3,0)*Settings!$B$3,"")</f>
        <v/>
      </c>
      <c r="W936" s="14" t="n">
        <v>831</v>
      </c>
      <c r="X936" s="14" t="n">
        <v>1841</v>
      </c>
      <c r="Y936" s="11" t="inlineStr">
        <is>
          <t>2024</t>
        </is>
      </c>
      <c r="Z936" s="11" t="inlineStr"/>
      <c r="AA936" s="8" t="inlineStr"/>
      <c r="AB936" s="16" t="inlineStr">
        <is>
          <t>Rate card older than 2025 - reconfirm</t>
        </is>
      </c>
      <c r="AC936" s="11" t="inlineStr">
        <is>
          <t>MasterMilitaryOnBaseList 12.2.25 NS.xlsx</t>
        </is>
      </c>
      <c r="AD936" s="11" t="inlineStr">
        <is>
          <t>APG_Bowling Monitor Pricing &amp; Specs.pdf</t>
        </is>
      </c>
      <c r="AE936" s="15" t="inlineStr">
        <is>
          <t>Open in Box</t>
        </is>
      </c>
      <c r="AF936" s="15" t="inlineStr">
        <is>
          <t>Open in Box</t>
        </is>
      </c>
    </row>
    <row r="937">
      <c r="A937" s="11" t="inlineStr">
        <is>
          <t>MD-ABERDEEN-009</t>
        </is>
      </c>
      <c r="B937" s="8" t="inlineStr">
        <is>
          <t>Aberdeen Proving Ground/ Edgewood Area</t>
        </is>
      </c>
      <c r="C937" s="11" t="inlineStr">
        <is>
          <t>APG</t>
        </is>
      </c>
      <c r="D937" s="11" t="inlineStr">
        <is>
          <t>MD</t>
        </is>
      </c>
      <c r="E937" s="11" t="inlineStr">
        <is>
          <t>Baltimore</t>
        </is>
      </c>
      <c r="F937" s="11" t="inlineStr">
        <is>
          <t>21005</t>
        </is>
      </c>
      <c r="G937" s="11" t="inlineStr">
        <is>
          <t>Army</t>
        </is>
      </c>
      <c r="H937" s="11" t="inlineStr">
        <is>
          <t>Large Format</t>
        </is>
      </c>
      <c r="I937" s="8" t="inlineStr">
        <is>
          <t>Weekly Newsletter Ad - Business Card</t>
        </is>
      </c>
      <c r="J937" s="11" t="inlineStr">
        <is>
          <t>3.5" x 2"</t>
        </is>
      </c>
      <c r="K937" s="8" t="inlineStr">
        <is>
          <t>Your ad will appear in the "InDemand" weekly newsletter. ($150/issue)</t>
        </is>
      </c>
      <c r="L937" s="11" t="n">
        <v>1</v>
      </c>
      <c r="M937" s="12" t="n">
        <v>600</v>
      </c>
      <c r="N937" s="12" t="n">
        <v>1800</v>
      </c>
      <c r="O937" s="12" t="n">
        <v>3600</v>
      </c>
      <c r="P937" s="12" t="n">
        <v>7200</v>
      </c>
      <c r="Q937" s="12" t="n"/>
      <c r="R937" s="13">
        <f>IF(ISNUMBER(M937),ROUND(M937/(1-Settings!$B$2)/Settings!$B$3,0)*Settings!$B$3,"")</f>
        <v/>
      </c>
      <c r="S937" s="13">
        <f>IF(ISNUMBER(N937),ROUND(N937/(1-Settings!$B$2)/Settings!$B$3,0)*Settings!$B$3,"")</f>
        <v/>
      </c>
      <c r="T937" s="13">
        <f>IF(ISNUMBER(O937),ROUND(O937/(1-Settings!$B$2)/Settings!$B$3,0)*Settings!$B$3,"")</f>
        <v/>
      </c>
      <c r="U937" s="13">
        <f>IF(ISNUMBER(P937),ROUND(P937/(1-Settings!$B$2)/Settings!$B$3,0)*Settings!$B$3,"")</f>
        <v/>
      </c>
      <c r="V937" s="13">
        <f>IF(ISNUMBER(Q937),ROUND(Q937/(1-Settings!$B$2)/Settings!$B$3,0)*Settings!$B$3,"")</f>
        <v/>
      </c>
      <c r="W937" s="14" t="n">
        <v>831</v>
      </c>
      <c r="X937" s="14" t="n">
        <v>1841</v>
      </c>
      <c r="Y937" s="11" t="inlineStr">
        <is>
          <t>2024</t>
        </is>
      </c>
      <c r="Z937" s="11" t="inlineStr"/>
      <c r="AA937" s="8" t="inlineStr">
        <is>
          <t>Inventory master 6/2026 lists Weekly E-Newsletter Ad at $500 (1 mo)</t>
        </is>
      </c>
      <c r="AB937" s="16" t="inlineStr">
        <is>
          <t>Rate card older than 2025 - reconfirm</t>
        </is>
      </c>
      <c r="AC937" s="11" t="inlineStr">
        <is>
          <t>MasterMilitaryOnBaseList 12.2.25 NS.xlsx</t>
        </is>
      </c>
      <c r="AD937" s="11" t="inlineStr">
        <is>
          <t>APG_Bowling Monitor Pricing &amp; Specs.pdf</t>
        </is>
      </c>
      <c r="AE937" s="15" t="inlineStr">
        <is>
          <t>Open in Box</t>
        </is>
      </c>
      <c r="AF937" s="15" t="inlineStr">
        <is>
          <t>Open in Box</t>
        </is>
      </c>
    </row>
    <row r="938">
      <c r="A938" s="11" t="inlineStr">
        <is>
          <t>MD-ABERDEEN-010</t>
        </is>
      </c>
      <c r="B938" s="8" t="inlineStr">
        <is>
          <t>Aberdeen Proving Ground/ Edgewood Area</t>
        </is>
      </c>
      <c r="C938" s="11" t="inlineStr">
        <is>
          <t>APG</t>
        </is>
      </c>
      <c r="D938" s="11" t="inlineStr">
        <is>
          <t>MD</t>
        </is>
      </c>
      <c r="E938" s="11" t="inlineStr">
        <is>
          <t>Baltimore</t>
        </is>
      </c>
      <c r="F938" s="11" t="inlineStr">
        <is>
          <t>21005</t>
        </is>
      </c>
      <c r="G938" s="11" t="inlineStr">
        <is>
          <t>Army</t>
        </is>
      </c>
      <c r="H938" s="11" t="inlineStr">
        <is>
          <t>Large Format</t>
        </is>
      </c>
      <c r="I938" s="8" t="inlineStr">
        <is>
          <t>Window Clings</t>
        </is>
      </c>
      <c r="J938" s="11" t="inlineStr">
        <is>
          <t>TBD</t>
        </is>
      </c>
      <c r="K938" s="8" t="inlineStr">
        <is>
          <t>Your ad will appear on a window in an approved installation facitlity.</t>
        </is>
      </c>
      <c r="L938" s="11" t="n">
        <v>3</v>
      </c>
      <c r="M938" s="12" t="n"/>
      <c r="N938" s="12" t="n">
        <v>1500</v>
      </c>
      <c r="O938" s="12" t="n">
        <v>3000</v>
      </c>
      <c r="P938" s="12" t="n">
        <v>6000</v>
      </c>
      <c r="Q938" s="12" t="n"/>
      <c r="R938" s="13">
        <f>IF(ISNUMBER(M938),ROUND(M938/(1-Settings!$B$2)/Settings!$B$3,0)*Settings!$B$3,"")</f>
        <v/>
      </c>
      <c r="S938" s="13">
        <f>IF(ISNUMBER(N938),ROUND(N938/(1-Settings!$B$2)/Settings!$B$3,0)*Settings!$B$3,"")</f>
        <v/>
      </c>
      <c r="T938" s="13">
        <f>IF(ISNUMBER(O938),ROUND(O938/(1-Settings!$B$2)/Settings!$B$3,0)*Settings!$B$3,"")</f>
        <v/>
      </c>
      <c r="U938" s="13">
        <f>IF(ISNUMBER(P938),ROUND(P938/(1-Settings!$B$2)/Settings!$B$3,0)*Settings!$B$3,"")</f>
        <v/>
      </c>
      <c r="V938" s="13">
        <f>IF(ISNUMBER(Q938),ROUND(Q938/(1-Settings!$B$2)/Settings!$B$3,0)*Settings!$B$3,"")</f>
        <v/>
      </c>
      <c r="W938" s="14" t="n">
        <v>831</v>
      </c>
      <c r="X938" s="14" t="n">
        <v>1841</v>
      </c>
      <c r="Y938" s="11" t="inlineStr">
        <is>
          <t>2024</t>
        </is>
      </c>
      <c r="Z938" s="11" t="inlineStr"/>
      <c r="AA938" s="8" t="inlineStr"/>
      <c r="AB938" s="16" t="inlineStr">
        <is>
          <t>Rate card older than 2025 - reconfirm</t>
        </is>
      </c>
      <c r="AC938" s="11" t="inlineStr">
        <is>
          <t>MasterMilitaryOnBaseList 12.2.25 NS.xlsx</t>
        </is>
      </c>
      <c r="AD938" s="11" t="inlineStr">
        <is>
          <t>APG_Bowling Monitor Pricing &amp; Specs.pdf</t>
        </is>
      </c>
      <c r="AE938" s="15" t="inlineStr">
        <is>
          <t>Open in Box</t>
        </is>
      </c>
      <c r="AF938" s="15" t="inlineStr">
        <is>
          <t>Open in Box</t>
        </is>
      </c>
    </row>
    <row r="939">
      <c r="A939" s="11" t="inlineStr">
        <is>
          <t>MD-ABERDEEN-011</t>
        </is>
      </c>
      <c r="B939" s="8" t="inlineStr">
        <is>
          <t>Aberdeen Proving Ground/ Edgewood Area</t>
        </is>
      </c>
      <c r="C939" s="11" t="inlineStr">
        <is>
          <t>APG</t>
        </is>
      </c>
      <c r="D939" s="11" t="inlineStr">
        <is>
          <t>MD</t>
        </is>
      </c>
      <c r="E939" s="11" t="inlineStr">
        <is>
          <t>Baltimore</t>
        </is>
      </c>
      <c r="F939" s="11" t="inlineStr">
        <is>
          <t>21005</t>
        </is>
      </c>
      <c r="G939" s="11" t="inlineStr">
        <is>
          <t>Army</t>
        </is>
      </c>
      <c r="H939" s="11" t="inlineStr">
        <is>
          <t>Print &amp; Publications</t>
        </is>
      </c>
      <c r="I939" s="8" t="inlineStr">
        <is>
          <t>Annual Directory Ad - Back Cover</t>
        </is>
      </c>
      <c r="J939" s="11" t="inlineStr">
        <is>
          <t>8.5"W x 11"H</t>
        </is>
      </c>
      <c r="K939" s="8" t="inlineStr">
        <is>
          <t>Your ad will appear in the Aberdeen Proving Ground directory.</t>
        </is>
      </c>
      <c r="L939" s="11" t="n">
        <v>12</v>
      </c>
      <c r="M939" s="12" t="n"/>
      <c r="N939" s="12" t="n"/>
      <c r="O939" s="12" t="n"/>
      <c r="P939" s="12" t="n">
        <v>3500</v>
      </c>
      <c r="Q939" s="12" t="n"/>
      <c r="R939" s="13">
        <f>IF(ISNUMBER(M939),ROUND(M939/(1-Settings!$B$2)/Settings!$B$3,0)*Settings!$B$3,"")</f>
        <v/>
      </c>
      <c r="S939" s="13">
        <f>IF(ISNUMBER(N939),ROUND(N939/(1-Settings!$B$2)/Settings!$B$3,0)*Settings!$B$3,"")</f>
        <v/>
      </c>
      <c r="T939" s="13">
        <f>IF(ISNUMBER(O939),ROUND(O939/(1-Settings!$B$2)/Settings!$B$3,0)*Settings!$B$3,"")</f>
        <v/>
      </c>
      <c r="U939" s="13">
        <f>IF(ISNUMBER(P939),ROUND(P939/(1-Settings!$B$2)/Settings!$B$3,0)*Settings!$B$3,"")</f>
        <v/>
      </c>
      <c r="V939" s="13">
        <f>IF(ISNUMBER(Q939),ROUND(Q939/(1-Settings!$B$2)/Settings!$B$3,0)*Settings!$B$3,"")</f>
        <v/>
      </c>
      <c r="W939" s="14" t="n">
        <v>831</v>
      </c>
      <c r="X939" s="14" t="n">
        <v>1841</v>
      </c>
      <c r="Y939" s="11" t="inlineStr">
        <is>
          <t>2024</t>
        </is>
      </c>
      <c r="Z939" s="11" t="inlineStr"/>
      <c r="AA939" s="8" t="inlineStr"/>
      <c r="AB939" s="16" t="inlineStr">
        <is>
          <t>Rate card older than 2025 - reconfirm</t>
        </is>
      </c>
      <c r="AC939" s="11" t="inlineStr">
        <is>
          <t>MasterMilitaryOnBaseList 12.2.25 NS.xlsx</t>
        </is>
      </c>
      <c r="AD939" s="11" t="inlineStr">
        <is>
          <t>APG_Bowling Monitor Pricing &amp; Specs.pdf</t>
        </is>
      </c>
      <c r="AE939" s="15" t="inlineStr">
        <is>
          <t>Open in Box</t>
        </is>
      </c>
      <c r="AF939" s="15" t="inlineStr">
        <is>
          <t>Open in Box</t>
        </is>
      </c>
    </row>
    <row r="940">
      <c r="A940" s="11" t="inlineStr">
        <is>
          <t>MD-ABERDEEN-012</t>
        </is>
      </c>
      <c r="B940" s="8" t="inlineStr">
        <is>
          <t>Aberdeen Proving Ground/ Edgewood Area</t>
        </is>
      </c>
      <c r="C940" s="11" t="inlineStr">
        <is>
          <t>APG</t>
        </is>
      </c>
      <c r="D940" s="11" t="inlineStr">
        <is>
          <t>MD</t>
        </is>
      </c>
      <c r="E940" s="11" t="inlineStr">
        <is>
          <t>Baltimore</t>
        </is>
      </c>
      <c r="F940" s="11" t="inlineStr">
        <is>
          <t>21005</t>
        </is>
      </c>
      <c r="G940" s="11" t="inlineStr">
        <is>
          <t>Army</t>
        </is>
      </c>
      <c r="H940" s="11" t="inlineStr">
        <is>
          <t>Print &amp; Publications</t>
        </is>
      </c>
      <c r="I940" s="8" t="inlineStr">
        <is>
          <t>Annual Directory Ad - Centerfold</t>
        </is>
      </c>
      <c r="J940" s="11" t="inlineStr">
        <is>
          <t>17"W x 11"H</t>
        </is>
      </c>
      <c r="K940" s="8" t="inlineStr">
        <is>
          <t>Your ad will appear in the Aberdeen Proving Ground directory.</t>
        </is>
      </c>
      <c r="L940" s="11" t="n">
        <v>12</v>
      </c>
      <c r="M940" s="12" t="n"/>
      <c r="N940" s="12" t="n"/>
      <c r="O940" s="12" t="n"/>
      <c r="P940" s="12" t="n">
        <v>3700</v>
      </c>
      <c r="Q940" s="12" t="n"/>
      <c r="R940" s="13">
        <f>IF(ISNUMBER(M940),ROUND(M940/(1-Settings!$B$2)/Settings!$B$3,0)*Settings!$B$3,"")</f>
        <v/>
      </c>
      <c r="S940" s="13">
        <f>IF(ISNUMBER(N940),ROUND(N940/(1-Settings!$B$2)/Settings!$B$3,0)*Settings!$B$3,"")</f>
        <v/>
      </c>
      <c r="T940" s="13">
        <f>IF(ISNUMBER(O940),ROUND(O940/(1-Settings!$B$2)/Settings!$B$3,0)*Settings!$B$3,"")</f>
        <v/>
      </c>
      <c r="U940" s="13">
        <f>IF(ISNUMBER(P940),ROUND(P940/(1-Settings!$B$2)/Settings!$B$3,0)*Settings!$B$3,"")</f>
        <v/>
      </c>
      <c r="V940" s="13">
        <f>IF(ISNUMBER(Q940),ROUND(Q940/(1-Settings!$B$2)/Settings!$B$3,0)*Settings!$B$3,"")</f>
        <v/>
      </c>
      <c r="W940" s="14" t="n">
        <v>831</v>
      </c>
      <c r="X940" s="14" t="n">
        <v>1841</v>
      </c>
      <c r="Y940" s="11" t="inlineStr">
        <is>
          <t>2024</t>
        </is>
      </c>
      <c r="Z940" s="11" t="inlineStr"/>
      <c r="AA940" s="8" t="inlineStr"/>
      <c r="AB940" s="16" t="inlineStr">
        <is>
          <t>Rate card older than 2025 - reconfirm</t>
        </is>
      </c>
      <c r="AC940" s="11" t="inlineStr">
        <is>
          <t>MasterMilitaryOnBaseList 12.2.25 NS.xlsx</t>
        </is>
      </c>
      <c r="AD940" s="11" t="inlineStr">
        <is>
          <t>APG_Bowling Monitor Pricing &amp; Specs.pdf</t>
        </is>
      </c>
      <c r="AE940" s="15" t="inlineStr">
        <is>
          <t>Open in Box</t>
        </is>
      </c>
      <c r="AF940" s="15" t="inlineStr">
        <is>
          <t>Open in Box</t>
        </is>
      </c>
    </row>
    <row r="941">
      <c r="A941" s="11" t="inlineStr">
        <is>
          <t>MD-ABERDEEN-013</t>
        </is>
      </c>
      <c r="B941" s="8" t="inlineStr">
        <is>
          <t>Aberdeen Proving Ground/ Edgewood Area</t>
        </is>
      </c>
      <c r="C941" s="11" t="inlineStr">
        <is>
          <t>APG</t>
        </is>
      </c>
      <c r="D941" s="11" t="inlineStr">
        <is>
          <t>MD</t>
        </is>
      </c>
      <c r="E941" s="11" t="inlineStr">
        <is>
          <t>Baltimore</t>
        </is>
      </c>
      <c r="F941" s="11" t="inlineStr">
        <is>
          <t>21005</t>
        </is>
      </c>
      <c r="G941" s="11" t="inlineStr">
        <is>
          <t>Army</t>
        </is>
      </c>
      <c r="H941" s="11" t="inlineStr">
        <is>
          <t>Print &amp; Publications</t>
        </is>
      </c>
      <c r="I941" s="8" t="inlineStr">
        <is>
          <t>Annual Directory Ad - Full Page</t>
        </is>
      </c>
      <c r="J941" s="11" t="inlineStr">
        <is>
          <t>8.5"W x 11"H</t>
        </is>
      </c>
      <c r="K941" s="8" t="inlineStr">
        <is>
          <t>Your ad will appear in the Aberdeen Proving Ground directory.</t>
        </is>
      </c>
      <c r="L941" s="11" t="n">
        <v>12</v>
      </c>
      <c r="M941" s="12" t="n"/>
      <c r="N941" s="12" t="n"/>
      <c r="O941" s="12" t="n"/>
      <c r="P941" s="12" t="n">
        <v>1500</v>
      </c>
      <c r="Q941" s="12" t="n"/>
      <c r="R941" s="13">
        <f>IF(ISNUMBER(M941),ROUND(M941/(1-Settings!$B$2)/Settings!$B$3,0)*Settings!$B$3,"")</f>
        <v/>
      </c>
      <c r="S941" s="13">
        <f>IF(ISNUMBER(N941),ROUND(N941/(1-Settings!$B$2)/Settings!$B$3,0)*Settings!$B$3,"")</f>
        <v/>
      </c>
      <c r="T941" s="13">
        <f>IF(ISNUMBER(O941),ROUND(O941/(1-Settings!$B$2)/Settings!$B$3,0)*Settings!$B$3,"")</f>
        <v/>
      </c>
      <c r="U941" s="13">
        <f>IF(ISNUMBER(P941),ROUND(P941/(1-Settings!$B$2)/Settings!$B$3,0)*Settings!$B$3,"")</f>
        <v/>
      </c>
      <c r="V941" s="13">
        <f>IF(ISNUMBER(Q941),ROUND(Q941/(1-Settings!$B$2)/Settings!$B$3,0)*Settings!$B$3,"")</f>
        <v/>
      </c>
      <c r="W941" s="14" t="n">
        <v>831</v>
      </c>
      <c r="X941" s="14" t="n">
        <v>1841</v>
      </c>
      <c r="Y941" s="11" t="inlineStr">
        <is>
          <t>2024</t>
        </is>
      </c>
      <c r="Z941" s="11" t="inlineStr"/>
      <c r="AA941" s="8" t="inlineStr"/>
      <c r="AB941" s="16" t="inlineStr">
        <is>
          <t>Rate card older than 2025 - reconfirm</t>
        </is>
      </c>
      <c r="AC941" s="11" t="inlineStr">
        <is>
          <t>MasterMilitaryOnBaseList 12.2.25 NS.xlsx</t>
        </is>
      </c>
      <c r="AD941" s="11" t="inlineStr">
        <is>
          <t>APG_Bowling Monitor Pricing &amp; Specs.pdf</t>
        </is>
      </c>
      <c r="AE941" s="15" t="inlineStr">
        <is>
          <t>Open in Box</t>
        </is>
      </c>
      <c r="AF941" s="15" t="inlineStr">
        <is>
          <t>Open in Box</t>
        </is>
      </c>
    </row>
    <row r="942">
      <c r="A942" s="11" t="inlineStr">
        <is>
          <t>MD-ABERDEEN-014</t>
        </is>
      </c>
      <c r="B942" s="8" t="inlineStr">
        <is>
          <t>Aberdeen Proving Ground/ Edgewood Area</t>
        </is>
      </c>
      <c r="C942" s="11" t="inlineStr">
        <is>
          <t>APG</t>
        </is>
      </c>
      <c r="D942" s="11" t="inlineStr">
        <is>
          <t>MD</t>
        </is>
      </c>
      <c r="E942" s="11" t="inlineStr">
        <is>
          <t>Baltimore</t>
        </is>
      </c>
      <c r="F942" s="11" t="inlineStr">
        <is>
          <t>21005</t>
        </is>
      </c>
      <c r="G942" s="11" t="inlineStr">
        <is>
          <t>Army</t>
        </is>
      </c>
      <c r="H942" s="11" t="inlineStr">
        <is>
          <t>Print &amp; Publications</t>
        </is>
      </c>
      <c r="I942" s="8" t="inlineStr">
        <is>
          <t>Annual Directory Ad - Half Page</t>
        </is>
      </c>
      <c r="J942" s="11" t="inlineStr">
        <is>
          <t>8.5"W x 11"H</t>
        </is>
      </c>
      <c r="K942" s="8" t="inlineStr">
        <is>
          <t>Your ad will appear in the Aberdeen Proving Ground directory.</t>
        </is>
      </c>
      <c r="L942" s="11" t="n">
        <v>12</v>
      </c>
      <c r="M942" s="12" t="n"/>
      <c r="N942" s="12" t="n"/>
      <c r="O942" s="12" t="n"/>
      <c r="P942" s="12" t="n">
        <v>500</v>
      </c>
      <c r="Q942" s="12" t="n"/>
      <c r="R942" s="13">
        <f>IF(ISNUMBER(M942),ROUND(M942/(1-Settings!$B$2)/Settings!$B$3,0)*Settings!$B$3,"")</f>
        <v/>
      </c>
      <c r="S942" s="13">
        <f>IF(ISNUMBER(N942),ROUND(N942/(1-Settings!$B$2)/Settings!$B$3,0)*Settings!$B$3,"")</f>
        <v/>
      </c>
      <c r="T942" s="13">
        <f>IF(ISNUMBER(O942),ROUND(O942/(1-Settings!$B$2)/Settings!$B$3,0)*Settings!$B$3,"")</f>
        <v/>
      </c>
      <c r="U942" s="13">
        <f>IF(ISNUMBER(P942),ROUND(P942/(1-Settings!$B$2)/Settings!$B$3,0)*Settings!$B$3,"")</f>
        <v/>
      </c>
      <c r="V942" s="13">
        <f>IF(ISNUMBER(Q942),ROUND(Q942/(1-Settings!$B$2)/Settings!$B$3,0)*Settings!$B$3,"")</f>
        <v/>
      </c>
      <c r="W942" s="14" t="n">
        <v>831</v>
      </c>
      <c r="X942" s="14" t="n">
        <v>1841</v>
      </c>
      <c r="Y942" s="11" t="inlineStr">
        <is>
          <t>2024</t>
        </is>
      </c>
      <c r="Z942" s="11" t="inlineStr"/>
      <c r="AA942" s="8" t="inlineStr"/>
      <c r="AB942" s="16" t="inlineStr">
        <is>
          <t>Rate card older than 2025 - reconfirm</t>
        </is>
      </c>
      <c r="AC942" s="11" t="inlineStr">
        <is>
          <t>MasterMilitaryOnBaseList 12.2.25 NS.xlsx</t>
        </is>
      </c>
      <c r="AD942" s="11" t="inlineStr">
        <is>
          <t>APG_Bowling Monitor Pricing &amp; Specs.pdf</t>
        </is>
      </c>
      <c r="AE942" s="15" t="inlineStr">
        <is>
          <t>Open in Box</t>
        </is>
      </c>
      <c r="AF942" s="15" t="inlineStr">
        <is>
          <t>Open in Box</t>
        </is>
      </c>
    </row>
    <row r="943">
      <c r="A943" s="11" t="inlineStr">
        <is>
          <t>MD-ABERDEEN-015</t>
        </is>
      </c>
      <c r="B943" s="8" t="inlineStr">
        <is>
          <t>Aberdeen Proving Ground/ Edgewood Area</t>
        </is>
      </c>
      <c r="C943" s="11" t="inlineStr">
        <is>
          <t>APG</t>
        </is>
      </c>
      <c r="D943" s="11" t="inlineStr">
        <is>
          <t>MD</t>
        </is>
      </c>
      <c r="E943" s="11" t="inlineStr">
        <is>
          <t>Baltimore</t>
        </is>
      </c>
      <c r="F943" s="11" t="inlineStr">
        <is>
          <t>21005</t>
        </is>
      </c>
      <c r="G943" s="11" t="inlineStr">
        <is>
          <t>Army</t>
        </is>
      </c>
      <c r="H943" s="11" t="inlineStr">
        <is>
          <t>Print &amp; Publications</t>
        </is>
      </c>
      <c r="I943" s="8" t="inlineStr">
        <is>
          <t>Annual Directory Ad - Inside Back Full Page</t>
        </is>
      </c>
      <c r="J943" s="11" t="inlineStr">
        <is>
          <t>8.5"W x 11"H</t>
        </is>
      </c>
      <c r="K943" s="8" t="inlineStr">
        <is>
          <t>Your ad will appear in the Aberdeen Proving Ground directory.</t>
        </is>
      </c>
      <c r="L943" s="11" t="n">
        <v>12</v>
      </c>
      <c r="M943" s="12" t="n"/>
      <c r="N943" s="12" t="n"/>
      <c r="O943" s="12" t="n"/>
      <c r="P943" s="12" t="n">
        <v>3000</v>
      </c>
      <c r="Q943" s="12" t="n"/>
      <c r="R943" s="13">
        <f>IF(ISNUMBER(M943),ROUND(M943/(1-Settings!$B$2)/Settings!$B$3,0)*Settings!$B$3,"")</f>
        <v/>
      </c>
      <c r="S943" s="13">
        <f>IF(ISNUMBER(N943),ROUND(N943/(1-Settings!$B$2)/Settings!$B$3,0)*Settings!$B$3,"")</f>
        <v/>
      </c>
      <c r="T943" s="13">
        <f>IF(ISNUMBER(O943),ROUND(O943/(1-Settings!$B$2)/Settings!$B$3,0)*Settings!$B$3,"")</f>
        <v/>
      </c>
      <c r="U943" s="13">
        <f>IF(ISNUMBER(P943),ROUND(P943/(1-Settings!$B$2)/Settings!$B$3,0)*Settings!$B$3,"")</f>
        <v/>
      </c>
      <c r="V943" s="13">
        <f>IF(ISNUMBER(Q943),ROUND(Q943/(1-Settings!$B$2)/Settings!$B$3,0)*Settings!$B$3,"")</f>
        <v/>
      </c>
      <c r="W943" s="14" t="n">
        <v>831</v>
      </c>
      <c r="X943" s="14" t="n">
        <v>1841</v>
      </c>
      <c r="Y943" s="11" t="inlineStr">
        <is>
          <t>2024</t>
        </is>
      </c>
      <c r="Z943" s="11" t="inlineStr"/>
      <c r="AA943" s="8" t="inlineStr"/>
      <c r="AB943" s="16" t="inlineStr">
        <is>
          <t>Rate card older than 2025 - reconfirm</t>
        </is>
      </c>
      <c r="AC943" s="11" t="inlineStr">
        <is>
          <t>MasterMilitaryOnBaseList 12.2.25 NS.xlsx</t>
        </is>
      </c>
      <c r="AD943" s="11" t="inlineStr">
        <is>
          <t>APG_Bowling Monitor Pricing &amp; Specs.pdf</t>
        </is>
      </c>
      <c r="AE943" s="15" t="inlineStr">
        <is>
          <t>Open in Box</t>
        </is>
      </c>
      <c r="AF943" s="15" t="inlineStr">
        <is>
          <t>Open in Box</t>
        </is>
      </c>
    </row>
    <row r="944">
      <c r="A944" s="11" t="inlineStr">
        <is>
          <t>MD-ABERDEEN-016</t>
        </is>
      </c>
      <c r="B944" s="8" t="inlineStr">
        <is>
          <t>Aberdeen Proving Ground/ Edgewood Area</t>
        </is>
      </c>
      <c r="C944" s="11" t="inlineStr">
        <is>
          <t>APG</t>
        </is>
      </c>
      <c r="D944" s="11" t="inlineStr">
        <is>
          <t>MD</t>
        </is>
      </c>
      <c r="E944" s="11" t="inlineStr">
        <is>
          <t>Baltimore</t>
        </is>
      </c>
      <c r="F944" s="11" t="inlineStr">
        <is>
          <t>21005</t>
        </is>
      </c>
      <c r="G944" s="11" t="inlineStr">
        <is>
          <t>Army</t>
        </is>
      </c>
      <c r="H944" s="11" t="inlineStr">
        <is>
          <t>Print &amp; Publications</t>
        </is>
      </c>
      <c r="I944" s="8" t="inlineStr">
        <is>
          <t>Annual Directory Ad - Inside Front Full Page</t>
        </is>
      </c>
      <c r="J944" s="11" t="inlineStr">
        <is>
          <t>8.5"W x 11"H</t>
        </is>
      </c>
      <c r="K944" s="8" t="inlineStr">
        <is>
          <t>Your ad will appear in the Aberdeen Proving Ground directory.</t>
        </is>
      </c>
      <c r="L944" s="11" t="n">
        <v>12</v>
      </c>
      <c r="M944" s="12" t="n"/>
      <c r="N944" s="12" t="n"/>
      <c r="O944" s="12" t="n"/>
      <c r="P944" s="12" t="n">
        <v>3000</v>
      </c>
      <c r="Q944" s="12" t="n"/>
      <c r="R944" s="13">
        <f>IF(ISNUMBER(M944),ROUND(M944/(1-Settings!$B$2)/Settings!$B$3,0)*Settings!$B$3,"")</f>
        <v/>
      </c>
      <c r="S944" s="13">
        <f>IF(ISNUMBER(N944),ROUND(N944/(1-Settings!$B$2)/Settings!$B$3,0)*Settings!$B$3,"")</f>
        <v/>
      </c>
      <c r="T944" s="13">
        <f>IF(ISNUMBER(O944),ROUND(O944/(1-Settings!$B$2)/Settings!$B$3,0)*Settings!$B$3,"")</f>
        <v/>
      </c>
      <c r="U944" s="13">
        <f>IF(ISNUMBER(P944),ROUND(P944/(1-Settings!$B$2)/Settings!$B$3,0)*Settings!$B$3,"")</f>
        <v/>
      </c>
      <c r="V944" s="13">
        <f>IF(ISNUMBER(Q944),ROUND(Q944/(1-Settings!$B$2)/Settings!$B$3,0)*Settings!$B$3,"")</f>
        <v/>
      </c>
      <c r="W944" s="14" t="n">
        <v>831</v>
      </c>
      <c r="X944" s="14" t="n">
        <v>1841</v>
      </c>
      <c r="Y944" s="11" t="inlineStr">
        <is>
          <t>2024</t>
        </is>
      </c>
      <c r="Z944" s="11" t="inlineStr"/>
      <c r="AA944" s="8" t="inlineStr"/>
      <c r="AB944" s="16" t="inlineStr">
        <is>
          <t>Rate card older than 2025 - reconfirm</t>
        </is>
      </c>
      <c r="AC944" s="11" t="inlineStr">
        <is>
          <t>MasterMilitaryOnBaseList 12.2.25 NS.xlsx</t>
        </is>
      </c>
      <c r="AD944" s="11" t="inlineStr">
        <is>
          <t>APG_Bowling Monitor Pricing &amp; Specs.pdf</t>
        </is>
      </c>
      <c r="AE944" s="15" t="inlineStr">
        <is>
          <t>Open in Box</t>
        </is>
      </c>
      <c r="AF944" s="15" t="inlineStr">
        <is>
          <t>Open in Box</t>
        </is>
      </c>
    </row>
    <row r="945">
      <c r="A945" s="11" t="inlineStr">
        <is>
          <t>MD-ABERDEEN-017</t>
        </is>
      </c>
      <c r="B945" s="8" t="inlineStr">
        <is>
          <t>Aberdeen Proving Ground/ Edgewood Area</t>
        </is>
      </c>
      <c r="C945" s="11" t="inlineStr">
        <is>
          <t>APG</t>
        </is>
      </c>
      <c r="D945" s="11" t="inlineStr">
        <is>
          <t>MD</t>
        </is>
      </c>
      <c r="E945" s="11" t="inlineStr">
        <is>
          <t>Baltimore</t>
        </is>
      </c>
      <c r="F945" s="11" t="inlineStr">
        <is>
          <t>21005</t>
        </is>
      </c>
      <c r="G945" s="11" t="inlineStr">
        <is>
          <t>Army</t>
        </is>
      </c>
      <c r="H945" s="11" t="inlineStr">
        <is>
          <t>Print &amp; Publications</t>
        </is>
      </c>
      <c r="I945" s="8" t="inlineStr">
        <is>
          <t>Brochure</t>
        </is>
      </c>
      <c r="J945" s="11" t="inlineStr">
        <is>
          <t>TBD</t>
        </is>
      </c>
      <c r="K945" s="8" t="inlineStr">
        <is>
          <t>Your ad will appear in the Aberdeen Proving Ground brochure.</t>
        </is>
      </c>
      <c r="L945" s="11" t="n">
        <v>1</v>
      </c>
      <c r="M945" s="12" t="n">
        <v>300</v>
      </c>
      <c r="N945" s="12" t="n">
        <v>500</v>
      </c>
      <c r="O945" s="12" t="n">
        <v>750</v>
      </c>
      <c r="P945" s="12" t="n"/>
      <c r="Q945" s="12" t="n"/>
      <c r="R945" s="13">
        <f>IF(ISNUMBER(M945),ROUND(M945/(1-Settings!$B$2)/Settings!$B$3,0)*Settings!$B$3,"")</f>
        <v/>
      </c>
      <c r="S945" s="13">
        <f>IF(ISNUMBER(N945),ROUND(N945/(1-Settings!$B$2)/Settings!$B$3,0)*Settings!$B$3,"")</f>
        <v/>
      </c>
      <c r="T945" s="13">
        <f>IF(ISNUMBER(O945),ROUND(O945/(1-Settings!$B$2)/Settings!$B$3,0)*Settings!$B$3,"")</f>
        <v/>
      </c>
      <c r="U945" s="13">
        <f>IF(ISNUMBER(P945),ROUND(P945/(1-Settings!$B$2)/Settings!$B$3,0)*Settings!$B$3,"")</f>
        <v/>
      </c>
      <c r="V945" s="13">
        <f>IF(ISNUMBER(Q945),ROUND(Q945/(1-Settings!$B$2)/Settings!$B$3,0)*Settings!$B$3,"")</f>
        <v/>
      </c>
      <c r="W945" s="14" t="n">
        <v>831</v>
      </c>
      <c r="X945" s="14" t="n">
        <v>1841</v>
      </c>
      <c r="Y945" s="11" t="inlineStr">
        <is>
          <t>2024</t>
        </is>
      </c>
      <c r="Z945" s="11" t="inlineStr"/>
      <c r="AA945" s="8" t="inlineStr"/>
      <c r="AB945" s="16" t="inlineStr">
        <is>
          <t>Rate card older than 2025 - reconfirm</t>
        </is>
      </c>
      <c r="AC945" s="11" t="inlineStr">
        <is>
          <t>MasterMilitaryOnBaseList 12.2.25 NS.xlsx</t>
        </is>
      </c>
      <c r="AD945" s="11" t="inlineStr">
        <is>
          <t>APG_Bowling Monitor Pricing &amp; Specs.pdf</t>
        </is>
      </c>
      <c r="AE945" s="15" t="inlineStr">
        <is>
          <t>Open in Box</t>
        </is>
      </c>
      <c r="AF945" s="15" t="inlineStr">
        <is>
          <t>Open in Box</t>
        </is>
      </c>
    </row>
    <row r="946">
      <c r="A946" s="11" t="inlineStr">
        <is>
          <t>MD-ABERDEEN-018</t>
        </is>
      </c>
      <c r="B946" s="8" t="inlineStr">
        <is>
          <t>Aberdeen Proving Ground/ Edgewood Area</t>
        </is>
      </c>
      <c r="C946" s="11" t="inlineStr">
        <is>
          <t>APG</t>
        </is>
      </c>
      <c r="D946" s="11" t="inlineStr">
        <is>
          <t>MD</t>
        </is>
      </c>
      <c r="E946" s="11" t="inlineStr">
        <is>
          <t>Baltimore</t>
        </is>
      </c>
      <c r="F946" s="11" t="inlineStr">
        <is>
          <t>21005</t>
        </is>
      </c>
      <c r="G946" s="11" t="inlineStr">
        <is>
          <t>Army</t>
        </is>
      </c>
      <c r="H946" s="11" t="inlineStr">
        <is>
          <t>Print &amp; Publications</t>
        </is>
      </c>
      <c r="I946" s="8" t="inlineStr">
        <is>
          <t>Flyer</t>
        </is>
      </c>
      <c r="J946" s="11" t="inlineStr">
        <is>
          <t>TBD</t>
        </is>
      </c>
      <c r="K946" s="8" t="inlineStr">
        <is>
          <t>Your ad will appear on Aberdeen Proving Ground flyers.</t>
        </is>
      </c>
      <c r="L946" s="11" t="n">
        <v>1</v>
      </c>
      <c r="M946" s="12" t="n">
        <v>300</v>
      </c>
      <c r="N946" s="12" t="n">
        <v>500</v>
      </c>
      <c r="O946" s="12" t="n">
        <v>750</v>
      </c>
      <c r="P946" s="12" t="n"/>
      <c r="Q946" s="12" t="n">
        <v>100</v>
      </c>
      <c r="R946" s="13">
        <f>IF(ISNUMBER(M946),ROUND(M946/(1-Settings!$B$2)/Settings!$B$3,0)*Settings!$B$3,"")</f>
        <v/>
      </c>
      <c r="S946" s="13">
        <f>IF(ISNUMBER(N946),ROUND(N946/(1-Settings!$B$2)/Settings!$B$3,0)*Settings!$B$3,"")</f>
        <v/>
      </c>
      <c r="T946" s="13">
        <f>IF(ISNUMBER(O946),ROUND(O946/(1-Settings!$B$2)/Settings!$B$3,0)*Settings!$B$3,"")</f>
        <v/>
      </c>
      <c r="U946" s="13">
        <f>IF(ISNUMBER(P946),ROUND(P946/(1-Settings!$B$2)/Settings!$B$3,0)*Settings!$B$3,"")</f>
        <v/>
      </c>
      <c r="V946" s="13">
        <f>IF(ISNUMBER(Q946),ROUND(Q946/(1-Settings!$B$2)/Settings!$B$3,0)*Settings!$B$3,"")</f>
        <v/>
      </c>
      <c r="W946" s="14" t="n">
        <v>831</v>
      </c>
      <c r="X946" s="14" t="n">
        <v>1841</v>
      </c>
      <c r="Y946" s="11" t="inlineStr">
        <is>
          <t>2024</t>
        </is>
      </c>
      <c r="Z946" s="11" t="inlineStr"/>
      <c r="AA946" s="8" t="inlineStr"/>
      <c r="AB946" s="16" t="inlineStr">
        <is>
          <t>Rate card older than 2025 - reconfirm</t>
        </is>
      </c>
      <c r="AC946" s="11" t="inlineStr">
        <is>
          <t>MasterMilitaryOnBaseList 12.2.25 NS.xlsx</t>
        </is>
      </c>
      <c r="AD946" s="11" t="inlineStr">
        <is>
          <t>APG_Bowling Monitor Pricing &amp; Specs.pdf</t>
        </is>
      </c>
      <c r="AE946" s="15" t="inlineStr">
        <is>
          <t>Open in Box</t>
        </is>
      </c>
      <c r="AF946" s="15" t="inlineStr">
        <is>
          <t>Open in Box</t>
        </is>
      </c>
    </row>
    <row r="947">
      <c r="A947" s="11" t="inlineStr">
        <is>
          <t>MD-ABERDEEN-019</t>
        </is>
      </c>
      <c r="B947" s="8" t="inlineStr">
        <is>
          <t>Aberdeen Proving Ground/ Edgewood Area</t>
        </is>
      </c>
      <c r="C947" s="11" t="inlineStr">
        <is>
          <t>APG</t>
        </is>
      </c>
      <c r="D947" s="11" t="inlineStr">
        <is>
          <t>MD</t>
        </is>
      </c>
      <c r="E947" s="11" t="inlineStr">
        <is>
          <t>Baltimore</t>
        </is>
      </c>
      <c r="F947" s="11" t="inlineStr">
        <is>
          <t>21005</t>
        </is>
      </c>
      <c r="G947" s="11" t="inlineStr">
        <is>
          <t>Army</t>
        </is>
      </c>
      <c r="H947" s="11" t="inlineStr">
        <is>
          <t>Print &amp; Publications</t>
        </is>
      </c>
      <c r="I947" s="8" t="inlineStr">
        <is>
          <t>Golf Score Card Front/Back Cover</t>
        </is>
      </c>
      <c r="J947" s="11" t="inlineStr">
        <is>
          <t>4.5" x 3.75"</t>
        </is>
      </c>
      <c r="K947" s="8" t="inlineStr">
        <is>
          <t>Your ad will appear on golf scorecards on the installation golf course.</t>
        </is>
      </c>
      <c r="L947" s="11" t="n">
        <v>12</v>
      </c>
      <c r="M947" s="12" t="n"/>
      <c r="N947" s="12" t="n"/>
      <c r="O947" s="12" t="n"/>
      <c r="P947" s="12" t="n">
        <v>2000</v>
      </c>
      <c r="Q947" s="12" t="n"/>
      <c r="R947" s="13">
        <f>IF(ISNUMBER(M947),ROUND(M947/(1-Settings!$B$2)/Settings!$B$3,0)*Settings!$B$3,"")</f>
        <v/>
      </c>
      <c r="S947" s="13">
        <f>IF(ISNUMBER(N947),ROUND(N947/(1-Settings!$B$2)/Settings!$B$3,0)*Settings!$B$3,"")</f>
        <v/>
      </c>
      <c r="T947" s="13">
        <f>IF(ISNUMBER(O947),ROUND(O947/(1-Settings!$B$2)/Settings!$B$3,0)*Settings!$B$3,"")</f>
        <v/>
      </c>
      <c r="U947" s="13">
        <f>IF(ISNUMBER(P947),ROUND(P947/(1-Settings!$B$2)/Settings!$B$3,0)*Settings!$B$3,"")</f>
        <v/>
      </c>
      <c r="V947" s="13">
        <f>IF(ISNUMBER(Q947),ROUND(Q947/(1-Settings!$B$2)/Settings!$B$3,0)*Settings!$B$3,"")</f>
        <v/>
      </c>
      <c r="W947" s="14" t="n">
        <v>831</v>
      </c>
      <c r="X947" s="14" t="n">
        <v>1841</v>
      </c>
      <c r="Y947" s="11" t="inlineStr">
        <is>
          <t>2024</t>
        </is>
      </c>
      <c r="Z947" s="11" t="inlineStr"/>
      <c r="AA947" s="8" t="inlineStr">
        <is>
          <t>Inventory master 6/2026 lists Golf Scorecard Ad at $2,000 (1 mo)</t>
        </is>
      </c>
      <c r="AB947" s="16" t="inlineStr">
        <is>
          <t>Rate card older than 2025 - reconfirm</t>
        </is>
      </c>
      <c r="AC947" s="11" t="inlineStr">
        <is>
          <t>MasterMilitaryOnBaseList 12.2.25 NS.xlsx</t>
        </is>
      </c>
      <c r="AD947" s="11" t="inlineStr">
        <is>
          <t>APG_Bowling Monitor Pricing &amp; Specs.pdf</t>
        </is>
      </c>
      <c r="AE947" s="15" t="inlineStr">
        <is>
          <t>Open in Box</t>
        </is>
      </c>
      <c r="AF947" s="15" t="inlineStr">
        <is>
          <t>Open in Box</t>
        </is>
      </c>
    </row>
    <row r="948">
      <c r="A948" s="11" t="inlineStr">
        <is>
          <t>MD-ABERDEEN-020</t>
        </is>
      </c>
      <c r="B948" s="8" t="inlineStr">
        <is>
          <t>Aberdeen Proving Ground/ Edgewood Area</t>
        </is>
      </c>
      <c r="C948" s="11" t="inlineStr">
        <is>
          <t>APG</t>
        </is>
      </c>
      <c r="D948" s="11" t="inlineStr">
        <is>
          <t>MD</t>
        </is>
      </c>
      <c r="E948" s="11" t="inlineStr">
        <is>
          <t>Baltimore</t>
        </is>
      </c>
      <c r="F948" s="11" t="inlineStr">
        <is>
          <t>21005</t>
        </is>
      </c>
      <c r="G948" s="11" t="inlineStr">
        <is>
          <t>Army</t>
        </is>
      </c>
      <c r="H948" s="11" t="inlineStr">
        <is>
          <t>Print &amp; Publications</t>
        </is>
      </c>
      <c r="I948" s="8" t="inlineStr">
        <is>
          <t>Golf Score Card Inside Cover</t>
        </is>
      </c>
      <c r="J948" s="11" t="inlineStr">
        <is>
          <t>4" x 1"</t>
        </is>
      </c>
      <c r="K948" s="8" t="inlineStr">
        <is>
          <t>Your ad will appear on golf scorecards on the installation golf course.</t>
        </is>
      </c>
      <c r="L948" s="11" t="n">
        <v>12</v>
      </c>
      <c r="M948" s="12" t="n"/>
      <c r="N948" s="12" t="n"/>
      <c r="O948" s="12" t="n"/>
      <c r="P948" s="12" t="n">
        <v>1000</v>
      </c>
      <c r="Q948" s="12" t="n"/>
      <c r="R948" s="13">
        <f>IF(ISNUMBER(M948),ROUND(M948/(1-Settings!$B$2)/Settings!$B$3,0)*Settings!$B$3,"")</f>
        <v/>
      </c>
      <c r="S948" s="13">
        <f>IF(ISNUMBER(N948),ROUND(N948/(1-Settings!$B$2)/Settings!$B$3,0)*Settings!$B$3,"")</f>
        <v/>
      </c>
      <c r="T948" s="13">
        <f>IF(ISNUMBER(O948),ROUND(O948/(1-Settings!$B$2)/Settings!$B$3,0)*Settings!$B$3,"")</f>
        <v/>
      </c>
      <c r="U948" s="13">
        <f>IF(ISNUMBER(P948),ROUND(P948/(1-Settings!$B$2)/Settings!$B$3,0)*Settings!$B$3,"")</f>
        <v/>
      </c>
      <c r="V948" s="13">
        <f>IF(ISNUMBER(Q948),ROUND(Q948/(1-Settings!$B$2)/Settings!$B$3,0)*Settings!$B$3,"")</f>
        <v/>
      </c>
      <c r="W948" s="14" t="n">
        <v>831</v>
      </c>
      <c r="X948" s="14" t="n">
        <v>1841</v>
      </c>
      <c r="Y948" s="11" t="inlineStr">
        <is>
          <t>2024</t>
        </is>
      </c>
      <c r="Z948" s="11" t="inlineStr"/>
      <c r="AA948" s="8" t="inlineStr">
        <is>
          <t>Inventory master 6/2026 lists Golf Scorecard Ad at $2,000 (1 mo)</t>
        </is>
      </c>
      <c r="AB948" s="16" t="inlineStr">
        <is>
          <t>Rate card older than 2025 - reconfirm</t>
        </is>
      </c>
      <c r="AC948" s="11" t="inlineStr">
        <is>
          <t>MasterMilitaryOnBaseList 12.2.25 NS.xlsx</t>
        </is>
      </c>
      <c r="AD948" s="11" t="inlineStr">
        <is>
          <t>APG_Bowling Monitor Pricing &amp; Specs.pdf</t>
        </is>
      </c>
      <c r="AE948" s="15" t="inlineStr">
        <is>
          <t>Open in Box</t>
        </is>
      </c>
      <c r="AF948" s="15" t="inlineStr">
        <is>
          <t>Open in Box</t>
        </is>
      </c>
    </row>
    <row r="949">
      <c r="A949" s="11" t="inlineStr">
        <is>
          <t>MD-ABERDEEN-021</t>
        </is>
      </c>
      <c r="B949" s="8" t="inlineStr">
        <is>
          <t>Aberdeen Proving Ground/ Edgewood Area</t>
        </is>
      </c>
      <c r="C949" s="11" t="inlineStr">
        <is>
          <t>APG</t>
        </is>
      </c>
      <c r="D949" s="11" t="inlineStr">
        <is>
          <t>MD</t>
        </is>
      </c>
      <c r="E949" s="11" t="inlineStr">
        <is>
          <t>Baltimore</t>
        </is>
      </c>
      <c r="F949" s="11" t="inlineStr">
        <is>
          <t>21005</t>
        </is>
      </c>
      <c r="G949" s="11" t="inlineStr">
        <is>
          <t>Army</t>
        </is>
      </c>
      <c r="H949" s="11" t="inlineStr">
        <is>
          <t>Print &amp; Publications</t>
        </is>
      </c>
      <c r="I949" s="8" t="inlineStr">
        <is>
          <t>Golf Score Card Watermark</t>
        </is>
      </c>
      <c r="J949" s="11" t="inlineStr">
        <is>
          <t>TBD</t>
        </is>
      </c>
      <c r="K949" s="8" t="inlineStr">
        <is>
          <t>Your ad will appear on golf scorecards on the installation golf course.</t>
        </is>
      </c>
      <c r="L949" s="11" t="n">
        <v>12</v>
      </c>
      <c r="M949" s="12" t="n"/>
      <c r="N949" s="12" t="n"/>
      <c r="O949" s="12" t="n"/>
      <c r="P949" s="12" t="n">
        <v>500</v>
      </c>
      <c r="Q949" s="12" t="n"/>
      <c r="R949" s="13">
        <f>IF(ISNUMBER(M949),ROUND(M949/(1-Settings!$B$2)/Settings!$B$3,0)*Settings!$B$3,"")</f>
        <v/>
      </c>
      <c r="S949" s="13">
        <f>IF(ISNUMBER(N949),ROUND(N949/(1-Settings!$B$2)/Settings!$B$3,0)*Settings!$B$3,"")</f>
        <v/>
      </c>
      <c r="T949" s="13">
        <f>IF(ISNUMBER(O949),ROUND(O949/(1-Settings!$B$2)/Settings!$B$3,0)*Settings!$B$3,"")</f>
        <v/>
      </c>
      <c r="U949" s="13">
        <f>IF(ISNUMBER(P949),ROUND(P949/(1-Settings!$B$2)/Settings!$B$3,0)*Settings!$B$3,"")</f>
        <v/>
      </c>
      <c r="V949" s="13">
        <f>IF(ISNUMBER(Q949),ROUND(Q949/(1-Settings!$B$2)/Settings!$B$3,0)*Settings!$B$3,"")</f>
        <v/>
      </c>
      <c r="W949" s="14" t="n">
        <v>831</v>
      </c>
      <c r="X949" s="14" t="n">
        <v>1841</v>
      </c>
      <c r="Y949" s="11" t="inlineStr">
        <is>
          <t>2024</t>
        </is>
      </c>
      <c r="Z949" s="11" t="inlineStr"/>
      <c r="AA949" s="8" t="inlineStr">
        <is>
          <t>Inventory master 6/2026 lists Golf Scorecard Ad at $2,000 (1 mo)</t>
        </is>
      </c>
      <c r="AB949" s="16" t="inlineStr">
        <is>
          <t>Rate card older than 2025 - reconfirm</t>
        </is>
      </c>
      <c r="AC949" s="11" t="inlineStr">
        <is>
          <t>MasterMilitaryOnBaseList 12.2.25 NS.xlsx</t>
        </is>
      </c>
      <c r="AD949" s="11" t="inlineStr">
        <is>
          <t>APG_Bowling Monitor Pricing &amp; Specs.pdf</t>
        </is>
      </c>
      <c r="AE949" s="15" t="inlineStr">
        <is>
          <t>Open in Box</t>
        </is>
      </c>
      <c r="AF949" s="15" t="inlineStr">
        <is>
          <t>Open in Box</t>
        </is>
      </c>
    </row>
    <row r="950">
      <c r="A950" s="11" t="inlineStr">
        <is>
          <t>MD-ABERDEEN-028</t>
        </is>
      </c>
      <c r="B950" s="8" t="inlineStr">
        <is>
          <t>Aberdeen Proving Ground/ Edgewood Area</t>
        </is>
      </c>
      <c r="C950" s="11" t="inlineStr"/>
      <c r="D950" s="11" t="inlineStr">
        <is>
          <t>MD</t>
        </is>
      </c>
      <c r="E950" s="11" t="inlineStr">
        <is>
          <t>Baltimore</t>
        </is>
      </c>
      <c r="F950" s="11" t="inlineStr"/>
      <c r="G950" s="11" t="inlineStr">
        <is>
          <t>Army</t>
        </is>
      </c>
      <c r="H950" s="11" t="inlineStr">
        <is>
          <t>Print &amp; Publications</t>
        </is>
      </c>
      <c r="I950" s="8" t="inlineStr">
        <is>
          <t>Guide / Map Ad</t>
        </is>
      </c>
      <c r="J950" s="11" t="inlineStr"/>
      <c r="K950" s="8" t="inlineStr">
        <is>
          <t>Your ad will appear in the installation guide or map.</t>
        </is>
      </c>
      <c r="L950" s="11" t="n">
        <v>1</v>
      </c>
      <c r="M950" s="12" t="n">
        <v>3500</v>
      </c>
      <c r="N950" s="12" t="n"/>
      <c r="O950" s="12" t="n"/>
      <c r="P950" s="12" t="n"/>
      <c r="Q950" s="12" t="n"/>
      <c r="R950" s="13">
        <f>IF(ISNUMBER(M950),ROUND(M950/(1-Settings!$B$2)/Settings!$B$3,0)*Settings!$B$3,"")</f>
        <v/>
      </c>
      <c r="S950" s="13">
        <f>IF(ISNUMBER(N950),ROUND(N950/(1-Settings!$B$2)/Settings!$B$3,0)*Settings!$B$3,"")</f>
        <v/>
      </c>
      <c r="T950" s="13">
        <f>IF(ISNUMBER(O950),ROUND(O950/(1-Settings!$B$2)/Settings!$B$3,0)*Settings!$B$3,"")</f>
        <v/>
      </c>
      <c r="U950" s="13">
        <f>IF(ISNUMBER(P950),ROUND(P950/(1-Settings!$B$2)/Settings!$B$3,0)*Settings!$B$3,"")</f>
        <v/>
      </c>
      <c r="V950" s="13">
        <f>IF(ISNUMBER(Q950),ROUND(Q950/(1-Settings!$B$2)/Settings!$B$3,0)*Settings!$B$3,"")</f>
        <v/>
      </c>
      <c r="W950" s="14" t="n">
        <v>831</v>
      </c>
      <c r="X950" s="14" t="n">
        <v>1841</v>
      </c>
      <c r="Y950" s="11" t="inlineStr">
        <is>
          <t>2026</t>
        </is>
      </c>
      <c r="Z950" s="11" t="inlineStr">
        <is>
          <t>2026-06</t>
        </is>
      </c>
      <c r="AA950" s="8" t="inlineStr"/>
      <c r="AB950" s="8" t="inlineStr"/>
      <c r="AC950" s="11" t="inlineStr">
        <is>
          <t>Military - National Publication Inventory Master_June 2026.xlsx</t>
        </is>
      </c>
      <c r="AD950" s="11" t="inlineStr">
        <is>
          <t>APG_Bowling Monitor Pricing &amp; Specs.pdf</t>
        </is>
      </c>
      <c r="AE950" s="15" t="inlineStr">
        <is>
          <t>Open in Box</t>
        </is>
      </c>
      <c r="AF950" s="15" t="inlineStr">
        <is>
          <t>Open in Box</t>
        </is>
      </c>
    </row>
    <row r="951">
      <c r="A951" s="11" t="inlineStr">
        <is>
          <t>MD-ABERDEEN-022</t>
        </is>
      </c>
      <c r="B951" s="8" t="inlineStr">
        <is>
          <t>Aberdeen Proving Ground/ Edgewood Area</t>
        </is>
      </c>
      <c r="C951" s="11" t="inlineStr">
        <is>
          <t>APG</t>
        </is>
      </c>
      <c r="D951" s="11" t="inlineStr">
        <is>
          <t>MD</t>
        </is>
      </c>
      <c r="E951" s="11" t="inlineStr">
        <is>
          <t>Baltimore</t>
        </is>
      </c>
      <c r="F951" s="11" t="inlineStr">
        <is>
          <t>21005</t>
        </is>
      </c>
      <c r="G951" s="11" t="inlineStr">
        <is>
          <t>Army</t>
        </is>
      </c>
      <c r="H951" s="11" t="inlineStr">
        <is>
          <t>Print &amp; Publications</t>
        </is>
      </c>
      <c r="I951" s="8" t="inlineStr">
        <is>
          <t>Top of the Bay Brochure - Back Cover</t>
        </is>
      </c>
      <c r="J951" s="11" t="inlineStr">
        <is>
          <t>TBD</t>
        </is>
      </c>
      <c r="K951" s="8" t="inlineStr">
        <is>
          <t>Your ad will appear in the "Top of the Bay" brochure.</t>
        </is>
      </c>
      <c r="L951" s="11" t="n">
        <v>12</v>
      </c>
      <c r="M951" s="12" t="n"/>
      <c r="N951" s="12" t="n"/>
      <c r="O951" s="12" t="n"/>
      <c r="P951" s="12" t="n">
        <v>5000</v>
      </c>
      <c r="Q951" s="12" t="n"/>
      <c r="R951" s="13">
        <f>IF(ISNUMBER(M951),ROUND(M951/(1-Settings!$B$2)/Settings!$B$3,0)*Settings!$B$3,"")</f>
        <v/>
      </c>
      <c r="S951" s="13">
        <f>IF(ISNUMBER(N951),ROUND(N951/(1-Settings!$B$2)/Settings!$B$3,0)*Settings!$B$3,"")</f>
        <v/>
      </c>
      <c r="T951" s="13">
        <f>IF(ISNUMBER(O951),ROUND(O951/(1-Settings!$B$2)/Settings!$B$3,0)*Settings!$B$3,"")</f>
        <v/>
      </c>
      <c r="U951" s="13">
        <f>IF(ISNUMBER(P951),ROUND(P951/(1-Settings!$B$2)/Settings!$B$3,0)*Settings!$B$3,"")</f>
        <v/>
      </c>
      <c r="V951" s="13">
        <f>IF(ISNUMBER(Q951),ROUND(Q951/(1-Settings!$B$2)/Settings!$B$3,0)*Settings!$B$3,"")</f>
        <v/>
      </c>
      <c r="W951" s="14" t="n">
        <v>831</v>
      </c>
      <c r="X951" s="14" t="n">
        <v>1841</v>
      </c>
      <c r="Y951" s="11" t="inlineStr">
        <is>
          <t>2024</t>
        </is>
      </c>
      <c r="Z951" s="11" t="inlineStr"/>
      <c r="AA951" s="8" t="inlineStr"/>
      <c r="AB951" s="16" t="inlineStr">
        <is>
          <t>Rate card older than 2025 - reconfirm</t>
        </is>
      </c>
      <c r="AC951" s="11" t="inlineStr">
        <is>
          <t>MasterMilitaryOnBaseList 12.2.25 NS.xlsx</t>
        </is>
      </c>
      <c r="AD951" s="11" t="inlineStr">
        <is>
          <t>APG_Bowling Monitor Pricing &amp; Specs.pdf</t>
        </is>
      </c>
      <c r="AE951" s="15" t="inlineStr">
        <is>
          <t>Open in Box</t>
        </is>
      </c>
      <c r="AF951" s="15" t="inlineStr">
        <is>
          <t>Open in Box</t>
        </is>
      </c>
    </row>
    <row r="952">
      <c r="A952" s="11" t="inlineStr">
        <is>
          <t>MD-ABERDEEN-023</t>
        </is>
      </c>
      <c r="B952" s="8" t="inlineStr">
        <is>
          <t>Aberdeen Proving Ground/ Edgewood Area</t>
        </is>
      </c>
      <c r="C952" s="11" t="inlineStr">
        <is>
          <t>APG</t>
        </is>
      </c>
      <c r="D952" s="11" t="inlineStr">
        <is>
          <t>MD</t>
        </is>
      </c>
      <c r="E952" s="11" t="inlineStr">
        <is>
          <t>Baltimore</t>
        </is>
      </c>
      <c r="F952" s="11" t="inlineStr">
        <is>
          <t>21005</t>
        </is>
      </c>
      <c r="G952" s="11" t="inlineStr">
        <is>
          <t>Army</t>
        </is>
      </c>
      <c r="H952" s="11" t="inlineStr">
        <is>
          <t>Print &amp; Publications</t>
        </is>
      </c>
      <c r="I952" s="8" t="inlineStr">
        <is>
          <t>Top of the Bay Brochure - Inside Cover</t>
        </is>
      </c>
      <c r="J952" s="11" t="inlineStr">
        <is>
          <t>TBD</t>
        </is>
      </c>
      <c r="K952" s="8" t="inlineStr">
        <is>
          <t>Your ad will appear in the "Top of the Bay" brochure.</t>
        </is>
      </c>
      <c r="L952" s="11" t="n">
        <v>12</v>
      </c>
      <c r="M952" s="12" t="n"/>
      <c r="N952" s="12" t="n"/>
      <c r="O952" s="12" t="n"/>
      <c r="P952" s="12" t="n">
        <v>1600</v>
      </c>
      <c r="Q952" s="12" t="n"/>
      <c r="R952" s="13">
        <f>IF(ISNUMBER(M952),ROUND(M952/(1-Settings!$B$2)/Settings!$B$3,0)*Settings!$B$3,"")</f>
        <v/>
      </c>
      <c r="S952" s="13">
        <f>IF(ISNUMBER(N952),ROUND(N952/(1-Settings!$B$2)/Settings!$B$3,0)*Settings!$B$3,"")</f>
        <v/>
      </c>
      <c r="T952" s="13">
        <f>IF(ISNUMBER(O952),ROUND(O952/(1-Settings!$B$2)/Settings!$B$3,0)*Settings!$B$3,"")</f>
        <v/>
      </c>
      <c r="U952" s="13">
        <f>IF(ISNUMBER(P952),ROUND(P952/(1-Settings!$B$2)/Settings!$B$3,0)*Settings!$B$3,"")</f>
        <v/>
      </c>
      <c r="V952" s="13">
        <f>IF(ISNUMBER(Q952),ROUND(Q952/(1-Settings!$B$2)/Settings!$B$3,0)*Settings!$B$3,"")</f>
        <v/>
      </c>
      <c r="W952" s="14" t="n">
        <v>831</v>
      </c>
      <c r="X952" s="14" t="n">
        <v>1841</v>
      </c>
      <c r="Y952" s="11" t="inlineStr">
        <is>
          <t>2024</t>
        </is>
      </c>
      <c r="Z952" s="11" t="inlineStr"/>
      <c r="AA952" s="8" t="inlineStr"/>
      <c r="AB952" s="16" t="inlineStr">
        <is>
          <t>Rate card older than 2025 - reconfirm</t>
        </is>
      </c>
      <c r="AC952" s="11" t="inlineStr">
        <is>
          <t>MasterMilitaryOnBaseList 12.2.25 NS.xlsx</t>
        </is>
      </c>
      <c r="AD952" s="11" t="inlineStr">
        <is>
          <t>APG_Bowling Monitor Pricing &amp; Specs.pdf</t>
        </is>
      </c>
      <c r="AE952" s="15" t="inlineStr">
        <is>
          <t>Open in Box</t>
        </is>
      </c>
      <c r="AF952" s="15" t="inlineStr">
        <is>
          <t>Open in Box</t>
        </is>
      </c>
    </row>
    <row r="953">
      <c r="A953" s="11" t="inlineStr">
        <is>
          <t>MD-ABERDEEN-024</t>
        </is>
      </c>
      <c r="B953" s="8" t="inlineStr">
        <is>
          <t>Aberdeen Proving Ground/ Edgewood Area</t>
        </is>
      </c>
      <c r="C953" s="11" t="inlineStr">
        <is>
          <t>APG</t>
        </is>
      </c>
      <c r="D953" s="11" t="inlineStr">
        <is>
          <t>MD</t>
        </is>
      </c>
      <c r="E953" s="11" t="inlineStr">
        <is>
          <t>Baltimore</t>
        </is>
      </c>
      <c r="F953" s="11" t="inlineStr">
        <is>
          <t>21005</t>
        </is>
      </c>
      <c r="G953" s="11" t="inlineStr">
        <is>
          <t>Army</t>
        </is>
      </c>
      <c r="H953" s="11" t="inlineStr">
        <is>
          <t>Print &amp; Publications</t>
        </is>
      </c>
      <c r="I953" s="8" t="inlineStr">
        <is>
          <t>Top of the Bay Brochure - Other Pages</t>
        </is>
      </c>
      <c r="J953" s="11" t="inlineStr">
        <is>
          <t>TBD</t>
        </is>
      </c>
      <c r="K953" s="8" t="inlineStr">
        <is>
          <t>Your ad will appear in the "Top of the Bay" brochure.</t>
        </is>
      </c>
      <c r="L953" s="11" t="n">
        <v>12</v>
      </c>
      <c r="M953" s="12" t="n"/>
      <c r="N953" s="12" t="n"/>
      <c r="O953" s="12" t="n"/>
      <c r="P953" s="12" t="n">
        <v>1000</v>
      </c>
      <c r="Q953" s="12" t="n"/>
      <c r="R953" s="13">
        <f>IF(ISNUMBER(M953),ROUND(M953/(1-Settings!$B$2)/Settings!$B$3,0)*Settings!$B$3,"")</f>
        <v/>
      </c>
      <c r="S953" s="13">
        <f>IF(ISNUMBER(N953),ROUND(N953/(1-Settings!$B$2)/Settings!$B$3,0)*Settings!$B$3,"")</f>
        <v/>
      </c>
      <c r="T953" s="13">
        <f>IF(ISNUMBER(O953),ROUND(O953/(1-Settings!$B$2)/Settings!$B$3,0)*Settings!$B$3,"")</f>
        <v/>
      </c>
      <c r="U953" s="13">
        <f>IF(ISNUMBER(P953),ROUND(P953/(1-Settings!$B$2)/Settings!$B$3,0)*Settings!$B$3,"")</f>
        <v/>
      </c>
      <c r="V953" s="13">
        <f>IF(ISNUMBER(Q953),ROUND(Q953/(1-Settings!$B$2)/Settings!$B$3,0)*Settings!$B$3,"")</f>
        <v/>
      </c>
      <c r="W953" s="14" t="n">
        <v>831</v>
      </c>
      <c r="X953" s="14" t="n">
        <v>1841</v>
      </c>
      <c r="Y953" s="11" t="inlineStr">
        <is>
          <t>2024</t>
        </is>
      </c>
      <c r="Z953" s="11" t="inlineStr"/>
      <c r="AA953" s="8" t="inlineStr"/>
      <c r="AB953" s="16" t="inlineStr">
        <is>
          <t>Rate card older than 2025 - reconfirm</t>
        </is>
      </c>
      <c r="AC953" s="11" t="inlineStr">
        <is>
          <t>MasterMilitaryOnBaseList 12.2.25 NS.xlsx</t>
        </is>
      </c>
      <c r="AD953" s="11" t="inlineStr">
        <is>
          <t>APG_Bowling Monitor Pricing &amp; Specs.pdf</t>
        </is>
      </c>
      <c r="AE953" s="15" t="inlineStr">
        <is>
          <t>Open in Box</t>
        </is>
      </c>
      <c r="AF953" s="15" t="inlineStr">
        <is>
          <t>Open in Box</t>
        </is>
      </c>
    </row>
    <row r="954">
      <c r="A954" s="11" t="inlineStr">
        <is>
          <t>MD-ABERDEEN-025</t>
        </is>
      </c>
      <c r="B954" s="8" t="inlineStr">
        <is>
          <t>Aberdeen Proving Ground/ Edgewood Area</t>
        </is>
      </c>
      <c r="C954" s="11" t="inlineStr">
        <is>
          <t>APG</t>
        </is>
      </c>
      <c r="D954" s="11" t="inlineStr">
        <is>
          <t>MD</t>
        </is>
      </c>
      <c r="E954" s="11" t="inlineStr">
        <is>
          <t>Baltimore</t>
        </is>
      </c>
      <c r="F954" s="11" t="inlineStr">
        <is>
          <t>21005</t>
        </is>
      </c>
      <c r="G954" s="11" t="inlineStr">
        <is>
          <t>Army</t>
        </is>
      </c>
      <c r="H954" s="11" t="inlineStr">
        <is>
          <t>Print &amp; Publications</t>
        </is>
      </c>
      <c r="I954" s="8" t="inlineStr">
        <is>
          <t>Weekly Newsletter Ad - Full Page</t>
        </is>
      </c>
      <c r="J954" s="11" t="inlineStr">
        <is>
          <t>7.5" x 9.75"</t>
        </is>
      </c>
      <c r="K954" s="8" t="inlineStr">
        <is>
          <t>Your ad will appear in the "InDemand" weekly newsletter. ($500/issue)</t>
        </is>
      </c>
      <c r="L954" s="11" t="n">
        <v>1</v>
      </c>
      <c r="M954" s="12" t="n">
        <v>2000</v>
      </c>
      <c r="N954" s="12" t="n">
        <v>6000</v>
      </c>
      <c r="O954" s="12" t="n">
        <v>12000</v>
      </c>
      <c r="P954" s="12" t="n">
        <v>24000</v>
      </c>
      <c r="Q954" s="12" t="n"/>
      <c r="R954" s="13">
        <f>IF(ISNUMBER(M954),ROUND(M954/(1-Settings!$B$2)/Settings!$B$3,0)*Settings!$B$3,"")</f>
        <v/>
      </c>
      <c r="S954" s="13">
        <f>IF(ISNUMBER(N954),ROUND(N954/(1-Settings!$B$2)/Settings!$B$3,0)*Settings!$B$3,"")</f>
        <v/>
      </c>
      <c r="T954" s="13">
        <f>IF(ISNUMBER(O954),ROUND(O954/(1-Settings!$B$2)/Settings!$B$3,0)*Settings!$B$3,"")</f>
        <v/>
      </c>
      <c r="U954" s="13">
        <f>IF(ISNUMBER(P954),ROUND(P954/(1-Settings!$B$2)/Settings!$B$3,0)*Settings!$B$3,"")</f>
        <v/>
      </c>
      <c r="V954" s="13">
        <f>IF(ISNUMBER(Q954),ROUND(Q954/(1-Settings!$B$2)/Settings!$B$3,0)*Settings!$B$3,"")</f>
        <v/>
      </c>
      <c r="W954" s="14" t="n">
        <v>831</v>
      </c>
      <c r="X954" s="14" t="n">
        <v>1841</v>
      </c>
      <c r="Y954" s="11" t="inlineStr">
        <is>
          <t>2024</t>
        </is>
      </c>
      <c r="Z954" s="11" t="inlineStr"/>
      <c r="AA954" s="8" t="inlineStr">
        <is>
          <t>Inventory master 6/2026 lists Weekly E-Newsletter Ad at $500 (1 mo)</t>
        </is>
      </c>
      <c r="AB954" s="16" t="inlineStr">
        <is>
          <t>Rate card older than 2025 - reconfirm</t>
        </is>
      </c>
      <c r="AC954" s="11" t="inlineStr">
        <is>
          <t>MasterMilitaryOnBaseList 12.2.25 NS.xlsx</t>
        </is>
      </c>
      <c r="AD954" s="11" t="inlineStr">
        <is>
          <t>APG_Bowling Monitor Pricing &amp; Specs.pdf</t>
        </is>
      </c>
      <c r="AE954" s="15" t="inlineStr">
        <is>
          <t>Open in Box</t>
        </is>
      </c>
      <c r="AF954" s="15" t="inlineStr">
        <is>
          <t>Open in Box</t>
        </is>
      </c>
    </row>
    <row r="955">
      <c r="A955" s="11" t="inlineStr">
        <is>
          <t>MD-ABERDEEN-026</t>
        </is>
      </c>
      <c r="B955" s="8" t="inlineStr">
        <is>
          <t>Aberdeen Proving Ground/ Edgewood Area</t>
        </is>
      </c>
      <c r="C955" s="11" t="inlineStr">
        <is>
          <t>APG</t>
        </is>
      </c>
      <c r="D955" s="11" t="inlineStr">
        <is>
          <t>MD</t>
        </is>
      </c>
      <c r="E955" s="11" t="inlineStr">
        <is>
          <t>Baltimore</t>
        </is>
      </c>
      <c r="F955" s="11" t="inlineStr">
        <is>
          <t>21005</t>
        </is>
      </c>
      <c r="G955" s="11" t="inlineStr">
        <is>
          <t>Army</t>
        </is>
      </c>
      <c r="H955" s="11" t="inlineStr">
        <is>
          <t>Print &amp; Publications</t>
        </is>
      </c>
      <c r="I955" s="8" t="inlineStr">
        <is>
          <t>Weekly Newsletter Ad - Half Page</t>
        </is>
      </c>
      <c r="J955" s="11" t="inlineStr">
        <is>
          <t>7.5" x 3.5"</t>
        </is>
      </c>
      <c r="K955" s="8" t="inlineStr">
        <is>
          <t>Your ad will appear in the "InDemand" weekly newsletter. ($300/issue)</t>
        </is>
      </c>
      <c r="L955" s="11" t="n">
        <v>1</v>
      </c>
      <c r="M955" s="12" t="n">
        <v>1200</v>
      </c>
      <c r="N955" s="12" t="n">
        <v>3600</v>
      </c>
      <c r="O955" s="12" t="n">
        <v>7200</v>
      </c>
      <c r="P955" s="12" t="n">
        <v>14400</v>
      </c>
      <c r="Q955" s="12" t="n"/>
      <c r="R955" s="13">
        <f>IF(ISNUMBER(M955),ROUND(M955/(1-Settings!$B$2)/Settings!$B$3,0)*Settings!$B$3,"")</f>
        <v/>
      </c>
      <c r="S955" s="13">
        <f>IF(ISNUMBER(N955),ROUND(N955/(1-Settings!$B$2)/Settings!$B$3,0)*Settings!$B$3,"")</f>
        <v/>
      </c>
      <c r="T955" s="13">
        <f>IF(ISNUMBER(O955),ROUND(O955/(1-Settings!$B$2)/Settings!$B$3,0)*Settings!$B$3,"")</f>
        <v/>
      </c>
      <c r="U955" s="13">
        <f>IF(ISNUMBER(P955),ROUND(P955/(1-Settings!$B$2)/Settings!$B$3,0)*Settings!$B$3,"")</f>
        <v/>
      </c>
      <c r="V955" s="13">
        <f>IF(ISNUMBER(Q955),ROUND(Q955/(1-Settings!$B$2)/Settings!$B$3,0)*Settings!$B$3,"")</f>
        <v/>
      </c>
      <c r="W955" s="14" t="n">
        <v>831</v>
      </c>
      <c r="X955" s="14" t="n">
        <v>1841</v>
      </c>
      <c r="Y955" s="11" t="inlineStr">
        <is>
          <t>2024</t>
        </is>
      </c>
      <c r="Z955" s="11" t="inlineStr"/>
      <c r="AA955" s="8" t="inlineStr">
        <is>
          <t>Inventory master 6/2026 lists Weekly E-Newsletter Ad at $500 (1 mo)</t>
        </is>
      </c>
      <c r="AB955" s="16" t="inlineStr">
        <is>
          <t>Rate card older than 2025 - reconfirm</t>
        </is>
      </c>
      <c r="AC955" s="11" t="inlineStr">
        <is>
          <t>MasterMilitaryOnBaseList 12.2.25 NS.xlsx</t>
        </is>
      </c>
      <c r="AD955" s="11" t="inlineStr">
        <is>
          <t>APG_Bowling Monitor Pricing &amp; Specs.pdf</t>
        </is>
      </c>
      <c r="AE955" s="15" t="inlineStr">
        <is>
          <t>Open in Box</t>
        </is>
      </c>
      <c r="AF955" s="15" t="inlineStr">
        <is>
          <t>Open in Box</t>
        </is>
      </c>
    </row>
    <row r="956">
      <c r="A956" s="11" t="inlineStr">
        <is>
          <t>MD-ABERDEEN-027</t>
        </is>
      </c>
      <c r="B956" s="8" t="inlineStr">
        <is>
          <t>Aberdeen Proving Ground/ Edgewood Area</t>
        </is>
      </c>
      <c r="C956" s="11" t="inlineStr">
        <is>
          <t>APG</t>
        </is>
      </c>
      <c r="D956" s="11" t="inlineStr">
        <is>
          <t>MD</t>
        </is>
      </c>
      <c r="E956" s="11" t="inlineStr">
        <is>
          <t>Baltimore</t>
        </is>
      </c>
      <c r="F956" s="11" t="inlineStr">
        <is>
          <t>21005</t>
        </is>
      </c>
      <c r="G956" s="11" t="inlineStr">
        <is>
          <t>Army</t>
        </is>
      </c>
      <c r="H956" s="11" t="inlineStr">
        <is>
          <t>Sponsorship &amp; Other</t>
        </is>
      </c>
      <c r="I956" s="8" t="inlineStr">
        <is>
          <t>Driving Range Balls</t>
        </is>
      </c>
      <c r="J956" s="11" t="inlineStr">
        <is>
          <t>TBD</t>
        </is>
      </c>
      <c r="K956" s="8" t="inlineStr">
        <is>
          <t>Your logo will appear on golf balls on the driving range on the installation.</t>
        </is>
      </c>
      <c r="L956" s="11" t="n">
        <v>12</v>
      </c>
      <c r="M956" s="12" t="n"/>
      <c r="N956" s="12" t="n"/>
      <c r="O956" s="12" t="n"/>
      <c r="P956" s="12" t="n">
        <v>3000</v>
      </c>
      <c r="Q956" s="12" t="n"/>
      <c r="R956" s="13">
        <f>IF(ISNUMBER(M956),ROUND(M956/(1-Settings!$B$2)/Settings!$B$3,0)*Settings!$B$3,"")</f>
        <v/>
      </c>
      <c r="S956" s="13">
        <f>IF(ISNUMBER(N956),ROUND(N956/(1-Settings!$B$2)/Settings!$B$3,0)*Settings!$B$3,"")</f>
        <v/>
      </c>
      <c r="T956" s="13">
        <f>IF(ISNUMBER(O956),ROUND(O956/(1-Settings!$B$2)/Settings!$B$3,0)*Settings!$B$3,"")</f>
        <v/>
      </c>
      <c r="U956" s="13">
        <f>IF(ISNUMBER(P956),ROUND(P956/(1-Settings!$B$2)/Settings!$B$3,0)*Settings!$B$3,"")</f>
        <v/>
      </c>
      <c r="V956" s="13">
        <f>IF(ISNUMBER(Q956),ROUND(Q956/(1-Settings!$B$2)/Settings!$B$3,0)*Settings!$B$3,"")</f>
        <v/>
      </c>
      <c r="W956" s="14" t="n">
        <v>831</v>
      </c>
      <c r="X956" s="14" t="n">
        <v>1841</v>
      </c>
      <c r="Y956" s="11" t="inlineStr">
        <is>
          <t>2024</t>
        </is>
      </c>
      <c r="Z956" s="11" t="inlineStr"/>
      <c r="AA956" s="8" t="inlineStr"/>
      <c r="AB956" s="16" t="inlineStr">
        <is>
          <t>Rate card older than 2025 - reconfirm</t>
        </is>
      </c>
      <c r="AC956" s="11" t="inlineStr">
        <is>
          <t>MasterMilitaryOnBaseList 12.2.25 NS.xlsx</t>
        </is>
      </c>
      <c r="AD956" s="11" t="inlineStr">
        <is>
          <t>APG_Bowling Monitor Pricing &amp; Specs.pdf</t>
        </is>
      </c>
      <c r="AE956" s="15" t="inlineStr">
        <is>
          <t>Open in Box</t>
        </is>
      </c>
      <c r="AF956" s="15" t="inlineStr">
        <is>
          <t>Open in Box</t>
        </is>
      </c>
    </row>
    <row r="957">
      <c r="A957" s="11" t="inlineStr">
        <is>
          <t>MD-ABERDEEN-003</t>
        </is>
      </c>
      <c r="B957" s="8" t="inlineStr">
        <is>
          <t>Aberdeen Proving Ground/ Edgewood Area</t>
        </is>
      </c>
      <c r="C957" s="11" t="inlineStr">
        <is>
          <t>APG</t>
        </is>
      </c>
      <c r="D957" s="11" t="inlineStr">
        <is>
          <t>MD</t>
        </is>
      </c>
      <c r="E957" s="11" t="inlineStr">
        <is>
          <t>Baltimore</t>
        </is>
      </c>
      <c r="F957" s="11" t="inlineStr">
        <is>
          <t>21005</t>
        </is>
      </c>
      <c r="G957" s="11" t="inlineStr">
        <is>
          <t>Army</t>
        </is>
      </c>
      <c r="H957" s="11" t="inlineStr">
        <is>
          <t>Standard Media</t>
        </is>
      </c>
      <c r="I957" s="8" t="inlineStr">
        <is>
          <t>Golf Cart Signage</t>
        </is>
      </c>
      <c r="J957" s="11" t="inlineStr">
        <is>
          <t>TBD</t>
        </is>
      </c>
      <c r="K957" s="8" t="inlineStr">
        <is>
          <t>Your ad will appear on installation golf carts.</t>
        </is>
      </c>
      <c r="L957" s="11" t="n">
        <v>1</v>
      </c>
      <c r="M957" s="12" t="n">
        <v>300</v>
      </c>
      <c r="N957" s="12" t="n">
        <v>500</v>
      </c>
      <c r="O957" s="12" t="n">
        <v>750</v>
      </c>
      <c r="P957" s="12" t="n"/>
      <c r="Q957" s="12" t="n"/>
      <c r="R957" s="13">
        <f>IF(ISNUMBER(M957),ROUND(M957/(1-Settings!$B$2)/Settings!$B$3,0)*Settings!$B$3,"")</f>
        <v/>
      </c>
      <c r="S957" s="13">
        <f>IF(ISNUMBER(N957),ROUND(N957/(1-Settings!$B$2)/Settings!$B$3,0)*Settings!$B$3,"")</f>
        <v/>
      </c>
      <c r="T957" s="13">
        <f>IF(ISNUMBER(O957),ROUND(O957/(1-Settings!$B$2)/Settings!$B$3,0)*Settings!$B$3,"")</f>
        <v/>
      </c>
      <c r="U957" s="13">
        <f>IF(ISNUMBER(P957),ROUND(P957/(1-Settings!$B$2)/Settings!$B$3,0)*Settings!$B$3,"")</f>
        <v/>
      </c>
      <c r="V957" s="13">
        <f>IF(ISNUMBER(Q957),ROUND(Q957/(1-Settings!$B$2)/Settings!$B$3,0)*Settings!$B$3,"")</f>
        <v/>
      </c>
      <c r="W957" s="14" t="n">
        <v>831</v>
      </c>
      <c r="X957" s="14" t="n">
        <v>1841</v>
      </c>
      <c r="Y957" s="11" t="inlineStr">
        <is>
          <t>2024</t>
        </is>
      </c>
      <c r="Z957" s="11" t="inlineStr"/>
      <c r="AA957" s="8" t="inlineStr"/>
      <c r="AB957" s="16" t="inlineStr">
        <is>
          <t>Rate card older than 2025 - reconfirm</t>
        </is>
      </c>
      <c r="AC957" s="11" t="inlineStr">
        <is>
          <t>MasterMilitaryOnBaseList 12.2.25 NS.xlsx</t>
        </is>
      </c>
      <c r="AD957" s="11" t="inlineStr">
        <is>
          <t>APG_Bowling Monitor Pricing &amp; Specs.pdf</t>
        </is>
      </c>
      <c r="AE957" s="15" t="inlineStr">
        <is>
          <t>Open in Box</t>
        </is>
      </c>
      <c r="AF957" s="15" t="inlineStr">
        <is>
          <t>Open in Box</t>
        </is>
      </c>
    </row>
    <row r="958">
      <c r="A958" s="11" t="inlineStr">
        <is>
          <t>MD-ABERDEEN-004</t>
        </is>
      </c>
      <c r="B958" s="8" t="inlineStr">
        <is>
          <t>Aberdeen Proving Ground/ Edgewood Area</t>
        </is>
      </c>
      <c r="C958" s="11" t="inlineStr">
        <is>
          <t>APG</t>
        </is>
      </c>
      <c r="D958" s="11" t="inlineStr">
        <is>
          <t>MD</t>
        </is>
      </c>
      <c r="E958" s="11" t="inlineStr">
        <is>
          <t>Baltimore</t>
        </is>
      </c>
      <c r="F958" s="11" t="inlineStr">
        <is>
          <t>21005</t>
        </is>
      </c>
      <c r="G958" s="11" t="inlineStr">
        <is>
          <t>Army</t>
        </is>
      </c>
      <c r="H958" s="11" t="inlineStr">
        <is>
          <t>Standard Media</t>
        </is>
      </c>
      <c r="I958" s="8" t="inlineStr">
        <is>
          <t>Golf Course Sign</t>
        </is>
      </c>
      <c r="J958" s="11" t="inlineStr">
        <is>
          <t>TBD</t>
        </is>
      </c>
      <c r="K958" s="8" t="inlineStr">
        <is>
          <t>Your ad will appear in an approved location on the installation golf course.</t>
        </is>
      </c>
      <c r="L958" s="11" t="n">
        <v>12</v>
      </c>
      <c r="M958" s="12" t="n"/>
      <c r="N958" s="12" t="n"/>
      <c r="O958" s="12" t="n"/>
      <c r="P958" s="12" t="n">
        <v>500</v>
      </c>
      <c r="Q958" s="12" t="n"/>
      <c r="R958" s="13">
        <f>IF(ISNUMBER(M958),ROUND(M958/(1-Settings!$B$2)/Settings!$B$3,0)*Settings!$B$3,"")</f>
        <v/>
      </c>
      <c r="S958" s="13">
        <f>IF(ISNUMBER(N958),ROUND(N958/(1-Settings!$B$2)/Settings!$B$3,0)*Settings!$B$3,"")</f>
        <v/>
      </c>
      <c r="T958" s="13">
        <f>IF(ISNUMBER(O958),ROUND(O958/(1-Settings!$B$2)/Settings!$B$3,0)*Settings!$B$3,"")</f>
        <v/>
      </c>
      <c r="U958" s="13">
        <f>IF(ISNUMBER(P958),ROUND(P958/(1-Settings!$B$2)/Settings!$B$3,0)*Settings!$B$3,"")</f>
        <v/>
      </c>
      <c r="V958" s="13">
        <f>IF(ISNUMBER(Q958),ROUND(Q958/(1-Settings!$B$2)/Settings!$B$3,0)*Settings!$B$3,"")</f>
        <v/>
      </c>
      <c r="W958" s="14" t="n">
        <v>831</v>
      </c>
      <c r="X958" s="14" t="n">
        <v>1841</v>
      </c>
      <c r="Y958" s="11" t="inlineStr">
        <is>
          <t>2024</t>
        </is>
      </c>
      <c r="Z958" s="11" t="inlineStr"/>
      <c r="AA958" s="8" t="inlineStr"/>
      <c r="AB958" s="16" t="inlineStr">
        <is>
          <t>Rate card older than 2025 - reconfirm</t>
        </is>
      </c>
      <c r="AC958" s="11" t="inlineStr">
        <is>
          <t>MasterMilitaryOnBaseList 12.2.25 NS.xlsx</t>
        </is>
      </c>
      <c r="AD958" s="11" t="inlineStr">
        <is>
          <t>APG_Bowling Monitor Pricing &amp; Specs.pdf</t>
        </is>
      </c>
      <c r="AE958" s="15" t="inlineStr">
        <is>
          <t>Open in Box</t>
        </is>
      </c>
      <c r="AF958" s="15" t="inlineStr">
        <is>
          <t>Open in Box</t>
        </is>
      </c>
    </row>
    <row r="959">
      <c r="A959" s="11" t="inlineStr">
        <is>
          <t>MD-ABERDEEN-005</t>
        </is>
      </c>
      <c r="B959" s="8" t="inlineStr">
        <is>
          <t>Aberdeen Proving Ground/ Edgewood Area</t>
        </is>
      </c>
      <c r="C959" s="11" t="inlineStr">
        <is>
          <t>APG</t>
        </is>
      </c>
      <c r="D959" s="11" t="inlineStr">
        <is>
          <t>MD</t>
        </is>
      </c>
      <c r="E959" s="11" t="inlineStr">
        <is>
          <t>Baltimore</t>
        </is>
      </c>
      <c r="F959" s="11" t="inlineStr">
        <is>
          <t>21005</t>
        </is>
      </c>
      <c r="G959" s="11" t="inlineStr">
        <is>
          <t>Army</t>
        </is>
      </c>
      <c r="H959" s="11" t="inlineStr">
        <is>
          <t>Standard Media</t>
        </is>
      </c>
      <c r="I959" s="8" t="inlineStr">
        <is>
          <t>Napkin Holders</t>
        </is>
      </c>
      <c r="J959" s="11" t="inlineStr">
        <is>
          <t>TBD</t>
        </is>
      </c>
      <c r="K959" s="8" t="inlineStr">
        <is>
          <t>Your ad will appear on napkin holders in approved installation facilities.</t>
        </is>
      </c>
      <c r="L959" s="11" t="n">
        <v>1</v>
      </c>
      <c r="M959" s="12" t="n">
        <v>300</v>
      </c>
      <c r="N959" s="12" t="n">
        <v>500</v>
      </c>
      <c r="O959" s="12" t="n">
        <v>750</v>
      </c>
      <c r="P959" s="12" t="n"/>
      <c r="Q959" s="12" t="n"/>
      <c r="R959" s="13">
        <f>IF(ISNUMBER(M959),ROUND(M959/(1-Settings!$B$2)/Settings!$B$3,0)*Settings!$B$3,"")</f>
        <v/>
      </c>
      <c r="S959" s="13">
        <f>IF(ISNUMBER(N959),ROUND(N959/(1-Settings!$B$2)/Settings!$B$3,0)*Settings!$B$3,"")</f>
        <v/>
      </c>
      <c r="T959" s="13">
        <f>IF(ISNUMBER(O959),ROUND(O959/(1-Settings!$B$2)/Settings!$B$3,0)*Settings!$B$3,"")</f>
        <v/>
      </c>
      <c r="U959" s="13">
        <f>IF(ISNUMBER(P959),ROUND(P959/(1-Settings!$B$2)/Settings!$B$3,0)*Settings!$B$3,"")</f>
        <v/>
      </c>
      <c r="V959" s="13">
        <f>IF(ISNUMBER(Q959),ROUND(Q959/(1-Settings!$B$2)/Settings!$B$3,0)*Settings!$B$3,"")</f>
        <v/>
      </c>
      <c r="W959" s="14" t="n">
        <v>831</v>
      </c>
      <c r="X959" s="14" t="n">
        <v>1841</v>
      </c>
      <c r="Y959" s="11" t="inlineStr">
        <is>
          <t>2024</t>
        </is>
      </c>
      <c r="Z959" s="11" t="inlineStr"/>
      <c r="AA959" s="8" t="inlineStr"/>
      <c r="AB959" s="16" t="inlineStr">
        <is>
          <t>Rate card older than 2025 - reconfirm</t>
        </is>
      </c>
      <c r="AC959" s="11" t="inlineStr">
        <is>
          <t>MasterMilitaryOnBaseList 12.2.25 NS.xlsx</t>
        </is>
      </c>
      <c r="AD959" s="11" t="inlineStr">
        <is>
          <t>APG_Bowling Monitor Pricing &amp; Specs.pdf</t>
        </is>
      </c>
      <c r="AE959" s="15" t="inlineStr">
        <is>
          <t>Open in Box</t>
        </is>
      </c>
      <c r="AF959" s="15" t="inlineStr">
        <is>
          <t>Open in Box</t>
        </is>
      </c>
    </row>
    <row r="960">
      <c r="A960" s="11" t="inlineStr">
        <is>
          <t>MD-ABERDEEN-006</t>
        </is>
      </c>
      <c r="B960" s="8" t="inlineStr">
        <is>
          <t>Aberdeen Proving Ground/ Edgewood Area</t>
        </is>
      </c>
      <c r="C960" s="11" t="inlineStr">
        <is>
          <t>APG</t>
        </is>
      </c>
      <c r="D960" s="11" t="inlineStr">
        <is>
          <t>MD</t>
        </is>
      </c>
      <c r="E960" s="11" t="inlineStr">
        <is>
          <t>Baltimore</t>
        </is>
      </c>
      <c r="F960" s="11" t="inlineStr">
        <is>
          <t>21005</t>
        </is>
      </c>
      <c r="G960" s="11" t="inlineStr">
        <is>
          <t>Army</t>
        </is>
      </c>
      <c r="H960" s="11" t="inlineStr">
        <is>
          <t>Standard Media</t>
        </is>
      </c>
      <c r="I960" s="8" t="inlineStr">
        <is>
          <t>Outdoor/Indoor Banner</t>
        </is>
      </c>
      <c r="J960" s="11" t="inlineStr">
        <is>
          <t>TBD</t>
        </is>
      </c>
      <c r="K960" s="8" t="inlineStr">
        <is>
          <t>Your ad will appear in an approved MWR facility on the installation.</t>
        </is>
      </c>
      <c r="L960" s="11" t="n">
        <v>1</v>
      </c>
      <c r="M960" s="12" t="n">
        <v>300</v>
      </c>
      <c r="N960" s="12" t="n">
        <v>500</v>
      </c>
      <c r="O960" s="12" t="n">
        <v>750</v>
      </c>
      <c r="P960" s="12" t="n">
        <v>1500</v>
      </c>
      <c r="Q960" s="12" t="n"/>
      <c r="R960" s="13">
        <f>IF(ISNUMBER(M960),ROUND(M960/(1-Settings!$B$2)/Settings!$B$3,0)*Settings!$B$3,"")</f>
        <v/>
      </c>
      <c r="S960" s="13">
        <f>IF(ISNUMBER(N960),ROUND(N960/(1-Settings!$B$2)/Settings!$B$3,0)*Settings!$B$3,"")</f>
        <v/>
      </c>
      <c r="T960" s="13">
        <f>IF(ISNUMBER(O960),ROUND(O960/(1-Settings!$B$2)/Settings!$B$3,0)*Settings!$B$3,"")</f>
        <v/>
      </c>
      <c r="U960" s="13">
        <f>IF(ISNUMBER(P960),ROUND(P960/(1-Settings!$B$2)/Settings!$B$3,0)*Settings!$B$3,"")</f>
        <v/>
      </c>
      <c r="V960" s="13">
        <f>IF(ISNUMBER(Q960),ROUND(Q960/(1-Settings!$B$2)/Settings!$B$3,0)*Settings!$B$3,"")</f>
        <v/>
      </c>
      <c r="W960" s="14" t="n">
        <v>831</v>
      </c>
      <c r="X960" s="14" t="n">
        <v>1841</v>
      </c>
      <c r="Y960" s="11" t="inlineStr">
        <is>
          <t>2024</t>
        </is>
      </c>
      <c r="Z960" s="11" t="inlineStr"/>
      <c r="AA960" s="8" t="inlineStr"/>
      <c r="AB960" s="16" t="inlineStr">
        <is>
          <t>Rate card older than 2025 - reconfirm</t>
        </is>
      </c>
      <c r="AC960" s="11" t="inlineStr">
        <is>
          <t>MasterMilitaryOnBaseList 12.2.25 NS.xlsx</t>
        </is>
      </c>
      <c r="AD960" s="11" t="inlineStr">
        <is>
          <t>APG_Bowling Monitor Pricing &amp; Specs.pdf</t>
        </is>
      </c>
      <c r="AE960" s="15" t="inlineStr">
        <is>
          <t>Open in Box</t>
        </is>
      </c>
      <c r="AF960" s="15" t="inlineStr">
        <is>
          <t>Open in Box</t>
        </is>
      </c>
    </row>
    <row r="961">
      <c r="A961" s="11" t="inlineStr">
        <is>
          <t>MD-ABERDEEN-007</t>
        </is>
      </c>
      <c r="B961" s="8" t="inlineStr">
        <is>
          <t>Aberdeen Proving Ground/ Edgewood Area</t>
        </is>
      </c>
      <c r="C961" s="11" t="inlineStr">
        <is>
          <t>APG</t>
        </is>
      </c>
      <c r="D961" s="11" t="inlineStr">
        <is>
          <t>MD</t>
        </is>
      </c>
      <c r="E961" s="11" t="inlineStr">
        <is>
          <t>Baltimore</t>
        </is>
      </c>
      <c r="F961" s="11" t="inlineStr">
        <is>
          <t>21005</t>
        </is>
      </c>
      <c r="G961" s="11" t="inlineStr">
        <is>
          <t>Army</t>
        </is>
      </c>
      <c r="H961" s="11" t="inlineStr">
        <is>
          <t>Standard Media</t>
        </is>
      </c>
      <c r="I961" s="8" t="inlineStr">
        <is>
          <t>Ruggles or Exton Golf Course Sign</t>
        </is>
      </c>
      <c r="J961" s="11" t="inlineStr">
        <is>
          <t>TBD</t>
        </is>
      </c>
      <c r="K961" s="8" t="inlineStr">
        <is>
          <t>Your ad will appear on the Ruggles or Exton golf courses on the installation.</t>
        </is>
      </c>
      <c r="L961" s="11" t="n">
        <v>12</v>
      </c>
      <c r="M961" s="12" t="n"/>
      <c r="N961" s="12" t="n"/>
      <c r="O961" s="12" t="n"/>
      <c r="P961" s="12" t="n">
        <v>2600</v>
      </c>
      <c r="Q961" s="12" t="n"/>
      <c r="R961" s="13">
        <f>IF(ISNUMBER(M961),ROUND(M961/(1-Settings!$B$2)/Settings!$B$3,0)*Settings!$B$3,"")</f>
        <v/>
      </c>
      <c r="S961" s="13">
        <f>IF(ISNUMBER(N961),ROUND(N961/(1-Settings!$B$2)/Settings!$B$3,0)*Settings!$B$3,"")</f>
        <v/>
      </c>
      <c r="T961" s="13">
        <f>IF(ISNUMBER(O961),ROUND(O961/(1-Settings!$B$2)/Settings!$B$3,0)*Settings!$B$3,"")</f>
        <v/>
      </c>
      <c r="U961" s="13">
        <f>IF(ISNUMBER(P961),ROUND(P961/(1-Settings!$B$2)/Settings!$B$3,0)*Settings!$B$3,"")</f>
        <v/>
      </c>
      <c r="V961" s="13">
        <f>IF(ISNUMBER(Q961),ROUND(Q961/(1-Settings!$B$2)/Settings!$B$3,0)*Settings!$B$3,"")</f>
        <v/>
      </c>
      <c r="W961" s="14" t="n">
        <v>831</v>
      </c>
      <c r="X961" s="14" t="n">
        <v>1841</v>
      </c>
      <c r="Y961" s="11" t="inlineStr">
        <is>
          <t>2024</t>
        </is>
      </c>
      <c r="Z961" s="11" t="inlineStr"/>
      <c r="AA961" s="8" t="inlineStr"/>
      <c r="AB961" s="16" t="inlineStr">
        <is>
          <t>Rate card older than 2025 - reconfirm</t>
        </is>
      </c>
      <c r="AC961" s="11" t="inlineStr">
        <is>
          <t>MasterMilitaryOnBaseList 12.2.25 NS.xlsx</t>
        </is>
      </c>
      <c r="AD961" s="11" t="inlineStr">
        <is>
          <t>APG_Bowling Monitor Pricing &amp; Specs.pdf</t>
        </is>
      </c>
      <c r="AE961" s="15" t="inlineStr">
        <is>
          <t>Open in Box</t>
        </is>
      </c>
      <c r="AF961" s="15" t="inlineStr">
        <is>
          <t>Open in Box</t>
        </is>
      </c>
    </row>
    <row r="962">
      <c r="A962" s="11" t="inlineStr">
        <is>
          <t>MD-ANDREWSA-001</t>
        </is>
      </c>
      <c r="B962" s="8" t="inlineStr">
        <is>
          <t>Andrews Air Force Base</t>
        </is>
      </c>
      <c r="C962" s="11" t="inlineStr"/>
      <c r="D962" s="11" t="inlineStr">
        <is>
          <t>MD</t>
        </is>
      </c>
      <c r="E962" s="11" t="inlineStr">
        <is>
          <t>Washington, DC</t>
        </is>
      </c>
      <c r="F962" s="11" t="inlineStr"/>
      <c r="G962" s="11" t="inlineStr">
        <is>
          <t>Air Force</t>
        </is>
      </c>
      <c r="H962" s="11" t="inlineStr">
        <is>
          <t>Digital</t>
        </is>
      </c>
      <c r="I962" s="8" t="inlineStr">
        <is>
          <t>Digital Monitor Network</t>
        </is>
      </c>
      <c r="J962" s="11" t="inlineStr">
        <is>
          <t>7 screens</t>
        </is>
      </c>
      <c r="K962" s="8" t="inlineStr">
        <is>
          <t>Your ad will appear on the 7-screen digital monitor network in approved installation facilities.</t>
        </is>
      </c>
      <c r="L962" s="11" t="n">
        <v>1</v>
      </c>
      <c r="M962" s="12" t="n">
        <v>400</v>
      </c>
      <c r="N962" s="12" t="n"/>
      <c r="O962" s="12" t="n"/>
      <c r="P962" s="12" t="n"/>
      <c r="Q962" s="12" t="n"/>
      <c r="R962" s="13">
        <f>IF(ISNUMBER(M962),ROUND(M962/(1-Settings!$B$2)/Settings!$B$3,0)*Settings!$B$3,"")</f>
        <v/>
      </c>
      <c r="S962" s="13">
        <f>IF(ISNUMBER(N962),ROUND(N962/(1-Settings!$B$2)/Settings!$B$3,0)*Settings!$B$3,"")</f>
        <v/>
      </c>
      <c r="T962" s="13">
        <f>IF(ISNUMBER(O962),ROUND(O962/(1-Settings!$B$2)/Settings!$B$3,0)*Settings!$B$3,"")</f>
        <v/>
      </c>
      <c r="U962" s="13">
        <f>IF(ISNUMBER(P962),ROUND(P962/(1-Settings!$B$2)/Settings!$B$3,0)*Settings!$B$3,"")</f>
        <v/>
      </c>
      <c r="V962" s="13">
        <f>IF(ISNUMBER(Q962),ROUND(Q962/(1-Settings!$B$2)/Settings!$B$3,0)*Settings!$B$3,"")</f>
        <v/>
      </c>
      <c r="W962" s="14" t="n">
        <v>4312</v>
      </c>
      <c r="X962" s="14" t="n">
        <v>5760</v>
      </c>
      <c r="Y962" s="11" t="inlineStr">
        <is>
          <t>2026</t>
        </is>
      </c>
      <c r="Z962" s="11" t="inlineStr">
        <is>
          <t>2026-06</t>
        </is>
      </c>
      <c r="AA962" s="8" t="inlineStr"/>
      <c r="AB962" s="8" t="inlineStr"/>
      <c r="AC962" s="11" t="inlineStr">
        <is>
          <t>Military - National Digital Inventory Master 6.3.26.xlsx</t>
        </is>
      </c>
      <c r="AD962" s="11" t="inlineStr">
        <is>
          <t>Sponsorship and Ad Powerpoint.pdf</t>
        </is>
      </c>
      <c r="AE962" s="15" t="inlineStr">
        <is>
          <t>Open in Box</t>
        </is>
      </c>
      <c r="AF962" s="15" t="inlineStr">
        <is>
          <t>Open in Box</t>
        </is>
      </c>
    </row>
    <row r="963">
      <c r="A963" s="11" t="inlineStr">
        <is>
          <t>MD-ANDREWSA-004</t>
        </is>
      </c>
      <c r="B963" s="8" t="inlineStr">
        <is>
          <t>Andrews Air Force Base</t>
        </is>
      </c>
      <c r="C963" s="11" t="inlineStr"/>
      <c r="D963" s="11" t="inlineStr">
        <is>
          <t>MD</t>
        </is>
      </c>
      <c r="E963" s="11" t="inlineStr">
        <is>
          <t>Washington, DC</t>
        </is>
      </c>
      <c r="F963" s="11" t="inlineStr"/>
      <c r="G963" s="11" t="inlineStr">
        <is>
          <t>Air Force</t>
        </is>
      </c>
      <c r="H963" s="11" t="inlineStr">
        <is>
          <t>Print &amp; Publications</t>
        </is>
      </c>
      <c r="I963" s="8" t="inlineStr">
        <is>
          <t>Magazine Ad</t>
        </is>
      </c>
      <c r="J963" s="11" t="inlineStr"/>
      <c r="K963" s="8" t="inlineStr">
        <is>
          <t>Your ad will appear in the installation magazine.</t>
        </is>
      </c>
      <c r="L963" s="11" t="n">
        <v>3</v>
      </c>
      <c r="M963" s="12" t="n"/>
      <c r="N963" s="12" t="n">
        <v>2250</v>
      </c>
      <c r="O963" s="12" t="n"/>
      <c r="P963" s="12" t="n"/>
      <c r="Q963" s="12" t="n"/>
      <c r="R963" s="13">
        <f>IF(ISNUMBER(M963),ROUND(M963/(1-Settings!$B$2)/Settings!$B$3,0)*Settings!$B$3,"")</f>
        <v/>
      </c>
      <c r="S963" s="13">
        <f>IF(ISNUMBER(N963),ROUND(N963/(1-Settings!$B$2)/Settings!$B$3,0)*Settings!$B$3,"")</f>
        <v/>
      </c>
      <c r="T963" s="13">
        <f>IF(ISNUMBER(O963),ROUND(O963/(1-Settings!$B$2)/Settings!$B$3,0)*Settings!$B$3,"")</f>
        <v/>
      </c>
      <c r="U963" s="13">
        <f>IF(ISNUMBER(P963),ROUND(P963/(1-Settings!$B$2)/Settings!$B$3,0)*Settings!$B$3,"")</f>
        <v/>
      </c>
      <c r="V963" s="13">
        <f>IF(ISNUMBER(Q963),ROUND(Q963/(1-Settings!$B$2)/Settings!$B$3,0)*Settings!$B$3,"")</f>
        <v/>
      </c>
      <c r="W963" s="14" t="n">
        <v>4312</v>
      </c>
      <c r="X963" s="14" t="n">
        <v>5760</v>
      </c>
      <c r="Y963" s="11" t="inlineStr">
        <is>
          <t>2026</t>
        </is>
      </c>
      <c r="Z963" s="11" t="inlineStr">
        <is>
          <t>2026-06</t>
        </is>
      </c>
      <c r="AA963" s="8" t="inlineStr">
        <is>
          <t>Price per 2-weeks | 2-month commitment</t>
        </is>
      </c>
      <c r="AB963" s="8" t="inlineStr"/>
      <c r="AC963" s="11" t="inlineStr">
        <is>
          <t>Military - National Publication Inventory Master_June 2026.xlsx</t>
        </is>
      </c>
      <c r="AD963" s="11" t="inlineStr">
        <is>
          <t>Sponsorship and Ad Powerpoint.pdf</t>
        </is>
      </c>
      <c r="AE963" s="15" t="inlineStr">
        <is>
          <t>Open in Box</t>
        </is>
      </c>
      <c r="AF963" s="15" t="inlineStr">
        <is>
          <t>Open in Box</t>
        </is>
      </c>
    </row>
    <row r="964">
      <c r="A964" s="11" t="inlineStr">
        <is>
          <t>MD-ANDREWSA-003</t>
        </is>
      </c>
      <c r="B964" s="8" t="inlineStr">
        <is>
          <t>Andrews Air Force Base</t>
        </is>
      </c>
      <c r="C964" s="11" t="inlineStr"/>
      <c r="D964" s="11" t="inlineStr">
        <is>
          <t>MD</t>
        </is>
      </c>
      <c r="E964" s="11" t="inlineStr">
        <is>
          <t>Washington, DC</t>
        </is>
      </c>
      <c r="F964" s="11" t="inlineStr"/>
      <c r="G964" s="11" t="inlineStr">
        <is>
          <t>Air Force</t>
        </is>
      </c>
      <c r="H964" s="11" t="inlineStr">
        <is>
          <t>Web &amp; Email</t>
        </is>
      </c>
      <c r="I964" s="8" t="inlineStr">
        <is>
          <t>Web Ad</t>
        </is>
      </c>
      <c r="J964" s="11" t="inlineStr"/>
      <c r="K964" s="8" t="inlineStr">
        <is>
          <t>Your ad will appear on the installation MWR / FSS website.</t>
        </is>
      </c>
      <c r="L964" s="11" t="n">
        <v>3</v>
      </c>
      <c r="M964" s="12" t="n"/>
      <c r="N964" s="12" t="n">
        <v>450</v>
      </c>
      <c r="O964" s="12" t="n"/>
      <c r="P964" s="12" t="n"/>
      <c r="Q964" s="12" t="n"/>
      <c r="R964" s="13">
        <f>IF(ISNUMBER(M964),ROUND(M964/(1-Settings!$B$2)/Settings!$B$3,0)*Settings!$B$3,"")</f>
        <v/>
      </c>
      <c r="S964" s="13">
        <f>IF(ISNUMBER(N964),ROUND(N964/(1-Settings!$B$2)/Settings!$B$3,0)*Settings!$B$3,"")</f>
        <v/>
      </c>
      <c r="T964" s="13">
        <f>IF(ISNUMBER(O964),ROUND(O964/(1-Settings!$B$2)/Settings!$B$3,0)*Settings!$B$3,"")</f>
        <v/>
      </c>
      <c r="U964" s="13">
        <f>IF(ISNUMBER(P964),ROUND(P964/(1-Settings!$B$2)/Settings!$B$3,0)*Settings!$B$3,"")</f>
        <v/>
      </c>
      <c r="V964" s="13">
        <f>IF(ISNUMBER(Q964),ROUND(Q964/(1-Settings!$B$2)/Settings!$B$3,0)*Settings!$B$3,"")</f>
        <v/>
      </c>
      <c r="W964" s="14" t="n">
        <v>4312</v>
      </c>
      <c r="X964" s="14" t="n">
        <v>5760</v>
      </c>
      <c r="Y964" s="11" t="inlineStr">
        <is>
          <t>2026</t>
        </is>
      </c>
      <c r="Z964" s="11" t="inlineStr">
        <is>
          <t>2026-06</t>
        </is>
      </c>
      <c r="AA964" s="8" t="inlineStr">
        <is>
          <t>Price per 2-weeks | 2-month commitment</t>
        </is>
      </c>
      <c r="AB964" s="8" t="inlineStr"/>
      <c r="AC964" s="11" t="inlineStr">
        <is>
          <t>Military - National Publication Inventory Master_June 2026.xlsx</t>
        </is>
      </c>
      <c r="AD964" s="11" t="inlineStr">
        <is>
          <t>Sponsorship and Ad Powerpoint.pdf</t>
        </is>
      </c>
      <c r="AE964" s="15" t="inlineStr">
        <is>
          <t>Open in Box</t>
        </is>
      </c>
      <c r="AF964" s="15" t="inlineStr">
        <is>
          <t>Open in Box</t>
        </is>
      </c>
    </row>
    <row r="965">
      <c r="A965" s="11" t="inlineStr">
        <is>
          <t>MD-ANDREWSA-002</t>
        </is>
      </c>
      <c r="B965" s="8" t="inlineStr">
        <is>
          <t>Andrews Air Force Base</t>
        </is>
      </c>
      <c r="C965" s="11" t="inlineStr"/>
      <c r="D965" s="11" t="inlineStr">
        <is>
          <t>MD</t>
        </is>
      </c>
      <c r="E965" s="11" t="inlineStr">
        <is>
          <t>Washington, DC</t>
        </is>
      </c>
      <c r="F965" s="11" t="inlineStr"/>
      <c r="G965" s="11" t="inlineStr">
        <is>
          <t>Air Force</t>
        </is>
      </c>
      <c r="H965" s="11" t="inlineStr">
        <is>
          <t>Web &amp; Email</t>
        </is>
      </c>
      <c r="I965" s="8" t="inlineStr">
        <is>
          <t>Weekly E-Newsletter Ad</t>
        </is>
      </c>
      <c r="J965" s="11" t="inlineStr"/>
      <c r="K965" s="8" t="inlineStr">
        <is>
          <t>Your ad will appear in the weekly e-newsletter emailed to the installation community.</t>
        </is>
      </c>
      <c r="L965" s="11" t="n">
        <v>3</v>
      </c>
      <c r="M965" s="12" t="n"/>
      <c r="N965" s="12" t="n">
        <v>150</v>
      </c>
      <c r="O965" s="12" t="n"/>
      <c r="P965" s="12" t="n"/>
      <c r="Q965" s="12" t="n"/>
      <c r="R965" s="13">
        <f>IF(ISNUMBER(M965),ROUND(M965/(1-Settings!$B$2)/Settings!$B$3,0)*Settings!$B$3,"")</f>
        <v/>
      </c>
      <c r="S965" s="13">
        <f>IF(ISNUMBER(N965),ROUND(N965/(1-Settings!$B$2)/Settings!$B$3,0)*Settings!$B$3,"")</f>
        <v/>
      </c>
      <c r="T965" s="13">
        <f>IF(ISNUMBER(O965),ROUND(O965/(1-Settings!$B$2)/Settings!$B$3,0)*Settings!$B$3,"")</f>
        <v/>
      </c>
      <c r="U965" s="13">
        <f>IF(ISNUMBER(P965),ROUND(P965/(1-Settings!$B$2)/Settings!$B$3,0)*Settings!$B$3,"")</f>
        <v/>
      </c>
      <c r="V965" s="13">
        <f>IF(ISNUMBER(Q965),ROUND(Q965/(1-Settings!$B$2)/Settings!$B$3,0)*Settings!$B$3,"")</f>
        <v/>
      </c>
      <c r="W965" s="14" t="n">
        <v>4312</v>
      </c>
      <c r="X965" s="14" t="n">
        <v>5760</v>
      </c>
      <c r="Y965" s="11" t="inlineStr">
        <is>
          <t>2026</t>
        </is>
      </c>
      <c r="Z965" s="11" t="inlineStr">
        <is>
          <t>2026-06</t>
        </is>
      </c>
      <c r="AA965" s="8" t="inlineStr">
        <is>
          <t>Price per 2-weeks | 2-month commitment</t>
        </is>
      </c>
      <c r="AB965" s="8" t="inlineStr"/>
      <c r="AC965" s="11" t="inlineStr">
        <is>
          <t>Military - National Publication Inventory Master_June 2026.xlsx</t>
        </is>
      </c>
      <c r="AD965" s="11" t="inlineStr">
        <is>
          <t>Sponsorship and Ad Powerpoint.pdf</t>
        </is>
      </c>
      <c r="AE965" s="15" t="inlineStr">
        <is>
          <t>Open in Box</t>
        </is>
      </c>
      <c r="AF965" s="15" t="inlineStr">
        <is>
          <t>Open in Box</t>
        </is>
      </c>
    </row>
    <row r="966">
      <c r="A966" s="11" t="inlineStr">
        <is>
          <t>MD-ANNAPOLI-002</t>
        </is>
      </c>
      <c r="B966" s="8" t="inlineStr">
        <is>
          <t>Annapolis NS (Incl. USNA)</t>
        </is>
      </c>
      <c r="C966" s="11" t="inlineStr"/>
      <c r="D966" s="11" t="inlineStr">
        <is>
          <t>MD</t>
        </is>
      </c>
      <c r="E966" s="11" t="inlineStr">
        <is>
          <t>Baltimore, MD</t>
        </is>
      </c>
      <c r="F966" s="11" t="inlineStr"/>
      <c r="G966" s="11" t="inlineStr">
        <is>
          <t>Navy</t>
        </is>
      </c>
      <c r="H966" s="11" t="inlineStr">
        <is>
          <t>Digital</t>
        </is>
      </c>
      <c r="I966" s="8" t="inlineStr">
        <is>
          <t>Digital Marquee</t>
        </is>
      </c>
      <c r="J966" s="11" t="inlineStr">
        <is>
          <t>1 screens</t>
        </is>
      </c>
      <c r="K966" s="8" t="inlineStr">
        <is>
          <t>Your ad will appear on the 1-screen digital marquee(s) on the installation.</t>
        </is>
      </c>
      <c r="L966" s="11" t="n">
        <v>1</v>
      </c>
      <c r="M966" s="12" t="n">
        <v>350</v>
      </c>
      <c r="N966" s="12" t="n"/>
      <c r="O966" s="12" t="n"/>
      <c r="P966" s="12" t="n"/>
      <c r="Q966" s="12" t="n"/>
      <c r="R966" s="13">
        <f>IF(ISNUMBER(M966),ROUND(M966/(1-Settings!$B$2)/Settings!$B$3,0)*Settings!$B$3,"")</f>
        <v/>
      </c>
      <c r="S966" s="13">
        <f>IF(ISNUMBER(N966),ROUND(N966/(1-Settings!$B$2)/Settings!$B$3,0)*Settings!$B$3,"")</f>
        <v/>
      </c>
      <c r="T966" s="13">
        <f>IF(ISNUMBER(O966),ROUND(O966/(1-Settings!$B$2)/Settings!$B$3,0)*Settings!$B$3,"")</f>
        <v/>
      </c>
      <c r="U966" s="13">
        <f>IF(ISNUMBER(P966),ROUND(P966/(1-Settings!$B$2)/Settings!$B$3,0)*Settings!$B$3,"")</f>
        <v/>
      </c>
      <c r="V966" s="13">
        <f>IF(ISNUMBER(Q966),ROUND(Q966/(1-Settings!$B$2)/Settings!$B$3,0)*Settings!$B$3,"")</f>
        <v/>
      </c>
      <c r="W966" s="14" t="n">
        <v>1447</v>
      </c>
      <c r="X966" s="14" t="n">
        <v>1918</v>
      </c>
      <c r="Y966" s="11" t="inlineStr">
        <is>
          <t>2026</t>
        </is>
      </c>
      <c r="Z966" s="11" t="inlineStr">
        <is>
          <t>2026-06</t>
        </is>
      </c>
      <c r="AA966" s="8" t="inlineStr"/>
      <c r="AB966" s="8" t="inlineStr"/>
      <c r="AC966" s="11" t="inlineStr">
        <is>
          <t>Military - National Digital Inventory Master 6.3.26.xlsx</t>
        </is>
      </c>
      <c r="AD966" s="11" t="inlineStr">
        <is>
          <t>FY26-27 ADVERTISING ASSETS_NRMA.xlsx</t>
        </is>
      </c>
      <c r="AE966" s="15" t="inlineStr">
        <is>
          <t>Open in Box</t>
        </is>
      </c>
      <c r="AF966" s="15" t="inlineStr">
        <is>
          <t>Open in Box</t>
        </is>
      </c>
    </row>
    <row r="967">
      <c r="A967" s="11" t="inlineStr">
        <is>
          <t>MD-ANNAPOLI-001</t>
        </is>
      </c>
      <c r="B967" s="8" t="inlineStr">
        <is>
          <t>Annapolis NS (Incl. USNA)</t>
        </is>
      </c>
      <c r="C967" s="11" t="inlineStr"/>
      <c r="D967" s="11" t="inlineStr">
        <is>
          <t>MD</t>
        </is>
      </c>
      <c r="E967" s="11" t="inlineStr">
        <is>
          <t>Baltimore, MD</t>
        </is>
      </c>
      <c r="F967" s="11" t="inlineStr"/>
      <c r="G967" s="11" t="inlineStr">
        <is>
          <t>Navy</t>
        </is>
      </c>
      <c r="H967" s="11" t="inlineStr">
        <is>
          <t>Digital</t>
        </is>
      </c>
      <c r="I967" s="8" t="inlineStr">
        <is>
          <t>Digital Monitor Network</t>
        </is>
      </c>
      <c r="J967" s="11" t="inlineStr">
        <is>
          <t>5 screens</t>
        </is>
      </c>
      <c r="K967" s="8" t="inlineStr">
        <is>
          <t>Your ad will appear on the 5-screen digital monitor network in approved installation facilities.</t>
        </is>
      </c>
      <c r="L967" s="11" t="n">
        <v>1</v>
      </c>
      <c r="M967" s="12" t="n">
        <v>625</v>
      </c>
      <c r="N967" s="12" t="n"/>
      <c r="O967" s="12" t="n"/>
      <c r="P967" s="12" t="n"/>
      <c r="Q967" s="12" t="n"/>
      <c r="R967" s="13">
        <f>IF(ISNUMBER(M967),ROUND(M967/(1-Settings!$B$2)/Settings!$B$3,0)*Settings!$B$3,"")</f>
        <v/>
      </c>
      <c r="S967" s="13">
        <f>IF(ISNUMBER(N967),ROUND(N967/(1-Settings!$B$2)/Settings!$B$3,0)*Settings!$B$3,"")</f>
        <v/>
      </c>
      <c r="T967" s="13">
        <f>IF(ISNUMBER(O967),ROUND(O967/(1-Settings!$B$2)/Settings!$B$3,0)*Settings!$B$3,"")</f>
        <v/>
      </c>
      <c r="U967" s="13">
        <f>IF(ISNUMBER(P967),ROUND(P967/(1-Settings!$B$2)/Settings!$B$3,0)*Settings!$B$3,"")</f>
        <v/>
      </c>
      <c r="V967" s="13">
        <f>IF(ISNUMBER(Q967),ROUND(Q967/(1-Settings!$B$2)/Settings!$B$3,0)*Settings!$B$3,"")</f>
        <v/>
      </c>
      <c r="W967" s="14" t="n">
        <v>1447</v>
      </c>
      <c r="X967" s="14" t="n">
        <v>1918</v>
      </c>
      <c r="Y967" s="11" t="inlineStr">
        <is>
          <t>2026</t>
        </is>
      </c>
      <c r="Z967" s="11" t="inlineStr">
        <is>
          <t>2026-06</t>
        </is>
      </c>
      <c r="AA967" s="8" t="inlineStr"/>
      <c r="AB967" s="8" t="inlineStr"/>
      <c r="AC967" s="11" t="inlineStr">
        <is>
          <t>Military - National Digital Inventory Master 6.3.26.xlsx</t>
        </is>
      </c>
      <c r="AD967" s="11" t="inlineStr">
        <is>
          <t>FY26-27 ADVERTISING ASSETS_NRMA.xlsx</t>
        </is>
      </c>
      <c r="AE967" s="15" t="inlineStr">
        <is>
          <t>Open in Box</t>
        </is>
      </c>
      <c r="AF967" s="15" t="inlineStr">
        <is>
          <t>Open in Box</t>
        </is>
      </c>
    </row>
    <row r="968">
      <c r="A968" s="11" t="inlineStr">
        <is>
          <t>MD-ANNAPOLI-003</t>
        </is>
      </c>
      <c r="B968" s="8" t="inlineStr">
        <is>
          <t>Annapolis NS (Incl. USNA)</t>
        </is>
      </c>
      <c r="C968" s="11" t="inlineStr"/>
      <c r="D968" s="11" t="inlineStr">
        <is>
          <t>MD</t>
        </is>
      </c>
      <c r="E968" s="11" t="inlineStr">
        <is>
          <t>Baltimore, MD</t>
        </is>
      </c>
      <c r="F968" s="11" t="inlineStr"/>
      <c r="G968" s="11" t="inlineStr">
        <is>
          <t>Navy</t>
        </is>
      </c>
      <c r="H968" s="11" t="inlineStr">
        <is>
          <t>Web &amp; Email</t>
        </is>
      </c>
      <c r="I968" s="8" t="inlineStr">
        <is>
          <t>Monthly E-Newsletter Ad</t>
        </is>
      </c>
      <c r="J968" s="11" t="inlineStr"/>
      <c r="K968" s="8" t="inlineStr">
        <is>
          <t>Your ad will appear in the monthly e-newsletter emailed to the installation community.</t>
        </is>
      </c>
      <c r="L968" s="11" t="n">
        <v>1</v>
      </c>
      <c r="M968" s="12" t="n">
        <v>600</v>
      </c>
      <c r="N968" s="12" t="n"/>
      <c r="O968" s="12" t="n"/>
      <c r="P968" s="12" t="n"/>
      <c r="Q968" s="12" t="n"/>
      <c r="R968" s="13">
        <f>IF(ISNUMBER(M968),ROUND(M968/(1-Settings!$B$2)/Settings!$B$3,0)*Settings!$B$3,"")</f>
        <v/>
      </c>
      <c r="S968" s="13">
        <f>IF(ISNUMBER(N968),ROUND(N968/(1-Settings!$B$2)/Settings!$B$3,0)*Settings!$B$3,"")</f>
        <v/>
      </c>
      <c r="T968" s="13">
        <f>IF(ISNUMBER(O968),ROUND(O968/(1-Settings!$B$2)/Settings!$B$3,0)*Settings!$B$3,"")</f>
        <v/>
      </c>
      <c r="U968" s="13">
        <f>IF(ISNUMBER(P968),ROUND(P968/(1-Settings!$B$2)/Settings!$B$3,0)*Settings!$B$3,"")</f>
        <v/>
      </c>
      <c r="V968" s="13">
        <f>IF(ISNUMBER(Q968),ROUND(Q968/(1-Settings!$B$2)/Settings!$B$3,0)*Settings!$B$3,"")</f>
        <v/>
      </c>
      <c r="W968" s="14" t="n">
        <v>1447</v>
      </c>
      <c r="X968" s="14" t="n">
        <v>1918</v>
      </c>
      <c r="Y968" s="11" t="inlineStr">
        <is>
          <t>2026</t>
        </is>
      </c>
      <c r="Z968" s="11" t="inlineStr">
        <is>
          <t>2026-06</t>
        </is>
      </c>
      <c r="AA968" s="8" t="inlineStr"/>
      <c r="AB968" s="8" t="inlineStr"/>
      <c r="AC968" s="11" t="inlineStr">
        <is>
          <t>Military - National Publication Inventory Master_June 2026.xlsx</t>
        </is>
      </c>
      <c r="AD968" s="11" t="inlineStr">
        <is>
          <t>FY26-27 ADVERTISING ASSETS_NRMA.xlsx</t>
        </is>
      </c>
      <c r="AE968" s="15" t="inlineStr">
        <is>
          <t>Open in Box</t>
        </is>
      </c>
      <c r="AF968" s="15" t="inlineStr">
        <is>
          <t>Open in Box</t>
        </is>
      </c>
    </row>
    <row r="969">
      <c r="A969" s="11" t="inlineStr">
        <is>
          <t>MD-ANNAPOLI-004</t>
        </is>
      </c>
      <c r="B969" s="8" t="inlineStr">
        <is>
          <t>Annapolis NS (Incl. USNA)</t>
        </is>
      </c>
      <c r="C969" s="11" t="inlineStr"/>
      <c r="D969" s="11" t="inlineStr">
        <is>
          <t>MD</t>
        </is>
      </c>
      <c r="E969" s="11" t="inlineStr">
        <is>
          <t>Baltimore, MD</t>
        </is>
      </c>
      <c r="F969" s="11" t="inlineStr"/>
      <c r="G969" s="11" t="inlineStr">
        <is>
          <t>Navy</t>
        </is>
      </c>
      <c r="H969" s="11" t="inlineStr">
        <is>
          <t>Web &amp; Email</t>
        </is>
      </c>
      <c r="I969" s="8" t="inlineStr">
        <is>
          <t>Web Ad</t>
        </is>
      </c>
      <c r="J969" s="11" t="inlineStr"/>
      <c r="K969" s="8" t="inlineStr">
        <is>
          <t>Your ad will appear on the installation MWR / FSS website.</t>
        </is>
      </c>
      <c r="L969" s="11" t="n">
        <v>1</v>
      </c>
      <c r="M969" s="12" t="n">
        <v>500</v>
      </c>
      <c r="N969" s="12" t="n"/>
      <c r="O969" s="12" t="n"/>
      <c r="P969" s="12" t="n"/>
      <c r="Q969" s="12" t="n"/>
      <c r="R969" s="13">
        <f>IF(ISNUMBER(M969),ROUND(M969/(1-Settings!$B$2)/Settings!$B$3,0)*Settings!$B$3,"")</f>
        <v/>
      </c>
      <c r="S969" s="13">
        <f>IF(ISNUMBER(N969),ROUND(N969/(1-Settings!$B$2)/Settings!$B$3,0)*Settings!$B$3,"")</f>
        <v/>
      </c>
      <c r="T969" s="13">
        <f>IF(ISNUMBER(O969),ROUND(O969/(1-Settings!$B$2)/Settings!$B$3,0)*Settings!$B$3,"")</f>
        <v/>
      </c>
      <c r="U969" s="13">
        <f>IF(ISNUMBER(P969),ROUND(P969/(1-Settings!$B$2)/Settings!$B$3,0)*Settings!$B$3,"")</f>
        <v/>
      </c>
      <c r="V969" s="13">
        <f>IF(ISNUMBER(Q969),ROUND(Q969/(1-Settings!$B$2)/Settings!$B$3,0)*Settings!$B$3,"")</f>
        <v/>
      </c>
      <c r="W969" s="14" t="n">
        <v>1447</v>
      </c>
      <c r="X969" s="14" t="n">
        <v>1918</v>
      </c>
      <c r="Y969" s="11" t="inlineStr">
        <is>
          <t>2026</t>
        </is>
      </c>
      <c r="Z969" s="11" t="inlineStr">
        <is>
          <t>2026-06</t>
        </is>
      </c>
      <c r="AA969" s="8" t="inlineStr"/>
      <c r="AB969" s="8" t="inlineStr"/>
      <c r="AC969" s="11" t="inlineStr">
        <is>
          <t>Military - National Publication Inventory Master_June 2026.xlsx</t>
        </is>
      </c>
      <c r="AD969" s="11" t="inlineStr">
        <is>
          <t>FY26-27 ADVERTISING ASSETS_NRMA.xlsx</t>
        </is>
      </c>
      <c r="AE969" s="15" t="inlineStr">
        <is>
          <t>Open in Box</t>
        </is>
      </c>
      <c r="AF969" s="15" t="inlineStr">
        <is>
          <t>Open in Box</t>
        </is>
      </c>
    </row>
    <row r="970">
      <c r="A970" s="11" t="inlineStr">
        <is>
          <t>MD-DETROITA-003</t>
        </is>
      </c>
      <c r="B970" s="8" t="inlineStr">
        <is>
          <t>Detroit Arsenal</t>
        </is>
      </c>
      <c r="C970" s="11" t="inlineStr"/>
      <c r="D970" s="11" t="inlineStr">
        <is>
          <t>MD</t>
        </is>
      </c>
      <c r="E970" s="11" t="inlineStr">
        <is>
          <t>Detroit</t>
        </is>
      </c>
      <c r="F970" s="11" t="inlineStr">
        <is>
          <t>48092</t>
        </is>
      </c>
      <c r="G970" s="11" t="inlineStr">
        <is>
          <t>Army</t>
        </is>
      </c>
      <c r="H970" s="11" t="inlineStr">
        <is>
          <t>Print &amp; Publications</t>
        </is>
      </c>
      <c r="I970" s="8" t="inlineStr">
        <is>
          <t>Logo Placement</t>
        </is>
      </c>
      <c r="J970" s="11" t="inlineStr">
        <is>
          <t>TBD</t>
        </is>
      </c>
      <c r="K970" s="8" t="inlineStr">
        <is>
          <t>Your logo will appear on MWR flyers and workforce Eblasts.</t>
        </is>
      </c>
      <c r="L970" s="11" t="n">
        <v>12</v>
      </c>
      <c r="M970" s="12" t="n"/>
      <c r="N970" s="12" t="n"/>
      <c r="O970" s="12" t="n"/>
      <c r="P970" s="12" t="n">
        <v>2500</v>
      </c>
      <c r="Q970" s="12" t="n"/>
      <c r="R970" s="13">
        <f>IF(ISNUMBER(M970),ROUND(M970/(1-Settings!$B$2)/Settings!$B$3,0)*Settings!$B$3,"")</f>
        <v/>
      </c>
      <c r="S970" s="13">
        <f>IF(ISNUMBER(N970),ROUND(N970/(1-Settings!$B$2)/Settings!$B$3,0)*Settings!$B$3,"")</f>
        <v/>
      </c>
      <c r="T970" s="13">
        <f>IF(ISNUMBER(O970),ROUND(O970/(1-Settings!$B$2)/Settings!$B$3,0)*Settings!$B$3,"")</f>
        <v/>
      </c>
      <c r="U970" s="13">
        <f>IF(ISNUMBER(P970),ROUND(P970/(1-Settings!$B$2)/Settings!$B$3,0)*Settings!$B$3,"")</f>
        <v/>
      </c>
      <c r="V970" s="13">
        <f>IF(ISNUMBER(Q970),ROUND(Q970/(1-Settings!$B$2)/Settings!$B$3,0)*Settings!$B$3,"")</f>
        <v/>
      </c>
      <c r="W970" s="14" t="n"/>
      <c r="X970" s="14" t="n"/>
      <c r="Y970" s="11" t="inlineStr"/>
      <c r="Z970" s="11" t="inlineStr"/>
      <c r="AA970" s="8" t="inlineStr"/>
      <c r="AB970" s="8" t="inlineStr"/>
      <c r="AC970" s="11" t="inlineStr">
        <is>
          <t>MasterMilitaryOnBaseList 12.2.25 NS.xlsx</t>
        </is>
      </c>
      <c r="AD970" s="11" t="inlineStr">
        <is>
          <t>Detroit Arsenal_Advertising Rates Only - Supplemental Info.pdf</t>
        </is>
      </c>
      <c r="AE970" s="15" t="inlineStr">
        <is>
          <t>Open in Box</t>
        </is>
      </c>
      <c r="AF970" s="15" t="inlineStr">
        <is>
          <t>Open in Box</t>
        </is>
      </c>
    </row>
    <row r="971">
      <c r="A971" s="11" t="inlineStr">
        <is>
          <t>MD-DETROITA-001</t>
        </is>
      </c>
      <c r="B971" s="8" t="inlineStr">
        <is>
          <t>Detroit Arsenal</t>
        </is>
      </c>
      <c r="C971" s="11" t="inlineStr"/>
      <c r="D971" s="11" t="inlineStr">
        <is>
          <t>MD</t>
        </is>
      </c>
      <c r="E971" s="11" t="inlineStr">
        <is>
          <t>Detroit</t>
        </is>
      </c>
      <c r="F971" s="11" t="inlineStr">
        <is>
          <t>48092</t>
        </is>
      </c>
      <c r="G971" s="11" t="inlineStr">
        <is>
          <t>Army</t>
        </is>
      </c>
      <c r="H971" s="11" t="inlineStr">
        <is>
          <t>Standard Media</t>
        </is>
      </c>
      <c r="I971" s="8" t="inlineStr">
        <is>
          <t>Banners</t>
        </is>
      </c>
      <c r="J971" s="11" t="inlineStr">
        <is>
          <t>25.25"W x 6"H</t>
        </is>
      </c>
      <c r="K971" s="8" t="inlineStr">
        <is>
          <t>Your ad will appear the Marina or RV Storage area on the installation.</t>
        </is>
      </c>
      <c r="L971" s="11" t="n">
        <v>12</v>
      </c>
      <c r="M971" s="12" t="n"/>
      <c r="N971" s="12" t="n"/>
      <c r="O971" s="12" t="n"/>
      <c r="P971" s="12" t="n">
        <v>9600</v>
      </c>
      <c r="Q971" s="12" t="n">
        <v>200</v>
      </c>
      <c r="R971" s="13">
        <f>IF(ISNUMBER(M971),ROUND(M971/(1-Settings!$B$2)/Settings!$B$3,0)*Settings!$B$3,"")</f>
        <v/>
      </c>
      <c r="S971" s="13">
        <f>IF(ISNUMBER(N971),ROUND(N971/(1-Settings!$B$2)/Settings!$B$3,0)*Settings!$B$3,"")</f>
        <v/>
      </c>
      <c r="T971" s="13">
        <f>IF(ISNUMBER(O971),ROUND(O971/(1-Settings!$B$2)/Settings!$B$3,0)*Settings!$B$3,"")</f>
        <v/>
      </c>
      <c r="U971" s="13">
        <f>IF(ISNUMBER(P971),ROUND(P971/(1-Settings!$B$2)/Settings!$B$3,0)*Settings!$B$3,"")</f>
        <v/>
      </c>
      <c r="V971" s="13">
        <f>IF(ISNUMBER(Q971),ROUND(Q971/(1-Settings!$B$2)/Settings!$B$3,0)*Settings!$B$3,"")</f>
        <v/>
      </c>
      <c r="W971" s="14" t="n"/>
      <c r="X971" s="14" t="n"/>
      <c r="Y971" s="11" t="inlineStr"/>
      <c r="Z971" s="11" t="inlineStr"/>
      <c r="AA971" s="8" t="inlineStr"/>
      <c r="AB971" s="8" t="inlineStr"/>
      <c r="AC971" s="11" t="inlineStr">
        <is>
          <t>MasterMilitaryOnBaseList 12.2.25 NS.xlsx</t>
        </is>
      </c>
      <c r="AD971" s="11" t="inlineStr">
        <is>
          <t>Detroit Arsenal_Advertising Rates Only - Supplemental Info.pdf</t>
        </is>
      </c>
      <c r="AE971" s="15" t="inlineStr">
        <is>
          <t>Open in Box</t>
        </is>
      </c>
      <c r="AF971" s="15" t="inlineStr">
        <is>
          <t>Open in Box</t>
        </is>
      </c>
    </row>
    <row r="972">
      <c r="A972" s="11" t="inlineStr">
        <is>
          <t>MD-DETROITA-002</t>
        </is>
      </c>
      <c r="B972" s="8" t="inlineStr">
        <is>
          <t>Detroit Arsenal</t>
        </is>
      </c>
      <c r="C972" s="11" t="inlineStr"/>
      <c r="D972" s="11" t="inlineStr">
        <is>
          <t>MD</t>
        </is>
      </c>
      <c r="E972" s="11" t="inlineStr">
        <is>
          <t>Detroit</t>
        </is>
      </c>
      <c r="F972" s="11" t="inlineStr">
        <is>
          <t>48092</t>
        </is>
      </c>
      <c r="G972" s="11" t="inlineStr">
        <is>
          <t>Army</t>
        </is>
      </c>
      <c r="H972" s="11" t="inlineStr">
        <is>
          <t>Standard Media</t>
        </is>
      </c>
      <c r="I972" s="8" t="inlineStr">
        <is>
          <t>Posters</t>
        </is>
      </c>
      <c r="J972" s="11" t="inlineStr">
        <is>
          <t>40" x 30"</t>
        </is>
      </c>
      <c r="K972" s="8" t="inlineStr">
        <is>
          <t>Your ad will appear in an approved location on the installation.</t>
        </is>
      </c>
      <c r="L972" s="11" t="n">
        <v>6</v>
      </c>
      <c r="M972" s="12" t="n"/>
      <c r="N972" s="12" t="n"/>
      <c r="O972" s="12" t="n">
        <v>1500</v>
      </c>
      <c r="P972" s="12" t="n">
        <v>2250</v>
      </c>
      <c r="Q972" s="12" t="n">
        <v>100</v>
      </c>
      <c r="R972" s="13">
        <f>IF(ISNUMBER(M972),ROUND(M972/(1-Settings!$B$2)/Settings!$B$3,0)*Settings!$B$3,"")</f>
        <v/>
      </c>
      <c r="S972" s="13">
        <f>IF(ISNUMBER(N972),ROUND(N972/(1-Settings!$B$2)/Settings!$B$3,0)*Settings!$B$3,"")</f>
        <v/>
      </c>
      <c r="T972" s="13">
        <f>IF(ISNUMBER(O972),ROUND(O972/(1-Settings!$B$2)/Settings!$B$3,0)*Settings!$B$3,"")</f>
        <v/>
      </c>
      <c r="U972" s="13">
        <f>IF(ISNUMBER(P972),ROUND(P972/(1-Settings!$B$2)/Settings!$B$3,0)*Settings!$B$3,"")</f>
        <v/>
      </c>
      <c r="V972" s="13">
        <f>IF(ISNUMBER(Q972),ROUND(Q972/(1-Settings!$B$2)/Settings!$B$3,0)*Settings!$B$3,"")</f>
        <v/>
      </c>
      <c r="W972" s="14" t="n"/>
      <c r="X972" s="14" t="n"/>
      <c r="Y972" s="11" t="inlineStr"/>
      <c r="Z972" s="11" t="inlineStr"/>
      <c r="AA972" s="8" t="inlineStr"/>
      <c r="AB972" s="8" t="inlineStr"/>
      <c r="AC972" s="11" t="inlineStr">
        <is>
          <t>MasterMilitaryOnBaseList 12.2.25 NS.xlsx</t>
        </is>
      </c>
      <c r="AD972" s="11" t="inlineStr">
        <is>
          <t>Detroit Arsenal_Advertising Rates Only - Supplemental Info.pdf</t>
        </is>
      </c>
      <c r="AE972" s="15" t="inlineStr">
        <is>
          <t>Open in Box</t>
        </is>
      </c>
      <c r="AF972" s="15" t="inlineStr">
        <is>
          <t>Open in Box</t>
        </is>
      </c>
    </row>
    <row r="973">
      <c r="A973" s="11" t="inlineStr">
        <is>
          <t>MD-FORTDETR-002</t>
        </is>
      </c>
      <c r="B973" s="8" t="inlineStr">
        <is>
          <t>Fort Detrick</t>
        </is>
      </c>
      <c r="C973" s="11" t="inlineStr"/>
      <c r="D973" s="11" t="inlineStr">
        <is>
          <t>MD</t>
        </is>
      </c>
      <c r="E973" s="11" t="inlineStr">
        <is>
          <t>Washington, DC (Hagrstwn)</t>
        </is>
      </c>
      <c r="F973" s="11" t="inlineStr"/>
      <c r="G973" s="11" t="inlineStr">
        <is>
          <t>Army</t>
        </is>
      </c>
      <c r="H973" s="11" t="inlineStr">
        <is>
          <t>Print &amp; Publications</t>
        </is>
      </c>
      <c r="I973" s="8" t="inlineStr">
        <is>
          <t>Guide / Map Ad</t>
        </is>
      </c>
      <c r="J973" s="11" t="inlineStr"/>
      <c r="K973" s="8" t="inlineStr">
        <is>
          <t>Your ad will appear in the installation guide or map.</t>
        </is>
      </c>
      <c r="L973" s="11" t="n">
        <v>12</v>
      </c>
      <c r="M973" s="12" t="n"/>
      <c r="N973" s="12" t="n"/>
      <c r="O973" s="12" t="n"/>
      <c r="P973" s="12" t="n">
        <v>600</v>
      </c>
      <c r="Q973" s="12" t="n"/>
      <c r="R973" s="13">
        <f>IF(ISNUMBER(M973),ROUND(M973/(1-Settings!$B$2)/Settings!$B$3,0)*Settings!$B$3,"")</f>
        <v/>
      </c>
      <c r="S973" s="13">
        <f>IF(ISNUMBER(N973),ROUND(N973/(1-Settings!$B$2)/Settings!$B$3,0)*Settings!$B$3,"")</f>
        <v/>
      </c>
      <c r="T973" s="13">
        <f>IF(ISNUMBER(O973),ROUND(O973/(1-Settings!$B$2)/Settings!$B$3,0)*Settings!$B$3,"")</f>
        <v/>
      </c>
      <c r="U973" s="13">
        <f>IF(ISNUMBER(P973),ROUND(P973/(1-Settings!$B$2)/Settings!$B$3,0)*Settings!$B$3,"")</f>
        <v/>
      </c>
      <c r="V973" s="13">
        <f>IF(ISNUMBER(Q973),ROUND(Q973/(1-Settings!$B$2)/Settings!$B$3,0)*Settings!$B$3,"")</f>
        <v/>
      </c>
      <c r="W973" s="14" t="n">
        <v>991</v>
      </c>
      <c r="X973" s="14" t="n">
        <v>1873</v>
      </c>
      <c r="Y973" s="11" t="inlineStr">
        <is>
          <t>2026</t>
        </is>
      </c>
      <c r="Z973" s="11" t="inlineStr">
        <is>
          <t>2026-06</t>
        </is>
      </c>
      <c r="AA973" s="8" t="inlineStr">
        <is>
          <t>6-month commitment | Annual starting price</t>
        </is>
      </c>
      <c r="AB973" s="8" t="inlineStr"/>
      <c r="AC973" s="11" t="inlineStr">
        <is>
          <t>Military - National Publication Inventory Master_June 2026.xlsx</t>
        </is>
      </c>
      <c r="AD973" s="11" t="inlineStr">
        <is>
          <t>2026 CS&amp;A rate card.pdf</t>
        </is>
      </c>
      <c r="AE973" s="15" t="inlineStr">
        <is>
          <t>Open in Box</t>
        </is>
      </c>
      <c r="AF973" s="15" t="inlineStr">
        <is>
          <t>Open in Box</t>
        </is>
      </c>
    </row>
    <row r="974">
      <c r="A974" s="11" t="inlineStr">
        <is>
          <t>MD-FORTDETR-001</t>
        </is>
      </c>
      <c r="B974" s="8" t="inlineStr">
        <is>
          <t>Fort Detrick</t>
        </is>
      </c>
      <c r="C974" s="11" t="inlineStr"/>
      <c r="D974" s="11" t="inlineStr">
        <is>
          <t>MD</t>
        </is>
      </c>
      <c r="E974" s="11" t="inlineStr">
        <is>
          <t>Washington, DC (Hagrstwn)</t>
        </is>
      </c>
      <c r="F974" s="11" t="inlineStr"/>
      <c r="G974" s="11" t="inlineStr">
        <is>
          <t>Army</t>
        </is>
      </c>
      <c r="H974" s="11" t="inlineStr">
        <is>
          <t>Web &amp; Email</t>
        </is>
      </c>
      <c r="I974" s="8" t="inlineStr">
        <is>
          <t>Web Ad</t>
        </is>
      </c>
      <c r="J974" s="11" t="inlineStr"/>
      <c r="K974" s="8" t="inlineStr">
        <is>
          <t>Your ad will appear on the installation MWR / FSS website.</t>
        </is>
      </c>
      <c r="L974" s="11" t="n">
        <v>12</v>
      </c>
      <c r="M974" s="12" t="n"/>
      <c r="N974" s="12" t="n"/>
      <c r="O974" s="12" t="n"/>
      <c r="P974" s="12" t="n">
        <v>6500</v>
      </c>
      <c r="Q974" s="12" t="n"/>
      <c r="R974" s="13">
        <f>IF(ISNUMBER(M974),ROUND(M974/(1-Settings!$B$2)/Settings!$B$3,0)*Settings!$B$3,"")</f>
        <v/>
      </c>
      <c r="S974" s="13">
        <f>IF(ISNUMBER(N974),ROUND(N974/(1-Settings!$B$2)/Settings!$B$3,0)*Settings!$B$3,"")</f>
        <v/>
      </c>
      <c r="T974" s="13">
        <f>IF(ISNUMBER(O974),ROUND(O974/(1-Settings!$B$2)/Settings!$B$3,0)*Settings!$B$3,"")</f>
        <v/>
      </c>
      <c r="U974" s="13">
        <f>IF(ISNUMBER(P974),ROUND(P974/(1-Settings!$B$2)/Settings!$B$3,0)*Settings!$B$3,"")</f>
        <v/>
      </c>
      <c r="V974" s="13">
        <f>IF(ISNUMBER(Q974),ROUND(Q974/(1-Settings!$B$2)/Settings!$B$3,0)*Settings!$B$3,"")</f>
        <v/>
      </c>
      <c r="W974" s="14" t="n">
        <v>991</v>
      </c>
      <c r="X974" s="14" t="n">
        <v>1873</v>
      </c>
      <c r="Y974" s="11" t="inlineStr">
        <is>
          <t>2026</t>
        </is>
      </c>
      <c r="Z974" s="11" t="inlineStr">
        <is>
          <t>2026-06</t>
        </is>
      </c>
      <c r="AA974" s="8" t="inlineStr">
        <is>
          <t>6-month commitment | Annual starting price</t>
        </is>
      </c>
      <c r="AB974" s="8" t="inlineStr"/>
      <c r="AC974" s="11" t="inlineStr">
        <is>
          <t>Military - National Publication Inventory Master_June 2026.xlsx</t>
        </is>
      </c>
      <c r="AD974" s="11" t="inlineStr">
        <is>
          <t>2026 CS&amp;A rate card.pdf</t>
        </is>
      </c>
      <c r="AE974" s="15" t="inlineStr">
        <is>
          <t>Open in Box</t>
        </is>
      </c>
      <c r="AF974" s="15" t="inlineStr">
        <is>
          <t>Open in Box</t>
        </is>
      </c>
    </row>
    <row r="975">
      <c r="A975" s="11" t="inlineStr">
        <is>
          <t>MD-FORTGEOR-011</t>
        </is>
      </c>
      <c r="B975" s="8" t="inlineStr">
        <is>
          <t>Fort George G. Meade</t>
        </is>
      </c>
      <c r="C975" s="11" t="inlineStr"/>
      <c r="D975" s="11" t="inlineStr">
        <is>
          <t>MD</t>
        </is>
      </c>
      <c r="E975" s="11" t="inlineStr">
        <is>
          <t>Baltimore</t>
        </is>
      </c>
      <c r="F975" s="11" t="inlineStr"/>
      <c r="G975" s="11" t="inlineStr">
        <is>
          <t>Army</t>
        </is>
      </c>
      <c r="H975" s="11" t="inlineStr">
        <is>
          <t>Digital</t>
        </is>
      </c>
      <c r="I975" s="8" t="inlineStr">
        <is>
          <t>Bowling Scoring Monitors</t>
        </is>
      </c>
      <c r="J975" s="11" t="inlineStr">
        <is>
          <t>36 screens</t>
        </is>
      </c>
      <c r="K975" s="8" t="inlineStr">
        <is>
          <t>Your ad will appear on the 36-screen scoring monitors in the installation bowling center.</t>
        </is>
      </c>
      <c r="L975" s="11" t="n">
        <v>1</v>
      </c>
      <c r="M975" s="12" t="n">
        <v>250</v>
      </c>
      <c r="N975" s="12" t="n"/>
      <c r="O975" s="12" t="n"/>
      <c r="P975" s="12" t="n"/>
      <c r="Q975" s="12" t="n"/>
      <c r="R975" s="13">
        <f>IF(ISNUMBER(M975),ROUND(M975/(1-Settings!$B$2)/Settings!$B$3,0)*Settings!$B$3,"")</f>
        <v/>
      </c>
      <c r="S975" s="13">
        <f>IF(ISNUMBER(N975),ROUND(N975/(1-Settings!$B$2)/Settings!$B$3,0)*Settings!$B$3,"")</f>
        <v/>
      </c>
      <c r="T975" s="13">
        <f>IF(ISNUMBER(O975),ROUND(O975/(1-Settings!$B$2)/Settings!$B$3,0)*Settings!$B$3,"")</f>
        <v/>
      </c>
      <c r="U975" s="13">
        <f>IF(ISNUMBER(P975),ROUND(P975/(1-Settings!$B$2)/Settings!$B$3,0)*Settings!$B$3,"")</f>
        <v/>
      </c>
      <c r="V975" s="13">
        <f>IF(ISNUMBER(Q975),ROUND(Q975/(1-Settings!$B$2)/Settings!$B$3,0)*Settings!$B$3,"")</f>
        <v/>
      </c>
      <c r="W975" s="14" t="n">
        <v>11140</v>
      </c>
      <c r="X975" s="14" t="n">
        <v>14901</v>
      </c>
      <c r="Y975" s="11" t="inlineStr">
        <is>
          <t>2026</t>
        </is>
      </c>
      <c r="Z975" s="11" t="inlineStr">
        <is>
          <t>2026-06</t>
        </is>
      </c>
      <c r="AA975" s="8" t="inlineStr"/>
      <c r="AB975" s="8" t="inlineStr"/>
      <c r="AC975" s="11" t="inlineStr">
        <is>
          <t>Military - National Digital Inventory Master 6.3.26.xlsx</t>
        </is>
      </c>
      <c r="AD975" s="11" t="inlineStr">
        <is>
          <t>Advertising brochure_2025 - good for 2026.pdf</t>
        </is>
      </c>
      <c r="AE975" s="15" t="inlineStr">
        <is>
          <t>Open in Box</t>
        </is>
      </c>
      <c r="AF975" s="15" t="inlineStr">
        <is>
          <t>Open in Box</t>
        </is>
      </c>
    </row>
    <row r="976">
      <c r="A976" s="11" t="inlineStr">
        <is>
          <t>MD-FORTGEOR-001</t>
        </is>
      </c>
      <c r="B976" s="8" t="inlineStr">
        <is>
          <t>Fort George G. Meade</t>
        </is>
      </c>
      <c r="C976" s="11" t="inlineStr">
        <is>
          <t>Fort Meade</t>
        </is>
      </c>
      <c r="D976" s="11" t="inlineStr">
        <is>
          <t>MD</t>
        </is>
      </c>
      <c r="E976" s="11" t="inlineStr">
        <is>
          <t>Baltimore</t>
        </is>
      </c>
      <c r="F976" s="11" t="inlineStr">
        <is>
          <t>20755</t>
        </is>
      </c>
      <c r="G976" s="11" t="inlineStr">
        <is>
          <t>Army</t>
        </is>
      </c>
      <c r="H976" s="11" t="inlineStr">
        <is>
          <t>Digital</t>
        </is>
      </c>
      <c r="I976" s="8" t="inlineStr">
        <is>
          <t>Indoor Digital Monitors</t>
        </is>
      </c>
      <c r="J976" s="11" t="inlineStr">
        <is>
          <t>TBD</t>
        </is>
      </c>
      <c r="K976" s="8" t="inlineStr">
        <is>
          <t>Your ad will appear in 36 approved locations on the installation.</t>
        </is>
      </c>
      <c r="L976" s="11" t="n">
        <v>3</v>
      </c>
      <c r="M976" s="12" t="n"/>
      <c r="N976" s="12" t="n">
        <v>750</v>
      </c>
      <c r="O976" s="12" t="n">
        <v>1250</v>
      </c>
      <c r="P976" s="12" t="n">
        <v>2000</v>
      </c>
      <c r="Q976" s="12" t="n">
        <v>0</v>
      </c>
      <c r="R976" s="13">
        <f>IF(ISNUMBER(M976),ROUND(M976/(1-Settings!$B$2)/Settings!$B$3,0)*Settings!$B$3,"")</f>
        <v/>
      </c>
      <c r="S976" s="13">
        <f>IF(ISNUMBER(N976),ROUND(N976/(1-Settings!$B$2)/Settings!$B$3,0)*Settings!$B$3,"")</f>
        <v/>
      </c>
      <c r="T976" s="13">
        <f>IF(ISNUMBER(O976),ROUND(O976/(1-Settings!$B$2)/Settings!$B$3,0)*Settings!$B$3,"")</f>
        <v/>
      </c>
      <c r="U976" s="13">
        <f>IF(ISNUMBER(P976),ROUND(P976/(1-Settings!$B$2)/Settings!$B$3,0)*Settings!$B$3,"")</f>
        <v/>
      </c>
      <c r="V976" s="13">
        <f>IF(ISNUMBER(Q976),ROUND(Q976/(1-Settings!$B$2)/Settings!$B$3,0)*Settings!$B$3,"")</f>
        <v/>
      </c>
      <c r="W976" s="14" t="n">
        <v>11140</v>
      </c>
      <c r="X976" s="14" t="n">
        <v>14901</v>
      </c>
      <c r="Y976" s="11" t="inlineStr"/>
      <c r="Z976" s="11" t="inlineStr"/>
      <c r="AA976" s="8" t="inlineStr"/>
      <c r="AB976" s="8" t="inlineStr"/>
      <c r="AC976" s="11" t="inlineStr">
        <is>
          <t>MasterMilitaryOnBaseList 12.2.25 NS.xlsx</t>
        </is>
      </c>
      <c r="AD976" s="11" t="inlineStr">
        <is>
          <t>Advertising brochure_2025 - good for 2026.pdf</t>
        </is>
      </c>
      <c r="AE976" s="15" t="inlineStr">
        <is>
          <t>Open in Box</t>
        </is>
      </c>
      <c r="AF976" s="15" t="inlineStr">
        <is>
          <t>Open in Box</t>
        </is>
      </c>
    </row>
    <row r="977">
      <c r="A977" s="11" t="inlineStr">
        <is>
          <t>MD-FORTGEOR-002</t>
        </is>
      </c>
      <c r="B977" s="8" t="inlineStr">
        <is>
          <t>Fort George G. Meade</t>
        </is>
      </c>
      <c r="C977" s="11" t="inlineStr">
        <is>
          <t>Fort Meade</t>
        </is>
      </c>
      <c r="D977" s="11" t="inlineStr">
        <is>
          <t>MD</t>
        </is>
      </c>
      <c r="E977" s="11" t="inlineStr">
        <is>
          <t>Baltimore</t>
        </is>
      </c>
      <c r="F977" s="11" t="inlineStr">
        <is>
          <t>20755</t>
        </is>
      </c>
      <c r="G977" s="11" t="inlineStr">
        <is>
          <t>Army</t>
        </is>
      </c>
      <c r="H977" s="11" t="inlineStr">
        <is>
          <t>Digital</t>
        </is>
      </c>
      <c r="I977" s="8" t="inlineStr">
        <is>
          <t>Outdoor Digital Marquee</t>
        </is>
      </c>
      <c r="J977" s="11" t="inlineStr">
        <is>
          <t>TBD</t>
        </is>
      </c>
      <c r="K977" s="8" t="inlineStr">
        <is>
          <t>Your ad will appear in an approved location on the installation.</t>
        </is>
      </c>
      <c r="L977" s="11" t="n">
        <v>3</v>
      </c>
      <c r="M977" s="12" t="n"/>
      <c r="N977" s="12" t="n">
        <v>1200</v>
      </c>
      <c r="O977" s="12" t="n">
        <v>1800</v>
      </c>
      <c r="P977" s="12" t="n">
        <v>3000</v>
      </c>
      <c r="Q977" s="12" t="n"/>
      <c r="R977" s="13">
        <f>IF(ISNUMBER(M977),ROUND(M977/(1-Settings!$B$2)/Settings!$B$3,0)*Settings!$B$3,"")</f>
        <v/>
      </c>
      <c r="S977" s="13">
        <f>IF(ISNUMBER(N977),ROUND(N977/(1-Settings!$B$2)/Settings!$B$3,0)*Settings!$B$3,"")</f>
        <v/>
      </c>
      <c r="T977" s="13">
        <f>IF(ISNUMBER(O977),ROUND(O977/(1-Settings!$B$2)/Settings!$B$3,0)*Settings!$B$3,"")</f>
        <v/>
      </c>
      <c r="U977" s="13">
        <f>IF(ISNUMBER(P977),ROUND(P977/(1-Settings!$B$2)/Settings!$B$3,0)*Settings!$B$3,"")</f>
        <v/>
      </c>
      <c r="V977" s="13">
        <f>IF(ISNUMBER(Q977),ROUND(Q977/(1-Settings!$B$2)/Settings!$B$3,0)*Settings!$B$3,"")</f>
        <v/>
      </c>
      <c r="W977" s="14" t="n">
        <v>11140</v>
      </c>
      <c r="X977" s="14" t="n">
        <v>14901</v>
      </c>
      <c r="Y977" s="11" t="inlineStr"/>
      <c r="Z977" s="11" t="inlineStr"/>
      <c r="AA977" s="8" t="inlineStr">
        <is>
          <t>Inventory master 6/2026 lists Digital Marquee at $1,500 (1 mo)</t>
        </is>
      </c>
      <c r="AB977" s="8" t="inlineStr"/>
      <c r="AC977" s="11" t="inlineStr">
        <is>
          <t>MasterMilitaryOnBaseList 12.2.25 NS.xlsx</t>
        </is>
      </c>
      <c r="AD977" s="11" t="inlineStr">
        <is>
          <t>Advertising brochure_2025 - good for 2026.pdf</t>
        </is>
      </c>
      <c r="AE977" s="15" t="inlineStr">
        <is>
          <t>Open in Box</t>
        </is>
      </c>
      <c r="AF977" s="15" t="inlineStr">
        <is>
          <t>Open in Box</t>
        </is>
      </c>
    </row>
    <row r="978">
      <c r="A978" s="11" t="inlineStr">
        <is>
          <t>MD-FORTGEOR-007</t>
        </is>
      </c>
      <c r="B978" s="8" t="inlineStr">
        <is>
          <t>Fort George G. Meade</t>
        </is>
      </c>
      <c r="C978" s="11" t="inlineStr">
        <is>
          <t>Fort Meade</t>
        </is>
      </c>
      <c r="D978" s="11" t="inlineStr">
        <is>
          <t>MD</t>
        </is>
      </c>
      <c r="E978" s="11" t="inlineStr">
        <is>
          <t>Baltimore</t>
        </is>
      </c>
      <c r="F978" s="11" t="inlineStr">
        <is>
          <t>20755</t>
        </is>
      </c>
      <c r="G978" s="11" t="inlineStr">
        <is>
          <t>Army</t>
        </is>
      </c>
      <c r="H978" s="11" t="inlineStr">
        <is>
          <t>Large Format</t>
        </is>
      </c>
      <c r="I978" s="8" t="inlineStr">
        <is>
          <t>Counter Wraps</t>
        </is>
      </c>
      <c r="J978" s="11" t="inlineStr">
        <is>
          <t>TBD</t>
        </is>
      </c>
      <c r="K978" s="8" t="inlineStr">
        <is>
          <t>Your ad will appear on approved counters in facilities on the installation.</t>
        </is>
      </c>
      <c r="L978" s="11" t="n">
        <v>6</v>
      </c>
      <c r="M978" s="12" t="n"/>
      <c r="N978" s="12" t="n"/>
      <c r="O978" s="12" t="n">
        <v>2000</v>
      </c>
      <c r="P978" s="12" t="n">
        <v>3000</v>
      </c>
      <c r="Q978" s="12" t="n">
        <v>0</v>
      </c>
      <c r="R978" s="13">
        <f>IF(ISNUMBER(M978),ROUND(M978/(1-Settings!$B$2)/Settings!$B$3,0)*Settings!$B$3,"")</f>
        <v/>
      </c>
      <c r="S978" s="13">
        <f>IF(ISNUMBER(N978),ROUND(N978/(1-Settings!$B$2)/Settings!$B$3,0)*Settings!$B$3,"")</f>
        <v/>
      </c>
      <c r="T978" s="13">
        <f>IF(ISNUMBER(O978),ROUND(O978/(1-Settings!$B$2)/Settings!$B$3,0)*Settings!$B$3,"")</f>
        <v/>
      </c>
      <c r="U978" s="13">
        <f>IF(ISNUMBER(P978),ROUND(P978/(1-Settings!$B$2)/Settings!$B$3,0)*Settings!$B$3,"")</f>
        <v/>
      </c>
      <c r="V978" s="13">
        <f>IF(ISNUMBER(Q978),ROUND(Q978/(1-Settings!$B$2)/Settings!$B$3,0)*Settings!$B$3,"")</f>
        <v/>
      </c>
      <c r="W978" s="14" t="n">
        <v>11140</v>
      </c>
      <c r="X978" s="14" t="n">
        <v>14901</v>
      </c>
      <c r="Y978" s="11" t="inlineStr"/>
      <c r="Z978" s="11" t="inlineStr"/>
      <c r="AA978" s="8" t="inlineStr"/>
      <c r="AB978" s="8" t="inlineStr"/>
      <c r="AC978" s="11" t="inlineStr">
        <is>
          <t>MasterMilitaryOnBaseList 12.2.25 NS.xlsx</t>
        </is>
      </c>
      <c r="AD978" s="11" t="inlineStr">
        <is>
          <t>Advertising brochure_2025 - good for 2026.pdf</t>
        </is>
      </c>
      <c r="AE978" s="15" t="inlineStr">
        <is>
          <t>Open in Box</t>
        </is>
      </c>
      <c r="AF978" s="15" t="inlineStr">
        <is>
          <t>Open in Box</t>
        </is>
      </c>
    </row>
    <row r="979">
      <c r="A979" s="11" t="inlineStr">
        <is>
          <t>MD-FORTGEOR-008</t>
        </is>
      </c>
      <c r="B979" s="8" t="inlineStr">
        <is>
          <t>Fort George G. Meade</t>
        </is>
      </c>
      <c r="C979" s="11" t="inlineStr">
        <is>
          <t>Fort Meade</t>
        </is>
      </c>
      <c r="D979" s="11" t="inlineStr">
        <is>
          <t>MD</t>
        </is>
      </c>
      <c r="E979" s="11" t="inlineStr">
        <is>
          <t>Baltimore</t>
        </is>
      </c>
      <c r="F979" s="11" t="inlineStr">
        <is>
          <t>20755</t>
        </is>
      </c>
      <c r="G979" s="11" t="inlineStr">
        <is>
          <t>Army</t>
        </is>
      </c>
      <c r="H979" s="11" t="inlineStr">
        <is>
          <t>Large Format</t>
        </is>
      </c>
      <c r="I979" s="8" t="inlineStr">
        <is>
          <t>Fence Line Banner</t>
        </is>
      </c>
      <c r="J979" s="11" t="inlineStr">
        <is>
          <t>12' x 4'</t>
        </is>
      </c>
      <c r="K979" s="8" t="inlineStr">
        <is>
          <t>Your ad will appear on an approved fenceline on the installation.</t>
        </is>
      </c>
      <c r="L979" s="11" t="n">
        <v>3</v>
      </c>
      <c r="M979" s="12" t="n"/>
      <c r="N979" s="12" t="n">
        <v>2000</v>
      </c>
      <c r="O979" s="12" t="n">
        <v>3000</v>
      </c>
      <c r="P979" s="12" t="n">
        <v>5000</v>
      </c>
      <c r="Q979" s="12" t="n">
        <v>200</v>
      </c>
      <c r="R979" s="13">
        <f>IF(ISNUMBER(M979),ROUND(M979/(1-Settings!$B$2)/Settings!$B$3,0)*Settings!$B$3,"")</f>
        <v/>
      </c>
      <c r="S979" s="13">
        <f>IF(ISNUMBER(N979),ROUND(N979/(1-Settings!$B$2)/Settings!$B$3,0)*Settings!$B$3,"")</f>
        <v/>
      </c>
      <c r="T979" s="13">
        <f>IF(ISNUMBER(O979),ROUND(O979/(1-Settings!$B$2)/Settings!$B$3,0)*Settings!$B$3,"")</f>
        <v/>
      </c>
      <c r="U979" s="13">
        <f>IF(ISNUMBER(P979),ROUND(P979/(1-Settings!$B$2)/Settings!$B$3,0)*Settings!$B$3,"")</f>
        <v/>
      </c>
      <c r="V979" s="13">
        <f>IF(ISNUMBER(Q979),ROUND(Q979/(1-Settings!$B$2)/Settings!$B$3,0)*Settings!$B$3,"")</f>
        <v/>
      </c>
      <c r="W979" s="14" t="n">
        <v>11140</v>
      </c>
      <c r="X979" s="14" t="n">
        <v>14901</v>
      </c>
      <c r="Y979" s="11" t="inlineStr"/>
      <c r="Z979" s="11" t="inlineStr"/>
      <c r="AA979" s="8" t="inlineStr"/>
      <c r="AB979" s="8" t="inlineStr"/>
      <c r="AC979" s="11" t="inlineStr">
        <is>
          <t>MasterMilitaryOnBaseList 12.2.25 NS.xlsx</t>
        </is>
      </c>
      <c r="AD979" s="11" t="inlineStr">
        <is>
          <t>Advertising brochure_2025 - good for 2026.pdf</t>
        </is>
      </c>
      <c r="AE979" s="15" t="inlineStr">
        <is>
          <t>Open in Box</t>
        </is>
      </c>
      <c r="AF979" s="15" t="inlineStr">
        <is>
          <t>Open in Box</t>
        </is>
      </c>
    </row>
    <row r="980">
      <c r="A980" s="11" t="inlineStr">
        <is>
          <t>MD-FORTGEOR-009</t>
        </is>
      </c>
      <c r="B980" s="8" t="inlineStr">
        <is>
          <t>Fort George G. Meade</t>
        </is>
      </c>
      <c r="C980" s="11" t="inlineStr">
        <is>
          <t>Fort Meade</t>
        </is>
      </c>
      <c r="D980" s="11" t="inlineStr">
        <is>
          <t>MD</t>
        </is>
      </c>
      <c r="E980" s="11" t="inlineStr">
        <is>
          <t>Baltimore</t>
        </is>
      </c>
      <c r="F980" s="11" t="inlineStr">
        <is>
          <t>20755</t>
        </is>
      </c>
      <c r="G980" s="11" t="inlineStr">
        <is>
          <t>Army</t>
        </is>
      </c>
      <c r="H980" s="11" t="inlineStr">
        <is>
          <t>Large Format</t>
        </is>
      </c>
      <c r="I980" s="8" t="inlineStr">
        <is>
          <t>Front Door Wraps</t>
        </is>
      </c>
      <c r="J980" s="11" t="inlineStr">
        <is>
          <t>TBD</t>
        </is>
      </c>
      <c r="K980" s="8" t="inlineStr">
        <is>
          <t>Your ad will appear on an approved door in a facility on the installation.</t>
        </is>
      </c>
      <c r="L980" s="11" t="n">
        <v>6</v>
      </c>
      <c r="M980" s="12" t="n"/>
      <c r="N980" s="12" t="n"/>
      <c r="O980" s="12" t="n">
        <v>2000</v>
      </c>
      <c r="P980" s="12" t="n">
        <v>3000</v>
      </c>
      <c r="Q980" s="12" t="n"/>
      <c r="R980" s="13">
        <f>IF(ISNUMBER(M980),ROUND(M980/(1-Settings!$B$2)/Settings!$B$3,0)*Settings!$B$3,"")</f>
        <v/>
      </c>
      <c r="S980" s="13">
        <f>IF(ISNUMBER(N980),ROUND(N980/(1-Settings!$B$2)/Settings!$B$3,0)*Settings!$B$3,"")</f>
        <v/>
      </c>
      <c r="T980" s="13">
        <f>IF(ISNUMBER(O980),ROUND(O980/(1-Settings!$B$2)/Settings!$B$3,0)*Settings!$B$3,"")</f>
        <v/>
      </c>
      <c r="U980" s="13">
        <f>IF(ISNUMBER(P980),ROUND(P980/(1-Settings!$B$2)/Settings!$B$3,0)*Settings!$B$3,"")</f>
        <v/>
      </c>
      <c r="V980" s="13">
        <f>IF(ISNUMBER(Q980),ROUND(Q980/(1-Settings!$B$2)/Settings!$B$3,0)*Settings!$B$3,"")</f>
        <v/>
      </c>
      <c r="W980" s="14" t="n">
        <v>11140</v>
      </c>
      <c r="X980" s="14" t="n">
        <v>14901</v>
      </c>
      <c r="Y980" s="11" t="inlineStr"/>
      <c r="Z980" s="11" t="inlineStr"/>
      <c r="AA980" s="8" t="inlineStr"/>
      <c r="AB980" s="8" t="inlineStr"/>
      <c r="AC980" s="11" t="inlineStr">
        <is>
          <t>MasterMilitaryOnBaseList 12.2.25 NS.xlsx</t>
        </is>
      </c>
      <c r="AD980" s="11" t="inlineStr">
        <is>
          <t>Advertising brochure_2025 - good for 2026.pdf</t>
        </is>
      </c>
      <c r="AE980" s="15" t="inlineStr">
        <is>
          <t>Open in Box</t>
        </is>
      </c>
      <c r="AF980" s="15" t="inlineStr">
        <is>
          <t>Open in Box</t>
        </is>
      </c>
    </row>
    <row r="981">
      <c r="A981" s="11" t="inlineStr">
        <is>
          <t>MD-FORTGEOR-010</t>
        </is>
      </c>
      <c r="B981" s="8" t="inlineStr">
        <is>
          <t>Fort George G. Meade</t>
        </is>
      </c>
      <c r="C981" s="11" t="inlineStr">
        <is>
          <t>Fort Meade</t>
        </is>
      </c>
      <c r="D981" s="11" t="inlineStr">
        <is>
          <t>MD</t>
        </is>
      </c>
      <c r="E981" s="11" t="inlineStr">
        <is>
          <t>Baltimore</t>
        </is>
      </c>
      <c r="F981" s="11" t="inlineStr">
        <is>
          <t>20755</t>
        </is>
      </c>
      <c r="G981" s="11" t="inlineStr">
        <is>
          <t>Army</t>
        </is>
      </c>
      <c r="H981" s="11" t="inlineStr">
        <is>
          <t>Large Format</t>
        </is>
      </c>
      <c r="I981" s="8" t="inlineStr">
        <is>
          <t>Indoor Wall Clings</t>
        </is>
      </c>
      <c r="J981" s="11" t="inlineStr">
        <is>
          <t>4' x 6'</t>
        </is>
      </c>
      <c r="K981" s="8" t="inlineStr">
        <is>
          <t>Your ad will appear on approved walls in facilities on the installation.</t>
        </is>
      </c>
      <c r="L981" s="11" t="n">
        <v>3</v>
      </c>
      <c r="M981" s="12" t="n"/>
      <c r="N981" s="12" t="n">
        <v>700</v>
      </c>
      <c r="O981" s="12" t="n">
        <v>1000</v>
      </c>
      <c r="P981" s="12" t="n">
        <v>1500</v>
      </c>
      <c r="Q981" s="12" t="n">
        <v>0</v>
      </c>
      <c r="R981" s="13">
        <f>IF(ISNUMBER(M981),ROUND(M981/(1-Settings!$B$2)/Settings!$B$3,0)*Settings!$B$3,"")</f>
        <v/>
      </c>
      <c r="S981" s="13">
        <f>IF(ISNUMBER(N981),ROUND(N981/(1-Settings!$B$2)/Settings!$B$3,0)*Settings!$B$3,"")</f>
        <v/>
      </c>
      <c r="T981" s="13">
        <f>IF(ISNUMBER(O981),ROUND(O981/(1-Settings!$B$2)/Settings!$B$3,0)*Settings!$B$3,"")</f>
        <v/>
      </c>
      <c r="U981" s="13">
        <f>IF(ISNUMBER(P981),ROUND(P981/(1-Settings!$B$2)/Settings!$B$3,0)*Settings!$B$3,"")</f>
        <v/>
      </c>
      <c r="V981" s="13">
        <f>IF(ISNUMBER(Q981),ROUND(Q981/(1-Settings!$B$2)/Settings!$B$3,0)*Settings!$B$3,"")</f>
        <v/>
      </c>
      <c r="W981" s="14" t="n">
        <v>11140</v>
      </c>
      <c r="X981" s="14" t="n">
        <v>14901</v>
      </c>
      <c r="Y981" s="11" t="inlineStr"/>
      <c r="Z981" s="11" t="inlineStr"/>
      <c r="AA981" s="8" t="inlineStr"/>
      <c r="AB981" s="8" t="inlineStr"/>
      <c r="AC981" s="11" t="inlineStr">
        <is>
          <t>MasterMilitaryOnBaseList 12.2.25 NS.xlsx</t>
        </is>
      </c>
      <c r="AD981" s="11" t="inlineStr">
        <is>
          <t>Advertising brochure_2025 - good for 2026.pdf</t>
        </is>
      </c>
      <c r="AE981" s="15" t="inlineStr">
        <is>
          <t>Open in Box</t>
        </is>
      </c>
      <c r="AF981" s="15" t="inlineStr">
        <is>
          <t>Open in Box</t>
        </is>
      </c>
    </row>
    <row r="982">
      <c r="A982" s="11" t="inlineStr">
        <is>
          <t>MD-FORTGEOR-003</t>
        </is>
      </c>
      <c r="B982" s="8" t="inlineStr">
        <is>
          <t>Fort George G. Meade</t>
        </is>
      </c>
      <c r="C982" s="11" t="inlineStr">
        <is>
          <t>Fort Meade</t>
        </is>
      </c>
      <c r="D982" s="11" t="inlineStr">
        <is>
          <t>MD</t>
        </is>
      </c>
      <c r="E982" s="11" t="inlineStr">
        <is>
          <t>Baltimore</t>
        </is>
      </c>
      <c r="F982" s="11" t="inlineStr">
        <is>
          <t>20755</t>
        </is>
      </c>
      <c r="G982" s="11" t="inlineStr">
        <is>
          <t>Army</t>
        </is>
      </c>
      <c r="H982" s="11" t="inlineStr">
        <is>
          <t>Standard Media</t>
        </is>
      </c>
      <c r="I982" s="8" t="inlineStr">
        <is>
          <t>Chloroplast Sign</t>
        </is>
      </c>
      <c r="J982" s="11" t="inlineStr"/>
      <c r="K982" s="8" t="inlineStr">
        <is>
          <t>Your ad will appear across from Fort Meade on the installation.</t>
        </is>
      </c>
      <c r="L982" s="11" t="n">
        <v>3</v>
      </c>
      <c r="M982" s="12" t="n"/>
      <c r="N982" s="12" t="n">
        <v>700</v>
      </c>
      <c r="O982" s="12" t="n">
        <v>1200</v>
      </c>
      <c r="P982" s="12" t="n">
        <v>2000</v>
      </c>
      <c r="Q982" s="12" t="n"/>
      <c r="R982" s="13">
        <f>IF(ISNUMBER(M982),ROUND(M982/(1-Settings!$B$2)/Settings!$B$3,0)*Settings!$B$3,"")</f>
        <v/>
      </c>
      <c r="S982" s="13">
        <f>IF(ISNUMBER(N982),ROUND(N982/(1-Settings!$B$2)/Settings!$B$3,0)*Settings!$B$3,"")</f>
        <v/>
      </c>
      <c r="T982" s="13">
        <f>IF(ISNUMBER(O982),ROUND(O982/(1-Settings!$B$2)/Settings!$B$3,0)*Settings!$B$3,"")</f>
        <v/>
      </c>
      <c r="U982" s="13">
        <f>IF(ISNUMBER(P982),ROUND(P982/(1-Settings!$B$2)/Settings!$B$3,0)*Settings!$B$3,"")</f>
        <v/>
      </c>
      <c r="V982" s="13">
        <f>IF(ISNUMBER(Q982),ROUND(Q982/(1-Settings!$B$2)/Settings!$B$3,0)*Settings!$B$3,"")</f>
        <v/>
      </c>
      <c r="W982" s="14" t="n">
        <v>11140</v>
      </c>
      <c r="X982" s="14" t="n">
        <v>14901</v>
      </c>
      <c r="Y982" s="11" t="inlineStr"/>
      <c r="Z982" s="11" t="inlineStr"/>
      <c r="AA982" s="8" t="inlineStr"/>
      <c r="AB982" s="8" t="inlineStr"/>
      <c r="AC982" s="11" t="inlineStr">
        <is>
          <t>MasterMilitaryOnBaseList 12.2.25 NS.xlsx</t>
        </is>
      </c>
      <c r="AD982" s="11" t="inlineStr">
        <is>
          <t>Advertising brochure_2025 - good for 2026.pdf</t>
        </is>
      </c>
      <c r="AE982" s="15" t="inlineStr">
        <is>
          <t>Open in Box</t>
        </is>
      </c>
      <c r="AF982" s="15" t="inlineStr">
        <is>
          <t>Open in Box</t>
        </is>
      </c>
    </row>
    <row r="983">
      <c r="A983" s="11" t="inlineStr">
        <is>
          <t>MD-FORTGEOR-004</t>
        </is>
      </c>
      <c r="B983" s="8" t="inlineStr">
        <is>
          <t>Fort George G. Meade</t>
        </is>
      </c>
      <c r="C983" s="11" t="inlineStr">
        <is>
          <t>Fort Meade</t>
        </is>
      </c>
      <c r="D983" s="11" t="inlineStr">
        <is>
          <t>MD</t>
        </is>
      </c>
      <c r="E983" s="11" t="inlineStr">
        <is>
          <t>Baltimore</t>
        </is>
      </c>
      <c r="F983" s="11" t="inlineStr">
        <is>
          <t>20755</t>
        </is>
      </c>
      <c r="G983" s="11" t="inlineStr">
        <is>
          <t>Army</t>
        </is>
      </c>
      <c r="H983" s="11" t="inlineStr">
        <is>
          <t>Standard Media</t>
        </is>
      </c>
      <c r="I983" s="8" t="inlineStr">
        <is>
          <t>Lamp Post Banner</t>
        </is>
      </c>
      <c r="J983" s="11" t="inlineStr">
        <is>
          <t>TBD</t>
        </is>
      </c>
      <c r="K983" s="8" t="inlineStr">
        <is>
          <t>Your ad will appear on lamposts outside of the Gaffney Fitness Center on the installation.</t>
        </is>
      </c>
      <c r="L983" s="11" t="n">
        <v>3</v>
      </c>
      <c r="M983" s="12" t="n"/>
      <c r="N983" s="12" t="n">
        <v>1500</v>
      </c>
      <c r="O983" s="12" t="n">
        <v>2000</v>
      </c>
      <c r="P983" s="12" t="n">
        <v>3000</v>
      </c>
      <c r="Q983" s="12" t="n"/>
      <c r="R983" s="13">
        <f>IF(ISNUMBER(M983),ROUND(M983/(1-Settings!$B$2)/Settings!$B$3,0)*Settings!$B$3,"")</f>
        <v/>
      </c>
      <c r="S983" s="13">
        <f>IF(ISNUMBER(N983),ROUND(N983/(1-Settings!$B$2)/Settings!$B$3,0)*Settings!$B$3,"")</f>
        <v/>
      </c>
      <c r="T983" s="13">
        <f>IF(ISNUMBER(O983),ROUND(O983/(1-Settings!$B$2)/Settings!$B$3,0)*Settings!$B$3,"")</f>
        <v/>
      </c>
      <c r="U983" s="13">
        <f>IF(ISNUMBER(P983),ROUND(P983/(1-Settings!$B$2)/Settings!$B$3,0)*Settings!$B$3,"")</f>
        <v/>
      </c>
      <c r="V983" s="13">
        <f>IF(ISNUMBER(Q983),ROUND(Q983/(1-Settings!$B$2)/Settings!$B$3,0)*Settings!$B$3,"")</f>
        <v/>
      </c>
      <c r="W983" s="14" t="n">
        <v>11140</v>
      </c>
      <c r="X983" s="14" t="n">
        <v>14901</v>
      </c>
      <c r="Y983" s="11" t="inlineStr"/>
      <c r="Z983" s="11" t="inlineStr"/>
      <c r="AA983" s="8" t="inlineStr"/>
      <c r="AB983" s="8" t="inlineStr"/>
      <c r="AC983" s="11" t="inlineStr">
        <is>
          <t>MasterMilitaryOnBaseList 12.2.25 NS.xlsx</t>
        </is>
      </c>
      <c r="AD983" s="11" t="inlineStr">
        <is>
          <t>Advertising brochure_2025 - good for 2026.pdf</t>
        </is>
      </c>
      <c r="AE983" s="15" t="inlineStr">
        <is>
          <t>Open in Box</t>
        </is>
      </c>
      <c r="AF983" s="15" t="inlineStr">
        <is>
          <t>Open in Box</t>
        </is>
      </c>
    </row>
    <row r="984">
      <c r="A984" s="11" t="inlineStr">
        <is>
          <t>MD-FORTGEOR-005</t>
        </is>
      </c>
      <c r="B984" s="8" t="inlineStr">
        <is>
          <t>Fort George G. Meade</t>
        </is>
      </c>
      <c r="C984" s="11" t="inlineStr">
        <is>
          <t>Fort Meade</t>
        </is>
      </c>
      <c r="D984" s="11" t="inlineStr">
        <is>
          <t>MD</t>
        </is>
      </c>
      <c r="E984" s="11" t="inlineStr">
        <is>
          <t>Baltimore</t>
        </is>
      </c>
      <c r="F984" s="11" t="inlineStr">
        <is>
          <t>20755</t>
        </is>
      </c>
      <c r="G984" s="11" t="inlineStr">
        <is>
          <t>Army</t>
        </is>
      </c>
      <c r="H984" s="11" t="inlineStr">
        <is>
          <t>Standard Media</t>
        </is>
      </c>
      <c r="I984" s="8" t="inlineStr">
        <is>
          <t>Lighted Static Sign</t>
        </is>
      </c>
      <c r="J984" s="11" t="inlineStr">
        <is>
          <t>TBD</t>
        </is>
      </c>
      <c r="K984" s="8" t="inlineStr">
        <is>
          <t>Your ad will appear outside of the bowling cetner on the installation.</t>
        </is>
      </c>
      <c r="L984" s="11" t="n">
        <v>12</v>
      </c>
      <c r="M984" s="12" t="n"/>
      <c r="N984" s="12" t="n"/>
      <c r="O984" s="12" t="n"/>
      <c r="P984" s="12" t="n">
        <v>5000</v>
      </c>
      <c r="Q984" s="12" t="n"/>
      <c r="R984" s="13">
        <f>IF(ISNUMBER(M984),ROUND(M984/(1-Settings!$B$2)/Settings!$B$3,0)*Settings!$B$3,"")</f>
        <v/>
      </c>
      <c r="S984" s="13">
        <f>IF(ISNUMBER(N984),ROUND(N984/(1-Settings!$B$2)/Settings!$B$3,0)*Settings!$B$3,"")</f>
        <v/>
      </c>
      <c r="T984" s="13">
        <f>IF(ISNUMBER(O984),ROUND(O984/(1-Settings!$B$2)/Settings!$B$3,0)*Settings!$B$3,"")</f>
        <v/>
      </c>
      <c r="U984" s="13">
        <f>IF(ISNUMBER(P984),ROUND(P984/(1-Settings!$B$2)/Settings!$B$3,0)*Settings!$B$3,"")</f>
        <v/>
      </c>
      <c r="V984" s="13">
        <f>IF(ISNUMBER(Q984),ROUND(Q984/(1-Settings!$B$2)/Settings!$B$3,0)*Settings!$B$3,"")</f>
        <v/>
      </c>
      <c r="W984" s="14" t="n">
        <v>11140</v>
      </c>
      <c r="X984" s="14" t="n">
        <v>14901</v>
      </c>
      <c r="Y984" s="11" t="inlineStr"/>
      <c r="Z984" s="11" t="inlineStr"/>
      <c r="AA984" s="8" t="inlineStr"/>
      <c r="AB984" s="8" t="inlineStr"/>
      <c r="AC984" s="11" t="inlineStr">
        <is>
          <t>MasterMilitaryOnBaseList 12.2.25 NS.xlsx</t>
        </is>
      </c>
      <c r="AD984" s="11" t="inlineStr">
        <is>
          <t>Advertising brochure_2025 - good for 2026.pdf</t>
        </is>
      </c>
      <c r="AE984" s="15" t="inlineStr">
        <is>
          <t>Open in Box</t>
        </is>
      </c>
      <c r="AF984" s="15" t="inlineStr">
        <is>
          <t>Open in Box</t>
        </is>
      </c>
    </row>
    <row r="985">
      <c r="A985" s="11" t="inlineStr">
        <is>
          <t>MD-FORTGEOR-006</t>
        </is>
      </c>
      <c r="B985" s="8" t="inlineStr">
        <is>
          <t>Fort George G. Meade</t>
        </is>
      </c>
      <c r="C985" s="11" t="inlineStr">
        <is>
          <t>Fort Meade</t>
        </is>
      </c>
      <c r="D985" s="11" t="inlineStr">
        <is>
          <t>MD</t>
        </is>
      </c>
      <c r="E985" s="11" t="inlineStr">
        <is>
          <t>Baltimore</t>
        </is>
      </c>
      <c r="F985" s="11" t="inlineStr">
        <is>
          <t>20755</t>
        </is>
      </c>
      <c r="G985" s="11" t="inlineStr">
        <is>
          <t>Army</t>
        </is>
      </c>
      <c r="H985" s="11" t="inlineStr">
        <is>
          <t>Standard Media</t>
        </is>
      </c>
      <c r="I985" s="8" t="inlineStr">
        <is>
          <t>Outdoor Banner</t>
        </is>
      </c>
      <c r="J985" s="11" t="inlineStr">
        <is>
          <t>20' x 9'</t>
        </is>
      </c>
      <c r="K985" s="8" t="inlineStr">
        <is>
          <t>Your ad will appear on the exterior wall of the bowling alley on the installation.</t>
        </is>
      </c>
      <c r="L985" s="11" t="n">
        <v>12</v>
      </c>
      <c r="M985" s="12" t="n"/>
      <c r="N985" s="12" t="n"/>
      <c r="O985" s="12" t="n"/>
      <c r="P985" s="12" t="n">
        <v>10000</v>
      </c>
      <c r="Q985" s="12" t="n">
        <v>200</v>
      </c>
      <c r="R985" s="13">
        <f>IF(ISNUMBER(M985),ROUND(M985/(1-Settings!$B$2)/Settings!$B$3,0)*Settings!$B$3,"")</f>
        <v/>
      </c>
      <c r="S985" s="13">
        <f>IF(ISNUMBER(N985),ROUND(N985/(1-Settings!$B$2)/Settings!$B$3,0)*Settings!$B$3,"")</f>
        <v/>
      </c>
      <c r="T985" s="13">
        <f>IF(ISNUMBER(O985),ROUND(O985/(1-Settings!$B$2)/Settings!$B$3,0)*Settings!$B$3,"")</f>
        <v/>
      </c>
      <c r="U985" s="13">
        <f>IF(ISNUMBER(P985),ROUND(P985/(1-Settings!$B$2)/Settings!$B$3,0)*Settings!$B$3,"")</f>
        <v/>
      </c>
      <c r="V985" s="13">
        <f>IF(ISNUMBER(Q985),ROUND(Q985/(1-Settings!$B$2)/Settings!$B$3,0)*Settings!$B$3,"")</f>
        <v/>
      </c>
      <c r="W985" s="14" t="n">
        <v>11140</v>
      </c>
      <c r="X985" s="14" t="n">
        <v>14901</v>
      </c>
      <c r="Y985" s="11" t="inlineStr"/>
      <c r="Z985" s="11" t="inlineStr"/>
      <c r="AA985" s="8" t="inlineStr"/>
      <c r="AB985" s="8" t="inlineStr"/>
      <c r="AC985" s="11" t="inlineStr">
        <is>
          <t>MasterMilitaryOnBaseList 12.2.25 NS.xlsx</t>
        </is>
      </c>
      <c r="AD985" s="11" t="inlineStr">
        <is>
          <t>Advertising brochure_2025 - good for 2026.pdf</t>
        </is>
      </c>
      <c r="AE985" s="15" t="inlineStr">
        <is>
          <t>Open in Box</t>
        </is>
      </c>
      <c r="AF985" s="15" t="inlineStr">
        <is>
          <t>Open in Box</t>
        </is>
      </c>
    </row>
    <row r="986">
      <c r="A986" s="11" t="inlineStr">
        <is>
          <t>MD-FORTGEOR-012</t>
        </is>
      </c>
      <c r="B986" s="8" t="inlineStr">
        <is>
          <t>Fort George G. Meade</t>
        </is>
      </c>
      <c r="C986" s="11" t="inlineStr"/>
      <c r="D986" s="11" t="inlineStr">
        <is>
          <t>MD</t>
        </is>
      </c>
      <c r="E986" s="11" t="inlineStr">
        <is>
          <t>Baltimore</t>
        </is>
      </c>
      <c r="F986" s="11" t="inlineStr"/>
      <c r="G986" s="11" t="inlineStr">
        <is>
          <t>Army</t>
        </is>
      </c>
      <c r="H986" s="11" t="inlineStr">
        <is>
          <t>Web &amp; Email</t>
        </is>
      </c>
      <c r="I986" s="8" t="inlineStr">
        <is>
          <t>Web Ad</t>
        </is>
      </c>
      <c r="J986" s="11" t="inlineStr"/>
      <c r="K986" s="8" t="inlineStr">
        <is>
          <t>Your ad will appear on the installation MWR / FSS website.</t>
        </is>
      </c>
      <c r="L986" s="11" t="n">
        <v>3</v>
      </c>
      <c r="M986" s="12" t="n"/>
      <c r="N986" s="12" t="n">
        <v>2250</v>
      </c>
      <c r="O986" s="12" t="n"/>
      <c r="P986" s="12" t="n"/>
      <c r="Q986" s="12" t="n"/>
      <c r="R986" s="13">
        <f>IF(ISNUMBER(M986),ROUND(M986/(1-Settings!$B$2)/Settings!$B$3,0)*Settings!$B$3,"")</f>
        <v/>
      </c>
      <c r="S986" s="13">
        <f>IF(ISNUMBER(N986),ROUND(N986/(1-Settings!$B$2)/Settings!$B$3,0)*Settings!$B$3,"")</f>
        <v/>
      </c>
      <c r="T986" s="13">
        <f>IF(ISNUMBER(O986),ROUND(O986/(1-Settings!$B$2)/Settings!$B$3,0)*Settings!$B$3,"")</f>
        <v/>
      </c>
      <c r="U986" s="13">
        <f>IF(ISNUMBER(P986),ROUND(P986/(1-Settings!$B$2)/Settings!$B$3,0)*Settings!$B$3,"")</f>
        <v/>
      </c>
      <c r="V986" s="13">
        <f>IF(ISNUMBER(Q986),ROUND(Q986/(1-Settings!$B$2)/Settings!$B$3,0)*Settings!$B$3,"")</f>
        <v/>
      </c>
      <c r="W986" s="14" t="n">
        <v>11140</v>
      </c>
      <c r="X986" s="14" t="n">
        <v>14901</v>
      </c>
      <c r="Y986" s="11" t="inlineStr">
        <is>
          <t>2026</t>
        </is>
      </c>
      <c r="Z986" s="11" t="inlineStr">
        <is>
          <t>2026-06</t>
        </is>
      </c>
      <c r="AA986" s="8" t="inlineStr">
        <is>
          <t>3-month commitment</t>
        </is>
      </c>
      <c r="AB986" s="8" t="inlineStr"/>
      <c r="AC986" s="11" t="inlineStr">
        <is>
          <t>Military - National Publication Inventory Master_June 2026.xlsx</t>
        </is>
      </c>
      <c r="AD986" s="11" t="inlineStr">
        <is>
          <t>Advertising brochure_2025 - good for 2026.pdf</t>
        </is>
      </c>
      <c r="AE986" s="15" t="inlineStr">
        <is>
          <t>Open in Box</t>
        </is>
      </c>
      <c r="AF986" s="15" t="inlineStr">
        <is>
          <t>Open in Box</t>
        </is>
      </c>
    </row>
    <row r="987">
      <c r="A987" s="11" t="inlineStr">
        <is>
          <t>MD-INDIANHE-001</t>
        </is>
      </c>
      <c r="B987" s="8" t="inlineStr">
        <is>
          <t>Indian Head NAV ORD STA</t>
        </is>
      </c>
      <c r="C987" s="11" t="inlineStr"/>
      <c r="D987" s="11" t="inlineStr">
        <is>
          <t>MD</t>
        </is>
      </c>
      <c r="E987" s="11" t="inlineStr">
        <is>
          <t>Washington, DC (Hagrstwn)</t>
        </is>
      </c>
      <c r="F987" s="11" t="inlineStr"/>
      <c r="G987" s="11" t="inlineStr">
        <is>
          <t>Navy</t>
        </is>
      </c>
      <c r="H987" s="11" t="inlineStr">
        <is>
          <t>Web &amp; Email</t>
        </is>
      </c>
      <c r="I987" s="8" t="inlineStr">
        <is>
          <t>Monthly E-Newsletter Ad</t>
        </is>
      </c>
      <c r="J987" s="11" t="inlineStr"/>
      <c r="K987" s="8" t="inlineStr">
        <is>
          <t>Your ad will appear in the monthly e-newsletter emailed to the installation community.</t>
        </is>
      </c>
      <c r="L987" s="11" t="n">
        <v>1</v>
      </c>
      <c r="M987" s="12" t="n">
        <v>600</v>
      </c>
      <c r="N987" s="12" t="n"/>
      <c r="O987" s="12" t="n"/>
      <c r="P987" s="12" t="n"/>
      <c r="Q987" s="12" t="n"/>
      <c r="R987" s="13">
        <f>IF(ISNUMBER(M987),ROUND(M987/(1-Settings!$B$2)/Settings!$B$3,0)*Settings!$B$3,"")</f>
        <v/>
      </c>
      <c r="S987" s="13">
        <f>IF(ISNUMBER(N987),ROUND(N987/(1-Settings!$B$2)/Settings!$B$3,0)*Settings!$B$3,"")</f>
        <v/>
      </c>
      <c r="T987" s="13">
        <f>IF(ISNUMBER(O987),ROUND(O987/(1-Settings!$B$2)/Settings!$B$3,0)*Settings!$B$3,"")</f>
        <v/>
      </c>
      <c r="U987" s="13">
        <f>IF(ISNUMBER(P987),ROUND(P987/(1-Settings!$B$2)/Settings!$B$3,0)*Settings!$B$3,"")</f>
        <v/>
      </c>
      <c r="V987" s="13">
        <f>IF(ISNUMBER(Q987),ROUND(Q987/(1-Settings!$B$2)/Settings!$B$3,0)*Settings!$B$3,"")</f>
        <v/>
      </c>
      <c r="W987" s="14" t="n">
        <v>584</v>
      </c>
      <c r="X987" s="14" t="n">
        <v>620</v>
      </c>
      <c r="Y987" s="11" t="inlineStr">
        <is>
          <t>2026</t>
        </is>
      </c>
      <c r="Z987" s="11" t="inlineStr">
        <is>
          <t>2026-06</t>
        </is>
      </c>
      <c r="AA987" s="8" t="inlineStr"/>
      <c r="AB987" s="8" t="inlineStr"/>
      <c r="AC987" s="11" t="inlineStr">
        <is>
          <t>Military - National Publication Inventory Master_June 2026.xlsx</t>
        </is>
      </c>
      <c r="AD987" s="11" t="inlineStr">
        <is>
          <t>FY26-27 ADVERTISING ASSETS_NRMA.xlsx</t>
        </is>
      </c>
      <c r="AE987" s="15" t="inlineStr">
        <is>
          <t>Open in Box</t>
        </is>
      </c>
      <c r="AF987" s="15" t="inlineStr">
        <is>
          <t>Open in Box</t>
        </is>
      </c>
    </row>
    <row r="988">
      <c r="A988" s="11" t="inlineStr">
        <is>
          <t>MD-INDIANHE-002</t>
        </is>
      </c>
      <c r="B988" s="8" t="inlineStr">
        <is>
          <t>Indian Head NAV ORD STA</t>
        </is>
      </c>
      <c r="C988" s="11" t="inlineStr"/>
      <c r="D988" s="11" t="inlineStr">
        <is>
          <t>MD</t>
        </is>
      </c>
      <c r="E988" s="11" t="inlineStr">
        <is>
          <t>Washington, DC (Hagrstwn)</t>
        </is>
      </c>
      <c r="F988" s="11" t="inlineStr"/>
      <c r="G988" s="11" t="inlineStr">
        <is>
          <t>Navy</t>
        </is>
      </c>
      <c r="H988" s="11" t="inlineStr">
        <is>
          <t>Web &amp; Email</t>
        </is>
      </c>
      <c r="I988" s="8" t="inlineStr">
        <is>
          <t>Web Ad</t>
        </is>
      </c>
      <c r="J988" s="11" t="inlineStr"/>
      <c r="K988" s="8" t="inlineStr">
        <is>
          <t>Your ad will appear on the installation MWR / FSS website.</t>
        </is>
      </c>
      <c r="L988" s="11" t="n">
        <v>1</v>
      </c>
      <c r="M988" s="12" t="n">
        <v>500</v>
      </c>
      <c r="N988" s="12" t="n"/>
      <c r="O988" s="12" t="n"/>
      <c r="P988" s="12" t="n"/>
      <c r="Q988" s="12" t="n"/>
      <c r="R988" s="13">
        <f>IF(ISNUMBER(M988),ROUND(M988/(1-Settings!$B$2)/Settings!$B$3,0)*Settings!$B$3,"")</f>
        <v/>
      </c>
      <c r="S988" s="13">
        <f>IF(ISNUMBER(N988),ROUND(N988/(1-Settings!$B$2)/Settings!$B$3,0)*Settings!$B$3,"")</f>
        <v/>
      </c>
      <c r="T988" s="13">
        <f>IF(ISNUMBER(O988),ROUND(O988/(1-Settings!$B$2)/Settings!$B$3,0)*Settings!$B$3,"")</f>
        <v/>
      </c>
      <c r="U988" s="13">
        <f>IF(ISNUMBER(P988),ROUND(P988/(1-Settings!$B$2)/Settings!$B$3,0)*Settings!$B$3,"")</f>
        <v/>
      </c>
      <c r="V988" s="13">
        <f>IF(ISNUMBER(Q988),ROUND(Q988/(1-Settings!$B$2)/Settings!$B$3,0)*Settings!$B$3,"")</f>
        <v/>
      </c>
      <c r="W988" s="14" t="n">
        <v>584</v>
      </c>
      <c r="X988" s="14" t="n">
        <v>620</v>
      </c>
      <c r="Y988" s="11" t="inlineStr">
        <is>
          <t>2026</t>
        </is>
      </c>
      <c r="Z988" s="11" t="inlineStr">
        <is>
          <t>2026-06</t>
        </is>
      </c>
      <c r="AA988" s="8" t="inlineStr"/>
      <c r="AB988" s="8" t="inlineStr"/>
      <c r="AC988" s="11" t="inlineStr">
        <is>
          <t>Military - National Publication Inventory Master_June 2026.xlsx</t>
        </is>
      </c>
      <c r="AD988" s="11" t="inlineStr">
        <is>
          <t>FY26-27 ADVERTISING ASSETS_NRMA.xlsx</t>
        </is>
      </c>
      <c r="AE988" s="15" t="inlineStr">
        <is>
          <t>Open in Box</t>
        </is>
      </c>
      <c r="AF988" s="15" t="inlineStr">
        <is>
          <t>Open in Box</t>
        </is>
      </c>
    </row>
    <row r="989">
      <c r="A989" s="11" t="inlineStr">
        <is>
          <t>MD-PATUXENT-001</t>
        </is>
      </c>
      <c r="B989" s="8" t="inlineStr">
        <is>
          <t>Patuxent River NAS</t>
        </is>
      </c>
      <c r="C989" s="11" t="inlineStr"/>
      <c r="D989" s="11" t="inlineStr">
        <is>
          <t>MD</t>
        </is>
      </c>
      <c r="E989" s="11" t="inlineStr">
        <is>
          <t>Washington, DC (Hagrstwn)</t>
        </is>
      </c>
      <c r="F989" s="11" t="inlineStr">
        <is>
          <t>20670</t>
        </is>
      </c>
      <c r="G989" s="11" t="inlineStr">
        <is>
          <t>Navy</t>
        </is>
      </c>
      <c r="H989" s="11" t="inlineStr">
        <is>
          <t>Digital</t>
        </is>
      </c>
      <c r="I989" s="8" t="inlineStr">
        <is>
          <t>Bowling Center Ad</t>
        </is>
      </c>
      <c r="J989" s="11" t="inlineStr"/>
      <c r="K989" s="8" t="inlineStr">
        <is>
          <t>Your ad will appear in the bowling center on the installation.</t>
        </is>
      </c>
      <c r="L989" s="11" t="n">
        <v>1</v>
      </c>
      <c r="M989" s="12" t="n">
        <v>385</v>
      </c>
      <c r="N989" s="12" t="n">
        <v>1155</v>
      </c>
      <c r="O989" s="12" t="n">
        <v>2310</v>
      </c>
      <c r="P989" s="12" t="n">
        <v>4620</v>
      </c>
      <c r="Q989" s="12" t="n"/>
      <c r="R989" s="13">
        <f>IF(ISNUMBER(M989),ROUND(M989/(1-Settings!$B$2)/Settings!$B$3,0)*Settings!$B$3,"")</f>
        <v/>
      </c>
      <c r="S989" s="13">
        <f>IF(ISNUMBER(N989),ROUND(N989/(1-Settings!$B$2)/Settings!$B$3,0)*Settings!$B$3,"")</f>
        <v/>
      </c>
      <c r="T989" s="13">
        <f>IF(ISNUMBER(O989),ROUND(O989/(1-Settings!$B$2)/Settings!$B$3,0)*Settings!$B$3,"")</f>
        <v/>
      </c>
      <c r="U989" s="13">
        <f>IF(ISNUMBER(P989),ROUND(P989/(1-Settings!$B$2)/Settings!$B$3,0)*Settings!$B$3,"")</f>
        <v/>
      </c>
      <c r="V989" s="13">
        <f>IF(ISNUMBER(Q989),ROUND(Q989/(1-Settings!$B$2)/Settings!$B$3,0)*Settings!$B$3,"")</f>
        <v/>
      </c>
      <c r="W989" s="14" t="n">
        <v>2267</v>
      </c>
      <c r="X989" s="14" t="n">
        <v>4150</v>
      </c>
      <c r="Y989" s="11" t="inlineStr"/>
      <c r="Z989" s="11" t="inlineStr"/>
      <c r="AA989" s="8" t="inlineStr"/>
      <c r="AB989" s="8" t="inlineStr"/>
      <c r="AC989" s="11" t="inlineStr">
        <is>
          <t>MasterMilitaryOnBaseList 12.2.25 NS.xlsx</t>
        </is>
      </c>
      <c r="AD989" s="11" t="inlineStr">
        <is>
          <t>FY26-27 ADVERTISING ASSETS_NRMA.xlsx</t>
        </is>
      </c>
      <c r="AE989" s="15" t="inlineStr">
        <is>
          <t>Open in Box</t>
        </is>
      </c>
      <c r="AF989" s="15" t="inlineStr">
        <is>
          <t>Open in Box</t>
        </is>
      </c>
    </row>
    <row r="990">
      <c r="A990" s="11" t="inlineStr">
        <is>
          <t>MD-PATUXENT-002</t>
        </is>
      </c>
      <c r="B990" s="8" t="inlineStr">
        <is>
          <t>Patuxent River NAS</t>
        </is>
      </c>
      <c r="C990" s="11" t="inlineStr"/>
      <c r="D990" s="11" t="inlineStr">
        <is>
          <t>MD</t>
        </is>
      </c>
      <c r="E990" s="11" t="inlineStr">
        <is>
          <t>Washington, DC (Hagrstwn)</t>
        </is>
      </c>
      <c r="F990" s="11" t="inlineStr">
        <is>
          <t>20670</t>
        </is>
      </c>
      <c r="G990" s="11" t="inlineStr">
        <is>
          <t>Navy</t>
        </is>
      </c>
      <c r="H990" s="11" t="inlineStr">
        <is>
          <t>Digital</t>
        </is>
      </c>
      <c r="I990" s="8" t="inlineStr">
        <is>
          <t>Digital Monitor Network</t>
        </is>
      </c>
      <c r="J990" s="11" t="inlineStr"/>
      <c r="K990" s="8" t="inlineStr">
        <is>
          <t>Your ad will appear on 7 approved digital monitors on the installation.</t>
        </is>
      </c>
      <c r="L990" s="11" t="n">
        <v>1</v>
      </c>
      <c r="M990" s="12" t="n">
        <v>550</v>
      </c>
      <c r="N990" s="12" t="n">
        <v>1650</v>
      </c>
      <c r="O990" s="12" t="n">
        <v>3300</v>
      </c>
      <c r="P990" s="12" t="n">
        <v>6600</v>
      </c>
      <c r="Q990" s="12" t="n"/>
      <c r="R990" s="13">
        <f>IF(ISNUMBER(M990),ROUND(M990/(1-Settings!$B$2)/Settings!$B$3,0)*Settings!$B$3,"")</f>
        <v/>
      </c>
      <c r="S990" s="13">
        <f>IF(ISNUMBER(N990),ROUND(N990/(1-Settings!$B$2)/Settings!$B$3,0)*Settings!$B$3,"")</f>
        <v/>
      </c>
      <c r="T990" s="13">
        <f>IF(ISNUMBER(O990),ROUND(O990/(1-Settings!$B$2)/Settings!$B$3,0)*Settings!$B$3,"")</f>
        <v/>
      </c>
      <c r="U990" s="13">
        <f>IF(ISNUMBER(P990),ROUND(P990/(1-Settings!$B$2)/Settings!$B$3,0)*Settings!$B$3,"")</f>
        <v/>
      </c>
      <c r="V990" s="13">
        <f>IF(ISNUMBER(Q990),ROUND(Q990/(1-Settings!$B$2)/Settings!$B$3,0)*Settings!$B$3,"")</f>
        <v/>
      </c>
      <c r="W990" s="14" t="n">
        <v>2267</v>
      </c>
      <c r="X990" s="14" t="n">
        <v>4150</v>
      </c>
      <c r="Y990" s="11" t="inlineStr"/>
      <c r="Z990" s="11" t="inlineStr"/>
      <c r="AA990" s="8" t="inlineStr"/>
      <c r="AB990" s="8" t="inlineStr"/>
      <c r="AC990" s="11" t="inlineStr">
        <is>
          <t>MasterMilitaryOnBaseList 12.2.25 NS.xlsx</t>
        </is>
      </c>
      <c r="AD990" s="11" t="inlineStr">
        <is>
          <t>FY26-27 ADVERTISING ASSETS_NRMA.xlsx</t>
        </is>
      </c>
      <c r="AE990" s="15" t="inlineStr">
        <is>
          <t>Open in Box</t>
        </is>
      </c>
      <c r="AF990" s="15" t="inlineStr">
        <is>
          <t>Open in Box</t>
        </is>
      </c>
    </row>
    <row r="991">
      <c r="A991" s="11" t="inlineStr">
        <is>
          <t>MD-PATUXENT-003</t>
        </is>
      </c>
      <c r="B991" s="8" t="inlineStr">
        <is>
          <t>Patuxent River NAS</t>
        </is>
      </c>
      <c r="C991" s="11" t="inlineStr"/>
      <c r="D991" s="11" t="inlineStr">
        <is>
          <t>MD</t>
        </is>
      </c>
      <c r="E991" s="11" t="inlineStr">
        <is>
          <t>Washington, DC (Hagrstwn)</t>
        </is>
      </c>
      <c r="F991" s="11" t="inlineStr">
        <is>
          <t>20670</t>
        </is>
      </c>
      <c r="G991" s="11" t="inlineStr">
        <is>
          <t>Navy</t>
        </is>
      </c>
      <c r="H991" s="11" t="inlineStr">
        <is>
          <t>Digital</t>
        </is>
      </c>
      <c r="I991" s="8" t="inlineStr">
        <is>
          <t>Movie Theater Ad</t>
        </is>
      </c>
      <c r="J991" s="11" t="inlineStr"/>
      <c r="K991" s="8" t="inlineStr">
        <is>
          <t>Your ad will appear in the movie theater on the installation.</t>
        </is>
      </c>
      <c r="L991" s="11" t="n">
        <v>1</v>
      </c>
      <c r="M991" s="12" t="n">
        <v>385</v>
      </c>
      <c r="N991" s="12" t="n">
        <v>1155</v>
      </c>
      <c r="O991" s="12" t="n">
        <v>2310</v>
      </c>
      <c r="P991" s="12" t="n">
        <v>4620</v>
      </c>
      <c r="Q991" s="12" t="n"/>
      <c r="R991" s="13">
        <f>IF(ISNUMBER(M991),ROUND(M991/(1-Settings!$B$2)/Settings!$B$3,0)*Settings!$B$3,"")</f>
        <v/>
      </c>
      <c r="S991" s="13">
        <f>IF(ISNUMBER(N991),ROUND(N991/(1-Settings!$B$2)/Settings!$B$3,0)*Settings!$B$3,"")</f>
        <v/>
      </c>
      <c r="T991" s="13">
        <f>IF(ISNUMBER(O991),ROUND(O991/(1-Settings!$B$2)/Settings!$B$3,0)*Settings!$B$3,"")</f>
        <v/>
      </c>
      <c r="U991" s="13">
        <f>IF(ISNUMBER(P991),ROUND(P991/(1-Settings!$B$2)/Settings!$B$3,0)*Settings!$B$3,"")</f>
        <v/>
      </c>
      <c r="V991" s="13">
        <f>IF(ISNUMBER(Q991),ROUND(Q991/(1-Settings!$B$2)/Settings!$B$3,0)*Settings!$B$3,"")</f>
        <v/>
      </c>
      <c r="W991" s="14" t="n">
        <v>2267</v>
      </c>
      <c r="X991" s="14" t="n">
        <v>4150</v>
      </c>
      <c r="Y991" s="11" t="inlineStr"/>
      <c r="Z991" s="11" t="inlineStr"/>
      <c r="AA991" s="8" t="inlineStr"/>
      <c r="AB991" s="8" t="inlineStr"/>
      <c r="AC991" s="11" t="inlineStr">
        <is>
          <t>MasterMilitaryOnBaseList 12.2.25 NS.xlsx</t>
        </is>
      </c>
      <c r="AD991" s="11" t="inlineStr">
        <is>
          <t>FY26-27 ADVERTISING ASSETS_NRMA.xlsx</t>
        </is>
      </c>
      <c r="AE991" s="15" t="inlineStr">
        <is>
          <t>Open in Box</t>
        </is>
      </c>
      <c r="AF991" s="15" t="inlineStr">
        <is>
          <t>Open in Box</t>
        </is>
      </c>
    </row>
    <row r="992">
      <c r="A992" s="11" t="inlineStr">
        <is>
          <t>MD-PATUXENT-007</t>
        </is>
      </c>
      <c r="B992" s="8" t="inlineStr">
        <is>
          <t>Patuxent River NAS</t>
        </is>
      </c>
      <c r="C992" s="11" t="inlineStr"/>
      <c r="D992" s="11" t="inlineStr">
        <is>
          <t>MD</t>
        </is>
      </c>
      <c r="E992" s="11" t="inlineStr">
        <is>
          <t>Washington, DC (Hagrstwn)</t>
        </is>
      </c>
      <c r="F992" s="11" t="inlineStr">
        <is>
          <t>20670</t>
        </is>
      </c>
      <c r="G992" s="11" t="inlineStr">
        <is>
          <t>Navy</t>
        </is>
      </c>
      <c r="H992" s="11" t="inlineStr">
        <is>
          <t>Large Format</t>
        </is>
      </c>
      <c r="I992" s="8" t="inlineStr">
        <is>
          <t>Counter Wrap</t>
        </is>
      </c>
      <c r="J992" s="11" t="inlineStr">
        <is>
          <t>TBD</t>
        </is>
      </c>
      <c r="K992" s="8" t="inlineStr">
        <is>
          <t>Your ad will appear in an approved location on the installation.</t>
        </is>
      </c>
      <c r="L992" s="11" t="n">
        <v>6</v>
      </c>
      <c r="M992" s="12" t="n"/>
      <c r="N992" s="12" t="n"/>
      <c r="O992" s="12" t="n">
        <v>1320</v>
      </c>
      <c r="P992" s="12" t="n">
        <v>2640</v>
      </c>
      <c r="Q992" s="12" t="n"/>
      <c r="R992" s="13">
        <f>IF(ISNUMBER(M992),ROUND(M992/(1-Settings!$B$2)/Settings!$B$3,0)*Settings!$B$3,"")</f>
        <v/>
      </c>
      <c r="S992" s="13">
        <f>IF(ISNUMBER(N992),ROUND(N992/(1-Settings!$B$2)/Settings!$B$3,0)*Settings!$B$3,"")</f>
        <v/>
      </c>
      <c r="T992" s="13">
        <f>IF(ISNUMBER(O992),ROUND(O992/(1-Settings!$B$2)/Settings!$B$3,0)*Settings!$B$3,"")</f>
        <v/>
      </c>
      <c r="U992" s="13">
        <f>IF(ISNUMBER(P992),ROUND(P992/(1-Settings!$B$2)/Settings!$B$3,0)*Settings!$B$3,"")</f>
        <v/>
      </c>
      <c r="V992" s="13">
        <f>IF(ISNUMBER(Q992),ROUND(Q992/(1-Settings!$B$2)/Settings!$B$3,0)*Settings!$B$3,"")</f>
        <v/>
      </c>
      <c r="W992" s="14" t="n">
        <v>2267</v>
      </c>
      <c r="X992" s="14" t="n">
        <v>4150</v>
      </c>
      <c r="Y992" s="11" t="inlineStr"/>
      <c r="Z992" s="11" t="inlineStr"/>
      <c r="AA992" s="8" t="inlineStr"/>
      <c r="AB992" s="8" t="inlineStr"/>
      <c r="AC992" s="11" t="inlineStr">
        <is>
          <t>MasterMilitaryOnBaseList 12.2.25 NS.xlsx</t>
        </is>
      </c>
      <c r="AD992" s="11" t="inlineStr">
        <is>
          <t>FY26-27 ADVERTISING ASSETS_NRMA.xlsx</t>
        </is>
      </c>
      <c r="AE992" s="15" t="inlineStr">
        <is>
          <t>Open in Box</t>
        </is>
      </c>
      <c r="AF992" s="15" t="inlineStr">
        <is>
          <t>Open in Box</t>
        </is>
      </c>
    </row>
    <row r="993">
      <c r="A993" s="11" t="inlineStr">
        <is>
          <t>MD-PATUXENT-008</t>
        </is>
      </c>
      <c r="B993" s="8" t="inlineStr">
        <is>
          <t>Patuxent River NAS</t>
        </is>
      </c>
      <c r="C993" s="11" t="inlineStr"/>
      <c r="D993" s="11" t="inlineStr">
        <is>
          <t>MD</t>
        </is>
      </c>
      <c r="E993" s="11" t="inlineStr">
        <is>
          <t>Washington, DC (Hagrstwn)</t>
        </is>
      </c>
      <c r="F993" s="11" t="inlineStr">
        <is>
          <t>20670</t>
        </is>
      </c>
      <c r="G993" s="11" t="inlineStr">
        <is>
          <t>Navy</t>
        </is>
      </c>
      <c r="H993" s="11" t="inlineStr">
        <is>
          <t>Large Format</t>
        </is>
      </c>
      <c r="I993" s="8" t="inlineStr">
        <is>
          <t>Wall Cling</t>
        </is>
      </c>
      <c r="J993" s="11" t="inlineStr">
        <is>
          <t>TBD</t>
        </is>
      </c>
      <c r="K993" s="8" t="inlineStr">
        <is>
          <t>Your ad will appear in an approved location on the installation.</t>
        </is>
      </c>
      <c r="L993" s="11" t="n">
        <v>1</v>
      </c>
      <c r="M993" s="12" t="n">
        <v>440</v>
      </c>
      <c r="N993" s="12" t="n">
        <v>1320</v>
      </c>
      <c r="O993" s="12" t="n">
        <v>2640</v>
      </c>
      <c r="P993" s="12" t="n">
        <v>5280</v>
      </c>
      <c r="Q993" s="12" t="n">
        <v>200</v>
      </c>
      <c r="R993" s="13">
        <f>IF(ISNUMBER(M993),ROUND(M993/(1-Settings!$B$2)/Settings!$B$3,0)*Settings!$B$3,"")</f>
        <v/>
      </c>
      <c r="S993" s="13">
        <f>IF(ISNUMBER(N993),ROUND(N993/(1-Settings!$B$2)/Settings!$B$3,0)*Settings!$B$3,"")</f>
        <v/>
      </c>
      <c r="T993" s="13">
        <f>IF(ISNUMBER(O993),ROUND(O993/(1-Settings!$B$2)/Settings!$B$3,0)*Settings!$B$3,"")</f>
        <v/>
      </c>
      <c r="U993" s="13">
        <f>IF(ISNUMBER(P993),ROUND(P993/(1-Settings!$B$2)/Settings!$B$3,0)*Settings!$B$3,"")</f>
        <v/>
      </c>
      <c r="V993" s="13">
        <f>IF(ISNUMBER(Q993),ROUND(Q993/(1-Settings!$B$2)/Settings!$B$3,0)*Settings!$B$3,"")</f>
        <v/>
      </c>
      <c r="W993" s="14" t="n">
        <v>2267</v>
      </c>
      <c r="X993" s="14" t="n">
        <v>4150</v>
      </c>
      <c r="Y993" s="11" t="inlineStr"/>
      <c r="Z993" s="11" t="inlineStr"/>
      <c r="AA993" s="8" t="inlineStr"/>
      <c r="AB993" s="8" t="inlineStr"/>
      <c r="AC993" s="11" t="inlineStr">
        <is>
          <t>MasterMilitaryOnBaseList 12.2.25 NS.xlsx</t>
        </is>
      </c>
      <c r="AD993" s="11" t="inlineStr">
        <is>
          <t>FY26-27 ADVERTISING ASSETS_NRMA.xlsx</t>
        </is>
      </c>
      <c r="AE993" s="15" t="inlineStr">
        <is>
          <t>Open in Box</t>
        </is>
      </c>
      <c r="AF993" s="15" t="inlineStr">
        <is>
          <t>Open in Box</t>
        </is>
      </c>
    </row>
    <row r="994">
      <c r="A994" s="11" t="inlineStr">
        <is>
          <t>MD-PATUXENT-004</t>
        </is>
      </c>
      <c r="B994" s="8" t="inlineStr">
        <is>
          <t>Patuxent River NAS</t>
        </is>
      </c>
      <c r="C994" s="11" t="inlineStr"/>
      <c r="D994" s="11" t="inlineStr">
        <is>
          <t>MD</t>
        </is>
      </c>
      <c r="E994" s="11" t="inlineStr">
        <is>
          <t>Washington, DC (Hagrstwn)</t>
        </is>
      </c>
      <c r="F994" s="11" t="inlineStr">
        <is>
          <t>20670</t>
        </is>
      </c>
      <c r="G994" s="11" t="inlineStr">
        <is>
          <t>Navy</t>
        </is>
      </c>
      <c r="H994" s="11" t="inlineStr">
        <is>
          <t>Standard Media</t>
        </is>
      </c>
      <c r="I994" s="8" t="inlineStr">
        <is>
          <t>Banner</t>
        </is>
      </c>
      <c r="J994" s="11" t="inlineStr">
        <is>
          <t>6' x 3'</t>
        </is>
      </c>
      <c r="K994" s="8" t="inlineStr">
        <is>
          <t>Your ad will appear in an approved location on the installation.</t>
        </is>
      </c>
      <c r="L994" s="11" t="n">
        <v>1</v>
      </c>
      <c r="M994" s="12" t="n">
        <v>440</v>
      </c>
      <c r="N994" s="12" t="n">
        <v>1320</v>
      </c>
      <c r="O994" s="12" t="n">
        <v>2640</v>
      </c>
      <c r="P994" s="12" t="n">
        <v>5280</v>
      </c>
      <c r="Q994" s="12" t="n">
        <v>200</v>
      </c>
      <c r="R994" s="13">
        <f>IF(ISNUMBER(M994),ROUND(M994/(1-Settings!$B$2)/Settings!$B$3,0)*Settings!$B$3,"")</f>
        <v/>
      </c>
      <c r="S994" s="13">
        <f>IF(ISNUMBER(N994),ROUND(N994/(1-Settings!$B$2)/Settings!$B$3,0)*Settings!$B$3,"")</f>
        <v/>
      </c>
      <c r="T994" s="13">
        <f>IF(ISNUMBER(O994),ROUND(O994/(1-Settings!$B$2)/Settings!$B$3,0)*Settings!$B$3,"")</f>
        <v/>
      </c>
      <c r="U994" s="13">
        <f>IF(ISNUMBER(P994),ROUND(P994/(1-Settings!$B$2)/Settings!$B$3,0)*Settings!$B$3,"")</f>
        <v/>
      </c>
      <c r="V994" s="13">
        <f>IF(ISNUMBER(Q994),ROUND(Q994/(1-Settings!$B$2)/Settings!$B$3,0)*Settings!$B$3,"")</f>
        <v/>
      </c>
      <c r="W994" s="14" t="n">
        <v>2267</v>
      </c>
      <c r="X994" s="14" t="n">
        <v>4150</v>
      </c>
      <c r="Y994" s="11" t="inlineStr"/>
      <c r="Z994" s="11" t="inlineStr"/>
      <c r="AA994" s="8" t="inlineStr"/>
      <c r="AB994" s="8" t="inlineStr"/>
      <c r="AC994" s="11" t="inlineStr">
        <is>
          <t>MasterMilitaryOnBaseList 12.2.25 NS.xlsx</t>
        </is>
      </c>
      <c r="AD994" s="11" t="inlineStr">
        <is>
          <t>FY26-27 ADVERTISING ASSETS_NRMA.xlsx</t>
        </is>
      </c>
      <c r="AE994" s="15" t="inlineStr">
        <is>
          <t>Open in Box</t>
        </is>
      </c>
      <c r="AF994" s="15" t="inlineStr">
        <is>
          <t>Open in Box</t>
        </is>
      </c>
    </row>
    <row r="995">
      <c r="A995" s="11" t="inlineStr">
        <is>
          <t>MD-PATUXENT-005</t>
        </is>
      </c>
      <c r="B995" s="8" t="inlineStr">
        <is>
          <t>Patuxent River NAS</t>
        </is>
      </c>
      <c r="C995" s="11" t="inlineStr"/>
      <c r="D995" s="11" t="inlineStr">
        <is>
          <t>MD</t>
        </is>
      </c>
      <c r="E995" s="11" t="inlineStr">
        <is>
          <t>Washington, DC (Hagrstwn)</t>
        </is>
      </c>
      <c r="F995" s="11" t="inlineStr">
        <is>
          <t>20670</t>
        </is>
      </c>
      <c r="G995" s="11" t="inlineStr">
        <is>
          <t>Navy</t>
        </is>
      </c>
      <c r="H995" s="11" t="inlineStr">
        <is>
          <t>Standard Media</t>
        </is>
      </c>
      <c r="I995" s="8" t="inlineStr">
        <is>
          <t>Golf Cart Sign</t>
        </is>
      </c>
      <c r="J995" s="11" t="inlineStr"/>
      <c r="K995" s="8" t="inlineStr">
        <is>
          <t>Your ad will appear on 62 golf cart signs on the golf course installation.</t>
        </is>
      </c>
      <c r="L995" s="11" t="n">
        <v>1</v>
      </c>
      <c r="M995" s="12" t="n">
        <v>400</v>
      </c>
      <c r="N995" s="12" t="n">
        <v>1200</v>
      </c>
      <c r="O995" s="12" t="n">
        <v>2400</v>
      </c>
      <c r="P995" s="12" t="n">
        <v>4800</v>
      </c>
      <c r="Q995" s="12" t="n"/>
      <c r="R995" s="13">
        <f>IF(ISNUMBER(M995),ROUND(M995/(1-Settings!$B$2)/Settings!$B$3,0)*Settings!$B$3,"")</f>
        <v/>
      </c>
      <c r="S995" s="13">
        <f>IF(ISNUMBER(N995),ROUND(N995/(1-Settings!$B$2)/Settings!$B$3,0)*Settings!$B$3,"")</f>
        <v/>
      </c>
      <c r="T995" s="13">
        <f>IF(ISNUMBER(O995),ROUND(O995/(1-Settings!$B$2)/Settings!$B$3,0)*Settings!$B$3,"")</f>
        <v/>
      </c>
      <c r="U995" s="13">
        <f>IF(ISNUMBER(P995),ROUND(P995/(1-Settings!$B$2)/Settings!$B$3,0)*Settings!$B$3,"")</f>
        <v/>
      </c>
      <c r="V995" s="13">
        <f>IF(ISNUMBER(Q995),ROUND(Q995/(1-Settings!$B$2)/Settings!$B$3,0)*Settings!$B$3,"")</f>
        <v/>
      </c>
      <c r="W995" s="14" t="n">
        <v>2267</v>
      </c>
      <c r="X995" s="14" t="n">
        <v>4150</v>
      </c>
      <c r="Y995" s="11" t="inlineStr"/>
      <c r="Z995" s="11" t="inlineStr"/>
      <c r="AA995" s="8" t="inlineStr"/>
      <c r="AB995" s="8" t="inlineStr"/>
      <c r="AC995" s="11" t="inlineStr">
        <is>
          <t>MasterMilitaryOnBaseList 12.2.25 NS.xlsx</t>
        </is>
      </c>
      <c r="AD995" s="11" t="inlineStr">
        <is>
          <t>FY26-27 ADVERTISING ASSETS_NRMA.xlsx</t>
        </is>
      </c>
      <c r="AE995" s="15" t="inlineStr">
        <is>
          <t>Open in Box</t>
        </is>
      </c>
      <c r="AF995" s="15" t="inlineStr">
        <is>
          <t>Open in Box</t>
        </is>
      </c>
    </row>
    <row r="996">
      <c r="A996" s="11" t="inlineStr">
        <is>
          <t>MD-PATUXENT-006</t>
        </is>
      </c>
      <c r="B996" s="8" t="inlineStr">
        <is>
          <t>Patuxent River NAS</t>
        </is>
      </c>
      <c r="C996" s="11" t="inlineStr"/>
      <c r="D996" s="11" t="inlineStr">
        <is>
          <t>MD</t>
        </is>
      </c>
      <c r="E996" s="11" t="inlineStr">
        <is>
          <t>Washington, DC (Hagrstwn)</t>
        </is>
      </c>
      <c r="F996" s="11" t="inlineStr">
        <is>
          <t>20670</t>
        </is>
      </c>
      <c r="G996" s="11" t="inlineStr">
        <is>
          <t>Navy</t>
        </is>
      </c>
      <c r="H996" s="11" t="inlineStr">
        <is>
          <t>Standard Media</t>
        </is>
      </c>
      <c r="I996" s="8" t="inlineStr">
        <is>
          <t>Poster</t>
        </is>
      </c>
      <c r="J996" s="11" t="inlineStr">
        <is>
          <t>22" x 28"</t>
        </is>
      </c>
      <c r="K996" s="8" t="inlineStr">
        <is>
          <t>Your ad will appear in an approved location on the installation.</t>
        </is>
      </c>
      <c r="L996" s="11" t="n">
        <v>1</v>
      </c>
      <c r="M996" s="12" t="n">
        <v>110</v>
      </c>
      <c r="N996" s="12" t="n">
        <v>330</v>
      </c>
      <c r="O996" s="12" t="n">
        <v>660</v>
      </c>
      <c r="P996" s="12" t="n">
        <v>1320</v>
      </c>
      <c r="Q996" s="12" t="n">
        <v>100</v>
      </c>
      <c r="R996" s="13">
        <f>IF(ISNUMBER(M996),ROUND(M996/(1-Settings!$B$2)/Settings!$B$3,0)*Settings!$B$3,"")</f>
        <v/>
      </c>
      <c r="S996" s="13">
        <f>IF(ISNUMBER(N996),ROUND(N996/(1-Settings!$B$2)/Settings!$B$3,0)*Settings!$B$3,"")</f>
        <v/>
      </c>
      <c r="T996" s="13">
        <f>IF(ISNUMBER(O996),ROUND(O996/(1-Settings!$B$2)/Settings!$B$3,0)*Settings!$B$3,"")</f>
        <v/>
      </c>
      <c r="U996" s="13">
        <f>IF(ISNUMBER(P996),ROUND(P996/(1-Settings!$B$2)/Settings!$B$3,0)*Settings!$B$3,"")</f>
        <v/>
      </c>
      <c r="V996" s="13">
        <f>IF(ISNUMBER(Q996),ROUND(Q996/(1-Settings!$B$2)/Settings!$B$3,0)*Settings!$B$3,"")</f>
        <v/>
      </c>
      <c r="W996" s="14" t="n">
        <v>2267</v>
      </c>
      <c r="X996" s="14" t="n">
        <v>4150</v>
      </c>
      <c r="Y996" s="11" t="inlineStr"/>
      <c r="Z996" s="11" t="inlineStr"/>
      <c r="AA996" s="8" t="inlineStr"/>
      <c r="AB996" s="8" t="inlineStr"/>
      <c r="AC996" s="11" t="inlineStr">
        <is>
          <t>MasterMilitaryOnBaseList 12.2.25 NS.xlsx</t>
        </is>
      </c>
      <c r="AD996" s="11" t="inlineStr">
        <is>
          <t>FY26-27 ADVERTISING ASSETS_NRMA.xlsx</t>
        </is>
      </c>
      <c r="AE996" s="15" t="inlineStr">
        <is>
          <t>Open in Box</t>
        </is>
      </c>
      <c r="AF996" s="15" t="inlineStr">
        <is>
          <t>Open in Box</t>
        </is>
      </c>
    </row>
    <row r="997">
      <c r="A997" s="11" t="inlineStr">
        <is>
          <t>MD-PATUXENT-010</t>
        </is>
      </c>
      <c r="B997" s="8" t="inlineStr">
        <is>
          <t>Patuxent River NAS</t>
        </is>
      </c>
      <c r="C997" s="11" t="inlineStr"/>
      <c r="D997" s="11" t="inlineStr">
        <is>
          <t>MD</t>
        </is>
      </c>
      <c r="E997" s="11" t="inlineStr">
        <is>
          <t>Washington, DC (Hagrstwn)</t>
        </is>
      </c>
      <c r="F997" s="11" t="inlineStr"/>
      <c r="G997" s="11" t="inlineStr">
        <is>
          <t>Navy</t>
        </is>
      </c>
      <c r="H997" s="11" t="inlineStr">
        <is>
          <t>Web &amp; Email</t>
        </is>
      </c>
      <c r="I997" s="8" t="inlineStr">
        <is>
          <t>Web Ad</t>
        </is>
      </c>
      <c r="J997" s="11" t="inlineStr"/>
      <c r="K997" s="8" t="inlineStr">
        <is>
          <t>Your ad will appear on the installation MWR / FSS website.</t>
        </is>
      </c>
      <c r="L997" s="11" t="n">
        <v>1</v>
      </c>
      <c r="M997" s="12" t="n">
        <v>500</v>
      </c>
      <c r="N997" s="12" t="n"/>
      <c r="O997" s="12" t="n"/>
      <c r="P997" s="12" t="n"/>
      <c r="Q997" s="12" t="n"/>
      <c r="R997" s="13">
        <f>IF(ISNUMBER(M997),ROUND(M997/(1-Settings!$B$2)/Settings!$B$3,0)*Settings!$B$3,"")</f>
        <v/>
      </c>
      <c r="S997" s="13">
        <f>IF(ISNUMBER(N997),ROUND(N997/(1-Settings!$B$2)/Settings!$B$3,0)*Settings!$B$3,"")</f>
        <v/>
      </c>
      <c r="T997" s="13">
        <f>IF(ISNUMBER(O997),ROUND(O997/(1-Settings!$B$2)/Settings!$B$3,0)*Settings!$B$3,"")</f>
        <v/>
      </c>
      <c r="U997" s="13">
        <f>IF(ISNUMBER(P997),ROUND(P997/(1-Settings!$B$2)/Settings!$B$3,0)*Settings!$B$3,"")</f>
        <v/>
      </c>
      <c r="V997" s="13">
        <f>IF(ISNUMBER(Q997),ROUND(Q997/(1-Settings!$B$2)/Settings!$B$3,0)*Settings!$B$3,"")</f>
        <v/>
      </c>
      <c r="W997" s="14" t="n">
        <v>2267</v>
      </c>
      <c r="X997" s="14" t="n">
        <v>4150</v>
      </c>
      <c r="Y997" s="11" t="inlineStr">
        <is>
          <t>2026</t>
        </is>
      </c>
      <c r="Z997" s="11" t="inlineStr">
        <is>
          <t>2026-06</t>
        </is>
      </c>
      <c r="AA997" s="8" t="inlineStr">
        <is>
          <t>Available for NRC Solomons - need to get pricing (6.12.26)</t>
        </is>
      </c>
      <c r="AB997" s="8" t="inlineStr"/>
      <c r="AC997" s="11" t="inlineStr">
        <is>
          <t>Military - National Publication Inventory Master_June 2026.xlsx</t>
        </is>
      </c>
      <c r="AD997" s="11" t="inlineStr">
        <is>
          <t>FY26-27 ADVERTISING ASSETS_NRMA.xlsx</t>
        </is>
      </c>
      <c r="AE997" s="15" t="inlineStr">
        <is>
          <t>Open in Box</t>
        </is>
      </c>
      <c r="AF997" s="15" t="inlineStr">
        <is>
          <t>Open in Box</t>
        </is>
      </c>
    </row>
    <row r="998">
      <c r="A998" s="11" t="inlineStr">
        <is>
          <t>MD-PATUXENT-009</t>
        </is>
      </c>
      <c r="B998" s="8" t="inlineStr">
        <is>
          <t>Patuxent River NAS</t>
        </is>
      </c>
      <c r="C998" s="11" t="inlineStr"/>
      <c r="D998" s="11" t="inlineStr">
        <is>
          <t>MD</t>
        </is>
      </c>
      <c r="E998" s="11" t="inlineStr">
        <is>
          <t>Washington, DC (Hagrstwn)</t>
        </is>
      </c>
      <c r="F998" s="11" t="inlineStr">
        <is>
          <t>20670</t>
        </is>
      </c>
      <c r="G998" s="11" t="inlineStr">
        <is>
          <t>Navy</t>
        </is>
      </c>
      <c r="H998" s="11" t="inlineStr">
        <is>
          <t>Web &amp; Email</t>
        </is>
      </c>
      <c r="I998" s="8" t="inlineStr">
        <is>
          <t>eNewsletter Ad</t>
        </is>
      </c>
      <c r="J998" s="11" t="inlineStr"/>
      <c r="K998" s="8" t="inlineStr">
        <is>
          <t>Your ad will appear in the Patuxent River's eNewsletter.</t>
        </is>
      </c>
      <c r="L998" s="11" t="n">
        <v>1</v>
      </c>
      <c r="M998" s="12" t="n">
        <v>275</v>
      </c>
      <c r="N998" s="12" t="n">
        <v>825</v>
      </c>
      <c r="O998" s="12" t="n">
        <v>1650</v>
      </c>
      <c r="P998" s="12" t="n">
        <v>3300</v>
      </c>
      <c r="Q998" s="12" t="n"/>
      <c r="R998" s="13">
        <f>IF(ISNUMBER(M998),ROUND(M998/(1-Settings!$B$2)/Settings!$B$3,0)*Settings!$B$3,"")</f>
        <v/>
      </c>
      <c r="S998" s="13">
        <f>IF(ISNUMBER(N998),ROUND(N998/(1-Settings!$B$2)/Settings!$B$3,0)*Settings!$B$3,"")</f>
        <v/>
      </c>
      <c r="T998" s="13">
        <f>IF(ISNUMBER(O998),ROUND(O998/(1-Settings!$B$2)/Settings!$B$3,0)*Settings!$B$3,"")</f>
        <v/>
      </c>
      <c r="U998" s="13">
        <f>IF(ISNUMBER(P998),ROUND(P998/(1-Settings!$B$2)/Settings!$B$3,0)*Settings!$B$3,"")</f>
        <v/>
      </c>
      <c r="V998" s="13">
        <f>IF(ISNUMBER(Q998),ROUND(Q998/(1-Settings!$B$2)/Settings!$B$3,0)*Settings!$B$3,"")</f>
        <v/>
      </c>
      <c r="W998" s="14" t="n">
        <v>2267</v>
      </c>
      <c r="X998" s="14" t="n">
        <v>4150</v>
      </c>
      <c r="Y998" s="11" t="inlineStr"/>
      <c r="Z998" s="11" t="inlineStr"/>
      <c r="AA998" s="8" t="inlineStr">
        <is>
          <t>Inventory master 6/2026 lists Monthly E-Newsletter Ad at $600 (1 mo)</t>
        </is>
      </c>
      <c r="AB998" s="8" t="inlineStr"/>
      <c r="AC998" s="11" t="inlineStr">
        <is>
          <t>MasterMilitaryOnBaseList 12.2.25 NS.xlsx</t>
        </is>
      </c>
      <c r="AD998" s="11" t="inlineStr">
        <is>
          <t>FY26-27 ADVERTISING ASSETS_NRMA.xlsx</t>
        </is>
      </c>
      <c r="AE998" s="15" t="inlineStr">
        <is>
          <t>Open in Box</t>
        </is>
      </c>
      <c r="AF998" s="15" t="inlineStr">
        <is>
          <t>Open in Box</t>
        </is>
      </c>
    </row>
    <row r="999">
      <c r="A999" s="11" t="inlineStr">
        <is>
          <t>MD-WALTERRE-001</t>
        </is>
      </c>
      <c r="B999" s="8" t="inlineStr">
        <is>
          <t>Walter Reed NNMC Bethesda</t>
        </is>
      </c>
      <c r="C999" s="11" t="inlineStr"/>
      <c r="D999" s="11" t="inlineStr">
        <is>
          <t>MD</t>
        </is>
      </c>
      <c r="E999" s="11" t="inlineStr">
        <is>
          <t>Washington, DC (Hagrstwn)</t>
        </is>
      </c>
      <c r="F999" s="11" t="inlineStr"/>
      <c r="G999" s="11" t="inlineStr">
        <is>
          <t>Navy</t>
        </is>
      </c>
      <c r="H999" s="11" t="inlineStr">
        <is>
          <t>Web &amp; Email</t>
        </is>
      </c>
      <c r="I999" s="8" t="inlineStr">
        <is>
          <t>Monthly E-Newsletter Ad</t>
        </is>
      </c>
      <c r="J999" s="11" t="inlineStr"/>
      <c r="K999" s="8" t="inlineStr">
        <is>
          <t>Your ad will appear in the monthly e-newsletter emailed to the installation community.</t>
        </is>
      </c>
      <c r="L999" s="11" t="n">
        <v>1</v>
      </c>
      <c r="M999" s="12" t="n">
        <v>600</v>
      </c>
      <c r="N999" s="12" t="n"/>
      <c r="O999" s="12" t="n"/>
      <c r="P999" s="12" t="n"/>
      <c r="Q999" s="12" t="n"/>
      <c r="R999" s="13">
        <f>IF(ISNUMBER(M999),ROUND(M999/(1-Settings!$B$2)/Settings!$B$3,0)*Settings!$B$3,"")</f>
        <v/>
      </c>
      <c r="S999" s="13">
        <f>IF(ISNUMBER(N999),ROUND(N999/(1-Settings!$B$2)/Settings!$B$3,0)*Settings!$B$3,"")</f>
        <v/>
      </c>
      <c r="T999" s="13">
        <f>IF(ISNUMBER(O999),ROUND(O999/(1-Settings!$B$2)/Settings!$B$3,0)*Settings!$B$3,"")</f>
        <v/>
      </c>
      <c r="U999" s="13">
        <f>IF(ISNUMBER(P999),ROUND(P999/(1-Settings!$B$2)/Settings!$B$3,0)*Settings!$B$3,"")</f>
        <v/>
      </c>
      <c r="V999" s="13">
        <f>IF(ISNUMBER(Q999),ROUND(Q999/(1-Settings!$B$2)/Settings!$B$3,0)*Settings!$B$3,"")</f>
        <v/>
      </c>
      <c r="W999" s="14" t="n">
        <v>4322</v>
      </c>
      <c r="X999" s="14" t="n">
        <v>5945</v>
      </c>
      <c r="Y999" s="11" t="inlineStr">
        <is>
          <t>2026</t>
        </is>
      </c>
      <c r="Z999" s="11" t="inlineStr">
        <is>
          <t>2026-06</t>
        </is>
      </c>
      <c r="AA999" s="8" t="inlineStr"/>
      <c r="AB999" s="8" t="inlineStr"/>
      <c r="AC999" s="11" t="inlineStr">
        <is>
          <t>Military - National Publication Inventory Master_June 2026.xlsx</t>
        </is>
      </c>
      <c r="AD999" s="11" t="inlineStr">
        <is>
          <t>FY26-27 ADVERTISING ASSETS_NRMA.xlsx</t>
        </is>
      </c>
      <c r="AE999" s="15" t="inlineStr">
        <is>
          <t>Open in Box</t>
        </is>
      </c>
      <c r="AF999" s="15" t="inlineStr">
        <is>
          <t>Open in Box</t>
        </is>
      </c>
    </row>
    <row r="1000">
      <c r="A1000" s="11" t="inlineStr">
        <is>
          <t>MD-WALTERRE-002</t>
        </is>
      </c>
      <c r="B1000" s="8" t="inlineStr">
        <is>
          <t>Walter Reed NNMC Bethesda</t>
        </is>
      </c>
      <c r="C1000" s="11" t="inlineStr"/>
      <c r="D1000" s="11" t="inlineStr">
        <is>
          <t>MD</t>
        </is>
      </c>
      <c r="E1000" s="11" t="inlineStr">
        <is>
          <t>Washington, DC (Hagrstwn)</t>
        </is>
      </c>
      <c r="F1000" s="11" t="inlineStr"/>
      <c r="G1000" s="11" t="inlineStr">
        <is>
          <t>Navy</t>
        </is>
      </c>
      <c r="H1000" s="11" t="inlineStr">
        <is>
          <t>Web &amp; Email</t>
        </is>
      </c>
      <c r="I1000" s="8" t="inlineStr">
        <is>
          <t>Web Ad</t>
        </is>
      </c>
      <c r="J1000" s="11" t="inlineStr"/>
      <c r="K1000" s="8" t="inlineStr">
        <is>
          <t>Your ad will appear on the installation MWR / FSS website.</t>
        </is>
      </c>
      <c r="L1000" s="11" t="n">
        <v>1</v>
      </c>
      <c r="M1000" s="12" t="n">
        <v>500</v>
      </c>
      <c r="N1000" s="12" t="n"/>
      <c r="O1000" s="12" t="n"/>
      <c r="P1000" s="12" t="n"/>
      <c r="Q1000" s="12" t="n"/>
      <c r="R1000" s="13">
        <f>IF(ISNUMBER(M1000),ROUND(M1000/(1-Settings!$B$2)/Settings!$B$3,0)*Settings!$B$3,"")</f>
        <v/>
      </c>
      <c r="S1000" s="13">
        <f>IF(ISNUMBER(N1000),ROUND(N1000/(1-Settings!$B$2)/Settings!$B$3,0)*Settings!$B$3,"")</f>
        <v/>
      </c>
      <c r="T1000" s="13">
        <f>IF(ISNUMBER(O1000),ROUND(O1000/(1-Settings!$B$2)/Settings!$B$3,0)*Settings!$B$3,"")</f>
        <v/>
      </c>
      <c r="U1000" s="13">
        <f>IF(ISNUMBER(P1000),ROUND(P1000/(1-Settings!$B$2)/Settings!$B$3,0)*Settings!$B$3,"")</f>
        <v/>
      </c>
      <c r="V1000" s="13">
        <f>IF(ISNUMBER(Q1000),ROUND(Q1000/(1-Settings!$B$2)/Settings!$B$3,0)*Settings!$B$3,"")</f>
        <v/>
      </c>
      <c r="W1000" s="14" t="n">
        <v>4322</v>
      </c>
      <c r="X1000" s="14" t="n">
        <v>5945</v>
      </c>
      <c r="Y1000" s="11" t="inlineStr">
        <is>
          <t>2026</t>
        </is>
      </c>
      <c r="Z1000" s="11" t="inlineStr">
        <is>
          <t>2026-06</t>
        </is>
      </c>
      <c r="AA1000" s="8" t="inlineStr"/>
      <c r="AB1000" s="8" t="inlineStr"/>
      <c r="AC1000" s="11" t="inlineStr">
        <is>
          <t>Military - National Publication Inventory Master_June 2026.xlsx</t>
        </is>
      </c>
      <c r="AD1000" s="11" t="inlineStr">
        <is>
          <t>FY26-27 ADVERTISING ASSETS_NRMA.xlsx</t>
        </is>
      </c>
      <c r="AE1000" s="15" t="inlineStr">
        <is>
          <t>Open in Box</t>
        </is>
      </c>
      <c r="AF1000" s="15" t="inlineStr">
        <is>
          <t>Open in Box</t>
        </is>
      </c>
    </row>
    <row r="1001">
      <c r="A1001" s="11" t="inlineStr">
        <is>
          <t>ME/NH-PORTSMOU-001</t>
        </is>
      </c>
      <c r="B1001" s="8" t="inlineStr">
        <is>
          <t>Portsmouth Naval Shipyard</t>
        </is>
      </c>
      <c r="C1001" s="11" t="inlineStr"/>
      <c r="D1001" s="11" t="inlineStr">
        <is>
          <t>ME/NH</t>
        </is>
      </c>
      <c r="E1001" s="11" t="inlineStr">
        <is>
          <t>Boston, MA</t>
        </is>
      </c>
      <c r="F1001" s="11" t="inlineStr"/>
      <c r="G1001" s="11" t="inlineStr">
        <is>
          <t>Navy</t>
        </is>
      </c>
      <c r="H1001" s="11" t="inlineStr">
        <is>
          <t>Digital</t>
        </is>
      </c>
      <c r="I1001" s="8" t="inlineStr">
        <is>
          <t>Digital Monitor Network</t>
        </is>
      </c>
      <c r="J1001" s="11" t="inlineStr">
        <is>
          <t>3 screens</t>
        </is>
      </c>
      <c r="K1001" s="8" t="inlineStr">
        <is>
          <t>Your ad will appear on the 3-screen digital monitor network in approved installation facilities.</t>
        </is>
      </c>
      <c r="L1001" s="11" t="n">
        <v>1</v>
      </c>
      <c r="M1001" s="12" t="n">
        <v>100</v>
      </c>
      <c r="N1001" s="12" t="n"/>
      <c r="O1001" s="12" t="n"/>
      <c r="P1001" s="12" t="n"/>
      <c r="Q1001" s="12" t="n"/>
      <c r="R1001" s="13">
        <f>IF(ISNUMBER(M1001),ROUND(M1001/(1-Settings!$B$2)/Settings!$B$3,0)*Settings!$B$3,"")</f>
        <v/>
      </c>
      <c r="S1001" s="13">
        <f>IF(ISNUMBER(N1001),ROUND(N1001/(1-Settings!$B$2)/Settings!$B$3,0)*Settings!$B$3,"")</f>
        <v/>
      </c>
      <c r="T1001" s="13">
        <f>IF(ISNUMBER(O1001),ROUND(O1001/(1-Settings!$B$2)/Settings!$B$3,0)*Settings!$B$3,"")</f>
        <v/>
      </c>
      <c r="U1001" s="13">
        <f>IF(ISNUMBER(P1001),ROUND(P1001/(1-Settings!$B$2)/Settings!$B$3,0)*Settings!$B$3,"")</f>
        <v/>
      </c>
      <c r="V1001" s="13">
        <f>IF(ISNUMBER(Q1001),ROUND(Q1001/(1-Settings!$B$2)/Settings!$B$3,0)*Settings!$B$3,"")</f>
        <v/>
      </c>
      <c r="W1001" s="14" t="n">
        <v>959</v>
      </c>
      <c r="X1001" s="14" t="n">
        <v>1105</v>
      </c>
      <c r="Y1001" s="11" t="inlineStr">
        <is>
          <t>2026</t>
        </is>
      </c>
      <c r="Z1001" s="11" t="inlineStr">
        <is>
          <t>2026-06</t>
        </is>
      </c>
      <c r="AA1001" s="8" t="inlineStr"/>
      <c r="AB1001" s="8" t="inlineStr"/>
      <c r="AC1001" s="11" t="inlineStr">
        <is>
          <t>Military - National Digital Inventory Master 6.3.26.xlsx</t>
        </is>
      </c>
      <c r="AD1001" s="11" t="inlineStr">
        <is>
          <t>FY26-27 ADVERTISING ASSETS_NRMA.xlsx</t>
        </is>
      </c>
      <c r="AE1001" s="15" t="inlineStr">
        <is>
          <t>Open in Box</t>
        </is>
      </c>
      <c r="AF1001" s="15" t="inlineStr">
        <is>
          <t>Open in Box</t>
        </is>
      </c>
    </row>
    <row r="1002">
      <c r="A1002" s="11" t="inlineStr">
        <is>
          <t>ME/NH-PORTSMOU-002</t>
        </is>
      </c>
      <c r="B1002" s="8" t="inlineStr">
        <is>
          <t>Portsmouth Naval Shipyard</t>
        </is>
      </c>
      <c r="C1002" s="11" t="inlineStr"/>
      <c r="D1002" s="11" t="inlineStr">
        <is>
          <t>ME/NH</t>
        </is>
      </c>
      <c r="E1002" s="11" t="inlineStr">
        <is>
          <t>Boston, MA</t>
        </is>
      </c>
      <c r="F1002" s="11" t="inlineStr"/>
      <c r="G1002" s="11" t="inlineStr">
        <is>
          <t>Navy</t>
        </is>
      </c>
      <c r="H1002" s="11" t="inlineStr">
        <is>
          <t>Web &amp; Email</t>
        </is>
      </c>
      <c r="I1002" s="8" t="inlineStr">
        <is>
          <t>Web Ad</t>
        </is>
      </c>
      <c r="J1002" s="11" t="inlineStr"/>
      <c r="K1002" s="8" t="inlineStr">
        <is>
          <t>Your ad will appear on the installation MWR / FSS website.</t>
        </is>
      </c>
      <c r="L1002" s="11" t="n">
        <v>1</v>
      </c>
      <c r="M1002" s="12" t="n">
        <v>200</v>
      </c>
      <c r="N1002" s="12" t="n"/>
      <c r="O1002" s="12" t="n"/>
      <c r="P1002" s="12" t="n"/>
      <c r="Q1002" s="12" t="n"/>
      <c r="R1002" s="13">
        <f>IF(ISNUMBER(M1002),ROUND(M1002/(1-Settings!$B$2)/Settings!$B$3,0)*Settings!$B$3,"")</f>
        <v/>
      </c>
      <c r="S1002" s="13">
        <f>IF(ISNUMBER(N1002),ROUND(N1002/(1-Settings!$B$2)/Settings!$B$3,0)*Settings!$B$3,"")</f>
        <v/>
      </c>
      <c r="T1002" s="13">
        <f>IF(ISNUMBER(O1002),ROUND(O1002/(1-Settings!$B$2)/Settings!$B$3,0)*Settings!$B$3,"")</f>
        <v/>
      </c>
      <c r="U1002" s="13">
        <f>IF(ISNUMBER(P1002),ROUND(P1002/(1-Settings!$B$2)/Settings!$B$3,0)*Settings!$B$3,"")</f>
        <v/>
      </c>
      <c r="V1002" s="13">
        <f>IF(ISNUMBER(Q1002),ROUND(Q1002/(1-Settings!$B$2)/Settings!$B$3,0)*Settings!$B$3,"")</f>
        <v/>
      </c>
      <c r="W1002" s="14" t="n">
        <v>959</v>
      </c>
      <c r="X1002" s="14" t="n">
        <v>1105</v>
      </c>
      <c r="Y1002" s="11" t="inlineStr">
        <is>
          <t>2026</t>
        </is>
      </c>
      <c r="Z1002" s="11" t="inlineStr">
        <is>
          <t>2026-06</t>
        </is>
      </c>
      <c r="AA1002" s="8" t="inlineStr"/>
      <c r="AB1002" s="8" t="inlineStr"/>
      <c r="AC1002" s="11" t="inlineStr">
        <is>
          <t>Military - National Publication Inventory Master_June 2026.xlsx</t>
        </is>
      </c>
      <c r="AD1002" s="11" t="inlineStr">
        <is>
          <t>FY26-27 ADVERTISING ASSETS_NRMA.xlsx</t>
        </is>
      </c>
      <c r="AE1002" s="15" t="inlineStr">
        <is>
          <t>Open in Box</t>
        </is>
      </c>
      <c r="AF1002" s="15" t="inlineStr">
        <is>
          <t>Open in Box</t>
        </is>
      </c>
    </row>
    <row r="1003">
      <c r="A1003" s="11" t="inlineStr">
        <is>
          <t>MO-FORTLEON-001</t>
        </is>
      </c>
      <c r="B1003" s="8" t="inlineStr">
        <is>
          <t>Fort Leonard Wood</t>
        </is>
      </c>
      <c r="C1003" s="11" t="inlineStr"/>
      <c r="D1003" s="11" t="inlineStr">
        <is>
          <t>MO</t>
        </is>
      </c>
      <c r="E1003" s="11" t="inlineStr">
        <is>
          <t>Springfield, Mo</t>
        </is>
      </c>
      <c r="F1003" s="11" t="inlineStr">
        <is>
          <t>65473</t>
        </is>
      </c>
      <c r="G1003" s="11" t="inlineStr">
        <is>
          <t>Army</t>
        </is>
      </c>
      <c r="H1003" s="11" t="inlineStr">
        <is>
          <t>Digital</t>
        </is>
      </c>
      <c r="I1003" s="8" t="inlineStr">
        <is>
          <t>Indoor Banner - Daugherty Bowling Center</t>
        </is>
      </c>
      <c r="J1003" s="11" t="inlineStr">
        <is>
          <t>Sizing varies from 6' x 3' - 16' x 8'</t>
        </is>
      </c>
      <c r="K1003" s="8" t="inlineStr">
        <is>
          <t>Your ad will appear in the Daugherty Bowling Center on the installation.</t>
        </is>
      </c>
      <c r="L1003" s="11" t="n">
        <v>3</v>
      </c>
      <c r="M1003" s="12" t="n"/>
      <c r="N1003" s="12" t="n">
        <v>675</v>
      </c>
      <c r="O1003" s="12" t="n">
        <v>1200</v>
      </c>
      <c r="P1003" s="12" t="n">
        <v>2100</v>
      </c>
      <c r="Q1003" s="12" t="n">
        <v>200</v>
      </c>
      <c r="R1003" s="13">
        <f>IF(ISNUMBER(M1003),ROUND(M1003/(1-Settings!$B$2)/Settings!$B$3,0)*Settings!$B$3,"")</f>
        <v/>
      </c>
      <c r="S1003" s="13">
        <f>IF(ISNUMBER(N1003),ROUND(N1003/(1-Settings!$B$2)/Settings!$B$3,0)*Settings!$B$3,"")</f>
        <v/>
      </c>
      <c r="T1003" s="13">
        <f>IF(ISNUMBER(O1003),ROUND(O1003/(1-Settings!$B$2)/Settings!$B$3,0)*Settings!$B$3,"")</f>
        <v/>
      </c>
      <c r="U1003" s="13">
        <f>IF(ISNUMBER(P1003),ROUND(P1003/(1-Settings!$B$2)/Settings!$B$3,0)*Settings!$B$3,"")</f>
        <v/>
      </c>
      <c r="V1003" s="13">
        <f>IF(ISNUMBER(Q1003),ROUND(Q1003/(1-Settings!$B$2)/Settings!$B$3,0)*Settings!$B$3,"")</f>
        <v/>
      </c>
      <c r="W1003" s="14" t="n">
        <v>12218</v>
      </c>
      <c r="X1003" s="14" t="n">
        <v>11261</v>
      </c>
      <c r="Y1003" s="11" t="inlineStr"/>
      <c r="Z1003" s="11" t="inlineStr"/>
      <c r="AA1003" s="8" t="inlineStr">
        <is>
          <t>Inventory master 6/2026 lists Bowling Scoring Monitors at $350 (1 mo)</t>
        </is>
      </c>
      <c r="AB1003" s="8" t="inlineStr"/>
      <c r="AC1003" s="11" t="inlineStr">
        <is>
          <t>MasterMilitaryOnBaseList 12.2.25 NS.xlsx</t>
        </is>
      </c>
      <c r="AD1003" s="11" t="inlineStr">
        <is>
          <t>2026 FLW Sponsorship &amp; Advertising Guide.pdf</t>
        </is>
      </c>
      <c r="AE1003" s="15" t="inlineStr">
        <is>
          <t>Open in Box</t>
        </is>
      </c>
      <c r="AF1003" s="15" t="inlineStr">
        <is>
          <t>Open in Box</t>
        </is>
      </c>
    </row>
    <row r="1004">
      <c r="A1004" s="11" t="inlineStr">
        <is>
          <t>MO-FORTLEON-002</t>
        </is>
      </c>
      <c r="B1004" s="8" t="inlineStr">
        <is>
          <t>Fort Leonard Wood</t>
        </is>
      </c>
      <c r="C1004" s="11" t="inlineStr"/>
      <c r="D1004" s="11" t="inlineStr">
        <is>
          <t>MO</t>
        </is>
      </c>
      <c r="E1004" s="11" t="inlineStr">
        <is>
          <t>Springfield, Mo</t>
        </is>
      </c>
      <c r="F1004" s="11" t="inlineStr">
        <is>
          <t>65473</t>
        </is>
      </c>
      <c r="G1004" s="11" t="inlineStr">
        <is>
          <t>Army</t>
        </is>
      </c>
      <c r="H1004" s="11" t="inlineStr">
        <is>
          <t>Digital</t>
        </is>
      </c>
      <c r="I1004" s="8" t="inlineStr">
        <is>
          <t>Outdoor Banner - Daugherty Bowling Center (WAITLIST AVAILABLE)</t>
        </is>
      </c>
      <c r="J1004" s="11" t="inlineStr"/>
      <c r="K1004" s="8" t="inlineStr">
        <is>
          <t>Your ad will appear on the Daugherty Bowling Center on the installation.</t>
        </is>
      </c>
      <c r="L1004" s="11" t="n">
        <v>3</v>
      </c>
      <c r="M1004" s="12" t="n"/>
      <c r="N1004" s="12" t="n">
        <v>1500</v>
      </c>
      <c r="O1004" s="12" t="n">
        <v>2550</v>
      </c>
      <c r="P1004" s="12" t="n">
        <v>4325</v>
      </c>
      <c r="Q1004" s="12" t="n">
        <v>200</v>
      </c>
      <c r="R1004" s="13">
        <f>IF(ISNUMBER(M1004),ROUND(M1004/(1-Settings!$B$2)/Settings!$B$3,0)*Settings!$B$3,"")</f>
        <v/>
      </c>
      <c r="S1004" s="13">
        <f>IF(ISNUMBER(N1004),ROUND(N1004/(1-Settings!$B$2)/Settings!$B$3,0)*Settings!$B$3,"")</f>
        <v/>
      </c>
      <c r="T1004" s="13">
        <f>IF(ISNUMBER(O1004),ROUND(O1004/(1-Settings!$B$2)/Settings!$B$3,0)*Settings!$B$3,"")</f>
        <v/>
      </c>
      <c r="U1004" s="13">
        <f>IF(ISNUMBER(P1004),ROUND(P1004/(1-Settings!$B$2)/Settings!$B$3,0)*Settings!$B$3,"")</f>
        <v/>
      </c>
      <c r="V1004" s="13">
        <f>IF(ISNUMBER(Q1004),ROUND(Q1004/(1-Settings!$B$2)/Settings!$B$3,0)*Settings!$B$3,"")</f>
        <v/>
      </c>
      <c r="W1004" s="14" t="n">
        <v>12218</v>
      </c>
      <c r="X1004" s="14" t="n">
        <v>11261</v>
      </c>
      <c r="Y1004" s="11" t="inlineStr"/>
      <c r="Z1004" s="11" t="inlineStr"/>
      <c r="AA1004" s="8" t="inlineStr">
        <is>
          <t>Inventory master 6/2026 lists Bowling Scoring Monitors at $350 (1 mo)</t>
        </is>
      </c>
      <c r="AB1004" s="8" t="inlineStr"/>
      <c r="AC1004" s="11" t="inlineStr">
        <is>
          <t>MasterMilitaryOnBaseList 12.2.25 NS.xlsx</t>
        </is>
      </c>
      <c r="AD1004" s="11" t="inlineStr">
        <is>
          <t>2026 FLW Sponsorship &amp; Advertising Guide.pdf</t>
        </is>
      </c>
      <c r="AE1004" s="15" t="inlineStr">
        <is>
          <t>Open in Box</t>
        </is>
      </c>
      <c r="AF1004" s="15" t="inlineStr">
        <is>
          <t>Open in Box</t>
        </is>
      </c>
    </row>
    <row r="1005">
      <c r="A1005" s="11" t="inlineStr">
        <is>
          <t>MO-FORTLEON-003</t>
        </is>
      </c>
      <c r="B1005" s="8" t="inlineStr">
        <is>
          <t>Fort Leonard Wood</t>
        </is>
      </c>
      <c r="C1005" s="11" t="inlineStr"/>
      <c r="D1005" s="11" t="inlineStr">
        <is>
          <t>MO</t>
        </is>
      </c>
      <c r="E1005" s="11" t="inlineStr">
        <is>
          <t>Springfield, Mo</t>
        </is>
      </c>
      <c r="F1005" s="11" t="inlineStr">
        <is>
          <t>65473</t>
        </is>
      </c>
      <c r="G1005" s="11" t="inlineStr">
        <is>
          <t>Army</t>
        </is>
      </c>
      <c r="H1005" s="11" t="inlineStr">
        <is>
          <t>Digital</t>
        </is>
      </c>
      <c r="I1005" s="8" t="inlineStr">
        <is>
          <t>Poster - Daugherty Bowling Center</t>
        </is>
      </c>
      <c r="J1005" s="11" t="inlineStr">
        <is>
          <t>22" x 28"</t>
        </is>
      </c>
      <c r="K1005" s="8" t="inlineStr">
        <is>
          <t>Your ad will appear in the Daugherty Bowling Center on the installation.</t>
        </is>
      </c>
      <c r="L1005" s="11" t="n">
        <v>3</v>
      </c>
      <c r="M1005" s="12" t="n"/>
      <c r="N1005" s="12" t="n">
        <v>425</v>
      </c>
      <c r="O1005" s="12" t="n">
        <v>700</v>
      </c>
      <c r="P1005" s="12" t="n">
        <v>1150</v>
      </c>
      <c r="Q1005" s="12" t="n">
        <v>100</v>
      </c>
      <c r="R1005" s="13">
        <f>IF(ISNUMBER(M1005),ROUND(M1005/(1-Settings!$B$2)/Settings!$B$3,0)*Settings!$B$3,"")</f>
        <v/>
      </c>
      <c r="S1005" s="13">
        <f>IF(ISNUMBER(N1005),ROUND(N1005/(1-Settings!$B$2)/Settings!$B$3,0)*Settings!$B$3,"")</f>
        <v/>
      </c>
      <c r="T1005" s="13">
        <f>IF(ISNUMBER(O1005),ROUND(O1005/(1-Settings!$B$2)/Settings!$B$3,0)*Settings!$B$3,"")</f>
        <v/>
      </c>
      <c r="U1005" s="13">
        <f>IF(ISNUMBER(P1005),ROUND(P1005/(1-Settings!$B$2)/Settings!$B$3,0)*Settings!$B$3,"")</f>
        <v/>
      </c>
      <c r="V1005" s="13">
        <f>IF(ISNUMBER(Q1005),ROUND(Q1005/(1-Settings!$B$2)/Settings!$B$3,0)*Settings!$B$3,"")</f>
        <v/>
      </c>
      <c r="W1005" s="14" t="n">
        <v>12218</v>
      </c>
      <c r="X1005" s="14" t="n">
        <v>11261</v>
      </c>
      <c r="Y1005" s="11" t="inlineStr"/>
      <c r="Z1005" s="11" t="inlineStr"/>
      <c r="AA1005" s="8" t="inlineStr">
        <is>
          <t>Inventory master 6/2026 lists Bowling Scoring Monitors at $350 (1 mo)</t>
        </is>
      </c>
      <c r="AB1005" s="8" t="inlineStr"/>
      <c r="AC1005" s="11" t="inlineStr">
        <is>
          <t>MasterMilitaryOnBaseList 12.2.25 NS.xlsx</t>
        </is>
      </c>
      <c r="AD1005" s="11" t="inlineStr">
        <is>
          <t>2026 FLW Sponsorship &amp; Advertising Guide.pdf</t>
        </is>
      </c>
      <c r="AE1005" s="15" t="inlineStr">
        <is>
          <t>Open in Box</t>
        </is>
      </c>
      <c r="AF1005" s="15" t="inlineStr">
        <is>
          <t>Open in Box</t>
        </is>
      </c>
    </row>
    <row r="1006">
      <c r="A1006" s="11" t="inlineStr">
        <is>
          <t>MO-FORTLEON-025</t>
        </is>
      </c>
      <c r="B1006" s="8" t="inlineStr">
        <is>
          <t>Fort Leonard Wood</t>
        </is>
      </c>
      <c r="C1006" s="11" t="inlineStr"/>
      <c r="D1006" s="11" t="inlineStr">
        <is>
          <t>MO</t>
        </is>
      </c>
      <c r="E1006" s="11" t="inlineStr">
        <is>
          <t>Springfield, Mo</t>
        </is>
      </c>
      <c r="F1006" s="11" t="inlineStr">
        <is>
          <t>65473</t>
        </is>
      </c>
      <c r="G1006" s="11" t="inlineStr">
        <is>
          <t>Army</t>
        </is>
      </c>
      <c r="H1006" s="11" t="inlineStr">
        <is>
          <t>Large Format</t>
        </is>
      </c>
      <c r="I1006" s="8" t="inlineStr">
        <is>
          <t>Outdoor Banner - Auto Skills Fenceline</t>
        </is>
      </c>
      <c r="J1006" s="11" t="inlineStr">
        <is>
          <t>6' x 3'</t>
        </is>
      </c>
      <c r="K1006" s="8" t="inlineStr">
        <is>
          <t>Your ad will appear on the Auto Skills Fenceline on the installation.</t>
        </is>
      </c>
      <c r="L1006" s="11" t="n">
        <v>3</v>
      </c>
      <c r="M1006" s="12" t="n"/>
      <c r="N1006" s="12" t="n">
        <v>400</v>
      </c>
      <c r="O1006" s="12" t="n">
        <v>700</v>
      </c>
      <c r="P1006" s="12" t="n">
        <v>1200</v>
      </c>
      <c r="Q1006" s="12" t="n">
        <v>200</v>
      </c>
      <c r="R1006" s="13">
        <f>IF(ISNUMBER(M1006),ROUND(M1006/(1-Settings!$B$2)/Settings!$B$3,0)*Settings!$B$3,"")</f>
        <v/>
      </c>
      <c r="S1006" s="13">
        <f>IF(ISNUMBER(N1006),ROUND(N1006/(1-Settings!$B$2)/Settings!$B$3,0)*Settings!$B$3,"")</f>
        <v/>
      </c>
      <c r="T1006" s="13">
        <f>IF(ISNUMBER(O1006),ROUND(O1006/(1-Settings!$B$2)/Settings!$B$3,0)*Settings!$B$3,"")</f>
        <v/>
      </c>
      <c r="U1006" s="13">
        <f>IF(ISNUMBER(P1006),ROUND(P1006/(1-Settings!$B$2)/Settings!$B$3,0)*Settings!$B$3,"")</f>
        <v/>
      </c>
      <c r="V1006" s="13">
        <f>IF(ISNUMBER(Q1006),ROUND(Q1006/(1-Settings!$B$2)/Settings!$B$3,0)*Settings!$B$3,"")</f>
        <v/>
      </c>
      <c r="W1006" s="14" t="n">
        <v>12218</v>
      </c>
      <c r="X1006" s="14" t="n">
        <v>11261</v>
      </c>
      <c r="Y1006" s="11" t="inlineStr"/>
      <c r="Z1006" s="11" t="inlineStr"/>
      <c r="AA1006" s="8" t="inlineStr"/>
      <c r="AB1006" s="8" t="inlineStr"/>
      <c r="AC1006" s="11" t="inlineStr">
        <is>
          <t>MasterMilitaryOnBaseList 12.2.25 NS.xlsx</t>
        </is>
      </c>
      <c r="AD1006" s="11" t="inlineStr">
        <is>
          <t>2026 FLW Sponsorship &amp; Advertising Guide.pdf</t>
        </is>
      </c>
      <c r="AE1006" s="15" t="inlineStr">
        <is>
          <t>Open in Box</t>
        </is>
      </c>
      <c r="AF1006" s="15" t="inlineStr">
        <is>
          <t>Open in Box</t>
        </is>
      </c>
    </row>
    <row r="1007">
      <c r="A1007" s="11" t="inlineStr">
        <is>
          <t>MO-FORTLEON-026</t>
        </is>
      </c>
      <c r="B1007" s="8" t="inlineStr">
        <is>
          <t>Fort Leonard Wood</t>
        </is>
      </c>
      <c r="C1007" s="11" t="inlineStr"/>
      <c r="D1007" s="11" t="inlineStr">
        <is>
          <t>MO</t>
        </is>
      </c>
      <c r="E1007" s="11" t="inlineStr">
        <is>
          <t>Springfield, Mo</t>
        </is>
      </c>
      <c r="F1007" s="11" t="inlineStr">
        <is>
          <t>65473</t>
        </is>
      </c>
      <c r="G1007" s="11" t="inlineStr">
        <is>
          <t>Army</t>
        </is>
      </c>
      <c r="H1007" s="11" t="inlineStr">
        <is>
          <t>Large Format</t>
        </is>
      </c>
      <c r="I1007" s="8" t="inlineStr">
        <is>
          <t>Window Clings (Fitness Center) - WAITLIST CURRENTLY</t>
        </is>
      </c>
      <c r="J1007" s="11" t="inlineStr"/>
      <c r="K1007" s="8" t="inlineStr">
        <is>
          <t>Your ad will appear on the entrance window to the Davidson Fitness Center on the installation.</t>
        </is>
      </c>
      <c r="L1007" s="11" t="n">
        <v>6</v>
      </c>
      <c r="M1007" s="12" t="n"/>
      <c r="N1007" s="12" t="n"/>
      <c r="O1007" s="12" t="n">
        <v>2000</v>
      </c>
      <c r="P1007" s="12" t="n">
        <v>3600</v>
      </c>
      <c r="Q1007" s="12" t="n"/>
      <c r="R1007" s="13">
        <f>IF(ISNUMBER(M1007),ROUND(M1007/(1-Settings!$B$2)/Settings!$B$3,0)*Settings!$B$3,"")</f>
        <v/>
      </c>
      <c r="S1007" s="13">
        <f>IF(ISNUMBER(N1007),ROUND(N1007/(1-Settings!$B$2)/Settings!$B$3,0)*Settings!$B$3,"")</f>
        <v/>
      </c>
      <c r="T1007" s="13">
        <f>IF(ISNUMBER(O1007),ROUND(O1007/(1-Settings!$B$2)/Settings!$B$3,0)*Settings!$B$3,"")</f>
        <v/>
      </c>
      <c r="U1007" s="13">
        <f>IF(ISNUMBER(P1007),ROUND(P1007/(1-Settings!$B$2)/Settings!$B$3,0)*Settings!$B$3,"")</f>
        <v/>
      </c>
      <c r="V1007" s="13">
        <f>IF(ISNUMBER(Q1007),ROUND(Q1007/(1-Settings!$B$2)/Settings!$B$3,0)*Settings!$B$3,"")</f>
        <v/>
      </c>
      <c r="W1007" s="14" t="n">
        <v>12218</v>
      </c>
      <c r="X1007" s="14" t="n">
        <v>11261</v>
      </c>
      <c r="Y1007" s="11" t="inlineStr"/>
      <c r="Z1007" s="11" t="inlineStr"/>
      <c r="AA1007" s="8" t="inlineStr"/>
      <c r="AB1007" s="8" t="inlineStr"/>
      <c r="AC1007" s="11" t="inlineStr">
        <is>
          <t>MasterMilitaryOnBaseList 12.2.25 NS.xlsx</t>
        </is>
      </c>
      <c r="AD1007" s="11" t="inlineStr">
        <is>
          <t>2026 FLW Sponsorship &amp; Advertising Guide.pdf</t>
        </is>
      </c>
      <c r="AE1007" s="15" t="inlineStr">
        <is>
          <t>Open in Box</t>
        </is>
      </c>
      <c r="AF1007" s="15" t="inlineStr">
        <is>
          <t>Open in Box</t>
        </is>
      </c>
    </row>
    <row r="1008">
      <c r="A1008" s="11" t="inlineStr">
        <is>
          <t>MO-FORTLEON-027</t>
        </is>
      </c>
      <c r="B1008" s="8" t="inlineStr">
        <is>
          <t>Fort Leonard Wood</t>
        </is>
      </c>
      <c r="C1008" s="11" t="inlineStr"/>
      <c r="D1008" s="11" t="inlineStr">
        <is>
          <t>MO</t>
        </is>
      </c>
      <c r="E1008" s="11" t="inlineStr">
        <is>
          <t>Springfield, Mo</t>
        </is>
      </c>
      <c r="F1008" s="11" t="inlineStr">
        <is>
          <t>65473</t>
        </is>
      </c>
      <c r="G1008" s="11" t="inlineStr">
        <is>
          <t>Army</t>
        </is>
      </c>
      <c r="H1008" s="11" t="inlineStr">
        <is>
          <t>Large Format</t>
        </is>
      </c>
      <c r="I1008" s="8" t="inlineStr">
        <is>
          <t>Window Clings (Specker Gym) - WAITLIST CURRENTLY</t>
        </is>
      </c>
      <c r="J1008" s="11" t="inlineStr"/>
      <c r="K1008" s="8" t="inlineStr">
        <is>
          <t>Your ad will appear on the entrance window to the Specker Gym on the installation.</t>
        </is>
      </c>
      <c r="L1008" s="11" t="n">
        <v>6</v>
      </c>
      <c r="M1008" s="12" t="n"/>
      <c r="N1008" s="12" t="n"/>
      <c r="O1008" s="12" t="n">
        <v>2400</v>
      </c>
      <c r="P1008" s="12" t="n">
        <v>4200</v>
      </c>
      <c r="Q1008" s="12" t="n"/>
      <c r="R1008" s="13">
        <f>IF(ISNUMBER(M1008),ROUND(M1008/(1-Settings!$B$2)/Settings!$B$3,0)*Settings!$B$3,"")</f>
        <v/>
      </c>
      <c r="S1008" s="13">
        <f>IF(ISNUMBER(N1008),ROUND(N1008/(1-Settings!$B$2)/Settings!$B$3,0)*Settings!$B$3,"")</f>
        <v/>
      </c>
      <c r="T1008" s="13">
        <f>IF(ISNUMBER(O1008),ROUND(O1008/(1-Settings!$B$2)/Settings!$B$3,0)*Settings!$B$3,"")</f>
        <v/>
      </c>
      <c r="U1008" s="13">
        <f>IF(ISNUMBER(P1008),ROUND(P1008/(1-Settings!$B$2)/Settings!$B$3,0)*Settings!$B$3,"")</f>
        <v/>
      </c>
      <c r="V1008" s="13">
        <f>IF(ISNUMBER(Q1008),ROUND(Q1008/(1-Settings!$B$2)/Settings!$B$3,0)*Settings!$B$3,"")</f>
        <v/>
      </c>
      <c r="W1008" s="14" t="n">
        <v>12218</v>
      </c>
      <c r="X1008" s="14" t="n">
        <v>11261</v>
      </c>
      <c r="Y1008" s="11" t="inlineStr"/>
      <c r="Z1008" s="11" t="inlineStr"/>
      <c r="AA1008" s="8" t="inlineStr"/>
      <c r="AB1008" s="8" t="inlineStr"/>
      <c r="AC1008" s="11" t="inlineStr">
        <is>
          <t>MasterMilitaryOnBaseList 12.2.25 NS.xlsx</t>
        </is>
      </c>
      <c r="AD1008" s="11" t="inlineStr">
        <is>
          <t>2026 FLW Sponsorship &amp; Advertising Guide.pdf</t>
        </is>
      </c>
      <c r="AE1008" s="15" t="inlineStr">
        <is>
          <t>Open in Box</t>
        </is>
      </c>
      <c r="AF1008" s="15" t="inlineStr">
        <is>
          <t>Open in Box</t>
        </is>
      </c>
    </row>
    <row r="1009">
      <c r="A1009" s="11" t="inlineStr">
        <is>
          <t>MO-FORTLEON-037</t>
        </is>
      </c>
      <c r="B1009" s="8" t="inlineStr">
        <is>
          <t>Fort Leonard Wood</t>
        </is>
      </c>
      <c r="C1009" s="11" t="inlineStr"/>
      <c r="D1009" s="11" t="inlineStr">
        <is>
          <t>MO</t>
        </is>
      </c>
      <c r="E1009" s="11" t="inlineStr">
        <is>
          <t>Springfield, Mo</t>
        </is>
      </c>
      <c r="F1009" s="11" t="inlineStr"/>
      <c r="G1009" s="11" t="inlineStr">
        <is>
          <t>Army</t>
        </is>
      </c>
      <c r="H1009" s="11" t="inlineStr">
        <is>
          <t>Print &amp; Publications</t>
        </is>
      </c>
      <c r="I1009" s="8" t="inlineStr">
        <is>
          <t>Guide / Map Ad</t>
        </is>
      </c>
      <c r="J1009" s="11" t="inlineStr"/>
      <c r="K1009" s="8" t="inlineStr">
        <is>
          <t>Your ad will appear in the installation guide or map.</t>
        </is>
      </c>
      <c r="L1009" s="11" t="n">
        <v>3</v>
      </c>
      <c r="M1009" s="12" t="n"/>
      <c r="N1009" s="12" t="n">
        <v>4050</v>
      </c>
      <c r="O1009" s="12" t="n"/>
      <c r="P1009" s="12" t="n"/>
      <c r="Q1009" s="12" t="n"/>
      <c r="R1009" s="13">
        <f>IF(ISNUMBER(M1009),ROUND(M1009/(1-Settings!$B$2)/Settings!$B$3,0)*Settings!$B$3,"")</f>
        <v/>
      </c>
      <c r="S1009" s="13">
        <f>IF(ISNUMBER(N1009),ROUND(N1009/(1-Settings!$B$2)/Settings!$B$3,0)*Settings!$B$3,"")</f>
        <v/>
      </c>
      <c r="T1009" s="13">
        <f>IF(ISNUMBER(O1009),ROUND(O1009/(1-Settings!$B$2)/Settings!$B$3,0)*Settings!$B$3,"")</f>
        <v/>
      </c>
      <c r="U1009" s="13">
        <f>IF(ISNUMBER(P1009),ROUND(P1009/(1-Settings!$B$2)/Settings!$B$3,0)*Settings!$B$3,"")</f>
        <v/>
      </c>
      <c r="V1009" s="13">
        <f>IF(ISNUMBER(Q1009),ROUND(Q1009/(1-Settings!$B$2)/Settings!$B$3,0)*Settings!$B$3,"")</f>
        <v/>
      </c>
      <c r="W1009" s="14" t="n">
        <v>12218</v>
      </c>
      <c r="X1009" s="14" t="n">
        <v>11261</v>
      </c>
      <c r="Y1009" s="11" t="inlineStr">
        <is>
          <t>2026</t>
        </is>
      </c>
      <c r="Z1009" s="11" t="inlineStr">
        <is>
          <t>2026-06</t>
        </is>
      </c>
      <c r="AA1009" s="8" t="inlineStr">
        <is>
          <t>3-month commitment</t>
        </is>
      </c>
      <c r="AB1009" s="8" t="inlineStr"/>
      <c r="AC1009" s="11" t="inlineStr">
        <is>
          <t>Military - National Publication Inventory Master_June 2026.xlsx</t>
        </is>
      </c>
      <c r="AD1009" s="11" t="inlineStr">
        <is>
          <t>2026 FLW Sponsorship &amp; Advertising Guide.pdf</t>
        </is>
      </c>
      <c r="AE1009" s="15" t="inlineStr">
        <is>
          <t>Open in Box</t>
        </is>
      </c>
      <c r="AF1009" s="15" t="inlineStr">
        <is>
          <t>Open in Box</t>
        </is>
      </c>
    </row>
    <row r="1010">
      <c r="A1010" s="11" t="inlineStr">
        <is>
          <t>MO-FORTLEON-028</t>
        </is>
      </c>
      <c r="B1010" s="8" t="inlineStr">
        <is>
          <t>Fort Leonard Wood</t>
        </is>
      </c>
      <c r="C1010" s="11" t="inlineStr"/>
      <c r="D1010" s="11" t="inlineStr">
        <is>
          <t>MO</t>
        </is>
      </c>
      <c r="E1010" s="11" t="inlineStr">
        <is>
          <t>Springfield, Mo</t>
        </is>
      </c>
      <c r="F1010" s="11" t="inlineStr">
        <is>
          <t>65473</t>
        </is>
      </c>
      <c r="G1010" s="11" t="inlineStr">
        <is>
          <t>Army</t>
        </is>
      </c>
      <c r="H1010" s="11" t="inlineStr">
        <is>
          <t>Print &amp; Publications</t>
        </is>
      </c>
      <c r="I1010" s="8" t="inlineStr">
        <is>
          <t>Magazine Ad - Full Center Page</t>
        </is>
      </c>
      <c r="J1010" s="11" t="inlineStr">
        <is>
          <t>8" x 5"</t>
        </is>
      </c>
      <c r="K1010" s="8" t="inlineStr">
        <is>
          <t>Your ad will appear in "The Blue Book" magazine.</t>
        </is>
      </c>
      <c r="L1010" s="11" t="n">
        <v>3</v>
      </c>
      <c r="M1010" s="12" t="n"/>
      <c r="N1010" s="12" t="n">
        <v>1050</v>
      </c>
      <c r="O1010" s="12" t="n">
        <v>1950</v>
      </c>
      <c r="P1010" s="12" t="n">
        <v>3600</v>
      </c>
      <c r="Q1010" s="12" t="n"/>
      <c r="R1010" s="13">
        <f>IF(ISNUMBER(M1010),ROUND(M1010/(1-Settings!$B$2)/Settings!$B$3,0)*Settings!$B$3,"")</f>
        <v/>
      </c>
      <c r="S1010" s="13">
        <f>IF(ISNUMBER(N1010),ROUND(N1010/(1-Settings!$B$2)/Settings!$B$3,0)*Settings!$B$3,"")</f>
        <v/>
      </c>
      <c r="T1010" s="13">
        <f>IF(ISNUMBER(O1010),ROUND(O1010/(1-Settings!$B$2)/Settings!$B$3,0)*Settings!$B$3,"")</f>
        <v/>
      </c>
      <c r="U1010" s="13">
        <f>IF(ISNUMBER(P1010),ROUND(P1010/(1-Settings!$B$2)/Settings!$B$3,0)*Settings!$B$3,"")</f>
        <v/>
      </c>
      <c r="V1010" s="13">
        <f>IF(ISNUMBER(Q1010),ROUND(Q1010/(1-Settings!$B$2)/Settings!$B$3,0)*Settings!$B$3,"")</f>
        <v/>
      </c>
      <c r="W1010" s="14" t="n">
        <v>12218</v>
      </c>
      <c r="X1010" s="14" t="n">
        <v>11261</v>
      </c>
      <c r="Y1010" s="11" t="inlineStr"/>
      <c r="Z1010" s="11" t="inlineStr"/>
      <c r="AA1010" s="8" t="inlineStr">
        <is>
          <t>Inventory master 6/2026 lists Magazine Ad at $3,150 (3 mo)</t>
        </is>
      </c>
      <c r="AB1010" s="8" t="inlineStr"/>
      <c r="AC1010" s="11" t="inlineStr">
        <is>
          <t>MasterMilitaryOnBaseList 12.2.25 NS.xlsx</t>
        </is>
      </c>
      <c r="AD1010" s="11" t="inlineStr">
        <is>
          <t>2026 FLW Sponsorship &amp; Advertising Guide.pdf</t>
        </is>
      </c>
      <c r="AE1010" s="15" t="inlineStr">
        <is>
          <t>Open in Box</t>
        </is>
      </c>
      <c r="AF1010" s="15" t="inlineStr">
        <is>
          <t>Open in Box</t>
        </is>
      </c>
    </row>
    <row r="1011">
      <c r="A1011" s="11" t="inlineStr">
        <is>
          <t>MO-FORTLEON-029</t>
        </is>
      </c>
      <c r="B1011" s="8" t="inlineStr">
        <is>
          <t>Fort Leonard Wood</t>
        </is>
      </c>
      <c r="C1011" s="11" t="inlineStr"/>
      <c r="D1011" s="11" t="inlineStr">
        <is>
          <t>MO</t>
        </is>
      </c>
      <c r="E1011" s="11" t="inlineStr">
        <is>
          <t>Springfield, Mo</t>
        </is>
      </c>
      <c r="F1011" s="11" t="inlineStr">
        <is>
          <t>65473</t>
        </is>
      </c>
      <c r="G1011" s="11" t="inlineStr">
        <is>
          <t>Army</t>
        </is>
      </c>
      <c r="H1011" s="11" t="inlineStr">
        <is>
          <t>Print &amp; Publications</t>
        </is>
      </c>
      <c r="I1011" s="8" t="inlineStr">
        <is>
          <t>Magazine Ad - Full Page</t>
        </is>
      </c>
      <c r="J1011" s="11" t="inlineStr">
        <is>
          <t>8" x 5"</t>
        </is>
      </c>
      <c r="K1011" s="8" t="inlineStr">
        <is>
          <t>Your ad will appear in "The Blue Book" magazine.</t>
        </is>
      </c>
      <c r="L1011" s="11" t="n">
        <v>3</v>
      </c>
      <c r="M1011" s="12" t="n"/>
      <c r="N1011" s="12" t="n">
        <v>375</v>
      </c>
      <c r="O1011" s="12" t="n">
        <v>690</v>
      </c>
      <c r="P1011" s="12" t="n">
        <v>1260</v>
      </c>
      <c r="Q1011" s="12" t="n"/>
      <c r="R1011" s="13">
        <f>IF(ISNUMBER(M1011),ROUND(M1011/(1-Settings!$B$2)/Settings!$B$3,0)*Settings!$B$3,"")</f>
        <v/>
      </c>
      <c r="S1011" s="13">
        <f>IF(ISNUMBER(N1011),ROUND(N1011/(1-Settings!$B$2)/Settings!$B$3,0)*Settings!$B$3,"")</f>
        <v/>
      </c>
      <c r="T1011" s="13">
        <f>IF(ISNUMBER(O1011),ROUND(O1011/(1-Settings!$B$2)/Settings!$B$3,0)*Settings!$B$3,"")</f>
        <v/>
      </c>
      <c r="U1011" s="13">
        <f>IF(ISNUMBER(P1011),ROUND(P1011/(1-Settings!$B$2)/Settings!$B$3,0)*Settings!$B$3,"")</f>
        <v/>
      </c>
      <c r="V1011" s="13">
        <f>IF(ISNUMBER(Q1011),ROUND(Q1011/(1-Settings!$B$2)/Settings!$B$3,0)*Settings!$B$3,"")</f>
        <v/>
      </c>
      <c r="W1011" s="14" t="n">
        <v>12218</v>
      </c>
      <c r="X1011" s="14" t="n">
        <v>11261</v>
      </c>
      <c r="Y1011" s="11" t="inlineStr"/>
      <c r="Z1011" s="11" t="inlineStr"/>
      <c r="AA1011" s="8" t="inlineStr">
        <is>
          <t>Inventory master 6/2026 lists Magazine Ad at $3,150 (3 mo)</t>
        </is>
      </c>
      <c r="AB1011" s="8" t="inlineStr"/>
      <c r="AC1011" s="11" t="inlineStr">
        <is>
          <t>MasterMilitaryOnBaseList 12.2.25 NS.xlsx</t>
        </is>
      </c>
      <c r="AD1011" s="11" t="inlineStr">
        <is>
          <t>2026 FLW Sponsorship &amp; Advertising Guide.pdf</t>
        </is>
      </c>
      <c r="AE1011" s="15" t="inlineStr">
        <is>
          <t>Open in Box</t>
        </is>
      </c>
      <c r="AF1011" s="15" t="inlineStr">
        <is>
          <t>Open in Box</t>
        </is>
      </c>
    </row>
    <row r="1012">
      <c r="A1012" s="11" t="inlineStr">
        <is>
          <t>MO-FORTLEON-030</t>
        </is>
      </c>
      <c r="B1012" s="8" t="inlineStr">
        <is>
          <t>Fort Leonard Wood</t>
        </is>
      </c>
      <c r="C1012" s="11" t="inlineStr"/>
      <c r="D1012" s="11" t="inlineStr">
        <is>
          <t>MO</t>
        </is>
      </c>
      <c r="E1012" s="11" t="inlineStr">
        <is>
          <t>Springfield, Mo</t>
        </is>
      </c>
      <c r="F1012" s="11" t="inlineStr">
        <is>
          <t>65473</t>
        </is>
      </c>
      <c r="G1012" s="11" t="inlineStr">
        <is>
          <t>Army</t>
        </is>
      </c>
      <c r="H1012" s="11" t="inlineStr">
        <is>
          <t>Print &amp; Publications</t>
        </is>
      </c>
      <c r="I1012" s="8" t="inlineStr">
        <is>
          <t>Magazine Ad - Half Page</t>
        </is>
      </c>
      <c r="J1012" s="11" t="inlineStr">
        <is>
          <t>4" x 5"</t>
        </is>
      </c>
      <c r="K1012" s="8" t="inlineStr">
        <is>
          <t>Your ad will appear in "The Blue Book" magazine.</t>
        </is>
      </c>
      <c r="L1012" s="11" t="n">
        <v>3</v>
      </c>
      <c r="M1012" s="12" t="n"/>
      <c r="N1012" s="12" t="n">
        <v>195</v>
      </c>
      <c r="O1012" s="12" t="n">
        <v>360</v>
      </c>
      <c r="P1012" s="12" t="n">
        <v>660</v>
      </c>
      <c r="Q1012" s="12" t="n"/>
      <c r="R1012" s="13">
        <f>IF(ISNUMBER(M1012),ROUND(M1012/(1-Settings!$B$2)/Settings!$B$3,0)*Settings!$B$3,"")</f>
        <v/>
      </c>
      <c r="S1012" s="13">
        <f>IF(ISNUMBER(N1012),ROUND(N1012/(1-Settings!$B$2)/Settings!$B$3,0)*Settings!$B$3,"")</f>
        <v/>
      </c>
      <c r="T1012" s="13">
        <f>IF(ISNUMBER(O1012),ROUND(O1012/(1-Settings!$B$2)/Settings!$B$3,0)*Settings!$B$3,"")</f>
        <v/>
      </c>
      <c r="U1012" s="13">
        <f>IF(ISNUMBER(P1012),ROUND(P1012/(1-Settings!$B$2)/Settings!$B$3,0)*Settings!$B$3,"")</f>
        <v/>
      </c>
      <c r="V1012" s="13">
        <f>IF(ISNUMBER(Q1012),ROUND(Q1012/(1-Settings!$B$2)/Settings!$B$3,0)*Settings!$B$3,"")</f>
        <v/>
      </c>
      <c r="W1012" s="14" t="n">
        <v>12218</v>
      </c>
      <c r="X1012" s="14" t="n">
        <v>11261</v>
      </c>
      <c r="Y1012" s="11" t="inlineStr"/>
      <c r="Z1012" s="11" t="inlineStr"/>
      <c r="AA1012" s="8" t="inlineStr">
        <is>
          <t>Inventory master 6/2026 lists Magazine Ad at $3,150 (3 mo)</t>
        </is>
      </c>
      <c r="AB1012" s="8" t="inlineStr"/>
      <c r="AC1012" s="11" t="inlineStr">
        <is>
          <t>MasterMilitaryOnBaseList 12.2.25 NS.xlsx</t>
        </is>
      </c>
      <c r="AD1012" s="11" t="inlineStr">
        <is>
          <t>2026 FLW Sponsorship &amp; Advertising Guide.pdf</t>
        </is>
      </c>
      <c r="AE1012" s="15" t="inlineStr">
        <is>
          <t>Open in Box</t>
        </is>
      </c>
      <c r="AF1012" s="15" t="inlineStr">
        <is>
          <t>Open in Box</t>
        </is>
      </c>
    </row>
    <row r="1013">
      <c r="A1013" s="11" t="inlineStr">
        <is>
          <t>MO-FORTLEON-031</t>
        </is>
      </c>
      <c r="B1013" s="8" t="inlineStr">
        <is>
          <t>Fort Leonard Wood</t>
        </is>
      </c>
      <c r="C1013" s="11" t="inlineStr"/>
      <c r="D1013" s="11" t="inlineStr">
        <is>
          <t>MO</t>
        </is>
      </c>
      <c r="E1013" s="11" t="inlineStr">
        <is>
          <t>Springfield, Mo</t>
        </is>
      </c>
      <c r="F1013" s="11" t="inlineStr">
        <is>
          <t>65473</t>
        </is>
      </c>
      <c r="G1013" s="11" t="inlineStr">
        <is>
          <t>Army</t>
        </is>
      </c>
      <c r="H1013" s="11" t="inlineStr">
        <is>
          <t>Print &amp; Publications</t>
        </is>
      </c>
      <c r="I1013" s="8" t="inlineStr">
        <is>
          <t>Magazine Ad - Quarter Page</t>
        </is>
      </c>
      <c r="J1013" s="11" t="inlineStr">
        <is>
          <t>2" x 2.5"</t>
        </is>
      </c>
      <c r="K1013" s="8" t="inlineStr">
        <is>
          <t>Your ad will appear in "The Blue Book" magazine.</t>
        </is>
      </c>
      <c r="L1013" s="11" t="n">
        <v>3</v>
      </c>
      <c r="M1013" s="12" t="n"/>
      <c r="N1013" s="12" t="n">
        <v>150</v>
      </c>
      <c r="O1013" s="12" t="n">
        <v>275</v>
      </c>
      <c r="P1013" s="12" t="n">
        <v>495</v>
      </c>
      <c r="Q1013" s="12" t="n"/>
      <c r="R1013" s="13">
        <f>IF(ISNUMBER(M1013),ROUND(M1013/(1-Settings!$B$2)/Settings!$B$3,0)*Settings!$B$3,"")</f>
        <v/>
      </c>
      <c r="S1013" s="13">
        <f>IF(ISNUMBER(N1013),ROUND(N1013/(1-Settings!$B$2)/Settings!$B$3,0)*Settings!$B$3,"")</f>
        <v/>
      </c>
      <c r="T1013" s="13">
        <f>IF(ISNUMBER(O1013),ROUND(O1013/(1-Settings!$B$2)/Settings!$B$3,0)*Settings!$B$3,"")</f>
        <v/>
      </c>
      <c r="U1013" s="13">
        <f>IF(ISNUMBER(P1013),ROUND(P1013/(1-Settings!$B$2)/Settings!$B$3,0)*Settings!$B$3,"")</f>
        <v/>
      </c>
      <c r="V1013" s="13">
        <f>IF(ISNUMBER(Q1013),ROUND(Q1013/(1-Settings!$B$2)/Settings!$B$3,0)*Settings!$B$3,"")</f>
        <v/>
      </c>
      <c r="W1013" s="14" t="n">
        <v>12218</v>
      </c>
      <c r="X1013" s="14" t="n">
        <v>11261</v>
      </c>
      <c r="Y1013" s="11" t="inlineStr"/>
      <c r="Z1013" s="11" t="inlineStr"/>
      <c r="AA1013" s="8" t="inlineStr">
        <is>
          <t>Inventory master 6/2026 lists Magazine Ad at $3,150 (3 mo)</t>
        </is>
      </c>
      <c r="AB1013" s="8" t="inlineStr"/>
      <c r="AC1013" s="11" t="inlineStr">
        <is>
          <t>MasterMilitaryOnBaseList 12.2.25 NS.xlsx</t>
        </is>
      </c>
      <c r="AD1013" s="11" t="inlineStr">
        <is>
          <t>2026 FLW Sponsorship &amp; Advertising Guide.pdf</t>
        </is>
      </c>
      <c r="AE1013" s="15" t="inlineStr">
        <is>
          <t>Open in Box</t>
        </is>
      </c>
      <c r="AF1013" s="15" t="inlineStr">
        <is>
          <t>Open in Box</t>
        </is>
      </c>
    </row>
    <row r="1014">
      <c r="A1014" s="11" t="inlineStr">
        <is>
          <t>MO-FORTLEON-004</t>
        </is>
      </c>
      <c r="B1014" s="8" t="inlineStr">
        <is>
          <t>Fort Leonard Wood</t>
        </is>
      </c>
      <c r="C1014" s="11" t="inlineStr"/>
      <c r="D1014" s="11" t="inlineStr">
        <is>
          <t>MO</t>
        </is>
      </c>
      <c r="E1014" s="11" t="inlineStr">
        <is>
          <t>Springfield, Mo</t>
        </is>
      </c>
      <c r="F1014" s="11" t="inlineStr">
        <is>
          <t>65473</t>
        </is>
      </c>
      <c r="G1014" s="11" t="inlineStr">
        <is>
          <t>Army</t>
        </is>
      </c>
      <c r="H1014" s="11" t="inlineStr">
        <is>
          <t>Standard Media</t>
        </is>
      </c>
      <c r="I1014" s="8" t="inlineStr">
        <is>
          <t>Indoor Banner - BOSS Corner</t>
        </is>
      </c>
      <c r="J1014" s="11" t="inlineStr">
        <is>
          <t>Sizing varies from 6' x 3' - 16' x 8'</t>
        </is>
      </c>
      <c r="K1014" s="8" t="inlineStr">
        <is>
          <t>Your ad will appear in the BOSS Corner on the installation.</t>
        </is>
      </c>
      <c r="L1014" s="11" t="n">
        <v>3</v>
      </c>
      <c r="M1014" s="12" t="n"/>
      <c r="N1014" s="12" t="n">
        <v>600</v>
      </c>
      <c r="O1014" s="12" t="n">
        <v>1050</v>
      </c>
      <c r="P1014" s="12" t="n">
        <v>1800</v>
      </c>
      <c r="Q1014" s="12" t="n">
        <v>200</v>
      </c>
      <c r="R1014" s="13">
        <f>IF(ISNUMBER(M1014),ROUND(M1014/(1-Settings!$B$2)/Settings!$B$3,0)*Settings!$B$3,"")</f>
        <v/>
      </c>
      <c r="S1014" s="13">
        <f>IF(ISNUMBER(N1014),ROUND(N1014/(1-Settings!$B$2)/Settings!$B$3,0)*Settings!$B$3,"")</f>
        <v/>
      </c>
      <c r="T1014" s="13">
        <f>IF(ISNUMBER(O1014),ROUND(O1014/(1-Settings!$B$2)/Settings!$B$3,0)*Settings!$B$3,"")</f>
        <v/>
      </c>
      <c r="U1014" s="13">
        <f>IF(ISNUMBER(P1014),ROUND(P1014/(1-Settings!$B$2)/Settings!$B$3,0)*Settings!$B$3,"")</f>
        <v/>
      </c>
      <c r="V1014" s="13">
        <f>IF(ISNUMBER(Q1014),ROUND(Q1014/(1-Settings!$B$2)/Settings!$B$3,0)*Settings!$B$3,"")</f>
        <v/>
      </c>
      <c r="W1014" s="14" t="n">
        <v>12218</v>
      </c>
      <c r="X1014" s="14" t="n">
        <v>11261</v>
      </c>
      <c r="Y1014" s="11" t="inlineStr"/>
      <c r="Z1014" s="11" t="inlineStr"/>
      <c r="AA1014" s="8" t="inlineStr"/>
      <c r="AB1014" s="8" t="inlineStr"/>
      <c r="AC1014" s="11" t="inlineStr">
        <is>
          <t>MasterMilitaryOnBaseList 12.2.25 NS.xlsx</t>
        </is>
      </c>
      <c r="AD1014" s="11" t="inlineStr">
        <is>
          <t>2026 FLW Sponsorship &amp; Advertising Guide.pdf</t>
        </is>
      </c>
      <c r="AE1014" s="15" t="inlineStr">
        <is>
          <t>Open in Box</t>
        </is>
      </c>
      <c r="AF1014" s="15" t="inlineStr">
        <is>
          <t>Open in Box</t>
        </is>
      </c>
    </row>
    <row r="1015">
      <c r="A1015" s="11" t="inlineStr">
        <is>
          <t>MO-FORTLEON-005</t>
        </is>
      </c>
      <c r="B1015" s="8" t="inlineStr">
        <is>
          <t>Fort Leonard Wood</t>
        </is>
      </c>
      <c r="C1015" s="11" t="inlineStr"/>
      <c r="D1015" s="11" t="inlineStr">
        <is>
          <t>MO</t>
        </is>
      </c>
      <c r="E1015" s="11" t="inlineStr">
        <is>
          <t>Springfield, Mo</t>
        </is>
      </c>
      <c r="F1015" s="11" t="inlineStr">
        <is>
          <t>65473</t>
        </is>
      </c>
      <c r="G1015" s="11" t="inlineStr">
        <is>
          <t>Army</t>
        </is>
      </c>
      <c r="H1015" s="11" t="inlineStr">
        <is>
          <t>Standard Media</t>
        </is>
      </c>
      <c r="I1015" s="8" t="inlineStr">
        <is>
          <t>Indoor Banner - Davidson Fitness Center</t>
        </is>
      </c>
      <c r="J1015" s="11" t="inlineStr">
        <is>
          <t>Sizing varies from 6' x 3' - 16' x 8'</t>
        </is>
      </c>
      <c r="K1015" s="8" t="inlineStr">
        <is>
          <t>Your ad will appear in the Davidson Fitness Center on the installation.</t>
        </is>
      </c>
      <c r="L1015" s="11" t="n">
        <v>3</v>
      </c>
      <c r="M1015" s="12" t="n"/>
      <c r="N1015" s="12" t="n">
        <v>750</v>
      </c>
      <c r="O1015" s="12" t="n">
        <v>1350</v>
      </c>
      <c r="P1015" s="12" t="n">
        <v>2400</v>
      </c>
      <c r="Q1015" s="12" t="n">
        <v>200</v>
      </c>
      <c r="R1015" s="13">
        <f>IF(ISNUMBER(M1015),ROUND(M1015/(1-Settings!$B$2)/Settings!$B$3,0)*Settings!$B$3,"")</f>
        <v/>
      </c>
      <c r="S1015" s="13">
        <f>IF(ISNUMBER(N1015),ROUND(N1015/(1-Settings!$B$2)/Settings!$B$3,0)*Settings!$B$3,"")</f>
        <v/>
      </c>
      <c r="T1015" s="13">
        <f>IF(ISNUMBER(O1015),ROUND(O1015/(1-Settings!$B$2)/Settings!$B$3,0)*Settings!$B$3,"")</f>
        <v/>
      </c>
      <c r="U1015" s="13">
        <f>IF(ISNUMBER(P1015),ROUND(P1015/(1-Settings!$B$2)/Settings!$B$3,0)*Settings!$B$3,"")</f>
        <v/>
      </c>
      <c r="V1015" s="13">
        <f>IF(ISNUMBER(Q1015),ROUND(Q1015/(1-Settings!$B$2)/Settings!$B$3,0)*Settings!$B$3,"")</f>
        <v/>
      </c>
      <c r="W1015" s="14" t="n">
        <v>12218</v>
      </c>
      <c r="X1015" s="14" t="n">
        <v>11261</v>
      </c>
      <c r="Y1015" s="11" t="inlineStr"/>
      <c r="Z1015" s="11" t="inlineStr"/>
      <c r="AA1015" s="8" t="inlineStr"/>
      <c r="AB1015" s="8" t="inlineStr"/>
      <c r="AC1015" s="11" t="inlineStr">
        <is>
          <t>MasterMilitaryOnBaseList 12.2.25 NS.xlsx</t>
        </is>
      </c>
      <c r="AD1015" s="11" t="inlineStr">
        <is>
          <t>2026 FLW Sponsorship &amp; Advertising Guide.pdf</t>
        </is>
      </c>
      <c r="AE1015" s="15" t="inlineStr">
        <is>
          <t>Open in Box</t>
        </is>
      </c>
      <c r="AF1015" s="15" t="inlineStr">
        <is>
          <t>Open in Box</t>
        </is>
      </c>
    </row>
    <row r="1016">
      <c r="A1016" s="11" t="inlineStr">
        <is>
          <t>MO-FORTLEON-006</t>
        </is>
      </c>
      <c r="B1016" s="8" t="inlineStr">
        <is>
          <t>Fort Leonard Wood</t>
        </is>
      </c>
      <c r="C1016" s="11" t="inlineStr"/>
      <c r="D1016" s="11" t="inlineStr">
        <is>
          <t>MO</t>
        </is>
      </c>
      <c r="E1016" s="11" t="inlineStr">
        <is>
          <t>Springfield, Mo</t>
        </is>
      </c>
      <c r="F1016" s="11" t="inlineStr">
        <is>
          <t>65473</t>
        </is>
      </c>
      <c r="G1016" s="11" t="inlineStr">
        <is>
          <t>Army</t>
        </is>
      </c>
      <c r="H1016" s="11" t="inlineStr">
        <is>
          <t>Standard Media</t>
        </is>
      </c>
      <c r="I1016" s="8" t="inlineStr">
        <is>
          <t>Indoor Banner - Outdoor Adventure Center</t>
        </is>
      </c>
      <c r="J1016" s="11" t="inlineStr">
        <is>
          <t>Sizing varies from 6' x 3' - 16' x 8'</t>
        </is>
      </c>
      <c r="K1016" s="8" t="inlineStr">
        <is>
          <t>Your ad will appear in the Outdoor Adventure Center on the installation.</t>
        </is>
      </c>
      <c r="L1016" s="11" t="n">
        <v>3</v>
      </c>
      <c r="M1016" s="12" t="n"/>
      <c r="N1016" s="12" t="n">
        <v>300</v>
      </c>
      <c r="O1016" s="12" t="n">
        <v>450</v>
      </c>
      <c r="P1016" s="12" t="n">
        <v>725</v>
      </c>
      <c r="Q1016" s="12" t="n">
        <v>200</v>
      </c>
      <c r="R1016" s="13">
        <f>IF(ISNUMBER(M1016),ROUND(M1016/(1-Settings!$B$2)/Settings!$B$3,0)*Settings!$B$3,"")</f>
        <v/>
      </c>
      <c r="S1016" s="13">
        <f>IF(ISNUMBER(N1016),ROUND(N1016/(1-Settings!$B$2)/Settings!$B$3,0)*Settings!$B$3,"")</f>
        <v/>
      </c>
      <c r="T1016" s="13">
        <f>IF(ISNUMBER(O1016),ROUND(O1016/(1-Settings!$B$2)/Settings!$B$3,0)*Settings!$B$3,"")</f>
        <v/>
      </c>
      <c r="U1016" s="13">
        <f>IF(ISNUMBER(P1016),ROUND(P1016/(1-Settings!$B$2)/Settings!$B$3,0)*Settings!$B$3,"")</f>
        <v/>
      </c>
      <c r="V1016" s="13">
        <f>IF(ISNUMBER(Q1016),ROUND(Q1016/(1-Settings!$B$2)/Settings!$B$3,0)*Settings!$B$3,"")</f>
        <v/>
      </c>
      <c r="W1016" s="14" t="n">
        <v>12218</v>
      </c>
      <c r="X1016" s="14" t="n">
        <v>11261</v>
      </c>
      <c r="Y1016" s="11" t="inlineStr"/>
      <c r="Z1016" s="11" t="inlineStr"/>
      <c r="AA1016" s="8" t="inlineStr"/>
      <c r="AB1016" s="8" t="inlineStr"/>
      <c r="AC1016" s="11" t="inlineStr">
        <is>
          <t>MasterMilitaryOnBaseList 12.2.25 NS.xlsx</t>
        </is>
      </c>
      <c r="AD1016" s="11" t="inlineStr">
        <is>
          <t>2026 FLW Sponsorship &amp; Advertising Guide.pdf</t>
        </is>
      </c>
      <c r="AE1016" s="15" t="inlineStr">
        <is>
          <t>Open in Box</t>
        </is>
      </c>
      <c r="AF1016" s="15" t="inlineStr">
        <is>
          <t>Open in Box</t>
        </is>
      </c>
    </row>
    <row r="1017">
      <c r="A1017" s="11" t="inlineStr">
        <is>
          <t>MO-FORTLEON-007</t>
        </is>
      </c>
      <c r="B1017" s="8" t="inlineStr">
        <is>
          <t>Fort Leonard Wood</t>
        </is>
      </c>
      <c r="C1017" s="11" t="inlineStr"/>
      <c r="D1017" s="11" t="inlineStr">
        <is>
          <t>MO</t>
        </is>
      </c>
      <c r="E1017" s="11" t="inlineStr">
        <is>
          <t>Springfield, Mo</t>
        </is>
      </c>
      <c r="F1017" s="11" t="inlineStr">
        <is>
          <t>65473</t>
        </is>
      </c>
      <c r="G1017" s="11" t="inlineStr">
        <is>
          <t>Army</t>
        </is>
      </c>
      <c r="H1017" s="11" t="inlineStr">
        <is>
          <t>Standard Media</t>
        </is>
      </c>
      <c r="I1017" s="8" t="inlineStr">
        <is>
          <t>Indoor Banner - Specker Gym</t>
        </is>
      </c>
      <c r="J1017" s="11" t="inlineStr">
        <is>
          <t>Sizing varies from 6' x 3' - 16' x 8'</t>
        </is>
      </c>
      <c r="K1017" s="8" t="inlineStr">
        <is>
          <t>Your ad will appear in the Specker Gym on the installation.</t>
        </is>
      </c>
      <c r="L1017" s="11" t="n">
        <v>3</v>
      </c>
      <c r="M1017" s="12" t="n"/>
      <c r="N1017" s="12" t="n">
        <v>525</v>
      </c>
      <c r="O1017" s="12" t="n">
        <v>900</v>
      </c>
      <c r="P1017" s="12" t="n">
        <v>1500</v>
      </c>
      <c r="Q1017" s="12" t="n">
        <v>200</v>
      </c>
      <c r="R1017" s="13">
        <f>IF(ISNUMBER(M1017),ROUND(M1017/(1-Settings!$B$2)/Settings!$B$3,0)*Settings!$B$3,"")</f>
        <v/>
      </c>
      <c r="S1017" s="13">
        <f>IF(ISNUMBER(N1017),ROUND(N1017/(1-Settings!$B$2)/Settings!$B$3,0)*Settings!$B$3,"")</f>
        <v/>
      </c>
      <c r="T1017" s="13">
        <f>IF(ISNUMBER(O1017),ROUND(O1017/(1-Settings!$B$2)/Settings!$B$3,0)*Settings!$B$3,"")</f>
        <v/>
      </c>
      <c r="U1017" s="13">
        <f>IF(ISNUMBER(P1017),ROUND(P1017/(1-Settings!$B$2)/Settings!$B$3,0)*Settings!$B$3,"")</f>
        <v/>
      </c>
      <c r="V1017" s="13">
        <f>IF(ISNUMBER(Q1017),ROUND(Q1017/(1-Settings!$B$2)/Settings!$B$3,0)*Settings!$B$3,"")</f>
        <v/>
      </c>
      <c r="W1017" s="14" t="n">
        <v>12218</v>
      </c>
      <c r="X1017" s="14" t="n">
        <v>11261</v>
      </c>
      <c r="Y1017" s="11" t="inlineStr"/>
      <c r="Z1017" s="11" t="inlineStr"/>
      <c r="AA1017" s="8" t="inlineStr"/>
      <c r="AB1017" s="8" t="inlineStr"/>
      <c r="AC1017" s="11" t="inlineStr">
        <is>
          <t>MasterMilitaryOnBaseList 12.2.25 NS.xlsx</t>
        </is>
      </c>
      <c r="AD1017" s="11" t="inlineStr">
        <is>
          <t>2026 FLW Sponsorship &amp; Advertising Guide.pdf</t>
        </is>
      </c>
      <c r="AE1017" s="15" t="inlineStr">
        <is>
          <t>Open in Box</t>
        </is>
      </c>
      <c r="AF1017" s="15" t="inlineStr">
        <is>
          <t>Open in Box</t>
        </is>
      </c>
    </row>
    <row r="1018">
      <c r="A1018" s="11" t="inlineStr">
        <is>
          <t>MO-FORTLEON-008</t>
        </is>
      </c>
      <c r="B1018" s="8" t="inlineStr">
        <is>
          <t>Fort Leonard Wood</t>
        </is>
      </c>
      <c r="C1018" s="11" t="inlineStr"/>
      <c r="D1018" s="11" t="inlineStr">
        <is>
          <t>MO</t>
        </is>
      </c>
      <c r="E1018" s="11" t="inlineStr">
        <is>
          <t>Springfield, Mo</t>
        </is>
      </c>
      <c r="F1018" s="11" t="inlineStr">
        <is>
          <t>65473</t>
        </is>
      </c>
      <c r="G1018" s="11" t="inlineStr">
        <is>
          <t>Army</t>
        </is>
      </c>
      <c r="H1018" s="11" t="inlineStr">
        <is>
          <t>Standard Media</t>
        </is>
      </c>
      <c r="I1018" s="8" t="inlineStr">
        <is>
          <t>Outdoor Banner - Auto Skills Car Wash</t>
        </is>
      </c>
      <c r="J1018" s="11" t="inlineStr">
        <is>
          <t>10' x 10'</t>
        </is>
      </c>
      <c r="K1018" s="8" t="inlineStr">
        <is>
          <t>Your ad will appear on the Auto Skills Car Wash on the installation.</t>
        </is>
      </c>
      <c r="L1018" s="11" t="n">
        <v>3</v>
      </c>
      <c r="M1018" s="12" t="n"/>
      <c r="N1018" s="12" t="n">
        <v>800</v>
      </c>
      <c r="O1018" s="12" t="n">
        <v>1400</v>
      </c>
      <c r="P1018" s="12" t="n">
        <v>2400</v>
      </c>
      <c r="Q1018" s="12" t="n">
        <v>200</v>
      </c>
      <c r="R1018" s="13">
        <f>IF(ISNUMBER(M1018),ROUND(M1018/(1-Settings!$B$2)/Settings!$B$3,0)*Settings!$B$3,"")</f>
        <v/>
      </c>
      <c r="S1018" s="13">
        <f>IF(ISNUMBER(N1018),ROUND(N1018/(1-Settings!$B$2)/Settings!$B$3,0)*Settings!$B$3,"")</f>
        <v/>
      </c>
      <c r="T1018" s="13">
        <f>IF(ISNUMBER(O1018),ROUND(O1018/(1-Settings!$B$2)/Settings!$B$3,0)*Settings!$B$3,"")</f>
        <v/>
      </c>
      <c r="U1018" s="13">
        <f>IF(ISNUMBER(P1018),ROUND(P1018/(1-Settings!$B$2)/Settings!$B$3,0)*Settings!$B$3,"")</f>
        <v/>
      </c>
      <c r="V1018" s="13">
        <f>IF(ISNUMBER(Q1018),ROUND(Q1018/(1-Settings!$B$2)/Settings!$B$3,0)*Settings!$B$3,"")</f>
        <v/>
      </c>
      <c r="W1018" s="14" t="n">
        <v>12218</v>
      </c>
      <c r="X1018" s="14" t="n">
        <v>11261</v>
      </c>
      <c r="Y1018" s="11" t="inlineStr"/>
      <c r="Z1018" s="11" t="inlineStr"/>
      <c r="AA1018" s="8" t="inlineStr"/>
      <c r="AB1018" s="8" t="inlineStr"/>
      <c r="AC1018" s="11" t="inlineStr">
        <is>
          <t>MasterMilitaryOnBaseList 12.2.25 NS.xlsx</t>
        </is>
      </c>
      <c r="AD1018" s="11" t="inlineStr">
        <is>
          <t>2026 FLW Sponsorship &amp; Advertising Guide.pdf</t>
        </is>
      </c>
      <c r="AE1018" s="15" t="inlineStr">
        <is>
          <t>Open in Box</t>
        </is>
      </c>
      <c r="AF1018" s="15" t="inlineStr">
        <is>
          <t>Open in Box</t>
        </is>
      </c>
    </row>
    <row r="1019">
      <c r="A1019" s="11" t="inlineStr">
        <is>
          <t>MO-FORTLEON-009</t>
        </is>
      </c>
      <c r="B1019" s="8" t="inlineStr">
        <is>
          <t>Fort Leonard Wood</t>
        </is>
      </c>
      <c r="C1019" s="11" t="inlineStr"/>
      <c r="D1019" s="11" t="inlineStr">
        <is>
          <t>MO</t>
        </is>
      </c>
      <c r="E1019" s="11" t="inlineStr">
        <is>
          <t>Springfield, Mo</t>
        </is>
      </c>
      <c r="F1019" s="11" t="inlineStr">
        <is>
          <t>65473</t>
        </is>
      </c>
      <c r="G1019" s="11" t="inlineStr">
        <is>
          <t>Army</t>
        </is>
      </c>
      <c r="H1019" s="11" t="inlineStr">
        <is>
          <t>Standard Media</t>
        </is>
      </c>
      <c r="I1019" s="8" t="inlineStr">
        <is>
          <t>Outdoor Banner - BOSS Corner</t>
        </is>
      </c>
      <c r="J1019" s="11" t="inlineStr">
        <is>
          <t>8' x 8'</t>
        </is>
      </c>
      <c r="K1019" s="8" t="inlineStr">
        <is>
          <t>Your ad will appear in the BOSS Corner on the installation.</t>
        </is>
      </c>
      <c r="L1019" s="11" t="n">
        <v>3</v>
      </c>
      <c r="M1019" s="12" t="n"/>
      <c r="N1019" s="12" t="n">
        <v>700</v>
      </c>
      <c r="O1019" s="12" t="n">
        <v>1200</v>
      </c>
      <c r="P1019" s="12" t="n">
        <v>2100</v>
      </c>
      <c r="Q1019" s="12" t="n">
        <v>200</v>
      </c>
      <c r="R1019" s="13">
        <f>IF(ISNUMBER(M1019),ROUND(M1019/(1-Settings!$B$2)/Settings!$B$3,0)*Settings!$B$3,"")</f>
        <v/>
      </c>
      <c r="S1019" s="13">
        <f>IF(ISNUMBER(N1019),ROUND(N1019/(1-Settings!$B$2)/Settings!$B$3,0)*Settings!$B$3,"")</f>
        <v/>
      </c>
      <c r="T1019" s="13">
        <f>IF(ISNUMBER(O1019),ROUND(O1019/(1-Settings!$B$2)/Settings!$B$3,0)*Settings!$B$3,"")</f>
        <v/>
      </c>
      <c r="U1019" s="13">
        <f>IF(ISNUMBER(P1019),ROUND(P1019/(1-Settings!$B$2)/Settings!$B$3,0)*Settings!$B$3,"")</f>
        <v/>
      </c>
      <c r="V1019" s="13">
        <f>IF(ISNUMBER(Q1019),ROUND(Q1019/(1-Settings!$B$2)/Settings!$B$3,0)*Settings!$B$3,"")</f>
        <v/>
      </c>
      <c r="W1019" s="14" t="n">
        <v>12218</v>
      </c>
      <c r="X1019" s="14" t="n">
        <v>11261</v>
      </c>
      <c r="Y1019" s="11" t="inlineStr"/>
      <c r="Z1019" s="11" t="inlineStr"/>
      <c r="AA1019" s="8" t="inlineStr"/>
      <c r="AB1019" s="8" t="inlineStr"/>
      <c r="AC1019" s="11" t="inlineStr">
        <is>
          <t>MasterMilitaryOnBaseList 12.2.25 NS.xlsx</t>
        </is>
      </c>
      <c r="AD1019" s="11" t="inlineStr">
        <is>
          <t>2026 FLW Sponsorship &amp; Advertising Guide.pdf</t>
        </is>
      </c>
      <c r="AE1019" s="15" t="inlineStr">
        <is>
          <t>Open in Box</t>
        </is>
      </c>
      <c r="AF1019" s="15" t="inlineStr">
        <is>
          <t>Open in Box</t>
        </is>
      </c>
    </row>
    <row r="1020">
      <c r="A1020" s="11" t="inlineStr">
        <is>
          <t>MO-FORTLEON-010</t>
        </is>
      </c>
      <c r="B1020" s="8" t="inlineStr">
        <is>
          <t>Fort Leonard Wood</t>
        </is>
      </c>
      <c r="C1020" s="11" t="inlineStr"/>
      <c r="D1020" s="11" t="inlineStr">
        <is>
          <t>MO</t>
        </is>
      </c>
      <c r="E1020" s="11" t="inlineStr">
        <is>
          <t>Springfield, Mo</t>
        </is>
      </c>
      <c r="F1020" s="11" t="inlineStr">
        <is>
          <t>65473</t>
        </is>
      </c>
      <c r="G1020" s="11" t="inlineStr">
        <is>
          <t>Army</t>
        </is>
      </c>
      <c r="H1020" s="11" t="inlineStr">
        <is>
          <t>Standard Media</t>
        </is>
      </c>
      <c r="I1020" s="8" t="inlineStr">
        <is>
          <t>Outdoor Banner - Davidson Fitness Center</t>
        </is>
      </c>
      <c r="J1020" s="11" t="inlineStr">
        <is>
          <t>16' x 18'</t>
        </is>
      </c>
      <c r="K1020" s="8" t="inlineStr">
        <is>
          <t>Your ad will appear in the Davidson Fitness Center on the installation.</t>
        </is>
      </c>
      <c r="L1020" s="11" t="n">
        <v>3</v>
      </c>
      <c r="M1020" s="12" t="n"/>
      <c r="N1020" s="12" t="n">
        <v>1500</v>
      </c>
      <c r="O1020" s="12" t="n">
        <v>2550</v>
      </c>
      <c r="P1020" s="12" t="n">
        <v>4325</v>
      </c>
      <c r="Q1020" s="12" t="n">
        <v>200</v>
      </c>
      <c r="R1020" s="13">
        <f>IF(ISNUMBER(M1020),ROUND(M1020/(1-Settings!$B$2)/Settings!$B$3,0)*Settings!$B$3,"")</f>
        <v/>
      </c>
      <c r="S1020" s="13">
        <f>IF(ISNUMBER(N1020),ROUND(N1020/(1-Settings!$B$2)/Settings!$B$3,0)*Settings!$B$3,"")</f>
        <v/>
      </c>
      <c r="T1020" s="13">
        <f>IF(ISNUMBER(O1020),ROUND(O1020/(1-Settings!$B$2)/Settings!$B$3,0)*Settings!$B$3,"")</f>
        <v/>
      </c>
      <c r="U1020" s="13">
        <f>IF(ISNUMBER(P1020),ROUND(P1020/(1-Settings!$B$2)/Settings!$B$3,0)*Settings!$B$3,"")</f>
        <v/>
      </c>
      <c r="V1020" s="13">
        <f>IF(ISNUMBER(Q1020),ROUND(Q1020/(1-Settings!$B$2)/Settings!$B$3,0)*Settings!$B$3,"")</f>
        <v/>
      </c>
      <c r="W1020" s="14" t="n">
        <v>12218</v>
      </c>
      <c r="X1020" s="14" t="n">
        <v>11261</v>
      </c>
      <c r="Y1020" s="11" t="inlineStr"/>
      <c r="Z1020" s="11" t="inlineStr"/>
      <c r="AA1020" s="8" t="inlineStr"/>
      <c r="AB1020" s="8" t="inlineStr"/>
      <c r="AC1020" s="11" t="inlineStr">
        <is>
          <t>MasterMilitaryOnBaseList 12.2.25 NS.xlsx</t>
        </is>
      </c>
      <c r="AD1020" s="11" t="inlineStr">
        <is>
          <t>2026 FLW Sponsorship &amp; Advertising Guide.pdf</t>
        </is>
      </c>
      <c r="AE1020" s="15" t="inlineStr">
        <is>
          <t>Open in Box</t>
        </is>
      </c>
      <c r="AF1020" s="15" t="inlineStr">
        <is>
          <t>Open in Box</t>
        </is>
      </c>
    </row>
    <row r="1021">
      <c r="A1021" s="11" t="inlineStr">
        <is>
          <t>MO-FORTLEON-011</t>
        </is>
      </c>
      <c r="B1021" s="8" t="inlineStr">
        <is>
          <t>Fort Leonard Wood</t>
        </is>
      </c>
      <c r="C1021" s="11" t="inlineStr"/>
      <c r="D1021" s="11" t="inlineStr">
        <is>
          <t>MO</t>
        </is>
      </c>
      <c r="E1021" s="11" t="inlineStr">
        <is>
          <t>Springfield, Mo</t>
        </is>
      </c>
      <c r="F1021" s="11" t="inlineStr">
        <is>
          <t>65473</t>
        </is>
      </c>
      <c r="G1021" s="11" t="inlineStr">
        <is>
          <t>Army</t>
        </is>
      </c>
      <c r="H1021" s="11" t="inlineStr">
        <is>
          <t>Standard Media</t>
        </is>
      </c>
      <c r="I1021" s="8" t="inlineStr">
        <is>
          <t>Outdoor Banner - Outdoor Adventure Center</t>
        </is>
      </c>
      <c r="J1021" s="11" t="inlineStr">
        <is>
          <t>6' x 3'</t>
        </is>
      </c>
      <c r="K1021" s="8" t="inlineStr">
        <is>
          <t>Your ad will appear on the Outdoor Adventure Center on the installation.</t>
        </is>
      </c>
      <c r="L1021" s="11" t="n">
        <v>3</v>
      </c>
      <c r="M1021" s="12" t="n"/>
      <c r="N1021" s="12" t="n">
        <v>375</v>
      </c>
      <c r="O1021" s="12" t="n">
        <v>675</v>
      </c>
      <c r="P1021" s="12" t="n">
        <v>1175</v>
      </c>
      <c r="Q1021" s="12" t="n">
        <v>200</v>
      </c>
      <c r="R1021" s="13">
        <f>IF(ISNUMBER(M1021),ROUND(M1021/(1-Settings!$B$2)/Settings!$B$3,0)*Settings!$B$3,"")</f>
        <v/>
      </c>
      <c r="S1021" s="13">
        <f>IF(ISNUMBER(N1021),ROUND(N1021/(1-Settings!$B$2)/Settings!$B$3,0)*Settings!$B$3,"")</f>
        <v/>
      </c>
      <c r="T1021" s="13">
        <f>IF(ISNUMBER(O1021),ROUND(O1021/(1-Settings!$B$2)/Settings!$B$3,0)*Settings!$B$3,"")</f>
        <v/>
      </c>
      <c r="U1021" s="13">
        <f>IF(ISNUMBER(P1021),ROUND(P1021/(1-Settings!$B$2)/Settings!$B$3,0)*Settings!$B$3,"")</f>
        <v/>
      </c>
      <c r="V1021" s="13">
        <f>IF(ISNUMBER(Q1021),ROUND(Q1021/(1-Settings!$B$2)/Settings!$B$3,0)*Settings!$B$3,"")</f>
        <v/>
      </c>
      <c r="W1021" s="14" t="n">
        <v>12218</v>
      </c>
      <c r="X1021" s="14" t="n">
        <v>11261</v>
      </c>
      <c r="Y1021" s="11" t="inlineStr"/>
      <c r="Z1021" s="11" t="inlineStr"/>
      <c r="AA1021" s="8" t="inlineStr"/>
      <c r="AB1021" s="8" t="inlineStr"/>
      <c r="AC1021" s="11" t="inlineStr">
        <is>
          <t>MasterMilitaryOnBaseList 12.2.25 NS.xlsx</t>
        </is>
      </c>
      <c r="AD1021" s="11" t="inlineStr">
        <is>
          <t>2026 FLW Sponsorship &amp; Advertising Guide.pdf</t>
        </is>
      </c>
      <c r="AE1021" s="15" t="inlineStr">
        <is>
          <t>Open in Box</t>
        </is>
      </c>
      <c r="AF1021" s="15" t="inlineStr">
        <is>
          <t>Open in Box</t>
        </is>
      </c>
    </row>
    <row r="1022">
      <c r="A1022" s="11" t="inlineStr">
        <is>
          <t>MO-FORTLEON-012</t>
        </is>
      </c>
      <c r="B1022" s="8" t="inlineStr">
        <is>
          <t>Fort Leonard Wood</t>
        </is>
      </c>
      <c r="C1022" s="11" t="inlineStr"/>
      <c r="D1022" s="11" t="inlineStr">
        <is>
          <t>MO</t>
        </is>
      </c>
      <c r="E1022" s="11" t="inlineStr">
        <is>
          <t>Springfield, Mo</t>
        </is>
      </c>
      <c r="F1022" s="11" t="inlineStr">
        <is>
          <t>65473</t>
        </is>
      </c>
      <c r="G1022" s="11" t="inlineStr">
        <is>
          <t>Army</t>
        </is>
      </c>
      <c r="H1022" s="11" t="inlineStr">
        <is>
          <t>Standard Media</t>
        </is>
      </c>
      <c r="I1022" s="8" t="inlineStr">
        <is>
          <t>Outdoor Banner - Paw Park</t>
        </is>
      </c>
      <c r="J1022" s="11" t="inlineStr">
        <is>
          <t>6' x 3'</t>
        </is>
      </c>
      <c r="K1022" s="8" t="inlineStr">
        <is>
          <t>Your ad will appear in Paw Park on the installation.</t>
        </is>
      </c>
      <c r="L1022" s="11" t="n">
        <v>3</v>
      </c>
      <c r="M1022" s="12" t="n"/>
      <c r="N1022" s="12" t="n">
        <v>200</v>
      </c>
      <c r="O1022" s="12" t="n">
        <v>325</v>
      </c>
      <c r="P1022" s="12" t="n">
        <v>600</v>
      </c>
      <c r="Q1022" s="12" t="n">
        <v>200</v>
      </c>
      <c r="R1022" s="13">
        <f>IF(ISNUMBER(M1022),ROUND(M1022/(1-Settings!$B$2)/Settings!$B$3,0)*Settings!$B$3,"")</f>
        <v/>
      </c>
      <c r="S1022" s="13">
        <f>IF(ISNUMBER(N1022),ROUND(N1022/(1-Settings!$B$2)/Settings!$B$3,0)*Settings!$B$3,"")</f>
        <v/>
      </c>
      <c r="T1022" s="13">
        <f>IF(ISNUMBER(O1022),ROUND(O1022/(1-Settings!$B$2)/Settings!$B$3,0)*Settings!$B$3,"")</f>
        <v/>
      </c>
      <c r="U1022" s="13">
        <f>IF(ISNUMBER(P1022),ROUND(P1022/(1-Settings!$B$2)/Settings!$B$3,0)*Settings!$B$3,"")</f>
        <v/>
      </c>
      <c r="V1022" s="13">
        <f>IF(ISNUMBER(Q1022),ROUND(Q1022/(1-Settings!$B$2)/Settings!$B$3,0)*Settings!$B$3,"")</f>
        <v/>
      </c>
      <c r="W1022" s="14" t="n">
        <v>12218</v>
      </c>
      <c r="X1022" s="14" t="n">
        <v>11261</v>
      </c>
      <c r="Y1022" s="11" t="inlineStr"/>
      <c r="Z1022" s="11" t="inlineStr"/>
      <c r="AA1022" s="8" t="inlineStr"/>
      <c r="AB1022" s="8" t="inlineStr"/>
      <c r="AC1022" s="11" t="inlineStr">
        <is>
          <t>MasterMilitaryOnBaseList 12.2.25 NS.xlsx</t>
        </is>
      </c>
      <c r="AD1022" s="11" t="inlineStr">
        <is>
          <t>2026 FLW Sponsorship &amp; Advertising Guide.pdf</t>
        </is>
      </c>
      <c r="AE1022" s="15" t="inlineStr">
        <is>
          <t>Open in Box</t>
        </is>
      </c>
      <c r="AF1022" s="15" t="inlineStr">
        <is>
          <t>Open in Box</t>
        </is>
      </c>
    </row>
    <row r="1023">
      <c r="A1023" s="11" t="inlineStr">
        <is>
          <t>MO-FORTLEON-013</t>
        </is>
      </c>
      <c r="B1023" s="8" t="inlineStr">
        <is>
          <t>Fort Leonard Wood</t>
        </is>
      </c>
      <c r="C1023" s="11" t="inlineStr"/>
      <c r="D1023" s="11" t="inlineStr">
        <is>
          <t>MO</t>
        </is>
      </c>
      <c r="E1023" s="11" t="inlineStr">
        <is>
          <t>Springfield, Mo</t>
        </is>
      </c>
      <c r="F1023" s="11" t="inlineStr">
        <is>
          <t>65473</t>
        </is>
      </c>
      <c r="G1023" s="11" t="inlineStr">
        <is>
          <t>Army</t>
        </is>
      </c>
      <c r="H1023" s="11" t="inlineStr">
        <is>
          <t>Standard Media</t>
        </is>
      </c>
      <c r="I1023" s="8" t="inlineStr">
        <is>
          <t>Outdoor Banner - Piney Valley Golf Course</t>
        </is>
      </c>
      <c r="J1023" s="11" t="inlineStr">
        <is>
          <t>6' x 3'</t>
        </is>
      </c>
      <c r="K1023" s="8" t="inlineStr">
        <is>
          <t>Your ad will appear on the Piney Valley Golf Course on the installation.</t>
        </is>
      </c>
      <c r="L1023" s="11" t="n">
        <v>3</v>
      </c>
      <c r="M1023" s="12" t="n"/>
      <c r="N1023" s="12" t="n">
        <v>300</v>
      </c>
      <c r="O1023" s="12" t="n">
        <v>500</v>
      </c>
      <c r="P1023" s="12" t="n">
        <v>850</v>
      </c>
      <c r="Q1023" s="12" t="n">
        <v>200</v>
      </c>
      <c r="R1023" s="13">
        <f>IF(ISNUMBER(M1023),ROUND(M1023/(1-Settings!$B$2)/Settings!$B$3,0)*Settings!$B$3,"")</f>
        <v/>
      </c>
      <c r="S1023" s="13">
        <f>IF(ISNUMBER(N1023),ROUND(N1023/(1-Settings!$B$2)/Settings!$B$3,0)*Settings!$B$3,"")</f>
        <v/>
      </c>
      <c r="T1023" s="13">
        <f>IF(ISNUMBER(O1023),ROUND(O1023/(1-Settings!$B$2)/Settings!$B$3,0)*Settings!$B$3,"")</f>
        <v/>
      </c>
      <c r="U1023" s="13">
        <f>IF(ISNUMBER(P1023),ROUND(P1023/(1-Settings!$B$2)/Settings!$B$3,0)*Settings!$B$3,"")</f>
        <v/>
      </c>
      <c r="V1023" s="13">
        <f>IF(ISNUMBER(Q1023),ROUND(Q1023/(1-Settings!$B$2)/Settings!$B$3,0)*Settings!$B$3,"")</f>
        <v/>
      </c>
      <c r="W1023" s="14" t="n">
        <v>12218</v>
      </c>
      <c r="X1023" s="14" t="n">
        <v>11261</v>
      </c>
      <c r="Y1023" s="11" t="inlineStr"/>
      <c r="Z1023" s="11" t="inlineStr"/>
      <c r="AA1023" s="8" t="inlineStr"/>
      <c r="AB1023" s="8" t="inlineStr"/>
      <c r="AC1023" s="11" t="inlineStr">
        <is>
          <t>MasterMilitaryOnBaseList 12.2.25 NS.xlsx</t>
        </is>
      </c>
      <c r="AD1023" s="11" t="inlineStr">
        <is>
          <t>2026 FLW Sponsorship &amp; Advertising Guide.pdf</t>
        </is>
      </c>
      <c r="AE1023" s="15" t="inlineStr">
        <is>
          <t>Open in Box</t>
        </is>
      </c>
      <c r="AF1023" s="15" t="inlineStr">
        <is>
          <t>Open in Box</t>
        </is>
      </c>
    </row>
    <row r="1024">
      <c r="A1024" s="11" t="inlineStr">
        <is>
          <t>MO-FORTLEON-014</t>
        </is>
      </c>
      <c r="B1024" s="8" t="inlineStr">
        <is>
          <t>Fort Leonard Wood</t>
        </is>
      </c>
      <c r="C1024" s="11" t="inlineStr"/>
      <c r="D1024" s="11" t="inlineStr">
        <is>
          <t>MO</t>
        </is>
      </c>
      <c r="E1024" s="11" t="inlineStr">
        <is>
          <t>Springfield, Mo</t>
        </is>
      </c>
      <c r="F1024" s="11" t="inlineStr">
        <is>
          <t>65473</t>
        </is>
      </c>
      <c r="G1024" s="11" t="inlineStr">
        <is>
          <t>Army</t>
        </is>
      </c>
      <c r="H1024" s="11" t="inlineStr">
        <is>
          <t>Standard Media</t>
        </is>
      </c>
      <c r="I1024" s="8" t="inlineStr">
        <is>
          <t>Outdoor Banner - Rec Plex</t>
        </is>
      </c>
      <c r="J1024" s="11" t="inlineStr">
        <is>
          <t>6' x 3'</t>
        </is>
      </c>
      <c r="K1024" s="8" t="inlineStr">
        <is>
          <t>Your ad will appear on the Rec Plex on the installation.</t>
        </is>
      </c>
      <c r="L1024" s="11" t="n">
        <v>3</v>
      </c>
      <c r="M1024" s="12" t="n"/>
      <c r="N1024" s="12" t="n">
        <v>500</v>
      </c>
      <c r="O1024" s="12" t="n">
        <v>875</v>
      </c>
      <c r="P1024" s="12" t="n">
        <v>1500</v>
      </c>
      <c r="Q1024" s="12" t="n">
        <v>200</v>
      </c>
      <c r="R1024" s="13">
        <f>IF(ISNUMBER(M1024),ROUND(M1024/(1-Settings!$B$2)/Settings!$B$3,0)*Settings!$B$3,"")</f>
        <v/>
      </c>
      <c r="S1024" s="13">
        <f>IF(ISNUMBER(N1024),ROUND(N1024/(1-Settings!$B$2)/Settings!$B$3,0)*Settings!$B$3,"")</f>
        <v/>
      </c>
      <c r="T1024" s="13">
        <f>IF(ISNUMBER(O1024),ROUND(O1024/(1-Settings!$B$2)/Settings!$B$3,0)*Settings!$B$3,"")</f>
        <v/>
      </c>
      <c r="U1024" s="13">
        <f>IF(ISNUMBER(P1024),ROUND(P1024/(1-Settings!$B$2)/Settings!$B$3,0)*Settings!$B$3,"")</f>
        <v/>
      </c>
      <c r="V1024" s="13">
        <f>IF(ISNUMBER(Q1024),ROUND(Q1024/(1-Settings!$B$2)/Settings!$B$3,0)*Settings!$B$3,"")</f>
        <v/>
      </c>
      <c r="W1024" s="14" t="n">
        <v>12218</v>
      </c>
      <c r="X1024" s="14" t="n">
        <v>11261</v>
      </c>
      <c r="Y1024" s="11" t="inlineStr"/>
      <c r="Z1024" s="11" t="inlineStr"/>
      <c r="AA1024" s="8" t="inlineStr"/>
      <c r="AB1024" s="8" t="inlineStr"/>
      <c r="AC1024" s="11" t="inlineStr">
        <is>
          <t>MasterMilitaryOnBaseList 12.2.25 NS.xlsx</t>
        </is>
      </c>
      <c r="AD1024" s="11" t="inlineStr">
        <is>
          <t>2026 FLW Sponsorship &amp; Advertising Guide.pdf</t>
        </is>
      </c>
      <c r="AE1024" s="15" t="inlineStr">
        <is>
          <t>Open in Box</t>
        </is>
      </c>
      <c r="AF1024" s="15" t="inlineStr">
        <is>
          <t>Open in Box</t>
        </is>
      </c>
    </row>
    <row r="1025">
      <c r="A1025" s="11" t="inlineStr">
        <is>
          <t>MO-FORTLEON-015</t>
        </is>
      </c>
      <c r="B1025" s="8" t="inlineStr">
        <is>
          <t>Fort Leonard Wood</t>
        </is>
      </c>
      <c r="C1025" s="11" t="inlineStr"/>
      <c r="D1025" s="11" t="inlineStr">
        <is>
          <t>MO</t>
        </is>
      </c>
      <c r="E1025" s="11" t="inlineStr">
        <is>
          <t>Springfield, Mo</t>
        </is>
      </c>
      <c r="F1025" s="11" t="inlineStr">
        <is>
          <t>65473</t>
        </is>
      </c>
      <c r="G1025" s="11" t="inlineStr">
        <is>
          <t>Army</t>
        </is>
      </c>
      <c r="H1025" s="11" t="inlineStr">
        <is>
          <t>Standard Media</t>
        </is>
      </c>
      <c r="I1025" s="8" t="inlineStr">
        <is>
          <t>Outdoor Banner - Specker Gym</t>
        </is>
      </c>
      <c r="J1025" s="11" t="inlineStr">
        <is>
          <t>8' x 8'</t>
        </is>
      </c>
      <c r="K1025" s="8" t="inlineStr">
        <is>
          <t>Your ad will appear on the Specker Gym on the installation.</t>
        </is>
      </c>
      <c r="L1025" s="11" t="n">
        <v>3</v>
      </c>
      <c r="M1025" s="12" t="n"/>
      <c r="N1025" s="12" t="n">
        <v>700</v>
      </c>
      <c r="O1025" s="12" t="n">
        <v>1200</v>
      </c>
      <c r="P1025" s="12" t="n">
        <v>1700</v>
      </c>
      <c r="Q1025" s="12" t="n">
        <v>200</v>
      </c>
      <c r="R1025" s="13">
        <f>IF(ISNUMBER(M1025),ROUND(M1025/(1-Settings!$B$2)/Settings!$B$3,0)*Settings!$B$3,"")</f>
        <v/>
      </c>
      <c r="S1025" s="13">
        <f>IF(ISNUMBER(N1025),ROUND(N1025/(1-Settings!$B$2)/Settings!$B$3,0)*Settings!$B$3,"")</f>
        <v/>
      </c>
      <c r="T1025" s="13">
        <f>IF(ISNUMBER(O1025),ROUND(O1025/(1-Settings!$B$2)/Settings!$B$3,0)*Settings!$B$3,"")</f>
        <v/>
      </c>
      <c r="U1025" s="13">
        <f>IF(ISNUMBER(P1025),ROUND(P1025/(1-Settings!$B$2)/Settings!$B$3,0)*Settings!$B$3,"")</f>
        <v/>
      </c>
      <c r="V1025" s="13">
        <f>IF(ISNUMBER(Q1025),ROUND(Q1025/(1-Settings!$B$2)/Settings!$B$3,0)*Settings!$B$3,"")</f>
        <v/>
      </c>
      <c r="W1025" s="14" t="n">
        <v>12218</v>
      </c>
      <c r="X1025" s="14" t="n">
        <v>11261</v>
      </c>
      <c r="Y1025" s="11" t="inlineStr"/>
      <c r="Z1025" s="11" t="inlineStr"/>
      <c r="AA1025" s="8" t="inlineStr"/>
      <c r="AB1025" s="8" t="inlineStr"/>
      <c r="AC1025" s="11" t="inlineStr">
        <is>
          <t>MasterMilitaryOnBaseList 12.2.25 NS.xlsx</t>
        </is>
      </c>
      <c r="AD1025" s="11" t="inlineStr">
        <is>
          <t>2026 FLW Sponsorship &amp; Advertising Guide.pdf</t>
        </is>
      </c>
      <c r="AE1025" s="15" t="inlineStr">
        <is>
          <t>Open in Box</t>
        </is>
      </c>
      <c r="AF1025" s="15" t="inlineStr">
        <is>
          <t>Open in Box</t>
        </is>
      </c>
    </row>
    <row r="1026">
      <c r="A1026" s="11" t="inlineStr">
        <is>
          <t>MO-FORTLEON-016</t>
        </is>
      </c>
      <c r="B1026" s="8" t="inlineStr">
        <is>
          <t>Fort Leonard Wood</t>
        </is>
      </c>
      <c r="C1026" s="11" t="inlineStr"/>
      <c r="D1026" s="11" t="inlineStr">
        <is>
          <t>MO</t>
        </is>
      </c>
      <c r="E1026" s="11" t="inlineStr">
        <is>
          <t>Springfield, Mo</t>
        </is>
      </c>
      <c r="F1026" s="11" t="inlineStr">
        <is>
          <t>65473</t>
        </is>
      </c>
      <c r="G1026" s="11" t="inlineStr">
        <is>
          <t>Army</t>
        </is>
      </c>
      <c r="H1026" s="11" t="inlineStr">
        <is>
          <t>Standard Media</t>
        </is>
      </c>
      <c r="I1026" s="8" t="inlineStr">
        <is>
          <t>Outdoor Banner - Sports Complex</t>
        </is>
      </c>
      <c r="J1026" s="11" t="inlineStr">
        <is>
          <t>6' x 3'</t>
        </is>
      </c>
      <c r="K1026" s="8" t="inlineStr">
        <is>
          <t>Your ad will appear on the Sports Complex on the installation.</t>
        </is>
      </c>
      <c r="L1026" s="11" t="n">
        <v>3</v>
      </c>
      <c r="M1026" s="12" t="n"/>
      <c r="N1026" s="12" t="n">
        <v>500</v>
      </c>
      <c r="O1026" s="12" t="n">
        <v>900</v>
      </c>
      <c r="P1026" s="12" t="n">
        <v>1500</v>
      </c>
      <c r="Q1026" s="12" t="n">
        <v>200</v>
      </c>
      <c r="R1026" s="13">
        <f>IF(ISNUMBER(M1026),ROUND(M1026/(1-Settings!$B$2)/Settings!$B$3,0)*Settings!$B$3,"")</f>
        <v/>
      </c>
      <c r="S1026" s="13">
        <f>IF(ISNUMBER(N1026),ROUND(N1026/(1-Settings!$B$2)/Settings!$B$3,0)*Settings!$B$3,"")</f>
        <v/>
      </c>
      <c r="T1026" s="13">
        <f>IF(ISNUMBER(O1026),ROUND(O1026/(1-Settings!$B$2)/Settings!$B$3,0)*Settings!$B$3,"")</f>
        <v/>
      </c>
      <c r="U1026" s="13">
        <f>IF(ISNUMBER(P1026),ROUND(P1026/(1-Settings!$B$2)/Settings!$B$3,0)*Settings!$B$3,"")</f>
        <v/>
      </c>
      <c r="V1026" s="13">
        <f>IF(ISNUMBER(Q1026),ROUND(Q1026/(1-Settings!$B$2)/Settings!$B$3,0)*Settings!$B$3,"")</f>
        <v/>
      </c>
      <c r="W1026" s="14" t="n">
        <v>12218</v>
      </c>
      <c r="X1026" s="14" t="n">
        <v>11261</v>
      </c>
      <c r="Y1026" s="11" t="inlineStr"/>
      <c r="Z1026" s="11" t="inlineStr"/>
      <c r="AA1026" s="8" t="inlineStr"/>
      <c r="AB1026" s="8" t="inlineStr"/>
      <c r="AC1026" s="11" t="inlineStr">
        <is>
          <t>MasterMilitaryOnBaseList 12.2.25 NS.xlsx</t>
        </is>
      </c>
      <c r="AD1026" s="11" t="inlineStr">
        <is>
          <t>2026 FLW Sponsorship &amp; Advertising Guide.pdf</t>
        </is>
      </c>
      <c r="AE1026" s="15" t="inlineStr">
        <is>
          <t>Open in Box</t>
        </is>
      </c>
      <c r="AF1026" s="15" t="inlineStr">
        <is>
          <t>Open in Box</t>
        </is>
      </c>
    </row>
    <row r="1027">
      <c r="A1027" s="11" t="inlineStr">
        <is>
          <t>MO-FORTLEON-017</t>
        </is>
      </c>
      <c r="B1027" s="8" t="inlineStr">
        <is>
          <t>Fort Leonard Wood</t>
        </is>
      </c>
      <c r="C1027" s="11" t="inlineStr"/>
      <c r="D1027" s="11" t="inlineStr">
        <is>
          <t>MO</t>
        </is>
      </c>
      <c r="E1027" s="11" t="inlineStr">
        <is>
          <t>Springfield, Mo</t>
        </is>
      </c>
      <c r="F1027" s="11" t="inlineStr">
        <is>
          <t>65473</t>
        </is>
      </c>
      <c r="G1027" s="11" t="inlineStr">
        <is>
          <t>Army</t>
        </is>
      </c>
      <c r="H1027" s="11" t="inlineStr">
        <is>
          <t>Standard Media</t>
        </is>
      </c>
      <c r="I1027" s="8" t="inlineStr">
        <is>
          <t>Outdoor Banner - Youth Sports</t>
        </is>
      </c>
      <c r="J1027" s="11" t="inlineStr">
        <is>
          <t>6' x 3'</t>
        </is>
      </c>
      <c r="K1027" s="8" t="inlineStr">
        <is>
          <t>Your ad will appear on the Youth Sports Fenceline on the installation.</t>
        </is>
      </c>
      <c r="L1027" s="11" t="n">
        <v>3</v>
      </c>
      <c r="M1027" s="12" t="n"/>
      <c r="N1027" s="12" t="n">
        <v>525</v>
      </c>
      <c r="O1027" s="12" t="n">
        <v>900</v>
      </c>
      <c r="P1027" s="12" t="n">
        <v>1550</v>
      </c>
      <c r="Q1027" s="12" t="n">
        <v>200</v>
      </c>
      <c r="R1027" s="13">
        <f>IF(ISNUMBER(M1027),ROUND(M1027/(1-Settings!$B$2)/Settings!$B$3,0)*Settings!$B$3,"")</f>
        <v/>
      </c>
      <c r="S1027" s="13">
        <f>IF(ISNUMBER(N1027),ROUND(N1027/(1-Settings!$B$2)/Settings!$B$3,0)*Settings!$B$3,"")</f>
        <v/>
      </c>
      <c r="T1027" s="13">
        <f>IF(ISNUMBER(O1027),ROUND(O1027/(1-Settings!$B$2)/Settings!$B$3,0)*Settings!$B$3,"")</f>
        <v/>
      </c>
      <c r="U1027" s="13">
        <f>IF(ISNUMBER(P1027),ROUND(P1027/(1-Settings!$B$2)/Settings!$B$3,0)*Settings!$B$3,"")</f>
        <v/>
      </c>
      <c r="V1027" s="13">
        <f>IF(ISNUMBER(Q1027),ROUND(Q1027/(1-Settings!$B$2)/Settings!$B$3,0)*Settings!$B$3,"")</f>
        <v/>
      </c>
      <c r="W1027" s="14" t="n">
        <v>12218</v>
      </c>
      <c r="X1027" s="14" t="n">
        <v>11261</v>
      </c>
      <c r="Y1027" s="11" t="inlineStr"/>
      <c r="Z1027" s="11" t="inlineStr"/>
      <c r="AA1027" s="8" t="inlineStr"/>
      <c r="AB1027" s="8" t="inlineStr"/>
      <c r="AC1027" s="11" t="inlineStr">
        <is>
          <t>MasterMilitaryOnBaseList 12.2.25 NS.xlsx</t>
        </is>
      </c>
      <c r="AD1027" s="11" t="inlineStr">
        <is>
          <t>2026 FLW Sponsorship &amp; Advertising Guide.pdf</t>
        </is>
      </c>
      <c r="AE1027" s="15" t="inlineStr">
        <is>
          <t>Open in Box</t>
        </is>
      </c>
      <c r="AF1027" s="15" t="inlineStr">
        <is>
          <t>Open in Box</t>
        </is>
      </c>
    </row>
    <row r="1028">
      <c r="A1028" s="11" t="inlineStr">
        <is>
          <t>MO-FORTLEON-018</t>
        </is>
      </c>
      <c r="B1028" s="8" t="inlineStr">
        <is>
          <t>Fort Leonard Wood</t>
        </is>
      </c>
      <c r="C1028" s="11" t="inlineStr"/>
      <c r="D1028" s="11" t="inlineStr">
        <is>
          <t>MO</t>
        </is>
      </c>
      <c r="E1028" s="11" t="inlineStr">
        <is>
          <t>Springfield, Mo</t>
        </is>
      </c>
      <c r="F1028" s="11" t="inlineStr">
        <is>
          <t>65473</t>
        </is>
      </c>
      <c r="G1028" s="11" t="inlineStr">
        <is>
          <t>Army</t>
        </is>
      </c>
      <c r="H1028" s="11" t="inlineStr">
        <is>
          <t>Standard Media</t>
        </is>
      </c>
      <c r="I1028" s="8" t="inlineStr">
        <is>
          <t>Poster - Auto Skills Center</t>
        </is>
      </c>
      <c r="J1028" s="11" t="inlineStr">
        <is>
          <t>22" x 28"</t>
        </is>
      </c>
      <c r="K1028" s="8" t="inlineStr">
        <is>
          <t>Your ad will appear in the Auto Skills Center on the installation.</t>
        </is>
      </c>
      <c r="L1028" s="11" t="n">
        <v>3</v>
      </c>
      <c r="M1028" s="12" t="n"/>
      <c r="N1028" s="12" t="n">
        <v>150</v>
      </c>
      <c r="O1028" s="12" t="n">
        <v>275</v>
      </c>
      <c r="P1028" s="12" t="n">
        <v>500</v>
      </c>
      <c r="Q1028" s="12" t="n">
        <v>100</v>
      </c>
      <c r="R1028" s="13">
        <f>IF(ISNUMBER(M1028),ROUND(M1028/(1-Settings!$B$2)/Settings!$B$3,0)*Settings!$B$3,"")</f>
        <v/>
      </c>
      <c r="S1028" s="13">
        <f>IF(ISNUMBER(N1028),ROUND(N1028/(1-Settings!$B$2)/Settings!$B$3,0)*Settings!$B$3,"")</f>
        <v/>
      </c>
      <c r="T1028" s="13">
        <f>IF(ISNUMBER(O1028),ROUND(O1028/(1-Settings!$B$2)/Settings!$B$3,0)*Settings!$B$3,"")</f>
        <v/>
      </c>
      <c r="U1028" s="13">
        <f>IF(ISNUMBER(P1028),ROUND(P1028/(1-Settings!$B$2)/Settings!$B$3,0)*Settings!$B$3,"")</f>
        <v/>
      </c>
      <c r="V1028" s="13">
        <f>IF(ISNUMBER(Q1028),ROUND(Q1028/(1-Settings!$B$2)/Settings!$B$3,0)*Settings!$B$3,"")</f>
        <v/>
      </c>
      <c r="W1028" s="14" t="n">
        <v>12218</v>
      </c>
      <c r="X1028" s="14" t="n">
        <v>11261</v>
      </c>
      <c r="Y1028" s="11" t="inlineStr"/>
      <c r="Z1028" s="11" t="inlineStr"/>
      <c r="AA1028" s="8" t="inlineStr"/>
      <c r="AB1028" s="8" t="inlineStr"/>
      <c r="AC1028" s="11" t="inlineStr">
        <is>
          <t>MasterMilitaryOnBaseList 12.2.25 NS.xlsx</t>
        </is>
      </c>
      <c r="AD1028" s="11" t="inlineStr">
        <is>
          <t>2026 FLW Sponsorship &amp; Advertising Guide.pdf</t>
        </is>
      </c>
      <c r="AE1028" s="15" t="inlineStr">
        <is>
          <t>Open in Box</t>
        </is>
      </c>
      <c r="AF1028" s="15" t="inlineStr">
        <is>
          <t>Open in Box</t>
        </is>
      </c>
    </row>
    <row r="1029">
      <c r="A1029" s="11" t="inlineStr">
        <is>
          <t>MO-FORTLEON-019</t>
        </is>
      </c>
      <c r="B1029" s="8" t="inlineStr">
        <is>
          <t>Fort Leonard Wood</t>
        </is>
      </c>
      <c r="C1029" s="11" t="inlineStr"/>
      <c r="D1029" s="11" t="inlineStr">
        <is>
          <t>MO</t>
        </is>
      </c>
      <c r="E1029" s="11" t="inlineStr">
        <is>
          <t>Springfield, Mo</t>
        </is>
      </c>
      <c r="F1029" s="11" t="inlineStr">
        <is>
          <t>65473</t>
        </is>
      </c>
      <c r="G1029" s="11" t="inlineStr">
        <is>
          <t>Army</t>
        </is>
      </c>
      <c r="H1029" s="11" t="inlineStr">
        <is>
          <t>Standard Media</t>
        </is>
      </c>
      <c r="I1029" s="8" t="inlineStr">
        <is>
          <t>Poster - BOSS Corner</t>
        </is>
      </c>
      <c r="J1029" s="11" t="inlineStr">
        <is>
          <t>22" x 28"</t>
        </is>
      </c>
      <c r="K1029" s="8" t="inlineStr">
        <is>
          <t>Your ad will appear in the BOSS Corner on the installation.</t>
        </is>
      </c>
      <c r="L1029" s="11" t="n">
        <v>3</v>
      </c>
      <c r="M1029" s="12" t="n"/>
      <c r="N1029" s="12" t="n">
        <v>225</v>
      </c>
      <c r="O1029" s="12" t="n">
        <v>375</v>
      </c>
      <c r="P1029" s="12" t="n">
        <v>600</v>
      </c>
      <c r="Q1029" s="12" t="n">
        <v>100</v>
      </c>
      <c r="R1029" s="13">
        <f>IF(ISNUMBER(M1029),ROUND(M1029/(1-Settings!$B$2)/Settings!$B$3,0)*Settings!$B$3,"")</f>
        <v/>
      </c>
      <c r="S1029" s="13">
        <f>IF(ISNUMBER(N1029),ROUND(N1029/(1-Settings!$B$2)/Settings!$B$3,0)*Settings!$B$3,"")</f>
        <v/>
      </c>
      <c r="T1029" s="13">
        <f>IF(ISNUMBER(O1029),ROUND(O1029/(1-Settings!$B$2)/Settings!$B$3,0)*Settings!$B$3,"")</f>
        <v/>
      </c>
      <c r="U1029" s="13">
        <f>IF(ISNUMBER(P1029),ROUND(P1029/(1-Settings!$B$2)/Settings!$B$3,0)*Settings!$B$3,"")</f>
        <v/>
      </c>
      <c r="V1029" s="13">
        <f>IF(ISNUMBER(Q1029),ROUND(Q1029/(1-Settings!$B$2)/Settings!$B$3,0)*Settings!$B$3,"")</f>
        <v/>
      </c>
      <c r="W1029" s="14" t="n">
        <v>12218</v>
      </c>
      <c r="X1029" s="14" t="n">
        <v>11261</v>
      </c>
      <c r="Y1029" s="11" t="inlineStr"/>
      <c r="Z1029" s="11" t="inlineStr"/>
      <c r="AA1029" s="8" t="inlineStr"/>
      <c r="AB1029" s="8" t="inlineStr"/>
      <c r="AC1029" s="11" t="inlineStr">
        <is>
          <t>MasterMilitaryOnBaseList 12.2.25 NS.xlsx</t>
        </is>
      </c>
      <c r="AD1029" s="11" t="inlineStr">
        <is>
          <t>2026 FLW Sponsorship &amp; Advertising Guide.pdf</t>
        </is>
      </c>
      <c r="AE1029" s="15" t="inlineStr">
        <is>
          <t>Open in Box</t>
        </is>
      </c>
      <c r="AF1029" s="15" t="inlineStr">
        <is>
          <t>Open in Box</t>
        </is>
      </c>
    </row>
    <row r="1030">
      <c r="A1030" s="11" t="inlineStr">
        <is>
          <t>MO-FORTLEON-020</t>
        </is>
      </c>
      <c r="B1030" s="8" t="inlineStr">
        <is>
          <t>Fort Leonard Wood</t>
        </is>
      </c>
      <c r="C1030" s="11" t="inlineStr"/>
      <c r="D1030" s="11" t="inlineStr">
        <is>
          <t>MO</t>
        </is>
      </c>
      <c r="E1030" s="11" t="inlineStr">
        <is>
          <t>Springfield, Mo</t>
        </is>
      </c>
      <c r="F1030" s="11" t="inlineStr">
        <is>
          <t>65473</t>
        </is>
      </c>
      <c r="G1030" s="11" t="inlineStr">
        <is>
          <t>Army</t>
        </is>
      </c>
      <c r="H1030" s="11" t="inlineStr">
        <is>
          <t>Standard Media</t>
        </is>
      </c>
      <c r="I1030" s="8" t="inlineStr">
        <is>
          <t>Poster - Davidson Fitness Center</t>
        </is>
      </c>
      <c r="J1030" s="11" t="inlineStr">
        <is>
          <t>22" x 28"</t>
        </is>
      </c>
      <c r="K1030" s="8" t="inlineStr">
        <is>
          <t>Your ad will appear in the Davidson Fitness Center on the installation.</t>
        </is>
      </c>
      <c r="L1030" s="11" t="n">
        <v>3</v>
      </c>
      <c r="M1030" s="12" t="n"/>
      <c r="N1030" s="12" t="n">
        <v>450</v>
      </c>
      <c r="O1030" s="12" t="n">
        <v>750</v>
      </c>
      <c r="P1030" s="12" t="n">
        <v>1200</v>
      </c>
      <c r="Q1030" s="12" t="n">
        <v>100</v>
      </c>
      <c r="R1030" s="13">
        <f>IF(ISNUMBER(M1030),ROUND(M1030/(1-Settings!$B$2)/Settings!$B$3,0)*Settings!$B$3,"")</f>
        <v/>
      </c>
      <c r="S1030" s="13">
        <f>IF(ISNUMBER(N1030),ROUND(N1030/(1-Settings!$B$2)/Settings!$B$3,0)*Settings!$B$3,"")</f>
        <v/>
      </c>
      <c r="T1030" s="13">
        <f>IF(ISNUMBER(O1030),ROUND(O1030/(1-Settings!$B$2)/Settings!$B$3,0)*Settings!$B$3,"")</f>
        <v/>
      </c>
      <c r="U1030" s="13">
        <f>IF(ISNUMBER(P1030),ROUND(P1030/(1-Settings!$B$2)/Settings!$B$3,0)*Settings!$B$3,"")</f>
        <v/>
      </c>
      <c r="V1030" s="13">
        <f>IF(ISNUMBER(Q1030),ROUND(Q1030/(1-Settings!$B$2)/Settings!$B$3,0)*Settings!$B$3,"")</f>
        <v/>
      </c>
      <c r="W1030" s="14" t="n">
        <v>12218</v>
      </c>
      <c r="X1030" s="14" t="n">
        <v>11261</v>
      </c>
      <c r="Y1030" s="11" t="inlineStr"/>
      <c r="Z1030" s="11" t="inlineStr"/>
      <c r="AA1030" s="8" t="inlineStr"/>
      <c r="AB1030" s="8" t="inlineStr"/>
      <c r="AC1030" s="11" t="inlineStr">
        <is>
          <t>MasterMilitaryOnBaseList 12.2.25 NS.xlsx</t>
        </is>
      </c>
      <c r="AD1030" s="11" t="inlineStr">
        <is>
          <t>2026 FLW Sponsorship &amp; Advertising Guide.pdf</t>
        </is>
      </c>
      <c r="AE1030" s="15" t="inlineStr">
        <is>
          <t>Open in Box</t>
        </is>
      </c>
      <c r="AF1030" s="15" t="inlineStr">
        <is>
          <t>Open in Box</t>
        </is>
      </c>
    </row>
    <row r="1031">
      <c r="A1031" s="11" t="inlineStr">
        <is>
          <t>MO-FORTLEON-021</t>
        </is>
      </c>
      <c r="B1031" s="8" t="inlineStr">
        <is>
          <t>Fort Leonard Wood</t>
        </is>
      </c>
      <c r="C1031" s="11" t="inlineStr"/>
      <c r="D1031" s="11" t="inlineStr">
        <is>
          <t>MO</t>
        </is>
      </c>
      <c r="E1031" s="11" t="inlineStr">
        <is>
          <t>Springfield, Mo</t>
        </is>
      </c>
      <c r="F1031" s="11" t="inlineStr">
        <is>
          <t>65473</t>
        </is>
      </c>
      <c r="G1031" s="11" t="inlineStr">
        <is>
          <t>Army</t>
        </is>
      </c>
      <c r="H1031" s="11" t="inlineStr">
        <is>
          <t>Standard Media</t>
        </is>
      </c>
      <c r="I1031" s="8" t="inlineStr">
        <is>
          <t>Poster - Leisure Travel Services</t>
        </is>
      </c>
      <c r="J1031" s="11" t="inlineStr">
        <is>
          <t>22" x 28"</t>
        </is>
      </c>
      <c r="K1031" s="8" t="inlineStr">
        <is>
          <t>Your ad will appear in the Leisure Travel Services on the installation.</t>
        </is>
      </c>
      <c r="L1031" s="11" t="n">
        <v>3</v>
      </c>
      <c r="M1031" s="12" t="n"/>
      <c r="N1031" s="12" t="n">
        <v>300</v>
      </c>
      <c r="O1031" s="12" t="n">
        <v>450</v>
      </c>
      <c r="P1031" s="12" t="n">
        <v>725</v>
      </c>
      <c r="Q1031" s="12" t="n">
        <v>100</v>
      </c>
      <c r="R1031" s="13">
        <f>IF(ISNUMBER(M1031),ROUND(M1031/(1-Settings!$B$2)/Settings!$B$3,0)*Settings!$B$3,"")</f>
        <v/>
      </c>
      <c r="S1031" s="13">
        <f>IF(ISNUMBER(N1031),ROUND(N1031/(1-Settings!$B$2)/Settings!$B$3,0)*Settings!$B$3,"")</f>
        <v/>
      </c>
      <c r="T1031" s="13">
        <f>IF(ISNUMBER(O1031),ROUND(O1031/(1-Settings!$B$2)/Settings!$B$3,0)*Settings!$B$3,"")</f>
        <v/>
      </c>
      <c r="U1031" s="13">
        <f>IF(ISNUMBER(P1031),ROUND(P1031/(1-Settings!$B$2)/Settings!$B$3,0)*Settings!$B$3,"")</f>
        <v/>
      </c>
      <c r="V1031" s="13">
        <f>IF(ISNUMBER(Q1031),ROUND(Q1031/(1-Settings!$B$2)/Settings!$B$3,0)*Settings!$B$3,"")</f>
        <v/>
      </c>
      <c r="W1031" s="14" t="n">
        <v>12218</v>
      </c>
      <c r="X1031" s="14" t="n">
        <v>11261</v>
      </c>
      <c r="Y1031" s="11" t="inlineStr"/>
      <c r="Z1031" s="11" t="inlineStr"/>
      <c r="AA1031" s="8" t="inlineStr"/>
      <c r="AB1031" s="8" t="inlineStr"/>
      <c r="AC1031" s="11" t="inlineStr">
        <is>
          <t>MasterMilitaryOnBaseList 12.2.25 NS.xlsx</t>
        </is>
      </c>
      <c r="AD1031" s="11" t="inlineStr">
        <is>
          <t>2026 FLW Sponsorship &amp; Advertising Guide.pdf</t>
        </is>
      </c>
      <c r="AE1031" s="15" t="inlineStr">
        <is>
          <t>Open in Box</t>
        </is>
      </c>
      <c r="AF1031" s="15" t="inlineStr">
        <is>
          <t>Open in Box</t>
        </is>
      </c>
    </row>
    <row r="1032">
      <c r="A1032" s="11" t="inlineStr">
        <is>
          <t>MO-FORTLEON-022</t>
        </is>
      </c>
      <c r="B1032" s="8" t="inlineStr">
        <is>
          <t>Fort Leonard Wood</t>
        </is>
      </c>
      <c r="C1032" s="11" t="inlineStr"/>
      <c r="D1032" s="11" t="inlineStr">
        <is>
          <t>MO</t>
        </is>
      </c>
      <c r="E1032" s="11" t="inlineStr">
        <is>
          <t>Springfield, Mo</t>
        </is>
      </c>
      <c r="F1032" s="11" t="inlineStr">
        <is>
          <t>65473</t>
        </is>
      </c>
      <c r="G1032" s="11" t="inlineStr">
        <is>
          <t>Army</t>
        </is>
      </c>
      <c r="H1032" s="11" t="inlineStr">
        <is>
          <t>Standard Media</t>
        </is>
      </c>
      <c r="I1032" s="8" t="inlineStr">
        <is>
          <t>Poster - Outdoor Adventure Center</t>
        </is>
      </c>
      <c r="J1032" s="11" t="inlineStr">
        <is>
          <t>22" x 28"</t>
        </is>
      </c>
      <c r="K1032" s="8" t="inlineStr">
        <is>
          <t>Your ad will appear in the Outdoor Adventure Center on the installation.</t>
        </is>
      </c>
      <c r="L1032" s="11" t="n">
        <v>3</v>
      </c>
      <c r="M1032" s="12" t="n"/>
      <c r="N1032" s="12" t="n">
        <v>375</v>
      </c>
      <c r="O1032" s="12" t="n">
        <v>600</v>
      </c>
      <c r="P1032" s="12" t="n">
        <v>1080</v>
      </c>
      <c r="Q1032" s="12" t="n">
        <v>100</v>
      </c>
      <c r="R1032" s="13">
        <f>IF(ISNUMBER(M1032),ROUND(M1032/(1-Settings!$B$2)/Settings!$B$3,0)*Settings!$B$3,"")</f>
        <v/>
      </c>
      <c r="S1032" s="13">
        <f>IF(ISNUMBER(N1032),ROUND(N1032/(1-Settings!$B$2)/Settings!$B$3,0)*Settings!$B$3,"")</f>
        <v/>
      </c>
      <c r="T1032" s="13">
        <f>IF(ISNUMBER(O1032),ROUND(O1032/(1-Settings!$B$2)/Settings!$B$3,0)*Settings!$B$3,"")</f>
        <v/>
      </c>
      <c r="U1032" s="13">
        <f>IF(ISNUMBER(P1032),ROUND(P1032/(1-Settings!$B$2)/Settings!$B$3,0)*Settings!$B$3,"")</f>
        <v/>
      </c>
      <c r="V1032" s="13">
        <f>IF(ISNUMBER(Q1032),ROUND(Q1032/(1-Settings!$B$2)/Settings!$B$3,0)*Settings!$B$3,"")</f>
        <v/>
      </c>
      <c r="W1032" s="14" t="n">
        <v>12218</v>
      </c>
      <c r="X1032" s="14" t="n">
        <v>11261</v>
      </c>
      <c r="Y1032" s="11" t="inlineStr"/>
      <c r="Z1032" s="11" t="inlineStr"/>
      <c r="AA1032" s="8" t="inlineStr"/>
      <c r="AB1032" s="8" t="inlineStr"/>
      <c r="AC1032" s="11" t="inlineStr">
        <is>
          <t>MasterMilitaryOnBaseList 12.2.25 NS.xlsx</t>
        </is>
      </c>
      <c r="AD1032" s="11" t="inlineStr">
        <is>
          <t>2026 FLW Sponsorship &amp; Advertising Guide.pdf</t>
        </is>
      </c>
      <c r="AE1032" s="15" t="inlineStr">
        <is>
          <t>Open in Box</t>
        </is>
      </c>
      <c r="AF1032" s="15" t="inlineStr">
        <is>
          <t>Open in Box</t>
        </is>
      </c>
    </row>
    <row r="1033">
      <c r="A1033" s="11" t="inlineStr">
        <is>
          <t>MO-FORTLEON-023</t>
        </is>
      </c>
      <c r="B1033" s="8" t="inlineStr">
        <is>
          <t>Fort Leonard Wood</t>
        </is>
      </c>
      <c r="C1033" s="11" t="inlineStr"/>
      <c r="D1033" s="11" t="inlineStr">
        <is>
          <t>MO</t>
        </is>
      </c>
      <c r="E1033" s="11" t="inlineStr">
        <is>
          <t>Springfield, Mo</t>
        </is>
      </c>
      <c r="F1033" s="11" t="inlineStr">
        <is>
          <t>65473</t>
        </is>
      </c>
      <c r="G1033" s="11" t="inlineStr">
        <is>
          <t>Army</t>
        </is>
      </c>
      <c r="H1033" s="11" t="inlineStr">
        <is>
          <t>Standard Media</t>
        </is>
      </c>
      <c r="I1033" s="8" t="inlineStr">
        <is>
          <t>Poster - Piney Valley Golf Course</t>
        </is>
      </c>
      <c r="J1033" s="11" t="inlineStr">
        <is>
          <t>22" x 28"</t>
        </is>
      </c>
      <c r="K1033" s="8" t="inlineStr">
        <is>
          <t>Your ad will appear on the Piney Valley Golf Course on the installation.</t>
        </is>
      </c>
      <c r="L1033" s="11" t="n">
        <v>3</v>
      </c>
      <c r="M1033" s="12" t="n"/>
      <c r="N1033" s="12" t="n">
        <v>225</v>
      </c>
      <c r="O1033" s="12" t="n">
        <v>360</v>
      </c>
      <c r="P1033" s="12" t="n">
        <v>600</v>
      </c>
      <c r="Q1033" s="12" t="n">
        <v>100</v>
      </c>
      <c r="R1033" s="13">
        <f>IF(ISNUMBER(M1033),ROUND(M1033/(1-Settings!$B$2)/Settings!$B$3,0)*Settings!$B$3,"")</f>
        <v/>
      </c>
      <c r="S1033" s="13">
        <f>IF(ISNUMBER(N1033),ROUND(N1033/(1-Settings!$B$2)/Settings!$B$3,0)*Settings!$B$3,"")</f>
        <v/>
      </c>
      <c r="T1033" s="13">
        <f>IF(ISNUMBER(O1033),ROUND(O1033/(1-Settings!$B$2)/Settings!$B$3,0)*Settings!$B$3,"")</f>
        <v/>
      </c>
      <c r="U1033" s="13">
        <f>IF(ISNUMBER(P1033),ROUND(P1033/(1-Settings!$B$2)/Settings!$B$3,0)*Settings!$B$3,"")</f>
        <v/>
      </c>
      <c r="V1033" s="13">
        <f>IF(ISNUMBER(Q1033),ROUND(Q1033/(1-Settings!$B$2)/Settings!$B$3,0)*Settings!$B$3,"")</f>
        <v/>
      </c>
      <c r="W1033" s="14" t="n">
        <v>12218</v>
      </c>
      <c r="X1033" s="14" t="n">
        <v>11261</v>
      </c>
      <c r="Y1033" s="11" t="inlineStr"/>
      <c r="Z1033" s="11" t="inlineStr"/>
      <c r="AA1033" s="8" t="inlineStr"/>
      <c r="AB1033" s="8" t="inlineStr"/>
      <c r="AC1033" s="11" t="inlineStr">
        <is>
          <t>MasterMilitaryOnBaseList 12.2.25 NS.xlsx</t>
        </is>
      </c>
      <c r="AD1033" s="11" t="inlineStr">
        <is>
          <t>2026 FLW Sponsorship &amp; Advertising Guide.pdf</t>
        </is>
      </c>
      <c r="AE1033" s="15" t="inlineStr">
        <is>
          <t>Open in Box</t>
        </is>
      </c>
      <c r="AF1033" s="15" t="inlineStr">
        <is>
          <t>Open in Box</t>
        </is>
      </c>
    </row>
    <row r="1034">
      <c r="A1034" s="11" t="inlineStr">
        <is>
          <t>MO-FORTLEON-024</t>
        </is>
      </c>
      <c r="B1034" s="8" t="inlineStr">
        <is>
          <t>Fort Leonard Wood</t>
        </is>
      </c>
      <c r="C1034" s="11" t="inlineStr"/>
      <c r="D1034" s="11" t="inlineStr">
        <is>
          <t>MO</t>
        </is>
      </c>
      <c r="E1034" s="11" t="inlineStr">
        <is>
          <t>Springfield, Mo</t>
        </is>
      </c>
      <c r="F1034" s="11" t="inlineStr">
        <is>
          <t>65473</t>
        </is>
      </c>
      <c r="G1034" s="11" t="inlineStr">
        <is>
          <t>Army</t>
        </is>
      </c>
      <c r="H1034" s="11" t="inlineStr">
        <is>
          <t>Standard Media</t>
        </is>
      </c>
      <c r="I1034" s="8" t="inlineStr">
        <is>
          <t>Poster - Specker Gym</t>
        </is>
      </c>
      <c r="J1034" s="11" t="inlineStr">
        <is>
          <t>22" x 28"</t>
        </is>
      </c>
      <c r="K1034" s="8" t="inlineStr">
        <is>
          <t>Your ad will appear in the Specker Gym on the installation.</t>
        </is>
      </c>
      <c r="L1034" s="11" t="n">
        <v>3</v>
      </c>
      <c r="M1034" s="12" t="n"/>
      <c r="N1034" s="12" t="n">
        <v>475</v>
      </c>
      <c r="O1034" s="12" t="n">
        <v>800</v>
      </c>
      <c r="P1034" s="12" t="n">
        <v>1375</v>
      </c>
      <c r="Q1034" s="12" t="n">
        <v>100</v>
      </c>
      <c r="R1034" s="13">
        <f>IF(ISNUMBER(M1034),ROUND(M1034/(1-Settings!$B$2)/Settings!$B$3,0)*Settings!$B$3,"")</f>
        <v/>
      </c>
      <c r="S1034" s="13">
        <f>IF(ISNUMBER(N1034),ROUND(N1034/(1-Settings!$B$2)/Settings!$B$3,0)*Settings!$B$3,"")</f>
        <v/>
      </c>
      <c r="T1034" s="13">
        <f>IF(ISNUMBER(O1034),ROUND(O1034/(1-Settings!$B$2)/Settings!$B$3,0)*Settings!$B$3,"")</f>
        <v/>
      </c>
      <c r="U1034" s="13">
        <f>IF(ISNUMBER(P1034),ROUND(P1034/(1-Settings!$B$2)/Settings!$B$3,0)*Settings!$B$3,"")</f>
        <v/>
      </c>
      <c r="V1034" s="13">
        <f>IF(ISNUMBER(Q1034),ROUND(Q1034/(1-Settings!$B$2)/Settings!$B$3,0)*Settings!$B$3,"")</f>
        <v/>
      </c>
      <c r="W1034" s="14" t="n">
        <v>12218</v>
      </c>
      <c r="X1034" s="14" t="n">
        <v>11261</v>
      </c>
      <c r="Y1034" s="11" t="inlineStr"/>
      <c r="Z1034" s="11" t="inlineStr"/>
      <c r="AA1034" s="8" t="inlineStr"/>
      <c r="AB1034" s="8" t="inlineStr"/>
      <c r="AC1034" s="11" t="inlineStr">
        <is>
          <t>MasterMilitaryOnBaseList 12.2.25 NS.xlsx</t>
        </is>
      </c>
      <c r="AD1034" s="11" t="inlineStr">
        <is>
          <t>2026 FLW Sponsorship &amp; Advertising Guide.pdf</t>
        </is>
      </c>
      <c r="AE1034" s="15" t="inlineStr">
        <is>
          <t>Open in Box</t>
        </is>
      </c>
      <c r="AF1034" s="15" t="inlineStr">
        <is>
          <t>Open in Box</t>
        </is>
      </c>
    </row>
    <row r="1035">
      <c r="A1035" s="11" t="inlineStr">
        <is>
          <t>MO-FORTLEON-032</t>
        </is>
      </c>
      <c r="B1035" s="8" t="inlineStr">
        <is>
          <t>Fort Leonard Wood</t>
        </is>
      </c>
      <c r="C1035" s="11" t="inlineStr"/>
      <c r="D1035" s="11" t="inlineStr">
        <is>
          <t>MO</t>
        </is>
      </c>
      <c r="E1035" s="11" t="inlineStr">
        <is>
          <t>Springfield, Mo</t>
        </is>
      </c>
      <c r="F1035" s="11" t="inlineStr">
        <is>
          <t>65473</t>
        </is>
      </c>
      <c r="G1035" s="11" t="inlineStr">
        <is>
          <t>Army</t>
        </is>
      </c>
      <c r="H1035" s="11" t="inlineStr">
        <is>
          <t>Web &amp; Email</t>
        </is>
      </c>
      <c r="I1035" s="8" t="inlineStr">
        <is>
          <t>Social Media (1 Post)</t>
        </is>
      </c>
      <c r="J1035" s="11" t="inlineStr"/>
      <c r="K1035" s="8" t="inlineStr">
        <is>
          <t>Your ad will appear in three social media posts on Fort Leonard Wood's Facebook and Instagram pages. (PRICE FOR 1 POST: $200)</t>
        </is>
      </c>
      <c r="L1035" s="11" t="n"/>
      <c r="M1035" s="12" t="n"/>
      <c r="N1035" s="12" t="n"/>
      <c r="O1035" s="12" t="n"/>
      <c r="P1035" s="12" t="n"/>
      <c r="Q1035" s="12" t="n"/>
      <c r="R1035" s="13">
        <f>IF(ISNUMBER(M1035),ROUND(M1035/(1-Settings!$B$2)/Settings!$B$3,0)*Settings!$B$3,"")</f>
        <v/>
      </c>
      <c r="S1035" s="13">
        <f>IF(ISNUMBER(N1035),ROUND(N1035/(1-Settings!$B$2)/Settings!$B$3,0)*Settings!$B$3,"")</f>
        <v/>
      </c>
      <c r="T1035" s="13">
        <f>IF(ISNUMBER(O1035),ROUND(O1035/(1-Settings!$B$2)/Settings!$B$3,0)*Settings!$B$3,"")</f>
        <v/>
      </c>
      <c r="U1035" s="13">
        <f>IF(ISNUMBER(P1035),ROUND(P1035/(1-Settings!$B$2)/Settings!$B$3,0)*Settings!$B$3,"")</f>
        <v/>
      </c>
      <c r="V1035" s="13">
        <f>IF(ISNUMBER(Q1035),ROUND(Q1035/(1-Settings!$B$2)/Settings!$B$3,0)*Settings!$B$3,"")</f>
        <v/>
      </c>
      <c r="W1035" s="14" t="n">
        <v>12218</v>
      </c>
      <c r="X1035" s="14" t="n">
        <v>11261</v>
      </c>
      <c r="Y1035" s="11" t="inlineStr"/>
      <c r="Z1035" s="11" t="inlineStr"/>
      <c r="AA1035" s="8" t="inlineStr"/>
      <c r="AB1035" s="16" t="inlineStr">
        <is>
          <t>No price on file - inquire</t>
        </is>
      </c>
      <c r="AC1035" s="11" t="inlineStr">
        <is>
          <t>MasterMilitaryOnBaseList 12.2.25 NS.xlsx</t>
        </is>
      </c>
      <c r="AD1035" s="11" t="inlineStr">
        <is>
          <t>2026 FLW Sponsorship &amp; Advertising Guide.pdf</t>
        </is>
      </c>
      <c r="AE1035" s="15" t="inlineStr">
        <is>
          <t>Open in Box</t>
        </is>
      </c>
      <c r="AF1035" s="15" t="inlineStr">
        <is>
          <t>Open in Box</t>
        </is>
      </c>
    </row>
    <row r="1036">
      <c r="A1036" s="11" t="inlineStr">
        <is>
          <t>MO-FORTLEON-033</t>
        </is>
      </c>
      <c r="B1036" s="8" t="inlineStr">
        <is>
          <t>Fort Leonard Wood</t>
        </is>
      </c>
      <c r="C1036" s="11" t="inlineStr"/>
      <c r="D1036" s="11" t="inlineStr">
        <is>
          <t>MO</t>
        </is>
      </c>
      <c r="E1036" s="11" t="inlineStr">
        <is>
          <t>Springfield, Mo</t>
        </is>
      </c>
      <c r="F1036" s="11" t="inlineStr">
        <is>
          <t>65473</t>
        </is>
      </c>
      <c r="G1036" s="11" t="inlineStr">
        <is>
          <t>Army</t>
        </is>
      </c>
      <c r="H1036" s="11" t="inlineStr">
        <is>
          <t>Web &amp; Email</t>
        </is>
      </c>
      <c r="I1036" s="8" t="inlineStr">
        <is>
          <t>Social Media (12 Posts)</t>
        </is>
      </c>
      <c r="J1036" s="11" t="inlineStr"/>
      <c r="K1036" s="8" t="inlineStr">
        <is>
          <t>Your ad will appear in twelve social media posts on Fort Leonard Wood's Facebook and Instagram pages. (PRICE FOR 12 POSTS: $1,500)</t>
        </is>
      </c>
      <c r="L1036" s="11" t="n"/>
      <c r="M1036" s="12" t="n"/>
      <c r="N1036" s="12" t="n"/>
      <c r="O1036" s="12" t="n"/>
      <c r="P1036" s="12" t="n"/>
      <c r="Q1036" s="12" t="n"/>
      <c r="R1036" s="13">
        <f>IF(ISNUMBER(M1036),ROUND(M1036/(1-Settings!$B$2)/Settings!$B$3,0)*Settings!$B$3,"")</f>
        <v/>
      </c>
      <c r="S1036" s="13">
        <f>IF(ISNUMBER(N1036),ROUND(N1036/(1-Settings!$B$2)/Settings!$B$3,0)*Settings!$B$3,"")</f>
        <v/>
      </c>
      <c r="T1036" s="13">
        <f>IF(ISNUMBER(O1036),ROUND(O1036/(1-Settings!$B$2)/Settings!$B$3,0)*Settings!$B$3,"")</f>
        <v/>
      </c>
      <c r="U1036" s="13">
        <f>IF(ISNUMBER(P1036),ROUND(P1036/(1-Settings!$B$2)/Settings!$B$3,0)*Settings!$B$3,"")</f>
        <v/>
      </c>
      <c r="V1036" s="13">
        <f>IF(ISNUMBER(Q1036),ROUND(Q1036/(1-Settings!$B$2)/Settings!$B$3,0)*Settings!$B$3,"")</f>
        <v/>
      </c>
      <c r="W1036" s="14" t="n">
        <v>12218</v>
      </c>
      <c r="X1036" s="14" t="n">
        <v>11261</v>
      </c>
      <c r="Y1036" s="11" t="inlineStr"/>
      <c r="Z1036" s="11" t="inlineStr"/>
      <c r="AA1036" s="8" t="inlineStr"/>
      <c r="AB1036" s="16" t="inlineStr">
        <is>
          <t>No price on file - inquire</t>
        </is>
      </c>
      <c r="AC1036" s="11" t="inlineStr">
        <is>
          <t>MasterMilitaryOnBaseList 12.2.25 NS.xlsx</t>
        </is>
      </c>
      <c r="AD1036" s="11" t="inlineStr">
        <is>
          <t>2026 FLW Sponsorship &amp; Advertising Guide.pdf</t>
        </is>
      </c>
      <c r="AE1036" s="15" t="inlineStr">
        <is>
          <t>Open in Box</t>
        </is>
      </c>
      <c r="AF1036" s="15" t="inlineStr">
        <is>
          <t>Open in Box</t>
        </is>
      </c>
    </row>
    <row r="1037">
      <c r="A1037" s="11" t="inlineStr">
        <is>
          <t>MO-FORTLEON-034</t>
        </is>
      </c>
      <c r="B1037" s="8" t="inlineStr">
        <is>
          <t>Fort Leonard Wood</t>
        </is>
      </c>
      <c r="C1037" s="11" t="inlineStr"/>
      <c r="D1037" s="11" t="inlineStr">
        <is>
          <t>MO</t>
        </is>
      </c>
      <c r="E1037" s="11" t="inlineStr">
        <is>
          <t>Springfield, Mo</t>
        </is>
      </c>
      <c r="F1037" s="11" t="inlineStr">
        <is>
          <t>65473</t>
        </is>
      </c>
      <c r="G1037" s="11" t="inlineStr">
        <is>
          <t>Army</t>
        </is>
      </c>
      <c r="H1037" s="11" t="inlineStr">
        <is>
          <t>Web &amp; Email</t>
        </is>
      </c>
      <c r="I1037" s="8" t="inlineStr">
        <is>
          <t>Social Media (3 Posts)</t>
        </is>
      </c>
      <c r="J1037" s="11" t="inlineStr"/>
      <c r="K1037" s="8" t="inlineStr">
        <is>
          <t>Your ad will appear in three social media posts on Fort Leonard Wood's Facebook and Instagram pages. (PRICE FOR 3 POSTS: $450)</t>
        </is>
      </c>
      <c r="L1037" s="11" t="n"/>
      <c r="M1037" s="12" t="n"/>
      <c r="N1037" s="12" t="n"/>
      <c r="O1037" s="12" t="n"/>
      <c r="P1037" s="12" t="n"/>
      <c r="Q1037" s="12" t="n"/>
      <c r="R1037" s="13">
        <f>IF(ISNUMBER(M1037),ROUND(M1037/(1-Settings!$B$2)/Settings!$B$3,0)*Settings!$B$3,"")</f>
        <v/>
      </c>
      <c r="S1037" s="13">
        <f>IF(ISNUMBER(N1037),ROUND(N1037/(1-Settings!$B$2)/Settings!$B$3,0)*Settings!$B$3,"")</f>
        <v/>
      </c>
      <c r="T1037" s="13">
        <f>IF(ISNUMBER(O1037),ROUND(O1037/(1-Settings!$B$2)/Settings!$B$3,0)*Settings!$B$3,"")</f>
        <v/>
      </c>
      <c r="U1037" s="13">
        <f>IF(ISNUMBER(P1037),ROUND(P1037/(1-Settings!$B$2)/Settings!$B$3,0)*Settings!$B$3,"")</f>
        <v/>
      </c>
      <c r="V1037" s="13">
        <f>IF(ISNUMBER(Q1037),ROUND(Q1037/(1-Settings!$B$2)/Settings!$B$3,0)*Settings!$B$3,"")</f>
        <v/>
      </c>
      <c r="W1037" s="14" t="n">
        <v>12218</v>
      </c>
      <c r="X1037" s="14" t="n">
        <v>11261</v>
      </c>
      <c r="Y1037" s="11" t="inlineStr"/>
      <c r="Z1037" s="11" t="inlineStr"/>
      <c r="AA1037" s="8" t="inlineStr"/>
      <c r="AB1037" s="16" t="inlineStr">
        <is>
          <t>No price on file - inquire</t>
        </is>
      </c>
      <c r="AC1037" s="11" t="inlineStr">
        <is>
          <t>MasterMilitaryOnBaseList 12.2.25 NS.xlsx</t>
        </is>
      </c>
      <c r="AD1037" s="11" t="inlineStr">
        <is>
          <t>2026 FLW Sponsorship &amp; Advertising Guide.pdf</t>
        </is>
      </c>
      <c r="AE1037" s="15" t="inlineStr">
        <is>
          <t>Open in Box</t>
        </is>
      </c>
      <c r="AF1037" s="15" t="inlineStr">
        <is>
          <t>Open in Box</t>
        </is>
      </c>
    </row>
    <row r="1038">
      <c r="A1038" s="11" t="inlineStr">
        <is>
          <t>MO-FORTLEON-035</t>
        </is>
      </c>
      <c r="B1038" s="8" t="inlineStr">
        <is>
          <t>Fort Leonard Wood</t>
        </is>
      </c>
      <c r="C1038" s="11" t="inlineStr"/>
      <c r="D1038" s="11" t="inlineStr">
        <is>
          <t>MO</t>
        </is>
      </c>
      <c r="E1038" s="11" t="inlineStr">
        <is>
          <t>Springfield, Mo</t>
        </is>
      </c>
      <c r="F1038" s="11" t="inlineStr">
        <is>
          <t>65473</t>
        </is>
      </c>
      <c r="G1038" s="11" t="inlineStr">
        <is>
          <t>Army</t>
        </is>
      </c>
      <c r="H1038" s="11" t="inlineStr">
        <is>
          <t>Web &amp; Email</t>
        </is>
      </c>
      <c r="I1038" s="8" t="inlineStr">
        <is>
          <t>Social Media (6 Posts)</t>
        </is>
      </c>
      <c r="J1038" s="11" t="inlineStr"/>
      <c r="K1038" s="8" t="inlineStr">
        <is>
          <t>Your ad will appear in six social media posts on Fort Leonard Wood's Facebook and Instagram pages. (PRICE FOR 6 POSTS: $800)</t>
        </is>
      </c>
      <c r="L1038" s="11" t="n"/>
      <c r="M1038" s="12" t="n"/>
      <c r="N1038" s="12" t="n"/>
      <c r="O1038" s="12" t="n"/>
      <c r="P1038" s="12" t="n"/>
      <c r="Q1038" s="12" t="n"/>
      <c r="R1038" s="13">
        <f>IF(ISNUMBER(M1038),ROUND(M1038/(1-Settings!$B$2)/Settings!$B$3,0)*Settings!$B$3,"")</f>
        <v/>
      </c>
      <c r="S1038" s="13">
        <f>IF(ISNUMBER(N1038),ROUND(N1038/(1-Settings!$B$2)/Settings!$B$3,0)*Settings!$B$3,"")</f>
        <v/>
      </c>
      <c r="T1038" s="13">
        <f>IF(ISNUMBER(O1038),ROUND(O1038/(1-Settings!$B$2)/Settings!$B$3,0)*Settings!$B$3,"")</f>
        <v/>
      </c>
      <c r="U1038" s="13">
        <f>IF(ISNUMBER(P1038),ROUND(P1038/(1-Settings!$B$2)/Settings!$B$3,0)*Settings!$B$3,"")</f>
        <v/>
      </c>
      <c r="V1038" s="13">
        <f>IF(ISNUMBER(Q1038),ROUND(Q1038/(1-Settings!$B$2)/Settings!$B$3,0)*Settings!$B$3,"")</f>
        <v/>
      </c>
      <c r="W1038" s="14" t="n">
        <v>12218</v>
      </c>
      <c r="X1038" s="14" t="n">
        <v>11261</v>
      </c>
      <c r="Y1038" s="11" t="inlineStr"/>
      <c r="Z1038" s="11" t="inlineStr"/>
      <c r="AA1038" s="8" t="inlineStr"/>
      <c r="AB1038" s="16" t="inlineStr">
        <is>
          <t>No price on file - inquire</t>
        </is>
      </c>
      <c r="AC1038" s="11" t="inlineStr">
        <is>
          <t>MasterMilitaryOnBaseList 12.2.25 NS.xlsx</t>
        </is>
      </c>
      <c r="AD1038" s="11" t="inlineStr">
        <is>
          <t>2026 FLW Sponsorship &amp; Advertising Guide.pdf</t>
        </is>
      </c>
      <c r="AE1038" s="15" t="inlineStr">
        <is>
          <t>Open in Box</t>
        </is>
      </c>
      <c r="AF1038" s="15" t="inlineStr">
        <is>
          <t>Open in Box</t>
        </is>
      </c>
    </row>
    <row r="1039">
      <c r="A1039" s="11" t="inlineStr">
        <is>
          <t>MO-FORTLEON-036</t>
        </is>
      </c>
      <c r="B1039" s="8" t="inlineStr">
        <is>
          <t>Fort Leonard Wood</t>
        </is>
      </c>
      <c r="C1039" s="11" t="inlineStr"/>
      <c r="D1039" s="11" t="inlineStr">
        <is>
          <t>MO</t>
        </is>
      </c>
      <c r="E1039" s="11" t="inlineStr">
        <is>
          <t>Springfield, Mo</t>
        </is>
      </c>
      <c r="F1039" s="11" t="inlineStr"/>
      <c r="G1039" s="11" t="inlineStr">
        <is>
          <t>Army</t>
        </is>
      </c>
      <c r="H1039" s="11" t="inlineStr">
        <is>
          <t>Web &amp; Email</t>
        </is>
      </c>
      <c r="I1039" s="8" t="inlineStr">
        <is>
          <t>Web Ad</t>
        </is>
      </c>
      <c r="J1039" s="11" t="inlineStr"/>
      <c r="K1039" s="8" t="inlineStr">
        <is>
          <t>Your ad will appear on the installation MWR / FSS website.</t>
        </is>
      </c>
      <c r="L1039" s="11" t="n">
        <v>3</v>
      </c>
      <c r="M1039" s="12" t="n"/>
      <c r="N1039" s="12" t="n">
        <v>1200</v>
      </c>
      <c r="O1039" s="12" t="n"/>
      <c r="P1039" s="12" t="n"/>
      <c r="Q1039" s="12" t="n"/>
      <c r="R1039" s="13">
        <f>IF(ISNUMBER(M1039),ROUND(M1039/(1-Settings!$B$2)/Settings!$B$3,0)*Settings!$B$3,"")</f>
        <v/>
      </c>
      <c r="S1039" s="13">
        <f>IF(ISNUMBER(N1039),ROUND(N1039/(1-Settings!$B$2)/Settings!$B$3,0)*Settings!$B$3,"")</f>
        <v/>
      </c>
      <c r="T1039" s="13">
        <f>IF(ISNUMBER(O1039),ROUND(O1039/(1-Settings!$B$2)/Settings!$B$3,0)*Settings!$B$3,"")</f>
        <v/>
      </c>
      <c r="U1039" s="13">
        <f>IF(ISNUMBER(P1039),ROUND(P1039/(1-Settings!$B$2)/Settings!$B$3,0)*Settings!$B$3,"")</f>
        <v/>
      </c>
      <c r="V1039" s="13">
        <f>IF(ISNUMBER(Q1039),ROUND(Q1039/(1-Settings!$B$2)/Settings!$B$3,0)*Settings!$B$3,"")</f>
        <v/>
      </c>
      <c r="W1039" s="14" t="n">
        <v>12218</v>
      </c>
      <c r="X1039" s="14" t="n">
        <v>11261</v>
      </c>
      <c r="Y1039" s="11" t="inlineStr">
        <is>
          <t>2026</t>
        </is>
      </c>
      <c r="Z1039" s="11" t="inlineStr">
        <is>
          <t>2026-06</t>
        </is>
      </c>
      <c r="AA1039" s="8" t="inlineStr">
        <is>
          <t>3-month commitment</t>
        </is>
      </c>
      <c r="AB1039" s="8" t="inlineStr"/>
      <c r="AC1039" s="11" t="inlineStr">
        <is>
          <t>Military - National Publication Inventory Master_June 2026.xlsx</t>
        </is>
      </c>
      <c r="AD1039" s="11" t="inlineStr">
        <is>
          <t>2026 FLW Sponsorship &amp; Advertising Guide.pdf</t>
        </is>
      </c>
      <c r="AE1039" s="15" t="inlineStr">
        <is>
          <t>Open in Box</t>
        </is>
      </c>
      <c r="AF1039" s="15" t="inlineStr">
        <is>
          <t>Open in Box</t>
        </is>
      </c>
    </row>
    <row r="1040">
      <c r="A1040" s="11" t="inlineStr">
        <is>
          <t>MO-WHITEMAN-001</t>
        </is>
      </c>
      <c r="B1040" s="8" t="inlineStr">
        <is>
          <t>Whiteman AFB</t>
        </is>
      </c>
      <c r="C1040" s="11" t="inlineStr"/>
      <c r="D1040" s="11" t="inlineStr">
        <is>
          <t>MO</t>
        </is>
      </c>
      <c r="E1040" s="11" t="inlineStr">
        <is>
          <t>Kansas City</t>
        </is>
      </c>
      <c r="F1040" s="11" t="inlineStr">
        <is>
          <t>65305</t>
        </is>
      </c>
      <c r="G1040" s="11" t="inlineStr">
        <is>
          <t>Air Force</t>
        </is>
      </c>
      <c r="H1040" s="11" t="inlineStr">
        <is>
          <t>Digital</t>
        </is>
      </c>
      <c r="I1040" s="8" t="inlineStr">
        <is>
          <t>Digital Monitors</t>
        </is>
      </c>
      <c r="J1040" s="11" t="inlineStr"/>
      <c r="K1040" s="8" t="inlineStr">
        <is>
          <t>Your ad will appear in four FSS locations on the installation.</t>
        </is>
      </c>
      <c r="L1040" s="11" t="n">
        <v>1</v>
      </c>
      <c r="M1040" s="12" t="n">
        <v>50</v>
      </c>
      <c r="N1040" s="12" t="n"/>
      <c r="O1040" s="12" t="n"/>
      <c r="P1040" s="12" t="n"/>
      <c r="Q1040" s="12" t="n"/>
      <c r="R1040" s="13">
        <f>IF(ISNUMBER(M1040),ROUND(M1040/(1-Settings!$B$2)/Settings!$B$3,0)*Settings!$B$3,"")</f>
        <v/>
      </c>
      <c r="S1040" s="13">
        <f>IF(ISNUMBER(N1040),ROUND(N1040/(1-Settings!$B$2)/Settings!$B$3,0)*Settings!$B$3,"")</f>
        <v/>
      </c>
      <c r="T1040" s="13">
        <f>IF(ISNUMBER(O1040),ROUND(O1040/(1-Settings!$B$2)/Settings!$B$3,0)*Settings!$B$3,"")</f>
        <v/>
      </c>
      <c r="U1040" s="13">
        <f>IF(ISNUMBER(P1040),ROUND(P1040/(1-Settings!$B$2)/Settings!$B$3,0)*Settings!$B$3,"")</f>
        <v/>
      </c>
      <c r="V1040" s="13">
        <f>IF(ISNUMBER(Q1040),ROUND(Q1040/(1-Settings!$B$2)/Settings!$B$3,0)*Settings!$B$3,"")</f>
        <v/>
      </c>
      <c r="W1040" s="14" t="n">
        <v>3831</v>
      </c>
      <c r="X1040" s="14" t="n">
        <v>4381</v>
      </c>
      <c r="Y1040" s="11" t="inlineStr"/>
      <c r="Z1040" s="11" t="inlineStr"/>
      <c r="AA1040" s="8" t="inlineStr">
        <is>
          <t>Inventory master 6/2026 lists Digital Marquee at $220 (1 mo)</t>
        </is>
      </c>
      <c r="AB1040" s="8" t="inlineStr"/>
      <c r="AC1040" s="11" t="inlineStr">
        <is>
          <t>MasterMilitaryOnBaseList 12.2.25 NS.xlsx</t>
        </is>
      </c>
      <c r="AD1040" s="11" t="inlineStr">
        <is>
          <t>Independence Day 2026.pdf</t>
        </is>
      </c>
      <c r="AE1040" s="15" t="inlineStr">
        <is>
          <t>Open in Box</t>
        </is>
      </c>
      <c r="AF1040" s="15" t="inlineStr">
        <is>
          <t>Open in Box</t>
        </is>
      </c>
    </row>
    <row r="1041">
      <c r="A1041" s="11" t="inlineStr">
        <is>
          <t>MO-WHITEMAN-002</t>
        </is>
      </c>
      <c r="B1041" s="8" t="inlineStr">
        <is>
          <t>Whiteman AFB</t>
        </is>
      </c>
      <c r="C1041" s="11" t="inlineStr"/>
      <c r="D1041" s="11" t="inlineStr">
        <is>
          <t>MO</t>
        </is>
      </c>
      <c r="E1041" s="11" t="inlineStr">
        <is>
          <t>Kansas City</t>
        </is>
      </c>
      <c r="F1041" s="11" t="inlineStr">
        <is>
          <t>65305</t>
        </is>
      </c>
      <c r="G1041" s="11" t="inlineStr">
        <is>
          <t>Air Force</t>
        </is>
      </c>
      <c r="H1041" s="11" t="inlineStr">
        <is>
          <t>Digital</t>
        </is>
      </c>
      <c r="I1041" s="8" t="inlineStr">
        <is>
          <t>Marquee (Fitness Center)</t>
        </is>
      </c>
      <c r="J1041" s="11" t="inlineStr"/>
      <c r="K1041" s="8" t="inlineStr">
        <is>
          <t>Your ad will appear on an approved marquee on the installation.</t>
        </is>
      </c>
      <c r="L1041" s="11" t="n">
        <v>1</v>
      </c>
      <c r="M1041" s="12" t="n">
        <v>60</v>
      </c>
      <c r="N1041" s="12" t="n">
        <v>175</v>
      </c>
      <c r="O1041" s="12" t="n">
        <v>345</v>
      </c>
      <c r="P1041" s="12" t="n">
        <v>675</v>
      </c>
      <c r="Q1041" s="12" t="n"/>
      <c r="R1041" s="13">
        <f>IF(ISNUMBER(M1041),ROUND(M1041/(1-Settings!$B$2)/Settings!$B$3,0)*Settings!$B$3,"")</f>
        <v/>
      </c>
      <c r="S1041" s="13">
        <f>IF(ISNUMBER(N1041),ROUND(N1041/(1-Settings!$B$2)/Settings!$B$3,0)*Settings!$B$3,"")</f>
        <v/>
      </c>
      <c r="T1041" s="13">
        <f>IF(ISNUMBER(O1041),ROUND(O1041/(1-Settings!$B$2)/Settings!$B$3,0)*Settings!$B$3,"")</f>
        <v/>
      </c>
      <c r="U1041" s="13">
        <f>IF(ISNUMBER(P1041),ROUND(P1041/(1-Settings!$B$2)/Settings!$B$3,0)*Settings!$B$3,"")</f>
        <v/>
      </c>
      <c r="V1041" s="13">
        <f>IF(ISNUMBER(Q1041),ROUND(Q1041/(1-Settings!$B$2)/Settings!$B$3,0)*Settings!$B$3,"")</f>
        <v/>
      </c>
      <c r="W1041" s="14" t="n">
        <v>3831</v>
      </c>
      <c r="X1041" s="14" t="n">
        <v>4381</v>
      </c>
      <c r="Y1041" s="11" t="inlineStr"/>
      <c r="Z1041" s="11" t="inlineStr"/>
      <c r="AA1041" s="8" t="inlineStr">
        <is>
          <t>Inventory master 6/2026 lists Digital Marquee at $220 (1 mo)</t>
        </is>
      </c>
      <c r="AB1041" s="8" t="inlineStr"/>
      <c r="AC1041" s="11" t="inlineStr">
        <is>
          <t>MasterMilitaryOnBaseList 12.2.25 NS.xlsx</t>
        </is>
      </c>
      <c r="AD1041" s="11" t="inlineStr">
        <is>
          <t>Independence Day 2026.pdf</t>
        </is>
      </c>
      <c r="AE1041" s="15" t="inlineStr">
        <is>
          <t>Open in Box</t>
        </is>
      </c>
      <c r="AF1041" s="15" t="inlineStr">
        <is>
          <t>Open in Box</t>
        </is>
      </c>
    </row>
    <row r="1042">
      <c r="A1042" s="11" t="inlineStr">
        <is>
          <t>MO-WHITEMAN-003</t>
        </is>
      </c>
      <c r="B1042" s="8" t="inlineStr">
        <is>
          <t>Whiteman AFB</t>
        </is>
      </c>
      <c r="C1042" s="11" t="inlineStr"/>
      <c r="D1042" s="11" t="inlineStr">
        <is>
          <t>MO</t>
        </is>
      </c>
      <c r="E1042" s="11" t="inlineStr">
        <is>
          <t>Kansas City</t>
        </is>
      </c>
      <c r="F1042" s="11" t="inlineStr">
        <is>
          <t>65305</t>
        </is>
      </c>
      <c r="G1042" s="11" t="inlineStr">
        <is>
          <t>Air Force</t>
        </is>
      </c>
      <c r="H1042" s="11" t="inlineStr">
        <is>
          <t>Digital</t>
        </is>
      </c>
      <c r="I1042" s="8" t="inlineStr">
        <is>
          <t>Mission's End Marquee</t>
        </is>
      </c>
      <c r="J1042" s="11" t="inlineStr"/>
      <c r="K1042" s="8" t="inlineStr">
        <is>
          <t>Your ad will appear on an approved marquee on the installation.</t>
        </is>
      </c>
      <c r="L1042" s="11" t="n">
        <v>1</v>
      </c>
      <c r="M1042" s="12" t="n">
        <v>100</v>
      </c>
      <c r="N1042" s="12" t="n">
        <v>295</v>
      </c>
      <c r="O1042" s="12" t="n">
        <v>575</v>
      </c>
      <c r="P1042" s="12" t="n">
        <v>1000</v>
      </c>
      <c r="Q1042" s="12" t="n"/>
      <c r="R1042" s="13">
        <f>IF(ISNUMBER(M1042),ROUND(M1042/(1-Settings!$B$2)/Settings!$B$3,0)*Settings!$B$3,"")</f>
        <v/>
      </c>
      <c r="S1042" s="13">
        <f>IF(ISNUMBER(N1042),ROUND(N1042/(1-Settings!$B$2)/Settings!$B$3,0)*Settings!$B$3,"")</f>
        <v/>
      </c>
      <c r="T1042" s="13">
        <f>IF(ISNUMBER(O1042),ROUND(O1042/(1-Settings!$B$2)/Settings!$B$3,0)*Settings!$B$3,"")</f>
        <v/>
      </c>
      <c r="U1042" s="13">
        <f>IF(ISNUMBER(P1042),ROUND(P1042/(1-Settings!$B$2)/Settings!$B$3,0)*Settings!$B$3,"")</f>
        <v/>
      </c>
      <c r="V1042" s="13">
        <f>IF(ISNUMBER(Q1042),ROUND(Q1042/(1-Settings!$B$2)/Settings!$B$3,0)*Settings!$B$3,"")</f>
        <v/>
      </c>
      <c r="W1042" s="14" t="n">
        <v>3831</v>
      </c>
      <c r="X1042" s="14" t="n">
        <v>4381</v>
      </c>
      <c r="Y1042" s="11" t="inlineStr"/>
      <c r="Z1042" s="11" t="inlineStr"/>
      <c r="AA1042" s="8" t="inlineStr">
        <is>
          <t>Inventory master 6/2026 lists Digital Marquee at $220 (1 mo)</t>
        </is>
      </c>
      <c r="AB1042" s="8" t="inlineStr"/>
      <c r="AC1042" s="11" t="inlineStr">
        <is>
          <t>MasterMilitaryOnBaseList 12.2.25 NS.xlsx</t>
        </is>
      </c>
      <c r="AD1042" s="11" t="inlineStr">
        <is>
          <t>Independence Day 2026.pdf</t>
        </is>
      </c>
      <c r="AE1042" s="15" t="inlineStr">
        <is>
          <t>Open in Box</t>
        </is>
      </c>
      <c r="AF1042" s="15" t="inlineStr">
        <is>
          <t>Open in Box</t>
        </is>
      </c>
    </row>
    <row r="1043">
      <c r="A1043" s="11" t="inlineStr">
        <is>
          <t>MO-WHITEMAN-004</t>
        </is>
      </c>
      <c r="B1043" s="8" t="inlineStr">
        <is>
          <t>Whiteman AFB</t>
        </is>
      </c>
      <c r="C1043" s="11" t="inlineStr"/>
      <c r="D1043" s="11" t="inlineStr">
        <is>
          <t>MO</t>
        </is>
      </c>
      <c r="E1043" s="11" t="inlineStr">
        <is>
          <t>Kansas City</t>
        </is>
      </c>
      <c r="F1043" s="11" t="inlineStr">
        <is>
          <t>65305</t>
        </is>
      </c>
      <c r="G1043" s="11" t="inlineStr">
        <is>
          <t>Air Force</t>
        </is>
      </c>
      <c r="H1043" s="11" t="inlineStr">
        <is>
          <t>Digital</t>
        </is>
      </c>
      <c r="I1043" s="8" t="inlineStr">
        <is>
          <t>Overhead Monitors - Bowling Center</t>
        </is>
      </c>
      <c r="J1043" s="11" t="inlineStr"/>
      <c r="K1043" s="8" t="inlineStr">
        <is>
          <t>Your ad will appear in the Stars &amp; Strikes Bowling Center on the installation.</t>
        </is>
      </c>
      <c r="L1043" s="11" t="n">
        <v>1</v>
      </c>
      <c r="M1043" s="12" t="n">
        <v>125</v>
      </c>
      <c r="N1043" s="12" t="n">
        <v>360</v>
      </c>
      <c r="O1043" s="12" t="n">
        <v>725</v>
      </c>
      <c r="P1043" s="12" t="n">
        <v>1300</v>
      </c>
      <c r="Q1043" s="12" t="n"/>
      <c r="R1043" s="13">
        <f>IF(ISNUMBER(M1043),ROUND(M1043/(1-Settings!$B$2)/Settings!$B$3,0)*Settings!$B$3,"")</f>
        <v/>
      </c>
      <c r="S1043" s="13">
        <f>IF(ISNUMBER(N1043),ROUND(N1043/(1-Settings!$B$2)/Settings!$B$3,0)*Settings!$B$3,"")</f>
        <v/>
      </c>
      <c r="T1043" s="13">
        <f>IF(ISNUMBER(O1043),ROUND(O1043/(1-Settings!$B$2)/Settings!$B$3,0)*Settings!$B$3,"")</f>
        <v/>
      </c>
      <c r="U1043" s="13">
        <f>IF(ISNUMBER(P1043),ROUND(P1043/(1-Settings!$B$2)/Settings!$B$3,0)*Settings!$B$3,"")</f>
        <v/>
      </c>
      <c r="V1043" s="13">
        <f>IF(ISNUMBER(Q1043),ROUND(Q1043/(1-Settings!$B$2)/Settings!$B$3,0)*Settings!$B$3,"")</f>
        <v/>
      </c>
      <c r="W1043" s="14" t="n">
        <v>3831</v>
      </c>
      <c r="X1043" s="14" t="n">
        <v>4381</v>
      </c>
      <c r="Y1043" s="11" t="inlineStr"/>
      <c r="Z1043" s="11" t="inlineStr"/>
      <c r="AA1043" s="8" t="inlineStr"/>
      <c r="AB1043" s="8" t="inlineStr"/>
      <c r="AC1043" s="11" t="inlineStr">
        <is>
          <t>MasterMilitaryOnBaseList 12.2.25 NS.xlsx</t>
        </is>
      </c>
      <c r="AD1043" s="11" t="inlineStr">
        <is>
          <t>Independence Day 2026.pdf</t>
        </is>
      </c>
      <c r="AE1043" s="15" t="inlineStr">
        <is>
          <t>Open in Box</t>
        </is>
      </c>
      <c r="AF1043" s="15" t="inlineStr">
        <is>
          <t>Open in Box</t>
        </is>
      </c>
    </row>
    <row r="1044">
      <c r="A1044" s="11" t="inlineStr">
        <is>
          <t>MO-WHITEMAN-005</t>
        </is>
      </c>
      <c r="B1044" s="8" t="inlineStr">
        <is>
          <t>Whiteman AFB</t>
        </is>
      </c>
      <c r="C1044" s="11" t="inlineStr"/>
      <c r="D1044" s="11" t="inlineStr">
        <is>
          <t>MO</t>
        </is>
      </c>
      <c r="E1044" s="11" t="inlineStr">
        <is>
          <t>Kansas City</t>
        </is>
      </c>
      <c r="F1044" s="11" t="inlineStr">
        <is>
          <t>65305</t>
        </is>
      </c>
      <c r="G1044" s="11" t="inlineStr">
        <is>
          <t>Air Force</t>
        </is>
      </c>
      <c r="H1044" s="11" t="inlineStr">
        <is>
          <t>Digital</t>
        </is>
      </c>
      <c r="I1044" s="8" t="inlineStr">
        <is>
          <t>Poster (Bowling Center)</t>
        </is>
      </c>
      <c r="J1044" s="11" t="inlineStr"/>
      <c r="K1044" s="8" t="inlineStr">
        <is>
          <t>Your ad will appear in the Stars &amp; Strikes Bowling Center on the installation.</t>
        </is>
      </c>
      <c r="L1044" s="11" t="n">
        <v>1</v>
      </c>
      <c r="M1044" s="12" t="n">
        <v>75</v>
      </c>
      <c r="N1044" s="12" t="n"/>
      <c r="O1044" s="12" t="n"/>
      <c r="P1044" s="12" t="n"/>
      <c r="Q1044" s="12" t="n"/>
      <c r="R1044" s="13">
        <f>IF(ISNUMBER(M1044),ROUND(M1044/(1-Settings!$B$2)/Settings!$B$3,0)*Settings!$B$3,"")</f>
        <v/>
      </c>
      <c r="S1044" s="13">
        <f>IF(ISNUMBER(N1044),ROUND(N1044/(1-Settings!$B$2)/Settings!$B$3,0)*Settings!$B$3,"")</f>
        <v/>
      </c>
      <c r="T1044" s="13">
        <f>IF(ISNUMBER(O1044),ROUND(O1044/(1-Settings!$B$2)/Settings!$B$3,0)*Settings!$B$3,"")</f>
        <v/>
      </c>
      <c r="U1044" s="13">
        <f>IF(ISNUMBER(P1044),ROUND(P1044/(1-Settings!$B$2)/Settings!$B$3,0)*Settings!$B$3,"")</f>
        <v/>
      </c>
      <c r="V1044" s="13">
        <f>IF(ISNUMBER(Q1044),ROUND(Q1044/(1-Settings!$B$2)/Settings!$B$3,0)*Settings!$B$3,"")</f>
        <v/>
      </c>
      <c r="W1044" s="14" t="n">
        <v>3831</v>
      </c>
      <c r="X1044" s="14" t="n">
        <v>4381</v>
      </c>
      <c r="Y1044" s="11" t="inlineStr"/>
      <c r="Z1044" s="11" t="inlineStr"/>
      <c r="AA1044" s="8" t="inlineStr"/>
      <c r="AB1044" s="8" t="inlineStr"/>
      <c r="AC1044" s="11" t="inlineStr">
        <is>
          <t>MasterMilitaryOnBaseList 12.2.25 NS.xlsx</t>
        </is>
      </c>
      <c r="AD1044" s="11" t="inlineStr">
        <is>
          <t>Independence Day 2026.pdf</t>
        </is>
      </c>
      <c r="AE1044" s="15" t="inlineStr">
        <is>
          <t>Open in Box</t>
        </is>
      </c>
      <c r="AF1044" s="15" t="inlineStr">
        <is>
          <t>Open in Box</t>
        </is>
      </c>
    </row>
    <row r="1045">
      <c r="A1045" s="11" t="inlineStr">
        <is>
          <t>MO-WHITEMAN-006</t>
        </is>
      </c>
      <c r="B1045" s="8" t="inlineStr">
        <is>
          <t>Whiteman AFB</t>
        </is>
      </c>
      <c r="C1045" s="11" t="inlineStr"/>
      <c r="D1045" s="11" t="inlineStr">
        <is>
          <t>MO</t>
        </is>
      </c>
      <c r="E1045" s="11" t="inlineStr">
        <is>
          <t>Kansas City</t>
        </is>
      </c>
      <c r="F1045" s="11" t="inlineStr">
        <is>
          <t>65305</t>
        </is>
      </c>
      <c r="G1045" s="11" t="inlineStr">
        <is>
          <t>Air Force</t>
        </is>
      </c>
      <c r="H1045" s="11" t="inlineStr">
        <is>
          <t>Digital</t>
        </is>
      </c>
      <c r="I1045" s="8" t="inlineStr">
        <is>
          <t>Spirit Avenue Marquee</t>
        </is>
      </c>
      <c r="J1045" s="11" t="inlineStr"/>
      <c r="K1045" s="8" t="inlineStr">
        <is>
          <t>Your ad will appear on an approved marquee on the installation.</t>
        </is>
      </c>
      <c r="L1045" s="11" t="n">
        <v>1</v>
      </c>
      <c r="M1045" s="12" t="n">
        <v>60</v>
      </c>
      <c r="N1045" s="12" t="n">
        <v>175</v>
      </c>
      <c r="O1045" s="12" t="n">
        <v>345</v>
      </c>
      <c r="P1045" s="12" t="n">
        <v>675</v>
      </c>
      <c r="Q1045" s="12" t="n"/>
      <c r="R1045" s="13">
        <f>IF(ISNUMBER(M1045),ROUND(M1045/(1-Settings!$B$2)/Settings!$B$3,0)*Settings!$B$3,"")</f>
        <v/>
      </c>
      <c r="S1045" s="13">
        <f>IF(ISNUMBER(N1045),ROUND(N1045/(1-Settings!$B$2)/Settings!$B$3,0)*Settings!$B$3,"")</f>
        <v/>
      </c>
      <c r="T1045" s="13">
        <f>IF(ISNUMBER(O1045),ROUND(O1045/(1-Settings!$B$2)/Settings!$B$3,0)*Settings!$B$3,"")</f>
        <v/>
      </c>
      <c r="U1045" s="13">
        <f>IF(ISNUMBER(P1045),ROUND(P1045/(1-Settings!$B$2)/Settings!$B$3,0)*Settings!$B$3,"")</f>
        <v/>
      </c>
      <c r="V1045" s="13">
        <f>IF(ISNUMBER(Q1045),ROUND(Q1045/(1-Settings!$B$2)/Settings!$B$3,0)*Settings!$B$3,"")</f>
        <v/>
      </c>
      <c r="W1045" s="14" t="n">
        <v>3831</v>
      </c>
      <c r="X1045" s="14" t="n">
        <v>4381</v>
      </c>
      <c r="Y1045" s="11" t="inlineStr"/>
      <c r="Z1045" s="11" t="inlineStr"/>
      <c r="AA1045" s="8" t="inlineStr">
        <is>
          <t>Inventory master 6/2026 lists Digital Marquee at $220 (1 mo)</t>
        </is>
      </c>
      <c r="AB1045" s="8" t="inlineStr"/>
      <c r="AC1045" s="11" t="inlineStr">
        <is>
          <t>MasterMilitaryOnBaseList 12.2.25 NS.xlsx</t>
        </is>
      </c>
      <c r="AD1045" s="11" t="inlineStr">
        <is>
          <t>Independence Day 2026.pdf</t>
        </is>
      </c>
      <c r="AE1045" s="15" t="inlineStr">
        <is>
          <t>Open in Box</t>
        </is>
      </c>
      <c r="AF1045" s="15" t="inlineStr">
        <is>
          <t>Open in Box</t>
        </is>
      </c>
    </row>
    <row r="1046">
      <c r="A1046" s="11" t="inlineStr">
        <is>
          <t>MO-WHITEMAN-007</t>
        </is>
      </c>
      <c r="B1046" s="8" t="inlineStr">
        <is>
          <t>Whiteman AFB</t>
        </is>
      </c>
      <c r="C1046" s="11" t="inlineStr"/>
      <c r="D1046" s="11" t="inlineStr">
        <is>
          <t>MO</t>
        </is>
      </c>
      <c r="E1046" s="11" t="inlineStr">
        <is>
          <t>Kansas City</t>
        </is>
      </c>
      <c r="F1046" s="11" t="inlineStr">
        <is>
          <t>65305</t>
        </is>
      </c>
      <c r="G1046" s="11" t="inlineStr">
        <is>
          <t>Air Force</t>
        </is>
      </c>
      <c r="H1046" s="11" t="inlineStr">
        <is>
          <t>Digital</t>
        </is>
      </c>
      <c r="I1046" s="8" t="inlineStr">
        <is>
          <t>Table Top Napkin Holders (Bowling Center)</t>
        </is>
      </c>
      <c r="J1046" s="11" t="inlineStr"/>
      <c r="K1046" s="8" t="inlineStr">
        <is>
          <t>Your ad will appear on approved napkin holders in the Stars &amp; Strikes Bowling Center on the installation.</t>
        </is>
      </c>
      <c r="L1046" s="11" t="n">
        <v>1</v>
      </c>
      <c r="M1046" s="12" t="n">
        <v>50</v>
      </c>
      <c r="N1046" s="12" t="n">
        <v>140</v>
      </c>
      <c r="O1046" s="12" t="n">
        <v>250</v>
      </c>
      <c r="P1046" s="12" t="n">
        <v>425</v>
      </c>
      <c r="Q1046" s="12" t="n"/>
      <c r="R1046" s="13">
        <f>IF(ISNUMBER(M1046),ROUND(M1046/(1-Settings!$B$2)/Settings!$B$3,0)*Settings!$B$3,"")</f>
        <v/>
      </c>
      <c r="S1046" s="13">
        <f>IF(ISNUMBER(N1046),ROUND(N1046/(1-Settings!$B$2)/Settings!$B$3,0)*Settings!$B$3,"")</f>
        <v/>
      </c>
      <c r="T1046" s="13">
        <f>IF(ISNUMBER(O1046),ROUND(O1046/(1-Settings!$B$2)/Settings!$B$3,0)*Settings!$B$3,"")</f>
        <v/>
      </c>
      <c r="U1046" s="13">
        <f>IF(ISNUMBER(P1046),ROUND(P1046/(1-Settings!$B$2)/Settings!$B$3,0)*Settings!$B$3,"")</f>
        <v/>
      </c>
      <c r="V1046" s="13">
        <f>IF(ISNUMBER(Q1046),ROUND(Q1046/(1-Settings!$B$2)/Settings!$B$3,0)*Settings!$B$3,"")</f>
        <v/>
      </c>
      <c r="W1046" s="14" t="n">
        <v>3831</v>
      </c>
      <c r="X1046" s="14" t="n">
        <v>4381</v>
      </c>
      <c r="Y1046" s="11" t="inlineStr"/>
      <c r="Z1046" s="11" t="inlineStr"/>
      <c r="AA1046" s="8" t="inlineStr"/>
      <c r="AB1046" s="8" t="inlineStr"/>
      <c r="AC1046" s="11" t="inlineStr">
        <is>
          <t>MasterMilitaryOnBaseList 12.2.25 NS.xlsx</t>
        </is>
      </c>
      <c r="AD1046" s="11" t="inlineStr">
        <is>
          <t>Independence Day 2026.pdf</t>
        </is>
      </c>
      <c r="AE1046" s="15" t="inlineStr">
        <is>
          <t>Open in Box</t>
        </is>
      </c>
      <c r="AF1046" s="15" t="inlineStr">
        <is>
          <t>Open in Box</t>
        </is>
      </c>
    </row>
    <row r="1047">
      <c r="A1047" s="11" t="inlineStr">
        <is>
          <t>MO-WHITEMAN-015</t>
        </is>
      </c>
      <c r="B1047" s="8" t="inlineStr">
        <is>
          <t>Whiteman AFB</t>
        </is>
      </c>
      <c r="C1047" s="11" t="inlineStr"/>
      <c r="D1047" s="11" t="inlineStr">
        <is>
          <t>MO</t>
        </is>
      </c>
      <c r="E1047" s="11" t="inlineStr">
        <is>
          <t>Kansas City</t>
        </is>
      </c>
      <c r="F1047" s="11" t="inlineStr">
        <is>
          <t>65305</t>
        </is>
      </c>
      <c r="G1047" s="11" t="inlineStr">
        <is>
          <t>Air Force</t>
        </is>
      </c>
      <c r="H1047" s="11" t="inlineStr">
        <is>
          <t>Large Format</t>
        </is>
      </c>
      <c r="I1047" s="8" t="inlineStr">
        <is>
          <t>Golf Cart Clings</t>
        </is>
      </c>
      <c r="J1047" s="11" t="inlineStr"/>
      <c r="K1047" s="8" t="inlineStr">
        <is>
          <t>Your ad will appear on approved golf carts on Royal Oaks Golf Course on the installation. ($500/tournament)</t>
        </is>
      </c>
      <c r="L1047" s="11" t="n"/>
      <c r="M1047" s="12" t="n"/>
      <c r="N1047" s="12" t="n"/>
      <c r="O1047" s="12" t="n"/>
      <c r="P1047" s="12" t="n"/>
      <c r="Q1047" s="12" t="n"/>
      <c r="R1047" s="13">
        <f>IF(ISNUMBER(M1047),ROUND(M1047/(1-Settings!$B$2)/Settings!$B$3,0)*Settings!$B$3,"")</f>
        <v/>
      </c>
      <c r="S1047" s="13">
        <f>IF(ISNUMBER(N1047),ROUND(N1047/(1-Settings!$B$2)/Settings!$B$3,0)*Settings!$B$3,"")</f>
        <v/>
      </c>
      <c r="T1047" s="13">
        <f>IF(ISNUMBER(O1047),ROUND(O1047/(1-Settings!$B$2)/Settings!$B$3,0)*Settings!$B$3,"")</f>
        <v/>
      </c>
      <c r="U1047" s="13">
        <f>IF(ISNUMBER(P1047),ROUND(P1047/(1-Settings!$B$2)/Settings!$B$3,0)*Settings!$B$3,"")</f>
        <v/>
      </c>
      <c r="V1047" s="13">
        <f>IF(ISNUMBER(Q1047),ROUND(Q1047/(1-Settings!$B$2)/Settings!$B$3,0)*Settings!$B$3,"")</f>
        <v/>
      </c>
      <c r="W1047" s="14" t="n">
        <v>3831</v>
      </c>
      <c r="X1047" s="14" t="n">
        <v>4381</v>
      </c>
      <c r="Y1047" s="11" t="inlineStr"/>
      <c r="Z1047" s="11" t="inlineStr"/>
      <c r="AA1047" s="8" t="inlineStr"/>
      <c r="AB1047" s="16" t="inlineStr">
        <is>
          <t>No price on file - inquire</t>
        </is>
      </c>
      <c r="AC1047" s="11" t="inlineStr">
        <is>
          <t>MasterMilitaryOnBaseList 12.2.25 NS.xlsx</t>
        </is>
      </c>
      <c r="AD1047" s="11" t="inlineStr">
        <is>
          <t>Independence Day 2026.pdf</t>
        </is>
      </c>
      <c r="AE1047" s="15" t="inlineStr">
        <is>
          <t>Open in Box</t>
        </is>
      </c>
      <c r="AF1047" s="15" t="inlineStr">
        <is>
          <t>Open in Box</t>
        </is>
      </c>
    </row>
    <row r="1048">
      <c r="A1048" s="11" t="inlineStr">
        <is>
          <t>MO-WHITEMAN-016</t>
        </is>
      </c>
      <c r="B1048" s="8" t="inlineStr">
        <is>
          <t>Whiteman AFB</t>
        </is>
      </c>
      <c r="C1048" s="11" t="inlineStr"/>
      <c r="D1048" s="11" t="inlineStr">
        <is>
          <t>MO</t>
        </is>
      </c>
      <c r="E1048" s="11" t="inlineStr">
        <is>
          <t>Kansas City</t>
        </is>
      </c>
      <c r="F1048" s="11" t="inlineStr">
        <is>
          <t>65305</t>
        </is>
      </c>
      <c r="G1048" s="11" t="inlineStr">
        <is>
          <t>Air Force</t>
        </is>
      </c>
      <c r="H1048" s="11" t="inlineStr">
        <is>
          <t>Large Format</t>
        </is>
      </c>
      <c r="I1048" s="8" t="inlineStr">
        <is>
          <t>Wall Clings (Fitness Center)</t>
        </is>
      </c>
      <c r="J1048" s="11" t="inlineStr"/>
      <c r="K1048" s="8" t="inlineStr">
        <is>
          <t>Your ad will appear on an approved wall in the fitness center on the installation.</t>
        </is>
      </c>
      <c r="L1048" s="11" t="n">
        <v>1</v>
      </c>
      <c r="M1048" s="12" t="n">
        <v>150</v>
      </c>
      <c r="N1048" s="12" t="n">
        <v>425</v>
      </c>
      <c r="O1048" s="12" t="n">
        <v>800</v>
      </c>
      <c r="P1048" s="12" t="n">
        <v>1400</v>
      </c>
      <c r="Q1048" s="12" t="n"/>
      <c r="R1048" s="13">
        <f>IF(ISNUMBER(M1048),ROUND(M1048/(1-Settings!$B$2)/Settings!$B$3,0)*Settings!$B$3,"")</f>
        <v/>
      </c>
      <c r="S1048" s="13">
        <f>IF(ISNUMBER(N1048),ROUND(N1048/(1-Settings!$B$2)/Settings!$B$3,0)*Settings!$B$3,"")</f>
        <v/>
      </c>
      <c r="T1048" s="13">
        <f>IF(ISNUMBER(O1048),ROUND(O1048/(1-Settings!$B$2)/Settings!$B$3,0)*Settings!$B$3,"")</f>
        <v/>
      </c>
      <c r="U1048" s="13">
        <f>IF(ISNUMBER(P1048),ROUND(P1048/(1-Settings!$B$2)/Settings!$B$3,0)*Settings!$B$3,"")</f>
        <v/>
      </c>
      <c r="V1048" s="13">
        <f>IF(ISNUMBER(Q1048),ROUND(Q1048/(1-Settings!$B$2)/Settings!$B$3,0)*Settings!$B$3,"")</f>
        <v/>
      </c>
      <c r="W1048" s="14" t="n">
        <v>3831</v>
      </c>
      <c r="X1048" s="14" t="n">
        <v>4381</v>
      </c>
      <c r="Y1048" s="11" t="inlineStr"/>
      <c r="Z1048" s="11" t="inlineStr"/>
      <c r="AA1048" s="8" t="inlineStr"/>
      <c r="AB1048" s="8" t="inlineStr"/>
      <c r="AC1048" s="11" t="inlineStr">
        <is>
          <t>MasterMilitaryOnBaseList 12.2.25 NS.xlsx</t>
        </is>
      </c>
      <c r="AD1048" s="11" t="inlineStr">
        <is>
          <t>Independence Day 2026.pdf</t>
        </is>
      </c>
      <c r="AE1048" s="15" t="inlineStr">
        <is>
          <t>Open in Box</t>
        </is>
      </c>
      <c r="AF1048" s="15" t="inlineStr">
        <is>
          <t>Open in Box</t>
        </is>
      </c>
    </row>
    <row r="1049">
      <c r="A1049" s="11" t="inlineStr">
        <is>
          <t>MO-WHITEMAN-019</t>
        </is>
      </c>
      <c r="B1049" s="8" t="inlineStr">
        <is>
          <t>Whiteman AFB</t>
        </is>
      </c>
      <c r="C1049" s="11" t="inlineStr"/>
      <c r="D1049" s="11" t="inlineStr">
        <is>
          <t>MO</t>
        </is>
      </c>
      <c r="E1049" s="11" t="inlineStr">
        <is>
          <t>Kansas City</t>
        </is>
      </c>
      <c r="F1049" s="11" t="inlineStr"/>
      <c r="G1049" s="11" t="inlineStr">
        <is>
          <t>Air Force</t>
        </is>
      </c>
      <c r="H1049" s="11" t="inlineStr">
        <is>
          <t>Print &amp; Publications</t>
        </is>
      </c>
      <c r="I1049" s="8" t="inlineStr">
        <is>
          <t>Calendar Ad</t>
        </is>
      </c>
      <c r="J1049" s="11" t="inlineStr"/>
      <c r="K1049" s="8" t="inlineStr">
        <is>
          <t>Your ad will appear in the installation events calendar.</t>
        </is>
      </c>
      <c r="L1049" s="11" t="n">
        <v>1</v>
      </c>
      <c r="M1049" s="12" t="n">
        <v>100</v>
      </c>
      <c r="N1049" s="12" t="n"/>
      <c r="O1049" s="12" t="n"/>
      <c r="P1049" s="12" t="n"/>
      <c r="Q1049" s="12" t="n"/>
      <c r="R1049" s="13">
        <f>IF(ISNUMBER(M1049),ROUND(M1049/(1-Settings!$B$2)/Settings!$B$3,0)*Settings!$B$3,"")</f>
        <v/>
      </c>
      <c r="S1049" s="13">
        <f>IF(ISNUMBER(N1049),ROUND(N1049/(1-Settings!$B$2)/Settings!$B$3,0)*Settings!$B$3,"")</f>
        <v/>
      </c>
      <c r="T1049" s="13">
        <f>IF(ISNUMBER(O1049),ROUND(O1049/(1-Settings!$B$2)/Settings!$B$3,0)*Settings!$B$3,"")</f>
        <v/>
      </c>
      <c r="U1049" s="13">
        <f>IF(ISNUMBER(P1049),ROUND(P1049/(1-Settings!$B$2)/Settings!$B$3,0)*Settings!$B$3,"")</f>
        <v/>
      </c>
      <c r="V1049" s="13">
        <f>IF(ISNUMBER(Q1049),ROUND(Q1049/(1-Settings!$B$2)/Settings!$B$3,0)*Settings!$B$3,"")</f>
        <v/>
      </c>
      <c r="W1049" s="14" t="n">
        <v>3831</v>
      </c>
      <c r="X1049" s="14" t="n">
        <v>4381</v>
      </c>
      <c r="Y1049" s="11" t="inlineStr">
        <is>
          <t>2026</t>
        </is>
      </c>
      <c r="Z1049" s="11" t="inlineStr">
        <is>
          <t>2026-06</t>
        </is>
      </c>
      <c r="AA1049" s="8" t="inlineStr"/>
      <c r="AB1049" s="8" t="inlineStr"/>
      <c r="AC1049" s="11" t="inlineStr">
        <is>
          <t>Military - National Publication Inventory Master_June 2026.xlsx</t>
        </is>
      </c>
      <c r="AD1049" s="11" t="inlineStr">
        <is>
          <t>Independence Day 2026.pdf</t>
        </is>
      </c>
      <c r="AE1049" s="15" t="inlineStr">
        <is>
          <t>Open in Box</t>
        </is>
      </c>
      <c r="AF1049" s="15" t="inlineStr">
        <is>
          <t>Open in Box</t>
        </is>
      </c>
    </row>
    <row r="1050">
      <c r="A1050" s="11" t="inlineStr">
        <is>
          <t>MO-WHITEMAN-017</t>
        </is>
      </c>
      <c r="B1050" s="8" t="inlineStr">
        <is>
          <t>Whiteman AFB</t>
        </is>
      </c>
      <c r="C1050" s="11" t="inlineStr"/>
      <c r="D1050" s="11" t="inlineStr">
        <is>
          <t>MO</t>
        </is>
      </c>
      <c r="E1050" s="11" t="inlineStr">
        <is>
          <t>Kansas City</t>
        </is>
      </c>
      <c r="F1050" s="11" t="inlineStr">
        <is>
          <t>65305</t>
        </is>
      </c>
      <c r="G1050" s="11" t="inlineStr">
        <is>
          <t>Air Force</t>
        </is>
      </c>
      <c r="H1050" s="11" t="inlineStr">
        <is>
          <t>Print &amp; Publications</t>
        </is>
      </c>
      <c r="I1050" s="8" t="inlineStr">
        <is>
          <t>Hotel Guest Brochure Ad</t>
        </is>
      </c>
      <c r="J1050" s="11" t="inlineStr"/>
      <c r="K1050" s="8" t="inlineStr">
        <is>
          <t>Your ad will appear in the hotel guest brochure.</t>
        </is>
      </c>
      <c r="L1050" s="11" t="n">
        <v>1</v>
      </c>
      <c r="M1050" s="12" t="n">
        <v>50</v>
      </c>
      <c r="N1050" s="12" t="n"/>
      <c r="O1050" s="12" t="n"/>
      <c r="P1050" s="12" t="n">
        <v>500</v>
      </c>
      <c r="Q1050" s="12" t="n"/>
      <c r="R1050" s="13">
        <f>IF(ISNUMBER(M1050),ROUND(M1050/(1-Settings!$B$2)/Settings!$B$3,0)*Settings!$B$3,"")</f>
        <v/>
      </c>
      <c r="S1050" s="13">
        <f>IF(ISNUMBER(N1050),ROUND(N1050/(1-Settings!$B$2)/Settings!$B$3,0)*Settings!$B$3,"")</f>
        <v/>
      </c>
      <c r="T1050" s="13">
        <f>IF(ISNUMBER(O1050),ROUND(O1050/(1-Settings!$B$2)/Settings!$B$3,0)*Settings!$B$3,"")</f>
        <v/>
      </c>
      <c r="U1050" s="13">
        <f>IF(ISNUMBER(P1050),ROUND(P1050/(1-Settings!$B$2)/Settings!$B$3,0)*Settings!$B$3,"")</f>
        <v/>
      </c>
      <c r="V1050" s="13">
        <f>IF(ISNUMBER(Q1050),ROUND(Q1050/(1-Settings!$B$2)/Settings!$B$3,0)*Settings!$B$3,"")</f>
        <v/>
      </c>
      <c r="W1050" s="14" t="n">
        <v>3831</v>
      </c>
      <c r="X1050" s="14" t="n">
        <v>4381</v>
      </c>
      <c r="Y1050" s="11" t="inlineStr"/>
      <c r="Z1050" s="11" t="inlineStr"/>
      <c r="AA1050" s="8" t="inlineStr"/>
      <c r="AB1050" s="8" t="inlineStr"/>
      <c r="AC1050" s="11" t="inlineStr">
        <is>
          <t>MasterMilitaryOnBaseList 12.2.25 NS.xlsx</t>
        </is>
      </c>
      <c r="AD1050" s="11" t="inlineStr">
        <is>
          <t>Independence Day 2026.pdf</t>
        </is>
      </c>
      <c r="AE1050" s="15" t="inlineStr">
        <is>
          <t>Open in Box</t>
        </is>
      </c>
      <c r="AF1050" s="15" t="inlineStr">
        <is>
          <t>Open in Box</t>
        </is>
      </c>
    </row>
    <row r="1051">
      <c r="A1051" s="11" t="inlineStr">
        <is>
          <t>MO-WHITEMAN-008</t>
        </is>
      </c>
      <c r="B1051" s="8" t="inlineStr">
        <is>
          <t>Whiteman AFB</t>
        </is>
      </c>
      <c r="C1051" s="11" t="inlineStr"/>
      <c r="D1051" s="11" t="inlineStr">
        <is>
          <t>MO</t>
        </is>
      </c>
      <c r="E1051" s="11" t="inlineStr">
        <is>
          <t>Kansas City</t>
        </is>
      </c>
      <c r="F1051" s="11" t="inlineStr">
        <is>
          <t>65305</t>
        </is>
      </c>
      <c r="G1051" s="11" t="inlineStr">
        <is>
          <t>Air Force</t>
        </is>
      </c>
      <c r="H1051" s="11" t="inlineStr">
        <is>
          <t>Standard Media</t>
        </is>
      </c>
      <c r="I1051" s="8" t="inlineStr">
        <is>
          <t>Bench Ads</t>
        </is>
      </c>
      <c r="J1051" s="11" t="inlineStr"/>
      <c r="K1051" s="8" t="inlineStr">
        <is>
          <t>Your ad will appear on approved beched on Royal Oaks Golf Course on the installation.</t>
        </is>
      </c>
      <c r="L1051" s="11" t="n">
        <v>1</v>
      </c>
      <c r="M1051" s="12" t="n">
        <v>50</v>
      </c>
      <c r="N1051" s="12" t="n"/>
      <c r="O1051" s="12" t="n"/>
      <c r="P1051" s="12" t="n"/>
      <c r="Q1051" s="12" t="n"/>
      <c r="R1051" s="13">
        <f>IF(ISNUMBER(M1051),ROUND(M1051/(1-Settings!$B$2)/Settings!$B$3,0)*Settings!$B$3,"")</f>
        <v/>
      </c>
      <c r="S1051" s="13">
        <f>IF(ISNUMBER(N1051),ROUND(N1051/(1-Settings!$B$2)/Settings!$B$3,0)*Settings!$B$3,"")</f>
        <v/>
      </c>
      <c r="T1051" s="13">
        <f>IF(ISNUMBER(O1051),ROUND(O1051/(1-Settings!$B$2)/Settings!$B$3,0)*Settings!$B$3,"")</f>
        <v/>
      </c>
      <c r="U1051" s="13">
        <f>IF(ISNUMBER(P1051),ROUND(P1051/(1-Settings!$B$2)/Settings!$B$3,0)*Settings!$B$3,"")</f>
        <v/>
      </c>
      <c r="V1051" s="13">
        <f>IF(ISNUMBER(Q1051),ROUND(Q1051/(1-Settings!$B$2)/Settings!$B$3,0)*Settings!$B$3,"")</f>
        <v/>
      </c>
      <c r="W1051" s="14" t="n">
        <v>3831</v>
      </c>
      <c r="X1051" s="14" t="n">
        <v>4381</v>
      </c>
      <c r="Y1051" s="11" t="inlineStr"/>
      <c r="Z1051" s="11" t="inlineStr"/>
      <c r="AA1051" s="8" t="inlineStr"/>
      <c r="AB1051" s="8" t="inlineStr"/>
      <c r="AC1051" s="11" t="inlineStr">
        <is>
          <t>MasterMilitaryOnBaseList 12.2.25 NS.xlsx</t>
        </is>
      </c>
      <c r="AD1051" s="11" t="inlineStr">
        <is>
          <t>Independence Day 2026.pdf</t>
        </is>
      </c>
      <c r="AE1051" s="15" t="inlineStr">
        <is>
          <t>Open in Box</t>
        </is>
      </c>
      <c r="AF1051" s="15" t="inlineStr">
        <is>
          <t>Open in Box</t>
        </is>
      </c>
    </row>
    <row r="1052">
      <c r="A1052" s="11" t="inlineStr">
        <is>
          <t>MO-WHITEMAN-009</t>
        </is>
      </c>
      <c r="B1052" s="8" t="inlineStr">
        <is>
          <t>Whiteman AFB</t>
        </is>
      </c>
      <c r="C1052" s="11" t="inlineStr"/>
      <c r="D1052" s="11" t="inlineStr">
        <is>
          <t>MO</t>
        </is>
      </c>
      <c r="E1052" s="11" t="inlineStr">
        <is>
          <t>Kansas City</t>
        </is>
      </c>
      <c r="F1052" s="11" t="inlineStr">
        <is>
          <t>65305</t>
        </is>
      </c>
      <c r="G1052" s="11" t="inlineStr">
        <is>
          <t>Air Force</t>
        </is>
      </c>
      <c r="H1052" s="11" t="inlineStr">
        <is>
          <t>Standard Media</t>
        </is>
      </c>
      <c r="I1052" s="8" t="inlineStr">
        <is>
          <t>Mission's End Poster</t>
        </is>
      </c>
      <c r="J1052" s="11" t="inlineStr"/>
      <c r="K1052" s="8" t="inlineStr">
        <is>
          <t>Your ad will appear in Missions's End on the installation.</t>
        </is>
      </c>
      <c r="L1052" s="11" t="n">
        <v>1</v>
      </c>
      <c r="M1052" s="12" t="n">
        <v>75</v>
      </c>
      <c r="N1052" s="12" t="n"/>
      <c r="O1052" s="12" t="n"/>
      <c r="P1052" s="12" t="n"/>
      <c r="Q1052" s="12" t="n">
        <v>100</v>
      </c>
      <c r="R1052" s="13">
        <f>IF(ISNUMBER(M1052),ROUND(M1052/(1-Settings!$B$2)/Settings!$B$3,0)*Settings!$B$3,"")</f>
        <v/>
      </c>
      <c r="S1052" s="13">
        <f>IF(ISNUMBER(N1052),ROUND(N1052/(1-Settings!$B$2)/Settings!$B$3,0)*Settings!$B$3,"")</f>
        <v/>
      </c>
      <c r="T1052" s="13">
        <f>IF(ISNUMBER(O1052),ROUND(O1052/(1-Settings!$B$2)/Settings!$B$3,0)*Settings!$B$3,"")</f>
        <v/>
      </c>
      <c r="U1052" s="13">
        <f>IF(ISNUMBER(P1052),ROUND(P1052/(1-Settings!$B$2)/Settings!$B$3,0)*Settings!$B$3,"")</f>
        <v/>
      </c>
      <c r="V1052" s="13">
        <f>IF(ISNUMBER(Q1052),ROUND(Q1052/(1-Settings!$B$2)/Settings!$B$3,0)*Settings!$B$3,"")</f>
        <v/>
      </c>
      <c r="W1052" s="14" t="n">
        <v>3831</v>
      </c>
      <c r="X1052" s="14" t="n">
        <v>4381</v>
      </c>
      <c r="Y1052" s="11" t="inlineStr"/>
      <c r="Z1052" s="11" t="inlineStr"/>
      <c r="AA1052" s="8" t="inlineStr"/>
      <c r="AB1052" s="8" t="inlineStr"/>
      <c r="AC1052" s="11" t="inlineStr">
        <is>
          <t>MasterMilitaryOnBaseList 12.2.25 NS.xlsx</t>
        </is>
      </c>
      <c r="AD1052" s="11" t="inlineStr">
        <is>
          <t>Independence Day 2026.pdf</t>
        </is>
      </c>
      <c r="AE1052" s="15" t="inlineStr">
        <is>
          <t>Open in Box</t>
        </is>
      </c>
      <c r="AF1052" s="15" t="inlineStr">
        <is>
          <t>Open in Box</t>
        </is>
      </c>
    </row>
    <row r="1053">
      <c r="A1053" s="11" t="inlineStr">
        <is>
          <t>MO-WHITEMAN-010</t>
        </is>
      </c>
      <c r="B1053" s="8" t="inlineStr">
        <is>
          <t>Whiteman AFB</t>
        </is>
      </c>
      <c r="C1053" s="11" t="inlineStr"/>
      <c r="D1053" s="11" t="inlineStr">
        <is>
          <t>MO</t>
        </is>
      </c>
      <c r="E1053" s="11" t="inlineStr">
        <is>
          <t>Kansas City</t>
        </is>
      </c>
      <c r="F1053" s="11" t="inlineStr">
        <is>
          <t>65305</t>
        </is>
      </c>
      <c r="G1053" s="11" t="inlineStr">
        <is>
          <t>Air Force</t>
        </is>
      </c>
      <c r="H1053" s="11" t="inlineStr">
        <is>
          <t>Standard Media</t>
        </is>
      </c>
      <c r="I1053" s="8" t="inlineStr">
        <is>
          <t>Mission's End Table Top Napkin Holders</t>
        </is>
      </c>
      <c r="J1053" s="11" t="inlineStr"/>
      <c r="K1053" s="8" t="inlineStr">
        <is>
          <t>Your ad will appear on napkin holders in Mission's End on the installation.</t>
        </is>
      </c>
      <c r="L1053" s="11" t="n">
        <v>1</v>
      </c>
      <c r="M1053" s="12" t="n">
        <v>50</v>
      </c>
      <c r="N1053" s="12" t="n">
        <v>140</v>
      </c>
      <c r="O1053" s="12" t="n">
        <v>250</v>
      </c>
      <c r="P1053" s="12" t="n">
        <v>425</v>
      </c>
      <c r="Q1053" s="12" t="n"/>
      <c r="R1053" s="13">
        <f>IF(ISNUMBER(M1053),ROUND(M1053/(1-Settings!$B$2)/Settings!$B$3,0)*Settings!$B$3,"")</f>
        <v/>
      </c>
      <c r="S1053" s="13">
        <f>IF(ISNUMBER(N1053),ROUND(N1053/(1-Settings!$B$2)/Settings!$B$3,0)*Settings!$B$3,"")</f>
        <v/>
      </c>
      <c r="T1053" s="13">
        <f>IF(ISNUMBER(O1053),ROUND(O1053/(1-Settings!$B$2)/Settings!$B$3,0)*Settings!$B$3,"")</f>
        <v/>
      </c>
      <c r="U1053" s="13">
        <f>IF(ISNUMBER(P1053),ROUND(P1053/(1-Settings!$B$2)/Settings!$B$3,0)*Settings!$B$3,"")</f>
        <v/>
      </c>
      <c r="V1053" s="13">
        <f>IF(ISNUMBER(Q1053),ROUND(Q1053/(1-Settings!$B$2)/Settings!$B$3,0)*Settings!$B$3,"")</f>
        <v/>
      </c>
      <c r="W1053" s="14" t="n">
        <v>3831</v>
      </c>
      <c r="X1053" s="14" t="n">
        <v>4381</v>
      </c>
      <c r="Y1053" s="11" t="inlineStr"/>
      <c r="Z1053" s="11" t="inlineStr"/>
      <c r="AA1053" s="8" t="inlineStr"/>
      <c r="AB1053" s="8" t="inlineStr"/>
      <c r="AC1053" s="11" t="inlineStr">
        <is>
          <t>MasterMilitaryOnBaseList 12.2.25 NS.xlsx</t>
        </is>
      </c>
      <c r="AD1053" s="11" t="inlineStr">
        <is>
          <t>Independence Day 2026.pdf</t>
        </is>
      </c>
      <c r="AE1053" s="15" t="inlineStr">
        <is>
          <t>Open in Box</t>
        </is>
      </c>
      <c r="AF1053" s="15" t="inlineStr">
        <is>
          <t>Open in Box</t>
        </is>
      </c>
    </row>
    <row r="1054">
      <c r="A1054" s="11" t="inlineStr">
        <is>
          <t>MO-WHITEMAN-011</t>
        </is>
      </c>
      <c r="B1054" s="8" t="inlineStr">
        <is>
          <t>Whiteman AFB</t>
        </is>
      </c>
      <c r="C1054" s="11" t="inlineStr"/>
      <c r="D1054" s="11" t="inlineStr">
        <is>
          <t>MO</t>
        </is>
      </c>
      <c r="E1054" s="11" t="inlineStr">
        <is>
          <t>Kansas City</t>
        </is>
      </c>
      <c r="F1054" s="11" t="inlineStr">
        <is>
          <t>65305</t>
        </is>
      </c>
      <c r="G1054" s="11" t="inlineStr">
        <is>
          <t>Air Force</t>
        </is>
      </c>
      <c r="H1054" s="11" t="inlineStr">
        <is>
          <t>Standard Media</t>
        </is>
      </c>
      <c r="I1054" s="8" t="inlineStr">
        <is>
          <t>Poster (Dining Facility)</t>
        </is>
      </c>
      <c r="J1054" s="11" t="inlineStr"/>
      <c r="K1054" s="8" t="inlineStr">
        <is>
          <t>Your ad will appear in the Ozark Dining Facility on the installation.</t>
        </is>
      </c>
      <c r="L1054" s="11" t="n">
        <v>1</v>
      </c>
      <c r="M1054" s="12" t="n">
        <v>75</v>
      </c>
      <c r="N1054" s="12" t="n"/>
      <c r="O1054" s="12" t="n"/>
      <c r="P1054" s="12" t="n"/>
      <c r="Q1054" s="12" t="n"/>
      <c r="R1054" s="13">
        <f>IF(ISNUMBER(M1054),ROUND(M1054/(1-Settings!$B$2)/Settings!$B$3,0)*Settings!$B$3,"")</f>
        <v/>
      </c>
      <c r="S1054" s="13">
        <f>IF(ISNUMBER(N1054),ROUND(N1054/(1-Settings!$B$2)/Settings!$B$3,0)*Settings!$B$3,"")</f>
        <v/>
      </c>
      <c r="T1054" s="13">
        <f>IF(ISNUMBER(O1054),ROUND(O1054/(1-Settings!$B$2)/Settings!$B$3,0)*Settings!$B$3,"")</f>
        <v/>
      </c>
      <c r="U1054" s="13">
        <f>IF(ISNUMBER(P1054),ROUND(P1054/(1-Settings!$B$2)/Settings!$B$3,0)*Settings!$B$3,"")</f>
        <v/>
      </c>
      <c r="V1054" s="13">
        <f>IF(ISNUMBER(Q1054),ROUND(Q1054/(1-Settings!$B$2)/Settings!$B$3,0)*Settings!$B$3,"")</f>
        <v/>
      </c>
      <c r="W1054" s="14" t="n">
        <v>3831</v>
      </c>
      <c r="X1054" s="14" t="n">
        <v>4381</v>
      </c>
      <c r="Y1054" s="11" t="inlineStr"/>
      <c r="Z1054" s="11" t="inlineStr"/>
      <c r="AA1054" s="8" t="inlineStr"/>
      <c r="AB1054" s="8" t="inlineStr"/>
      <c r="AC1054" s="11" t="inlineStr">
        <is>
          <t>MasterMilitaryOnBaseList 12.2.25 NS.xlsx</t>
        </is>
      </c>
      <c r="AD1054" s="11" t="inlineStr">
        <is>
          <t>Independence Day 2026.pdf</t>
        </is>
      </c>
      <c r="AE1054" s="15" t="inlineStr">
        <is>
          <t>Open in Box</t>
        </is>
      </c>
      <c r="AF1054" s="15" t="inlineStr">
        <is>
          <t>Open in Box</t>
        </is>
      </c>
    </row>
    <row r="1055">
      <c r="A1055" s="11" t="inlineStr">
        <is>
          <t>MO-WHITEMAN-012</t>
        </is>
      </c>
      <c r="B1055" s="8" t="inlineStr">
        <is>
          <t>Whiteman AFB</t>
        </is>
      </c>
      <c r="C1055" s="11" t="inlineStr"/>
      <c r="D1055" s="11" t="inlineStr">
        <is>
          <t>MO</t>
        </is>
      </c>
      <c r="E1055" s="11" t="inlineStr">
        <is>
          <t>Kansas City</t>
        </is>
      </c>
      <c r="F1055" s="11" t="inlineStr">
        <is>
          <t>65305</t>
        </is>
      </c>
      <c r="G1055" s="11" t="inlineStr">
        <is>
          <t>Air Force</t>
        </is>
      </c>
      <c r="H1055" s="11" t="inlineStr">
        <is>
          <t>Standard Media</t>
        </is>
      </c>
      <c r="I1055" s="8" t="inlineStr">
        <is>
          <t>Poster (Fitness Center)</t>
        </is>
      </c>
      <c r="J1055" s="11" t="inlineStr"/>
      <c r="K1055" s="8" t="inlineStr">
        <is>
          <t>Your ad will appear in the fitness center on the installation.</t>
        </is>
      </c>
      <c r="L1055" s="11" t="n">
        <v>1</v>
      </c>
      <c r="M1055" s="12" t="n">
        <v>75</v>
      </c>
      <c r="N1055" s="12" t="n"/>
      <c r="O1055" s="12" t="n"/>
      <c r="P1055" s="12" t="n"/>
      <c r="Q1055" s="12" t="n"/>
      <c r="R1055" s="13">
        <f>IF(ISNUMBER(M1055),ROUND(M1055/(1-Settings!$B$2)/Settings!$B$3,0)*Settings!$B$3,"")</f>
        <v/>
      </c>
      <c r="S1055" s="13">
        <f>IF(ISNUMBER(N1055),ROUND(N1055/(1-Settings!$B$2)/Settings!$B$3,0)*Settings!$B$3,"")</f>
        <v/>
      </c>
      <c r="T1055" s="13">
        <f>IF(ISNUMBER(O1055),ROUND(O1055/(1-Settings!$B$2)/Settings!$B$3,0)*Settings!$B$3,"")</f>
        <v/>
      </c>
      <c r="U1055" s="13">
        <f>IF(ISNUMBER(P1055),ROUND(P1055/(1-Settings!$B$2)/Settings!$B$3,0)*Settings!$B$3,"")</f>
        <v/>
      </c>
      <c r="V1055" s="13">
        <f>IF(ISNUMBER(Q1055),ROUND(Q1055/(1-Settings!$B$2)/Settings!$B$3,0)*Settings!$B$3,"")</f>
        <v/>
      </c>
      <c r="W1055" s="14" t="n">
        <v>3831</v>
      </c>
      <c r="X1055" s="14" t="n">
        <v>4381</v>
      </c>
      <c r="Y1055" s="11" t="inlineStr"/>
      <c r="Z1055" s="11" t="inlineStr"/>
      <c r="AA1055" s="8" t="inlineStr"/>
      <c r="AB1055" s="8" t="inlineStr"/>
      <c r="AC1055" s="11" t="inlineStr">
        <is>
          <t>MasterMilitaryOnBaseList 12.2.25 NS.xlsx</t>
        </is>
      </c>
      <c r="AD1055" s="11" t="inlineStr">
        <is>
          <t>Independence Day 2026.pdf</t>
        </is>
      </c>
      <c r="AE1055" s="15" t="inlineStr">
        <is>
          <t>Open in Box</t>
        </is>
      </c>
      <c r="AF1055" s="15" t="inlineStr">
        <is>
          <t>Open in Box</t>
        </is>
      </c>
    </row>
    <row r="1056">
      <c r="A1056" s="11" t="inlineStr">
        <is>
          <t>MO-WHITEMAN-013</t>
        </is>
      </c>
      <c r="B1056" s="8" t="inlineStr">
        <is>
          <t>Whiteman AFB</t>
        </is>
      </c>
      <c r="C1056" s="11" t="inlineStr"/>
      <c r="D1056" s="11" t="inlineStr">
        <is>
          <t>MO</t>
        </is>
      </c>
      <c r="E1056" s="11" t="inlineStr">
        <is>
          <t>Kansas City</t>
        </is>
      </c>
      <c r="F1056" s="11" t="inlineStr">
        <is>
          <t>65305</t>
        </is>
      </c>
      <c r="G1056" s="11" t="inlineStr">
        <is>
          <t>Air Force</t>
        </is>
      </c>
      <c r="H1056" s="11" t="inlineStr">
        <is>
          <t>Standard Media</t>
        </is>
      </c>
      <c r="I1056" s="8" t="inlineStr">
        <is>
          <t>Table Top Napkin Holders (Dining Facility)</t>
        </is>
      </c>
      <c r="J1056" s="11" t="inlineStr"/>
      <c r="K1056" s="8" t="inlineStr">
        <is>
          <t>Your ad will appear on napkin holders in the Ozark Dining Facility on the installation.</t>
        </is>
      </c>
      <c r="L1056" s="11" t="n">
        <v>1</v>
      </c>
      <c r="M1056" s="12" t="n">
        <v>50</v>
      </c>
      <c r="N1056" s="12" t="n">
        <v>140</v>
      </c>
      <c r="O1056" s="12" t="n">
        <v>250</v>
      </c>
      <c r="P1056" s="12" t="n">
        <v>425</v>
      </c>
      <c r="Q1056" s="12" t="n"/>
      <c r="R1056" s="13">
        <f>IF(ISNUMBER(M1056),ROUND(M1056/(1-Settings!$B$2)/Settings!$B$3,0)*Settings!$B$3,"")</f>
        <v/>
      </c>
      <c r="S1056" s="13">
        <f>IF(ISNUMBER(N1056),ROUND(N1056/(1-Settings!$B$2)/Settings!$B$3,0)*Settings!$B$3,"")</f>
        <v/>
      </c>
      <c r="T1056" s="13">
        <f>IF(ISNUMBER(O1056),ROUND(O1056/(1-Settings!$B$2)/Settings!$B$3,0)*Settings!$B$3,"")</f>
        <v/>
      </c>
      <c r="U1056" s="13">
        <f>IF(ISNUMBER(P1056),ROUND(P1056/(1-Settings!$B$2)/Settings!$B$3,0)*Settings!$B$3,"")</f>
        <v/>
      </c>
      <c r="V1056" s="13">
        <f>IF(ISNUMBER(Q1056),ROUND(Q1056/(1-Settings!$B$2)/Settings!$B$3,0)*Settings!$B$3,"")</f>
        <v/>
      </c>
      <c r="W1056" s="14" t="n">
        <v>3831</v>
      </c>
      <c r="X1056" s="14" t="n">
        <v>4381</v>
      </c>
      <c r="Y1056" s="11" t="inlineStr"/>
      <c r="Z1056" s="11" t="inlineStr"/>
      <c r="AA1056" s="8" t="inlineStr"/>
      <c r="AB1056" s="8" t="inlineStr"/>
      <c r="AC1056" s="11" t="inlineStr">
        <is>
          <t>MasterMilitaryOnBaseList 12.2.25 NS.xlsx</t>
        </is>
      </c>
      <c r="AD1056" s="11" t="inlineStr">
        <is>
          <t>Independence Day 2026.pdf</t>
        </is>
      </c>
      <c r="AE1056" s="15" t="inlineStr">
        <is>
          <t>Open in Box</t>
        </is>
      </c>
      <c r="AF1056" s="15" t="inlineStr">
        <is>
          <t>Open in Box</t>
        </is>
      </c>
    </row>
    <row r="1057">
      <c r="A1057" s="11" t="inlineStr">
        <is>
          <t>MO-WHITEMAN-014</t>
        </is>
      </c>
      <c r="B1057" s="8" t="inlineStr">
        <is>
          <t>Whiteman AFB</t>
        </is>
      </c>
      <c r="C1057" s="11" t="inlineStr"/>
      <c r="D1057" s="11" t="inlineStr">
        <is>
          <t>MO</t>
        </is>
      </c>
      <c r="E1057" s="11" t="inlineStr">
        <is>
          <t>Kansas City</t>
        </is>
      </c>
      <c r="F1057" s="11" t="inlineStr">
        <is>
          <t>65305</t>
        </is>
      </c>
      <c r="G1057" s="11" t="inlineStr">
        <is>
          <t>Air Force</t>
        </is>
      </c>
      <c r="H1057" s="11" t="inlineStr">
        <is>
          <t>Standard Media</t>
        </is>
      </c>
      <c r="I1057" s="8" t="inlineStr">
        <is>
          <t>Tee Box/Hole Sponsor</t>
        </is>
      </c>
      <c r="J1057" s="11" t="inlineStr"/>
      <c r="K1057" s="8" t="inlineStr">
        <is>
          <t>Your ad will appear mo the Check-in Wall on the mostallation. ($25/hole)</t>
        </is>
      </c>
      <c r="L1057" s="11" t="n"/>
      <c r="M1057" s="12" t="n"/>
      <c r="N1057" s="12" t="n"/>
      <c r="O1057" s="12" t="n"/>
      <c r="P1057" s="12" t="n"/>
      <c r="Q1057" s="12" t="n"/>
      <c r="R1057" s="13">
        <f>IF(ISNUMBER(M1057),ROUND(M1057/(1-Settings!$B$2)/Settings!$B$3,0)*Settings!$B$3,"")</f>
        <v/>
      </c>
      <c r="S1057" s="13">
        <f>IF(ISNUMBER(N1057),ROUND(N1057/(1-Settings!$B$2)/Settings!$B$3,0)*Settings!$B$3,"")</f>
        <v/>
      </c>
      <c r="T1057" s="13">
        <f>IF(ISNUMBER(O1057),ROUND(O1057/(1-Settings!$B$2)/Settings!$B$3,0)*Settings!$B$3,"")</f>
        <v/>
      </c>
      <c r="U1057" s="13">
        <f>IF(ISNUMBER(P1057),ROUND(P1057/(1-Settings!$B$2)/Settings!$B$3,0)*Settings!$B$3,"")</f>
        <v/>
      </c>
      <c r="V1057" s="13">
        <f>IF(ISNUMBER(Q1057),ROUND(Q1057/(1-Settings!$B$2)/Settings!$B$3,0)*Settings!$B$3,"")</f>
        <v/>
      </c>
      <c r="W1057" s="14" t="n">
        <v>3831</v>
      </c>
      <c r="X1057" s="14" t="n">
        <v>4381</v>
      </c>
      <c r="Y1057" s="11" t="inlineStr"/>
      <c r="Z1057" s="11" t="inlineStr"/>
      <c r="AA1057" s="8" t="inlineStr"/>
      <c r="AB1057" s="16" t="inlineStr">
        <is>
          <t>No price on file - inquire</t>
        </is>
      </c>
      <c r="AC1057" s="11" t="inlineStr">
        <is>
          <t>MasterMilitaryOnBaseList 12.2.25 NS.xlsx</t>
        </is>
      </c>
      <c r="AD1057" s="11" t="inlineStr">
        <is>
          <t>Independence Day 2026.pdf</t>
        </is>
      </c>
      <c r="AE1057" s="15" t="inlineStr">
        <is>
          <t>Open in Box</t>
        </is>
      </c>
      <c r="AF1057" s="15" t="inlineStr">
        <is>
          <t>Open in Box</t>
        </is>
      </c>
    </row>
    <row r="1058">
      <c r="A1058" s="11" t="inlineStr">
        <is>
          <t>MO-WHITEMAN-018</t>
        </is>
      </c>
      <c r="B1058" s="8" t="inlineStr">
        <is>
          <t>Whiteman AFB</t>
        </is>
      </c>
      <c r="C1058" s="11" t="inlineStr"/>
      <c r="D1058" s="11" t="inlineStr">
        <is>
          <t>MO</t>
        </is>
      </c>
      <c r="E1058" s="11" t="inlineStr">
        <is>
          <t>Kansas City</t>
        </is>
      </c>
      <c r="F1058" s="11" t="inlineStr"/>
      <c r="G1058" s="11" t="inlineStr">
        <is>
          <t>Air Force</t>
        </is>
      </c>
      <c r="H1058" s="11" t="inlineStr">
        <is>
          <t>Web &amp; Email</t>
        </is>
      </c>
      <c r="I1058" s="8" t="inlineStr">
        <is>
          <t>Web Ad</t>
        </is>
      </c>
      <c r="J1058" s="11" t="inlineStr"/>
      <c r="K1058" s="8" t="inlineStr">
        <is>
          <t>Your ad will appear on the installation MWR / FSS website.</t>
        </is>
      </c>
      <c r="L1058" s="11" t="n">
        <v>1</v>
      </c>
      <c r="M1058" s="12" t="n">
        <v>100</v>
      </c>
      <c r="N1058" s="12" t="n"/>
      <c r="O1058" s="12" t="n"/>
      <c r="P1058" s="12" t="n"/>
      <c r="Q1058" s="12" t="n"/>
      <c r="R1058" s="13">
        <f>IF(ISNUMBER(M1058),ROUND(M1058/(1-Settings!$B$2)/Settings!$B$3,0)*Settings!$B$3,"")</f>
        <v/>
      </c>
      <c r="S1058" s="13">
        <f>IF(ISNUMBER(N1058),ROUND(N1058/(1-Settings!$B$2)/Settings!$B$3,0)*Settings!$B$3,"")</f>
        <v/>
      </c>
      <c r="T1058" s="13">
        <f>IF(ISNUMBER(O1058),ROUND(O1058/(1-Settings!$B$2)/Settings!$B$3,0)*Settings!$B$3,"")</f>
        <v/>
      </c>
      <c r="U1058" s="13">
        <f>IF(ISNUMBER(P1058),ROUND(P1058/(1-Settings!$B$2)/Settings!$B$3,0)*Settings!$B$3,"")</f>
        <v/>
      </c>
      <c r="V1058" s="13">
        <f>IF(ISNUMBER(Q1058),ROUND(Q1058/(1-Settings!$B$2)/Settings!$B$3,0)*Settings!$B$3,"")</f>
        <v/>
      </c>
      <c r="W1058" s="14" t="n">
        <v>3831</v>
      </c>
      <c r="X1058" s="14" t="n">
        <v>4381</v>
      </c>
      <c r="Y1058" s="11" t="inlineStr">
        <is>
          <t>2026</t>
        </is>
      </c>
      <c r="Z1058" s="11" t="inlineStr">
        <is>
          <t>2026-06</t>
        </is>
      </c>
      <c r="AA1058" s="8" t="inlineStr"/>
      <c r="AB1058" s="8" t="inlineStr"/>
      <c r="AC1058" s="11" t="inlineStr">
        <is>
          <t>Military - National Publication Inventory Master_June 2026.xlsx</t>
        </is>
      </c>
      <c r="AD1058" s="11" t="inlineStr">
        <is>
          <t>Independence Day 2026.pdf</t>
        </is>
      </c>
      <c r="AE1058" s="15" t="inlineStr">
        <is>
          <t>Open in Box</t>
        </is>
      </c>
      <c r="AF1058" s="15" t="inlineStr">
        <is>
          <t>Open in Box</t>
        </is>
      </c>
    </row>
    <row r="1059">
      <c r="A1059" s="11" t="inlineStr">
        <is>
          <t>MS-GULFPORT-001</t>
        </is>
      </c>
      <c r="B1059" s="8" t="inlineStr">
        <is>
          <t>Gulfport NCBC</t>
        </is>
      </c>
      <c r="C1059" s="11" t="inlineStr"/>
      <c r="D1059" s="11" t="inlineStr">
        <is>
          <t>MS</t>
        </is>
      </c>
      <c r="E1059" s="11" t="inlineStr">
        <is>
          <t>Biloxi-Gulfport</t>
        </is>
      </c>
      <c r="F1059" s="11" t="inlineStr">
        <is>
          <t>39501</t>
        </is>
      </c>
      <c r="G1059" s="11" t="inlineStr">
        <is>
          <t>Navy</t>
        </is>
      </c>
      <c r="H1059" s="11" t="inlineStr">
        <is>
          <t>Digital</t>
        </is>
      </c>
      <c r="I1059" s="8" t="inlineStr">
        <is>
          <t>Digital Monitor Network</t>
        </is>
      </c>
      <c r="J1059" s="11" t="inlineStr">
        <is>
          <t>1920pxW x 1080pxH</t>
        </is>
      </c>
      <c r="K1059" s="8" t="inlineStr">
        <is>
          <t>Your ad will appear on 14 digital monitors in approved installation facilities.</t>
        </is>
      </c>
      <c r="L1059" s="11" t="n">
        <v>1</v>
      </c>
      <c r="M1059" s="12" t="n">
        <v>790</v>
      </c>
      <c r="N1059" s="12" t="n">
        <v>2370</v>
      </c>
      <c r="O1059" s="12" t="n">
        <v>4740</v>
      </c>
      <c r="P1059" s="12" t="n">
        <v>9480</v>
      </c>
      <c r="Q1059" s="12" t="n">
        <v>0</v>
      </c>
      <c r="R1059" s="13">
        <f>IF(ISNUMBER(M1059),ROUND(M1059/(1-Settings!$B$2)/Settings!$B$3,0)*Settings!$B$3,"")</f>
        <v/>
      </c>
      <c r="S1059" s="13">
        <f>IF(ISNUMBER(N1059),ROUND(N1059/(1-Settings!$B$2)/Settings!$B$3,0)*Settings!$B$3,"")</f>
        <v/>
      </c>
      <c r="T1059" s="13">
        <f>IF(ISNUMBER(O1059),ROUND(O1059/(1-Settings!$B$2)/Settings!$B$3,0)*Settings!$B$3,"")</f>
        <v/>
      </c>
      <c r="U1059" s="13">
        <f>IF(ISNUMBER(P1059),ROUND(P1059/(1-Settings!$B$2)/Settings!$B$3,0)*Settings!$B$3,"")</f>
        <v/>
      </c>
      <c r="V1059" s="13">
        <f>IF(ISNUMBER(Q1059),ROUND(Q1059/(1-Settings!$B$2)/Settings!$B$3,0)*Settings!$B$3,"")</f>
        <v/>
      </c>
      <c r="W1059" s="14" t="n">
        <v>2906</v>
      </c>
      <c r="X1059" s="14" t="n">
        <v>3970</v>
      </c>
      <c r="Y1059" s="11" t="inlineStr"/>
      <c r="Z1059" s="11" t="inlineStr"/>
      <c r="AA1059" s="8" t="inlineStr"/>
      <c r="AB1059" s="8" t="inlineStr"/>
      <c r="AC1059" s="11" t="inlineStr">
        <is>
          <t>MasterMilitaryOnBaseList 12.2.25 NS.xlsx</t>
        </is>
      </c>
      <c r="AD1059" s="11" t="inlineStr">
        <is>
          <t>FY26-27 ADVERTISING ASSETS_NRSE.xlsx</t>
        </is>
      </c>
      <c r="AE1059" s="15" t="inlineStr">
        <is>
          <t>Open in Box</t>
        </is>
      </c>
      <c r="AF1059" s="15" t="inlineStr">
        <is>
          <t>Open in Box</t>
        </is>
      </c>
    </row>
    <row r="1060">
      <c r="A1060" s="11" t="inlineStr">
        <is>
          <t>MS-GULFPORT-002</t>
        </is>
      </c>
      <c r="B1060" s="8" t="inlineStr">
        <is>
          <t>Gulfport NCBC</t>
        </is>
      </c>
      <c r="C1060" s="11" t="inlineStr"/>
      <c r="D1060" s="11" t="inlineStr">
        <is>
          <t>MS</t>
        </is>
      </c>
      <c r="E1060" s="11" t="inlineStr">
        <is>
          <t>Biloxi-Gulfport</t>
        </is>
      </c>
      <c r="F1060" s="11" t="inlineStr">
        <is>
          <t>39501</t>
        </is>
      </c>
      <c r="G1060" s="11" t="inlineStr">
        <is>
          <t>Navy</t>
        </is>
      </c>
      <c r="H1060" s="11" t="inlineStr">
        <is>
          <t>Digital</t>
        </is>
      </c>
      <c r="I1060" s="8" t="inlineStr">
        <is>
          <t>Theatre Commercial</t>
        </is>
      </c>
      <c r="J1060" s="11" t="inlineStr">
        <is>
          <t>TBD</t>
        </is>
      </c>
      <c r="K1060" s="8" t="inlineStr">
        <is>
          <t>Your ad will run before movies.</t>
        </is>
      </c>
      <c r="L1060" s="11" t="n">
        <v>1</v>
      </c>
      <c r="M1060" s="12" t="n">
        <v>400</v>
      </c>
      <c r="N1060" s="12" t="n">
        <v>1200</v>
      </c>
      <c r="O1060" s="12" t="n">
        <v>2400</v>
      </c>
      <c r="P1060" s="12" t="n">
        <v>4800</v>
      </c>
      <c r="Q1060" s="12" t="n">
        <v>0</v>
      </c>
      <c r="R1060" s="13">
        <f>IF(ISNUMBER(M1060),ROUND(M1060/(1-Settings!$B$2)/Settings!$B$3,0)*Settings!$B$3,"")</f>
        <v/>
      </c>
      <c r="S1060" s="13">
        <f>IF(ISNUMBER(N1060),ROUND(N1060/(1-Settings!$B$2)/Settings!$B$3,0)*Settings!$B$3,"")</f>
        <v/>
      </c>
      <c r="T1060" s="13">
        <f>IF(ISNUMBER(O1060),ROUND(O1060/(1-Settings!$B$2)/Settings!$B$3,0)*Settings!$B$3,"")</f>
        <v/>
      </c>
      <c r="U1060" s="13">
        <f>IF(ISNUMBER(P1060),ROUND(P1060/(1-Settings!$B$2)/Settings!$B$3,0)*Settings!$B$3,"")</f>
        <v/>
      </c>
      <c r="V1060" s="13">
        <f>IF(ISNUMBER(Q1060),ROUND(Q1060/(1-Settings!$B$2)/Settings!$B$3,0)*Settings!$B$3,"")</f>
        <v/>
      </c>
      <c r="W1060" s="14" t="n">
        <v>2906</v>
      </c>
      <c r="X1060" s="14" t="n">
        <v>3970</v>
      </c>
      <c r="Y1060" s="11" t="inlineStr"/>
      <c r="Z1060" s="11" t="inlineStr"/>
      <c r="AA1060" s="8" t="inlineStr"/>
      <c r="AB1060" s="8" t="inlineStr"/>
      <c r="AC1060" s="11" t="inlineStr">
        <is>
          <t>MasterMilitaryOnBaseList 12.2.25 NS.xlsx</t>
        </is>
      </c>
      <c r="AD1060" s="11" t="inlineStr">
        <is>
          <t>FY26-27 ADVERTISING ASSETS_NRSE.xlsx</t>
        </is>
      </c>
      <c r="AE1060" s="15" t="inlineStr">
        <is>
          <t>Open in Box</t>
        </is>
      </c>
      <c r="AF1060" s="15" t="inlineStr">
        <is>
          <t>Open in Box</t>
        </is>
      </c>
    </row>
    <row r="1061">
      <c r="A1061" s="11" t="inlineStr">
        <is>
          <t>MS-GULFPORT-003</t>
        </is>
      </c>
      <c r="B1061" s="8" t="inlineStr">
        <is>
          <t>Gulfport NCBC</t>
        </is>
      </c>
      <c r="C1061" s="11" t="inlineStr"/>
      <c r="D1061" s="11" t="inlineStr">
        <is>
          <t>MS</t>
        </is>
      </c>
      <c r="E1061" s="11" t="inlineStr">
        <is>
          <t>Biloxi-Gulfport</t>
        </is>
      </c>
      <c r="F1061" s="11" t="inlineStr">
        <is>
          <t>39501</t>
        </is>
      </c>
      <c r="G1061" s="11" t="inlineStr">
        <is>
          <t>Navy</t>
        </is>
      </c>
      <c r="H1061" s="11" t="inlineStr">
        <is>
          <t>Digital</t>
        </is>
      </c>
      <c r="I1061" s="8" t="inlineStr">
        <is>
          <t>Theatre Static</t>
        </is>
      </c>
      <c r="J1061" s="11" t="inlineStr">
        <is>
          <t>TBD</t>
        </is>
      </c>
      <c r="K1061" s="8" t="inlineStr">
        <is>
          <t>Your ad will run before movies.</t>
        </is>
      </c>
      <c r="L1061" s="11" t="n">
        <v>1</v>
      </c>
      <c r="M1061" s="12" t="n">
        <v>300</v>
      </c>
      <c r="N1061" s="12" t="n">
        <v>900</v>
      </c>
      <c r="O1061" s="12" t="n">
        <v>1800</v>
      </c>
      <c r="P1061" s="12" t="n">
        <v>3600</v>
      </c>
      <c r="Q1061" s="12" t="n">
        <v>0</v>
      </c>
      <c r="R1061" s="13">
        <f>IF(ISNUMBER(M1061),ROUND(M1061/(1-Settings!$B$2)/Settings!$B$3,0)*Settings!$B$3,"")</f>
        <v/>
      </c>
      <c r="S1061" s="13">
        <f>IF(ISNUMBER(N1061),ROUND(N1061/(1-Settings!$B$2)/Settings!$B$3,0)*Settings!$B$3,"")</f>
        <v/>
      </c>
      <c r="T1061" s="13">
        <f>IF(ISNUMBER(O1061),ROUND(O1061/(1-Settings!$B$2)/Settings!$B$3,0)*Settings!$B$3,"")</f>
        <v/>
      </c>
      <c r="U1061" s="13">
        <f>IF(ISNUMBER(P1061),ROUND(P1061/(1-Settings!$B$2)/Settings!$B$3,0)*Settings!$B$3,"")</f>
        <v/>
      </c>
      <c r="V1061" s="13">
        <f>IF(ISNUMBER(Q1061),ROUND(Q1061/(1-Settings!$B$2)/Settings!$B$3,0)*Settings!$B$3,"")</f>
        <v/>
      </c>
      <c r="W1061" s="14" t="n">
        <v>2906</v>
      </c>
      <c r="X1061" s="14" t="n">
        <v>3970</v>
      </c>
      <c r="Y1061" s="11" t="inlineStr"/>
      <c r="Z1061" s="11" t="inlineStr"/>
      <c r="AA1061" s="8" t="inlineStr"/>
      <c r="AB1061" s="8" t="inlineStr"/>
      <c r="AC1061" s="11" t="inlineStr">
        <is>
          <t>MasterMilitaryOnBaseList 12.2.25 NS.xlsx</t>
        </is>
      </c>
      <c r="AD1061" s="11" t="inlineStr">
        <is>
          <t>FY26-27 ADVERTISING ASSETS_NRSE.xlsx</t>
        </is>
      </c>
      <c r="AE1061" s="15" t="inlineStr">
        <is>
          <t>Open in Box</t>
        </is>
      </c>
      <c r="AF1061" s="15" t="inlineStr">
        <is>
          <t>Open in Box</t>
        </is>
      </c>
    </row>
    <row r="1062">
      <c r="A1062" s="11" t="inlineStr">
        <is>
          <t>MS-GULFPORT-006</t>
        </is>
      </c>
      <c r="B1062" s="8" t="inlineStr">
        <is>
          <t>Gulfport NCBC</t>
        </is>
      </c>
      <c r="C1062" s="11" t="inlineStr"/>
      <c r="D1062" s="11" t="inlineStr">
        <is>
          <t>MS</t>
        </is>
      </c>
      <c r="E1062" s="11" t="inlineStr">
        <is>
          <t>Biloxi-Gulfport</t>
        </is>
      </c>
      <c r="F1062" s="11" t="inlineStr">
        <is>
          <t>39501</t>
        </is>
      </c>
      <c r="G1062" s="11" t="inlineStr">
        <is>
          <t>Navy</t>
        </is>
      </c>
      <c r="H1062" s="11" t="inlineStr">
        <is>
          <t>Large Format</t>
        </is>
      </c>
      <c r="I1062" s="8" t="inlineStr">
        <is>
          <t>Counter Wrap</t>
        </is>
      </c>
      <c r="J1062" s="11" t="inlineStr">
        <is>
          <t>Varies</t>
        </is>
      </c>
      <c r="K1062" s="8" t="inlineStr">
        <is>
          <t>Your ad will appear at an approved installation facility.</t>
        </is>
      </c>
      <c r="L1062" s="11" t="n">
        <v>1</v>
      </c>
      <c r="M1062" s="12" t="n">
        <v>750</v>
      </c>
      <c r="N1062" s="12" t="n">
        <v>2250</v>
      </c>
      <c r="O1062" s="12" t="n">
        <v>4500</v>
      </c>
      <c r="P1062" s="12" t="n">
        <v>9000</v>
      </c>
      <c r="Q1062" s="12" t="n"/>
      <c r="R1062" s="13">
        <f>IF(ISNUMBER(M1062),ROUND(M1062/(1-Settings!$B$2)/Settings!$B$3,0)*Settings!$B$3,"")</f>
        <v/>
      </c>
      <c r="S1062" s="13">
        <f>IF(ISNUMBER(N1062),ROUND(N1062/(1-Settings!$B$2)/Settings!$B$3,0)*Settings!$B$3,"")</f>
        <v/>
      </c>
      <c r="T1062" s="13">
        <f>IF(ISNUMBER(O1062),ROUND(O1062/(1-Settings!$B$2)/Settings!$B$3,0)*Settings!$B$3,"")</f>
        <v/>
      </c>
      <c r="U1062" s="13">
        <f>IF(ISNUMBER(P1062),ROUND(P1062/(1-Settings!$B$2)/Settings!$B$3,0)*Settings!$B$3,"")</f>
        <v/>
      </c>
      <c r="V1062" s="13">
        <f>IF(ISNUMBER(Q1062),ROUND(Q1062/(1-Settings!$B$2)/Settings!$B$3,0)*Settings!$B$3,"")</f>
        <v/>
      </c>
      <c r="W1062" s="14" t="n">
        <v>2906</v>
      </c>
      <c r="X1062" s="14" t="n">
        <v>3970</v>
      </c>
      <c r="Y1062" s="11" t="inlineStr"/>
      <c r="Z1062" s="11" t="inlineStr"/>
      <c r="AA1062" s="8" t="inlineStr"/>
      <c r="AB1062" s="8" t="inlineStr"/>
      <c r="AC1062" s="11" t="inlineStr">
        <is>
          <t>MasterMilitaryOnBaseList 12.2.25 NS.xlsx</t>
        </is>
      </c>
      <c r="AD1062" s="11" t="inlineStr">
        <is>
          <t>FY26-27 ADVERTISING ASSETS_NRSE.xlsx</t>
        </is>
      </c>
      <c r="AE1062" s="15" t="inlineStr">
        <is>
          <t>Open in Box</t>
        </is>
      </c>
      <c r="AF1062" s="15" t="inlineStr">
        <is>
          <t>Open in Box</t>
        </is>
      </c>
    </row>
    <row r="1063">
      <c r="A1063" s="11" t="inlineStr">
        <is>
          <t>MS-GULFPORT-007</t>
        </is>
      </c>
      <c r="B1063" s="8" t="inlineStr">
        <is>
          <t>Gulfport NCBC</t>
        </is>
      </c>
      <c r="C1063" s="11" t="inlineStr"/>
      <c r="D1063" s="11" t="inlineStr">
        <is>
          <t>MS</t>
        </is>
      </c>
      <c r="E1063" s="11" t="inlineStr">
        <is>
          <t>Biloxi-Gulfport</t>
        </is>
      </c>
      <c r="F1063" s="11" t="inlineStr">
        <is>
          <t>39501</t>
        </is>
      </c>
      <c r="G1063" s="11" t="inlineStr">
        <is>
          <t>Navy</t>
        </is>
      </c>
      <c r="H1063" s="11" t="inlineStr">
        <is>
          <t>Large Format</t>
        </is>
      </c>
      <c r="I1063" s="8" t="inlineStr">
        <is>
          <t>Poster Large</t>
        </is>
      </c>
      <c r="J1063" s="11" t="inlineStr">
        <is>
          <t>22"W x 56"H</t>
        </is>
      </c>
      <c r="K1063" s="8" t="inlineStr">
        <is>
          <t>Your ad will appear at an approved installation facility.</t>
        </is>
      </c>
      <c r="L1063" s="11" t="n">
        <v>1</v>
      </c>
      <c r="M1063" s="12" t="n">
        <v>500</v>
      </c>
      <c r="N1063" s="12" t="n">
        <v>1500</v>
      </c>
      <c r="O1063" s="12" t="n">
        <v>3000</v>
      </c>
      <c r="P1063" s="12" t="n">
        <v>6000</v>
      </c>
      <c r="Q1063" s="12" t="n">
        <v>200</v>
      </c>
      <c r="R1063" s="13">
        <f>IF(ISNUMBER(M1063),ROUND(M1063/(1-Settings!$B$2)/Settings!$B$3,0)*Settings!$B$3,"")</f>
        <v/>
      </c>
      <c r="S1063" s="13">
        <f>IF(ISNUMBER(N1063),ROUND(N1063/(1-Settings!$B$2)/Settings!$B$3,0)*Settings!$B$3,"")</f>
        <v/>
      </c>
      <c r="T1063" s="13">
        <f>IF(ISNUMBER(O1063),ROUND(O1063/(1-Settings!$B$2)/Settings!$B$3,0)*Settings!$B$3,"")</f>
        <v/>
      </c>
      <c r="U1063" s="13">
        <f>IF(ISNUMBER(P1063),ROUND(P1063/(1-Settings!$B$2)/Settings!$B$3,0)*Settings!$B$3,"")</f>
        <v/>
      </c>
      <c r="V1063" s="13">
        <f>IF(ISNUMBER(Q1063),ROUND(Q1063/(1-Settings!$B$2)/Settings!$B$3,0)*Settings!$B$3,"")</f>
        <v/>
      </c>
      <c r="W1063" s="14" t="n">
        <v>2906</v>
      </c>
      <c r="X1063" s="14" t="n">
        <v>3970</v>
      </c>
      <c r="Y1063" s="11" t="inlineStr"/>
      <c r="Z1063" s="11" t="inlineStr"/>
      <c r="AA1063" s="8" t="inlineStr"/>
      <c r="AB1063" s="8" t="inlineStr"/>
      <c r="AC1063" s="11" t="inlineStr">
        <is>
          <t>MasterMilitaryOnBaseList 12.2.25 NS.xlsx</t>
        </is>
      </c>
      <c r="AD1063" s="11" t="inlineStr">
        <is>
          <t>FY26-27 ADVERTISING ASSETS_NRSE.xlsx</t>
        </is>
      </c>
      <c r="AE1063" s="15" t="inlineStr">
        <is>
          <t>Open in Box</t>
        </is>
      </c>
      <c r="AF1063" s="15" t="inlineStr">
        <is>
          <t>Open in Box</t>
        </is>
      </c>
    </row>
    <row r="1064">
      <c r="A1064" s="11" t="inlineStr">
        <is>
          <t>MS-GULFPORT-008</t>
        </is>
      </c>
      <c r="B1064" s="8" t="inlineStr">
        <is>
          <t>Gulfport NCBC</t>
        </is>
      </c>
      <c r="C1064" s="11" t="inlineStr"/>
      <c r="D1064" s="11" t="inlineStr">
        <is>
          <t>MS</t>
        </is>
      </c>
      <c r="E1064" s="11" t="inlineStr">
        <is>
          <t>Biloxi-Gulfport</t>
        </is>
      </c>
      <c r="F1064" s="11" t="inlineStr">
        <is>
          <t>39501</t>
        </is>
      </c>
      <c r="G1064" s="11" t="inlineStr">
        <is>
          <t>Navy</t>
        </is>
      </c>
      <c r="H1064" s="11" t="inlineStr">
        <is>
          <t>Large Format</t>
        </is>
      </c>
      <c r="I1064" s="8" t="inlineStr">
        <is>
          <t>Wall Cling</t>
        </is>
      </c>
      <c r="J1064" s="11" t="inlineStr">
        <is>
          <t>Varies</t>
        </is>
      </c>
      <c r="K1064" s="8" t="inlineStr">
        <is>
          <t>Your ad will appear at an approved installation facility.</t>
        </is>
      </c>
      <c r="L1064" s="11" t="n">
        <v>1</v>
      </c>
      <c r="M1064" s="12" t="n">
        <v>500</v>
      </c>
      <c r="N1064" s="12" t="n">
        <v>1500</v>
      </c>
      <c r="O1064" s="12" t="n">
        <v>3000</v>
      </c>
      <c r="P1064" s="12" t="n">
        <v>6000</v>
      </c>
      <c r="Q1064" s="12" t="n"/>
      <c r="R1064" s="13">
        <f>IF(ISNUMBER(M1064),ROUND(M1064/(1-Settings!$B$2)/Settings!$B$3,0)*Settings!$B$3,"")</f>
        <v/>
      </c>
      <c r="S1064" s="13">
        <f>IF(ISNUMBER(N1064),ROUND(N1064/(1-Settings!$B$2)/Settings!$B$3,0)*Settings!$B$3,"")</f>
        <v/>
      </c>
      <c r="T1064" s="13">
        <f>IF(ISNUMBER(O1064),ROUND(O1064/(1-Settings!$B$2)/Settings!$B$3,0)*Settings!$B$3,"")</f>
        <v/>
      </c>
      <c r="U1064" s="13">
        <f>IF(ISNUMBER(P1064),ROUND(P1064/(1-Settings!$B$2)/Settings!$B$3,0)*Settings!$B$3,"")</f>
        <v/>
      </c>
      <c r="V1064" s="13">
        <f>IF(ISNUMBER(Q1064),ROUND(Q1064/(1-Settings!$B$2)/Settings!$B$3,0)*Settings!$B$3,"")</f>
        <v/>
      </c>
      <c r="W1064" s="14" t="n">
        <v>2906</v>
      </c>
      <c r="X1064" s="14" t="n">
        <v>3970</v>
      </c>
      <c r="Y1064" s="11" t="inlineStr"/>
      <c r="Z1064" s="11" t="inlineStr"/>
      <c r="AA1064" s="8" t="inlineStr"/>
      <c r="AB1064" s="8" t="inlineStr"/>
      <c r="AC1064" s="11" t="inlineStr">
        <is>
          <t>MasterMilitaryOnBaseList 12.2.25 NS.xlsx</t>
        </is>
      </c>
      <c r="AD1064" s="11" t="inlineStr">
        <is>
          <t>FY26-27 ADVERTISING ASSETS_NRSE.xlsx</t>
        </is>
      </c>
      <c r="AE1064" s="15" t="inlineStr">
        <is>
          <t>Open in Box</t>
        </is>
      </c>
      <c r="AF1064" s="15" t="inlineStr">
        <is>
          <t>Open in Box</t>
        </is>
      </c>
    </row>
    <row r="1065">
      <c r="A1065" s="11" t="inlineStr">
        <is>
          <t>MS-GULFPORT-009</t>
        </is>
      </c>
      <c r="B1065" s="8" t="inlineStr">
        <is>
          <t>Gulfport NCBC</t>
        </is>
      </c>
      <c r="C1065" s="11" t="inlineStr"/>
      <c r="D1065" s="11" t="inlineStr">
        <is>
          <t>MS</t>
        </is>
      </c>
      <c r="E1065" s="11" t="inlineStr">
        <is>
          <t>Biloxi-Gulfport</t>
        </is>
      </c>
      <c r="F1065" s="11" t="inlineStr">
        <is>
          <t>39501</t>
        </is>
      </c>
      <c r="G1065" s="11" t="inlineStr">
        <is>
          <t>Navy</t>
        </is>
      </c>
      <c r="H1065" s="11" t="inlineStr">
        <is>
          <t>Print &amp; Publications</t>
        </is>
      </c>
      <c r="I1065" s="8" t="inlineStr">
        <is>
          <t>Brochures / Flyers</t>
        </is>
      </c>
      <c r="J1065" s="11" t="inlineStr">
        <is>
          <t>8.5"W x 11"H</t>
        </is>
      </c>
      <c r="K1065" s="8" t="inlineStr">
        <is>
          <t>Your ad will appear in 7 approved installation facilities.</t>
        </is>
      </c>
      <c r="L1065" s="11" t="n">
        <v>1</v>
      </c>
      <c r="M1065" s="12" t="n">
        <v>394</v>
      </c>
      <c r="N1065" s="12" t="n">
        <v>1182</v>
      </c>
      <c r="O1065" s="12" t="n">
        <v>2364</v>
      </c>
      <c r="P1065" s="12" t="n">
        <v>4728</v>
      </c>
      <c r="Q1065" s="12" t="n"/>
      <c r="R1065" s="13">
        <f>IF(ISNUMBER(M1065),ROUND(M1065/(1-Settings!$B$2)/Settings!$B$3,0)*Settings!$B$3,"")</f>
        <v/>
      </c>
      <c r="S1065" s="13">
        <f>IF(ISNUMBER(N1065),ROUND(N1065/(1-Settings!$B$2)/Settings!$B$3,0)*Settings!$B$3,"")</f>
        <v/>
      </c>
      <c r="T1065" s="13">
        <f>IF(ISNUMBER(O1065),ROUND(O1065/(1-Settings!$B$2)/Settings!$B$3,0)*Settings!$B$3,"")</f>
        <v/>
      </c>
      <c r="U1065" s="13">
        <f>IF(ISNUMBER(P1065),ROUND(P1065/(1-Settings!$B$2)/Settings!$B$3,0)*Settings!$B$3,"")</f>
        <v/>
      </c>
      <c r="V1065" s="13">
        <f>IF(ISNUMBER(Q1065),ROUND(Q1065/(1-Settings!$B$2)/Settings!$B$3,0)*Settings!$B$3,"")</f>
        <v/>
      </c>
      <c r="W1065" s="14" t="n">
        <v>2906</v>
      </c>
      <c r="X1065" s="14" t="n">
        <v>3970</v>
      </c>
      <c r="Y1065" s="11" t="inlineStr"/>
      <c r="Z1065" s="11" t="inlineStr"/>
      <c r="AA1065" s="8" t="inlineStr"/>
      <c r="AB1065" s="8" t="inlineStr"/>
      <c r="AC1065" s="11" t="inlineStr">
        <is>
          <t>MasterMilitaryOnBaseList 12.2.25 NS.xlsx</t>
        </is>
      </c>
      <c r="AD1065" s="11" t="inlineStr">
        <is>
          <t>FY26-27 ADVERTISING ASSETS_NRSE.xlsx</t>
        </is>
      </c>
      <c r="AE1065" s="15" t="inlineStr">
        <is>
          <t>Open in Box</t>
        </is>
      </c>
      <c r="AF1065" s="15" t="inlineStr">
        <is>
          <t>Open in Box</t>
        </is>
      </c>
    </row>
    <row r="1066">
      <c r="A1066" s="11" t="inlineStr">
        <is>
          <t>MS-GULFPORT-004</t>
        </is>
      </c>
      <c r="B1066" s="8" t="inlineStr">
        <is>
          <t>Gulfport NCBC</t>
        </is>
      </c>
      <c r="C1066" s="11" t="inlineStr"/>
      <c r="D1066" s="11" t="inlineStr">
        <is>
          <t>MS</t>
        </is>
      </c>
      <c r="E1066" s="11" t="inlineStr">
        <is>
          <t>Biloxi-Gulfport</t>
        </is>
      </c>
      <c r="F1066" s="11" t="inlineStr">
        <is>
          <t>39501</t>
        </is>
      </c>
      <c r="G1066" s="11" t="inlineStr">
        <is>
          <t>Navy</t>
        </is>
      </c>
      <c r="H1066" s="11" t="inlineStr">
        <is>
          <t>Standard Media</t>
        </is>
      </c>
      <c r="I1066" s="8" t="inlineStr">
        <is>
          <t>Banner</t>
        </is>
      </c>
      <c r="J1066" s="11" t="inlineStr">
        <is>
          <t>5'W x 4'H</t>
        </is>
      </c>
      <c r="K1066" s="8" t="inlineStr">
        <is>
          <t>Your ad will appear at an approved installation facility.</t>
        </is>
      </c>
      <c r="L1066" s="11" t="n">
        <v>1</v>
      </c>
      <c r="M1066" s="12" t="n">
        <v>350</v>
      </c>
      <c r="N1066" s="12" t="n">
        <v>1050</v>
      </c>
      <c r="O1066" s="12" t="n">
        <v>2100</v>
      </c>
      <c r="P1066" s="12" t="n">
        <v>4200</v>
      </c>
      <c r="Q1066" s="12" t="n">
        <v>250</v>
      </c>
      <c r="R1066" s="13">
        <f>IF(ISNUMBER(M1066),ROUND(M1066/(1-Settings!$B$2)/Settings!$B$3,0)*Settings!$B$3,"")</f>
        <v/>
      </c>
      <c r="S1066" s="13">
        <f>IF(ISNUMBER(N1066),ROUND(N1066/(1-Settings!$B$2)/Settings!$B$3,0)*Settings!$B$3,"")</f>
        <v/>
      </c>
      <c r="T1066" s="13">
        <f>IF(ISNUMBER(O1066),ROUND(O1066/(1-Settings!$B$2)/Settings!$B$3,0)*Settings!$B$3,"")</f>
        <v/>
      </c>
      <c r="U1066" s="13">
        <f>IF(ISNUMBER(P1066),ROUND(P1066/(1-Settings!$B$2)/Settings!$B$3,0)*Settings!$B$3,"")</f>
        <v/>
      </c>
      <c r="V1066" s="13">
        <f>IF(ISNUMBER(Q1066),ROUND(Q1066/(1-Settings!$B$2)/Settings!$B$3,0)*Settings!$B$3,"")</f>
        <v/>
      </c>
      <c r="W1066" s="14" t="n">
        <v>2906</v>
      </c>
      <c r="X1066" s="14" t="n">
        <v>3970</v>
      </c>
      <c r="Y1066" s="11" t="inlineStr"/>
      <c r="Z1066" s="11" t="inlineStr"/>
      <c r="AA1066" s="8" t="inlineStr"/>
      <c r="AB1066" s="8" t="inlineStr"/>
      <c r="AC1066" s="11" t="inlineStr">
        <is>
          <t>MasterMilitaryOnBaseList 12.2.25 NS.xlsx</t>
        </is>
      </c>
      <c r="AD1066" s="11" t="inlineStr">
        <is>
          <t>FY26-27 ADVERTISING ASSETS_NRSE.xlsx</t>
        </is>
      </c>
      <c r="AE1066" s="15" t="inlineStr">
        <is>
          <t>Open in Box</t>
        </is>
      </c>
      <c r="AF1066" s="15" t="inlineStr">
        <is>
          <t>Open in Box</t>
        </is>
      </c>
    </row>
    <row r="1067">
      <c r="A1067" s="11" t="inlineStr">
        <is>
          <t>MS-GULFPORT-005</t>
        </is>
      </c>
      <c r="B1067" s="8" t="inlineStr">
        <is>
          <t>Gulfport NCBC</t>
        </is>
      </c>
      <c r="C1067" s="11" t="inlineStr"/>
      <c r="D1067" s="11" t="inlineStr">
        <is>
          <t>MS</t>
        </is>
      </c>
      <c r="E1067" s="11" t="inlineStr">
        <is>
          <t>Biloxi-Gulfport</t>
        </is>
      </c>
      <c r="F1067" s="11" t="inlineStr">
        <is>
          <t>39501</t>
        </is>
      </c>
      <c r="G1067" s="11" t="inlineStr">
        <is>
          <t>Navy</t>
        </is>
      </c>
      <c r="H1067" s="11" t="inlineStr">
        <is>
          <t>Standard Media</t>
        </is>
      </c>
      <c r="I1067" s="8" t="inlineStr">
        <is>
          <t>Poster</t>
        </is>
      </c>
      <c r="J1067" s="11" t="inlineStr">
        <is>
          <t>22"W x 28"H</t>
        </is>
      </c>
      <c r="K1067" s="8" t="inlineStr">
        <is>
          <t>Your ad will appear at an approved installation facility.</t>
        </is>
      </c>
      <c r="L1067" s="11" t="n">
        <v>1</v>
      </c>
      <c r="M1067" s="12" t="n">
        <v>250</v>
      </c>
      <c r="N1067" s="12" t="n">
        <v>750</v>
      </c>
      <c r="O1067" s="12" t="n">
        <v>1500</v>
      </c>
      <c r="P1067" s="12" t="n">
        <v>3000</v>
      </c>
      <c r="Q1067" s="12" t="n">
        <v>100</v>
      </c>
      <c r="R1067" s="13">
        <f>IF(ISNUMBER(M1067),ROUND(M1067/(1-Settings!$B$2)/Settings!$B$3,0)*Settings!$B$3,"")</f>
        <v/>
      </c>
      <c r="S1067" s="13">
        <f>IF(ISNUMBER(N1067),ROUND(N1067/(1-Settings!$B$2)/Settings!$B$3,0)*Settings!$B$3,"")</f>
        <v/>
      </c>
      <c r="T1067" s="13">
        <f>IF(ISNUMBER(O1067),ROUND(O1067/(1-Settings!$B$2)/Settings!$B$3,0)*Settings!$B$3,"")</f>
        <v/>
      </c>
      <c r="U1067" s="13">
        <f>IF(ISNUMBER(P1067),ROUND(P1067/(1-Settings!$B$2)/Settings!$B$3,0)*Settings!$B$3,"")</f>
        <v/>
      </c>
      <c r="V1067" s="13">
        <f>IF(ISNUMBER(Q1067),ROUND(Q1067/(1-Settings!$B$2)/Settings!$B$3,0)*Settings!$B$3,"")</f>
        <v/>
      </c>
      <c r="W1067" s="14" t="n">
        <v>2906</v>
      </c>
      <c r="X1067" s="14" t="n">
        <v>3970</v>
      </c>
      <c r="Y1067" s="11" t="inlineStr"/>
      <c r="Z1067" s="11" t="inlineStr"/>
      <c r="AA1067" s="8" t="inlineStr"/>
      <c r="AB1067" s="8" t="inlineStr"/>
      <c r="AC1067" s="11" t="inlineStr">
        <is>
          <t>MasterMilitaryOnBaseList 12.2.25 NS.xlsx</t>
        </is>
      </c>
      <c r="AD1067" s="11" t="inlineStr">
        <is>
          <t>FY26-27 ADVERTISING ASSETS_NRSE.xlsx</t>
        </is>
      </c>
      <c r="AE1067" s="15" t="inlineStr">
        <is>
          <t>Open in Box</t>
        </is>
      </c>
      <c r="AF1067" s="15" t="inlineStr">
        <is>
          <t>Open in Box</t>
        </is>
      </c>
    </row>
    <row r="1068">
      <c r="A1068" s="11" t="inlineStr">
        <is>
          <t>MS-GULFPORT-010</t>
        </is>
      </c>
      <c r="B1068" s="8" t="inlineStr">
        <is>
          <t>Gulfport NCBC</t>
        </is>
      </c>
      <c r="C1068" s="11" t="inlineStr"/>
      <c r="D1068" s="11" t="inlineStr">
        <is>
          <t>MS</t>
        </is>
      </c>
      <c r="E1068" s="11" t="inlineStr">
        <is>
          <t>Biloxi-Gulfport</t>
        </is>
      </c>
      <c r="F1068" s="11" t="inlineStr"/>
      <c r="G1068" s="11" t="inlineStr">
        <is>
          <t>Navy</t>
        </is>
      </c>
      <c r="H1068" s="11" t="inlineStr">
        <is>
          <t>Web &amp; Email</t>
        </is>
      </c>
      <c r="I1068" s="8" t="inlineStr">
        <is>
          <t>Monthly E-Newsletter Ad</t>
        </is>
      </c>
      <c r="J1068" s="11" t="inlineStr"/>
      <c r="K1068" s="8" t="inlineStr">
        <is>
          <t>Your ad will appear in the monthly e-newsletter emailed to the installation community.</t>
        </is>
      </c>
      <c r="L1068" s="11" t="n">
        <v>1</v>
      </c>
      <c r="M1068" s="12" t="n">
        <v>200</v>
      </c>
      <c r="N1068" s="12" t="n"/>
      <c r="O1068" s="12" t="n"/>
      <c r="P1068" s="12" t="n"/>
      <c r="Q1068" s="12" t="n"/>
      <c r="R1068" s="13">
        <f>IF(ISNUMBER(M1068),ROUND(M1068/(1-Settings!$B$2)/Settings!$B$3,0)*Settings!$B$3,"")</f>
        <v/>
      </c>
      <c r="S1068" s="13">
        <f>IF(ISNUMBER(N1068),ROUND(N1068/(1-Settings!$B$2)/Settings!$B$3,0)*Settings!$B$3,"")</f>
        <v/>
      </c>
      <c r="T1068" s="13">
        <f>IF(ISNUMBER(O1068),ROUND(O1068/(1-Settings!$B$2)/Settings!$B$3,0)*Settings!$B$3,"")</f>
        <v/>
      </c>
      <c r="U1068" s="13">
        <f>IF(ISNUMBER(P1068),ROUND(P1068/(1-Settings!$B$2)/Settings!$B$3,0)*Settings!$B$3,"")</f>
        <v/>
      </c>
      <c r="V1068" s="13">
        <f>IF(ISNUMBER(Q1068),ROUND(Q1068/(1-Settings!$B$2)/Settings!$B$3,0)*Settings!$B$3,"")</f>
        <v/>
      </c>
      <c r="W1068" s="14" t="n">
        <v>2906</v>
      </c>
      <c r="X1068" s="14" t="n">
        <v>3970</v>
      </c>
      <c r="Y1068" s="11" t="inlineStr">
        <is>
          <t>2026</t>
        </is>
      </c>
      <c r="Z1068" s="11" t="inlineStr">
        <is>
          <t>2026-06</t>
        </is>
      </c>
      <c r="AA1068" s="8" t="inlineStr"/>
      <c r="AB1068" s="8" t="inlineStr"/>
      <c r="AC1068" s="11" t="inlineStr">
        <is>
          <t>Military - National Publication Inventory Master_June 2026.xlsx</t>
        </is>
      </c>
      <c r="AD1068" s="11" t="inlineStr">
        <is>
          <t>FY26-27 ADVERTISING ASSETS_NRSE.xlsx</t>
        </is>
      </c>
      <c r="AE1068" s="15" t="inlineStr">
        <is>
          <t>Open in Box</t>
        </is>
      </c>
      <c r="AF1068" s="15" t="inlineStr">
        <is>
          <t>Open in Box</t>
        </is>
      </c>
    </row>
    <row r="1069">
      <c r="A1069" s="11" t="inlineStr">
        <is>
          <t>MS-GULFPORT-011</t>
        </is>
      </c>
      <c r="B1069" s="8" t="inlineStr">
        <is>
          <t>Gulfport NCBC</t>
        </is>
      </c>
      <c r="C1069" s="11" t="inlineStr"/>
      <c r="D1069" s="11" t="inlineStr">
        <is>
          <t>MS</t>
        </is>
      </c>
      <c r="E1069" s="11" t="inlineStr">
        <is>
          <t>Biloxi-Gulfport</t>
        </is>
      </c>
      <c r="F1069" s="11" t="inlineStr"/>
      <c r="G1069" s="11" t="inlineStr">
        <is>
          <t>Navy</t>
        </is>
      </c>
      <c r="H1069" s="11" t="inlineStr">
        <is>
          <t>Web &amp; Email</t>
        </is>
      </c>
      <c r="I1069" s="8" t="inlineStr">
        <is>
          <t>Web Ad</t>
        </is>
      </c>
      <c r="J1069" s="11" t="inlineStr"/>
      <c r="K1069" s="8" t="inlineStr">
        <is>
          <t>Your ad will appear on the installation MWR / FSS website.</t>
        </is>
      </c>
      <c r="L1069" s="11" t="n">
        <v>1</v>
      </c>
      <c r="M1069" s="12" t="n">
        <v>400</v>
      </c>
      <c r="N1069" s="12" t="n"/>
      <c r="O1069" s="12" t="n"/>
      <c r="P1069" s="12" t="n"/>
      <c r="Q1069" s="12" t="n"/>
      <c r="R1069" s="13">
        <f>IF(ISNUMBER(M1069),ROUND(M1069/(1-Settings!$B$2)/Settings!$B$3,0)*Settings!$B$3,"")</f>
        <v/>
      </c>
      <c r="S1069" s="13">
        <f>IF(ISNUMBER(N1069),ROUND(N1069/(1-Settings!$B$2)/Settings!$B$3,0)*Settings!$B$3,"")</f>
        <v/>
      </c>
      <c r="T1069" s="13">
        <f>IF(ISNUMBER(O1069),ROUND(O1069/(1-Settings!$B$2)/Settings!$B$3,0)*Settings!$B$3,"")</f>
        <v/>
      </c>
      <c r="U1069" s="13">
        <f>IF(ISNUMBER(P1069),ROUND(P1069/(1-Settings!$B$2)/Settings!$B$3,0)*Settings!$B$3,"")</f>
        <v/>
      </c>
      <c r="V1069" s="13">
        <f>IF(ISNUMBER(Q1069),ROUND(Q1069/(1-Settings!$B$2)/Settings!$B$3,0)*Settings!$B$3,"")</f>
        <v/>
      </c>
      <c r="W1069" s="14" t="n">
        <v>2906</v>
      </c>
      <c r="X1069" s="14" t="n">
        <v>3970</v>
      </c>
      <c r="Y1069" s="11" t="inlineStr">
        <is>
          <t>2026</t>
        </is>
      </c>
      <c r="Z1069" s="11" t="inlineStr">
        <is>
          <t>2026-06</t>
        </is>
      </c>
      <c r="AA1069" s="8" t="inlineStr"/>
      <c r="AB1069" s="8" t="inlineStr"/>
      <c r="AC1069" s="11" t="inlineStr">
        <is>
          <t>Military - National Publication Inventory Master_June 2026.xlsx</t>
        </is>
      </c>
      <c r="AD1069" s="11" t="inlineStr">
        <is>
          <t>FY26-27 ADVERTISING ASSETS_NRSE.xlsx</t>
        </is>
      </c>
      <c r="AE1069" s="15" t="inlineStr">
        <is>
          <t>Open in Box</t>
        </is>
      </c>
      <c r="AF1069" s="15" t="inlineStr">
        <is>
          <t>Open in Box</t>
        </is>
      </c>
    </row>
    <row r="1070">
      <c r="A1070" s="11" t="inlineStr">
        <is>
          <t>MS-KEESLERA-001</t>
        </is>
      </c>
      <c r="B1070" s="8" t="inlineStr">
        <is>
          <t>Keesler AFB</t>
        </is>
      </c>
      <c r="C1070" s="11" t="inlineStr"/>
      <c r="D1070" s="11" t="inlineStr">
        <is>
          <t>MS</t>
        </is>
      </c>
      <c r="E1070" s="11" t="inlineStr">
        <is>
          <t>Biloxi-Gulfport</t>
        </is>
      </c>
      <c r="F1070" s="11" t="inlineStr">
        <is>
          <t>39534</t>
        </is>
      </c>
      <c r="G1070" s="11" t="inlineStr">
        <is>
          <t>Air Force</t>
        </is>
      </c>
      <c r="H1070" s="11" t="inlineStr">
        <is>
          <t>Digital</t>
        </is>
      </c>
      <c r="I1070" s="8" t="inlineStr">
        <is>
          <t>Bowling Lane Screens</t>
        </is>
      </c>
      <c r="J1070" s="11" t="inlineStr"/>
      <c r="K1070" s="8" t="inlineStr">
        <is>
          <t>Your ad will appear on approved screens in the bowling center on the installation.</t>
        </is>
      </c>
      <c r="L1070" s="11" t="n">
        <v>1</v>
      </c>
      <c r="M1070" s="12" t="n">
        <v>200</v>
      </c>
      <c r="N1070" s="12" t="n">
        <v>600</v>
      </c>
      <c r="O1070" s="12" t="n">
        <v>1200</v>
      </c>
      <c r="P1070" s="12" t="n">
        <v>2400</v>
      </c>
      <c r="Q1070" s="12" t="n"/>
      <c r="R1070" s="13">
        <f>IF(ISNUMBER(M1070),ROUND(M1070/(1-Settings!$B$2)/Settings!$B$3,0)*Settings!$B$3,"")</f>
        <v/>
      </c>
      <c r="S1070" s="13">
        <f>IF(ISNUMBER(N1070),ROUND(N1070/(1-Settings!$B$2)/Settings!$B$3,0)*Settings!$B$3,"")</f>
        <v/>
      </c>
      <c r="T1070" s="13">
        <f>IF(ISNUMBER(O1070),ROUND(O1070/(1-Settings!$B$2)/Settings!$B$3,0)*Settings!$B$3,"")</f>
        <v/>
      </c>
      <c r="U1070" s="13">
        <f>IF(ISNUMBER(P1070),ROUND(P1070/(1-Settings!$B$2)/Settings!$B$3,0)*Settings!$B$3,"")</f>
        <v/>
      </c>
      <c r="V1070" s="13">
        <f>IF(ISNUMBER(Q1070),ROUND(Q1070/(1-Settings!$B$2)/Settings!$B$3,0)*Settings!$B$3,"")</f>
        <v/>
      </c>
      <c r="W1070" s="14" t="n">
        <v>5162</v>
      </c>
      <c r="X1070" s="14" t="n">
        <v>4425</v>
      </c>
      <c r="Y1070" s="11" t="inlineStr"/>
      <c r="Z1070" s="11" t="inlineStr"/>
      <c r="AA1070" s="8" t="inlineStr"/>
      <c r="AB1070" s="8" t="inlineStr"/>
      <c r="AC1070" s="11" t="inlineStr">
        <is>
          <t>MasterMilitaryOnBaseList 12.2.25 NS.xlsx</t>
        </is>
      </c>
      <c r="AD1070" s="11" t="inlineStr">
        <is>
          <t>2026-Commercial-Sponsorship-Advertising-Opportunities-as-of-June-2026.pdf</t>
        </is>
      </c>
      <c r="AE1070" s="15" t="inlineStr">
        <is>
          <t>Open in Box</t>
        </is>
      </c>
      <c r="AF1070" s="15" t="inlineStr">
        <is>
          <t>Open in Box</t>
        </is>
      </c>
    </row>
    <row r="1071">
      <c r="A1071" s="11" t="inlineStr">
        <is>
          <t>MS-KEESLERA-002</t>
        </is>
      </c>
      <c r="B1071" s="8" t="inlineStr">
        <is>
          <t>Keesler AFB</t>
        </is>
      </c>
      <c r="C1071" s="11" t="inlineStr"/>
      <c r="D1071" s="11" t="inlineStr">
        <is>
          <t>MS</t>
        </is>
      </c>
      <c r="E1071" s="11" t="inlineStr">
        <is>
          <t>Biloxi-Gulfport</t>
        </is>
      </c>
      <c r="F1071" s="11" t="inlineStr">
        <is>
          <t>39534</t>
        </is>
      </c>
      <c r="G1071" s="11" t="inlineStr">
        <is>
          <t>Air Force</t>
        </is>
      </c>
      <c r="H1071" s="11" t="inlineStr">
        <is>
          <t>Digital</t>
        </is>
      </c>
      <c r="I1071" s="8" t="inlineStr">
        <is>
          <t>Digital Monitors</t>
        </is>
      </c>
      <c r="J1071" s="11" t="inlineStr"/>
      <c r="K1071" s="8" t="inlineStr">
        <is>
          <t>Your ad will appear on approved monitors on the installation.</t>
        </is>
      </c>
      <c r="L1071" s="11" t="n">
        <v>1</v>
      </c>
      <c r="M1071" s="12" t="n">
        <v>400</v>
      </c>
      <c r="N1071" s="12" t="n">
        <v>1200</v>
      </c>
      <c r="O1071" s="12" t="n">
        <v>2400</v>
      </c>
      <c r="P1071" s="12" t="n">
        <v>4800</v>
      </c>
      <c r="Q1071" s="12" t="n"/>
      <c r="R1071" s="13">
        <f>IF(ISNUMBER(M1071),ROUND(M1071/(1-Settings!$B$2)/Settings!$B$3,0)*Settings!$B$3,"")</f>
        <v/>
      </c>
      <c r="S1071" s="13">
        <f>IF(ISNUMBER(N1071),ROUND(N1071/(1-Settings!$B$2)/Settings!$B$3,0)*Settings!$B$3,"")</f>
        <v/>
      </c>
      <c r="T1071" s="13">
        <f>IF(ISNUMBER(O1071),ROUND(O1071/(1-Settings!$B$2)/Settings!$B$3,0)*Settings!$B$3,"")</f>
        <v/>
      </c>
      <c r="U1071" s="13">
        <f>IF(ISNUMBER(P1071),ROUND(P1071/(1-Settings!$B$2)/Settings!$B$3,0)*Settings!$B$3,"")</f>
        <v/>
      </c>
      <c r="V1071" s="13">
        <f>IF(ISNUMBER(Q1071),ROUND(Q1071/(1-Settings!$B$2)/Settings!$B$3,0)*Settings!$B$3,"")</f>
        <v/>
      </c>
      <c r="W1071" s="14" t="n">
        <v>5162</v>
      </c>
      <c r="X1071" s="14" t="n">
        <v>4425</v>
      </c>
      <c r="Y1071" s="11" t="inlineStr"/>
      <c r="Z1071" s="11" t="inlineStr"/>
      <c r="AA1071" s="8" t="inlineStr"/>
      <c r="AB1071" s="8" t="inlineStr"/>
      <c r="AC1071" s="11" t="inlineStr">
        <is>
          <t>MasterMilitaryOnBaseList 12.2.25 NS.xlsx</t>
        </is>
      </c>
      <c r="AD1071" s="11" t="inlineStr">
        <is>
          <t>2026-Commercial-Sponsorship-Advertising-Opportunities-as-of-June-2026.pdf</t>
        </is>
      </c>
      <c r="AE1071" s="15" t="inlineStr">
        <is>
          <t>Open in Box</t>
        </is>
      </c>
      <c r="AF1071" s="15" t="inlineStr">
        <is>
          <t>Open in Box</t>
        </is>
      </c>
    </row>
    <row r="1072">
      <c r="A1072" s="11" t="inlineStr">
        <is>
          <t>MS-KEESLERA-003</t>
        </is>
      </c>
      <c r="B1072" s="8" t="inlineStr">
        <is>
          <t>Keesler AFB</t>
        </is>
      </c>
      <c r="C1072" s="11" t="inlineStr"/>
      <c r="D1072" s="11" t="inlineStr">
        <is>
          <t>MS</t>
        </is>
      </c>
      <c r="E1072" s="11" t="inlineStr">
        <is>
          <t>Biloxi-Gulfport</t>
        </is>
      </c>
      <c r="F1072" s="11" t="inlineStr">
        <is>
          <t>39534</t>
        </is>
      </c>
      <c r="G1072" s="11" t="inlineStr">
        <is>
          <t>Air Force</t>
        </is>
      </c>
      <c r="H1072" s="11" t="inlineStr">
        <is>
          <t>Digital</t>
        </is>
      </c>
      <c r="I1072" s="8" t="inlineStr">
        <is>
          <t>Lane Sweepers</t>
        </is>
      </c>
      <c r="J1072" s="11" t="inlineStr"/>
      <c r="K1072" s="8" t="inlineStr">
        <is>
          <t>Your ad will in the bowling center on the installation.</t>
        </is>
      </c>
      <c r="L1072" s="11" t="n">
        <v>6</v>
      </c>
      <c r="M1072" s="12" t="n"/>
      <c r="N1072" s="12" t="n"/>
      <c r="O1072" s="12" t="n">
        <v>1200</v>
      </c>
      <c r="P1072" s="12" t="n">
        <v>2400</v>
      </c>
      <c r="Q1072" s="12" t="n"/>
      <c r="R1072" s="13">
        <f>IF(ISNUMBER(M1072),ROUND(M1072/(1-Settings!$B$2)/Settings!$B$3,0)*Settings!$B$3,"")</f>
        <v/>
      </c>
      <c r="S1072" s="13">
        <f>IF(ISNUMBER(N1072),ROUND(N1072/(1-Settings!$B$2)/Settings!$B$3,0)*Settings!$B$3,"")</f>
        <v/>
      </c>
      <c r="T1072" s="13">
        <f>IF(ISNUMBER(O1072),ROUND(O1072/(1-Settings!$B$2)/Settings!$B$3,0)*Settings!$B$3,"")</f>
        <v/>
      </c>
      <c r="U1072" s="13">
        <f>IF(ISNUMBER(P1072),ROUND(P1072/(1-Settings!$B$2)/Settings!$B$3,0)*Settings!$B$3,"")</f>
        <v/>
      </c>
      <c r="V1072" s="13">
        <f>IF(ISNUMBER(Q1072),ROUND(Q1072/(1-Settings!$B$2)/Settings!$B$3,0)*Settings!$B$3,"")</f>
        <v/>
      </c>
      <c r="W1072" s="14" t="n">
        <v>5162</v>
      </c>
      <c r="X1072" s="14" t="n">
        <v>4425</v>
      </c>
      <c r="Y1072" s="11" t="inlineStr"/>
      <c r="Z1072" s="11" t="inlineStr"/>
      <c r="AA1072" s="8" t="inlineStr"/>
      <c r="AB1072" s="8" t="inlineStr"/>
      <c r="AC1072" s="11" t="inlineStr">
        <is>
          <t>MasterMilitaryOnBaseList 12.2.25 NS.xlsx</t>
        </is>
      </c>
      <c r="AD1072" s="11" t="inlineStr">
        <is>
          <t>2026-Commercial-Sponsorship-Advertising-Opportunities-as-of-June-2026.pdf</t>
        </is>
      </c>
      <c r="AE1072" s="15" t="inlineStr">
        <is>
          <t>Open in Box</t>
        </is>
      </c>
      <c r="AF1072" s="15" t="inlineStr">
        <is>
          <t>Open in Box</t>
        </is>
      </c>
    </row>
    <row r="1073">
      <c r="A1073" s="11" t="inlineStr">
        <is>
          <t>MS-KEESLERA-006</t>
        </is>
      </c>
      <c r="B1073" s="8" t="inlineStr">
        <is>
          <t>Keesler AFB</t>
        </is>
      </c>
      <c r="C1073" s="11" t="inlineStr"/>
      <c r="D1073" s="11" t="inlineStr">
        <is>
          <t>MS</t>
        </is>
      </c>
      <c r="E1073" s="11" t="inlineStr">
        <is>
          <t>Biloxi-Gulfport</t>
        </is>
      </c>
      <c r="F1073" s="11" t="inlineStr">
        <is>
          <t>39534</t>
        </is>
      </c>
      <c r="G1073" s="11" t="inlineStr">
        <is>
          <t>Air Force</t>
        </is>
      </c>
      <c r="H1073" s="11" t="inlineStr">
        <is>
          <t>Large Format</t>
        </is>
      </c>
      <c r="I1073" s="8" t="inlineStr">
        <is>
          <t>E-Newsletter Ad - Large</t>
        </is>
      </c>
      <c r="J1073" s="11" t="inlineStr">
        <is>
          <t>600px x 600px</t>
        </is>
      </c>
      <c r="K1073" s="8" t="inlineStr">
        <is>
          <t>Your ad will appear in the base-wide e-newsletter.</t>
        </is>
      </c>
      <c r="L1073" s="11" t="n">
        <v>1</v>
      </c>
      <c r="M1073" s="12" t="n">
        <v>240</v>
      </c>
      <c r="N1073" s="12" t="n">
        <v>720</v>
      </c>
      <c r="O1073" s="12" t="n">
        <v>1440</v>
      </c>
      <c r="P1073" s="12" t="n">
        <v>2880</v>
      </c>
      <c r="Q1073" s="12" t="n"/>
      <c r="R1073" s="13">
        <f>IF(ISNUMBER(M1073),ROUND(M1073/(1-Settings!$B$2)/Settings!$B$3,0)*Settings!$B$3,"")</f>
        <v/>
      </c>
      <c r="S1073" s="13">
        <f>IF(ISNUMBER(N1073),ROUND(N1073/(1-Settings!$B$2)/Settings!$B$3,0)*Settings!$B$3,"")</f>
        <v/>
      </c>
      <c r="T1073" s="13">
        <f>IF(ISNUMBER(O1073),ROUND(O1073/(1-Settings!$B$2)/Settings!$B$3,0)*Settings!$B$3,"")</f>
        <v/>
      </c>
      <c r="U1073" s="13">
        <f>IF(ISNUMBER(P1073),ROUND(P1073/(1-Settings!$B$2)/Settings!$B$3,0)*Settings!$B$3,"")</f>
        <v/>
      </c>
      <c r="V1073" s="13">
        <f>IF(ISNUMBER(Q1073),ROUND(Q1073/(1-Settings!$B$2)/Settings!$B$3,0)*Settings!$B$3,"")</f>
        <v/>
      </c>
      <c r="W1073" s="14" t="n">
        <v>5162</v>
      </c>
      <c r="X1073" s="14" t="n">
        <v>4425</v>
      </c>
      <c r="Y1073" s="11" t="inlineStr"/>
      <c r="Z1073" s="11" t="inlineStr"/>
      <c r="AA1073" s="8" t="inlineStr">
        <is>
          <t>Inventory master 6/2026 lists Monthly E-Newsletter Ad at $720 (3 mo)</t>
        </is>
      </c>
      <c r="AB1073" s="8" t="inlineStr"/>
      <c r="AC1073" s="11" t="inlineStr">
        <is>
          <t>MasterMilitaryOnBaseList 12.2.25 NS.xlsx</t>
        </is>
      </c>
      <c r="AD1073" s="11" t="inlineStr">
        <is>
          <t>2026-Commercial-Sponsorship-Advertising-Opportunities-as-of-June-2026.pdf</t>
        </is>
      </c>
      <c r="AE1073" s="15" t="inlineStr">
        <is>
          <t>Open in Box</t>
        </is>
      </c>
      <c r="AF1073" s="15" t="inlineStr">
        <is>
          <t>Open in Box</t>
        </is>
      </c>
    </row>
    <row r="1074">
      <c r="A1074" s="11" t="inlineStr">
        <is>
          <t>MS-KEESLERA-007</t>
        </is>
      </c>
      <c r="B1074" s="8" t="inlineStr">
        <is>
          <t>Keesler AFB</t>
        </is>
      </c>
      <c r="C1074" s="11" t="inlineStr"/>
      <c r="D1074" s="11" t="inlineStr">
        <is>
          <t>MS</t>
        </is>
      </c>
      <c r="E1074" s="11" t="inlineStr">
        <is>
          <t>Biloxi-Gulfport</t>
        </is>
      </c>
      <c r="F1074" s="11" t="inlineStr">
        <is>
          <t>39534</t>
        </is>
      </c>
      <c r="G1074" s="11" t="inlineStr">
        <is>
          <t>Air Force</t>
        </is>
      </c>
      <c r="H1074" s="11" t="inlineStr">
        <is>
          <t>Large Format</t>
        </is>
      </c>
      <c r="I1074" s="8" t="inlineStr">
        <is>
          <t>Marina Cooler Cling - Full Door</t>
        </is>
      </c>
      <c r="J1074" s="11" t="inlineStr">
        <is>
          <t>27" x 69"</t>
        </is>
      </c>
      <c r="K1074" s="8" t="inlineStr">
        <is>
          <t>Your ad will appear on the Marina cooler on the installation.</t>
        </is>
      </c>
      <c r="L1074" s="11" t="n">
        <v>6</v>
      </c>
      <c r="M1074" s="12" t="n"/>
      <c r="N1074" s="12" t="n"/>
      <c r="O1074" s="12" t="n">
        <v>3000</v>
      </c>
      <c r="P1074" s="12" t="n">
        <v>6000</v>
      </c>
      <c r="Q1074" s="12" t="n"/>
      <c r="R1074" s="13">
        <f>IF(ISNUMBER(M1074),ROUND(M1074/(1-Settings!$B$2)/Settings!$B$3,0)*Settings!$B$3,"")</f>
        <v/>
      </c>
      <c r="S1074" s="13">
        <f>IF(ISNUMBER(N1074),ROUND(N1074/(1-Settings!$B$2)/Settings!$B$3,0)*Settings!$B$3,"")</f>
        <v/>
      </c>
      <c r="T1074" s="13">
        <f>IF(ISNUMBER(O1074),ROUND(O1074/(1-Settings!$B$2)/Settings!$B$3,0)*Settings!$B$3,"")</f>
        <v/>
      </c>
      <c r="U1074" s="13">
        <f>IF(ISNUMBER(P1074),ROUND(P1074/(1-Settings!$B$2)/Settings!$B$3,0)*Settings!$B$3,"")</f>
        <v/>
      </c>
      <c r="V1074" s="13">
        <f>IF(ISNUMBER(Q1074),ROUND(Q1074/(1-Settings!$B$2)/Settings!$B$3,0)*Settings!$B$3,"")</f>
        <v/>
      </c>
      <c r="W1074" s="14" t="n">
        <v>5162</v>
      </c>
      <c r="X1074" s="14" t="n">
        <v>4425</v>
      </c>
      <c r="Y1074" s="11" t="inlineStr"/>
      <c r="Z1074" s="11" t="inlineStr"/>
      <c r="AA1074" s="8" t="inlineStr"/>
      <c r="AB1074" s="8" t="inlineStr"/>
      <c r="AC1074" s="11" t="inlineStr">
        <is>
          <t>MasterMilitaryOnBaseList 12.2.25 NS.xlsx</t>
        </is>
      </c>
      <c r="AD1074" s="11" t="inlineStr">
        <is>
          <t>2026-Commercial-Sponsorship-Advertising-Opportunities-as-of-June-2026.pdf</t>
        </is>
      </c>
      <c r="AE1074" s="15" t="inlineStr">
        <is>
          <t>Open in Box</t>
        </is>
      </c>
      <c r="AF1074" s="15" t="inlineStr">
        <is>
          <t>Open in Box</t>
        </is>
      </c>
    </row>
    <row r="1075">
      <c r="A1075" s="11" t="inlineStr">
        <is>
          <t>MS-KEESLERA-008</t>
        </is>
      </c>
      <c r="B1075" s="8" t="inlineStr">
        <is>
          <t>Keesler AFB</t>
        </is>
      </c>
      <c r="C1075" s="11" t="inlineStr"/>
      <c r="D1075" s="11" t="inlineStr">
        <is>
          <t>MS</t>
        </is>
      </c>
      <c r="E1075" s="11" t="inlineStr">
        <is>
          <t>Biloxi-Gulfport</t>
        </is>
      </c>
      <c r="F1075" s="11" t="inlineStr">
        <is>
          <t>39534</t>
        </is>
      </c>
      <c r="G1075" s="11" t="inlineStr">
        <is>
          <t>Air Force</t>
        </is>
      </c>
      <c r="H1075" s="11" t="inlineStr">
        <is>
          <t>Large Format</t>
        </is>
      </c>
      <c r="I1075" s="8" t="inlineStr">
        <is>
          <t>Marina Cooler Cling - Medium</t>
        </is>
      </c>
      <c r="J1075" s="11" t="inlineStr">
        <is>
          <t>16" x 20"</t>
        </is>
      </c>
      <c r="K1075" s="8" t="inlineStr">
        <is>
          <t>Your ad will appear on the Marina cooler on the installation.</t>
        </is>
      </c>
      <c r="L1075" s="11" t="n">
        <v>1</v>
      </c>
      <c r="M1075" s="12" t="n">
        <v>150</v>
      </c>
      <c r="N1075" s="12" t="n">
        <v>450</v>
      </c>
      <c r="O1075" s="12" t="n">
        <v>450</v>
      </c>
      <c r="P1075" s="12" t="n">
        <v>1800</v>
      </c>
      <c r="Q1075" s="12" t="n"/>
      <c r="R1075" s="13">
        <f>IF(ISNUMBER(M1075),ROUND(M1075/(1-Settings!$B$2)/Settings!$B$3,0)*Settings!$B$3,"")</f>
        <v/>
      </c>
      <c r="S1075" s="13">
        <f>IF(ISNUMBER(N1075),ROUND(N1075/(1-Settings!$B$2)/Settings!$B$3,0)*Settings!$B$3,"")</f>
        <v/>
      </c>
      <c r="T1075" s="13">
        <f>IF(ISNUMBER(O1075),ROUND(O1075/(1-Settings!$B$2)/Settings!$B$3,0)*Settings!$B$3,"")</f>
        <v/>
      </c>
      <c r="U1075" s="13">
        <f>IF(ISNUMBER(P1075),ROUND(P1075/(1-Settings!$B$2)/Settings!$B$3,0)*Settings!$B$3,"")</f>
        <v/>
      </c>
      <c r="V1075" s="13">
        <f>IF(ISNUMBER(Q1075),ROUND(Q1075/(1-Settings!$B$2)/Settings!$B$3,0)*Settings!$B$3,"")</f>
        <v/>
      </c>
      <c r="W1075" s="14" t="n">
        <v>5162</v>
      </c>
      <c r="X1075" s="14" t="n">
        <v>4425</v>
      </c>
      <c r="Y1075" s="11" t="inlineStr"/>
      <c r="Z1075" s="11" t="inlineStr"/>
      <c r="AA1075" s="8" t="inlineStr"/>
      <c r="AB1075" s="8" t="inlineStr"/>
      <c r="AC1075" s="11" t="inlineStr">
        <is>
          <t>MasterMilitaryOnBaseList 12.2.25 NS.xlsx</t>
        </is>
      </c>
      <c r="AD1075" s="11" t="inlineStr">
        <is>
          <t>2026-Commercial-Sponsorship-Advertising-Opportunities-as-of-June-2026.pdf</t>
        </is>
      </c>
      <c r="AE1075" s="15" t="inlineStr">
        <is>
          <t>Open in Box</t>
        </is>
      </c>
      <c r="AF1075" s="15" t="inlineStr">
        <is>
          <t>Open in Box</t>
        </is>
      </c>
    </row>
    <row r="1076">
      <c r="A1076" s="11" t="inlineStr">
        <is>
          <t>MS-KEESLERA-009</t>
        </is>
      </c>
      <c r="B1076" s="8" t="inlineStr">
        <is>
          <t>Keesler AFB</t>
        </is>
      </c>
      <c r="C1076" s="11" t="inlineStr"/>
      <c r="D1076" s="11" t="inlineStr">
        <is>
          <t>MS</t>
        </is>
      </c>
      <c r="E1076" s="11" t="inlineStr">
        <is>
          <t>Biloxi-Gulfport</t>
        </is>
      </c>
      <c r="F1076" s="11" t="inlineStr">
        <is>
          <t>39534</t>
        </is>
      </c>
      <c r="G1076" s="11" t="inlineStr">
        <is>
          <t>Air Force</t>
        </is>
      </c>
      <c r="H1076" s="11" t="inlineStr">
        <is>
          <t>Large Format</t>
        </is>
      </c>
      <c r="I1076" s="8" t="inlineStr">
        <is>
          <t>Marina Cooler Cling - Small</t>
        </is>
      </c>
      <c r="J1076" s="11" t="inlineStr">
        <is>
          <t>8" x 8"</t>
        </is>
      </c>
      <c r="K1076" s="8" t="inlineStr">
        <is>
          <t>Your ad will appear on the Marina cooler on the installation.</t>
        </is>
      </c>
      <c r="L1076" s="11" t="n">
        <v>1</v>
      </c>
      <c r="M1076" s="12" t="n">
        <v>100</v>
      </c>
      <c r="N1076" s="12" t="n">
        <v>300</v>
      </c>
      <c r="O1076" s="12" t="n">
        <v>900</v>
      </c>
      <c r="P1076" s="12" t="n">
        <v>1200</v>
      </c>
      <c r="Q1076" s="12" t="n"/>
      <c r="R1076" s="13">
        <f>IF(ISNUMBER(M1076),ROUND(M1076/(1-Settings!$B$2)/Settings!$B$3,0)*Settings!$B$3,"")</f>
        <v/>
      </c>
      <c r="S1076" s="13">
        <f>IF(ISNUMBER(N1076),ROUND(N1076/(1-Settings!$B$2)/Settings!$B$3,0)*Settings!$B$3,"")</f>
        <v/>
      </c>
      <c r="T1076" s="13">
        <f>IF(ISNUMBER(O1076),ROUND(O1076/(1-Settings!$B$2)/Settings!$B$3,0)*Settings!$B$3,"")</f>
        <v/>
      </c>
      <c r="U1076" s="13">
        <f>IF(ISNUMBER(P1076),ROUND(P1076/(1-Settings!$B$2)/Settings!$B$3,0)*Settings!$B$3,"")</f>
        <v/>
      </c>
      <c r="V1076" s="13">
        <f>IF(ISNUMBER(Q1076),ROUND(Q1076/(1-Settings!$B$2)/Settings!$B$3,0)*Settings!$B$3,"")</f>
        <v/>
      </c>
      <c r="W1076" s="14" t="n">
        <v>5162</v>
      </c>
      <c r="X1076" s="14" t="n">
        <v>4425</v>
      </c>
      <c r="Y1076" s="11" t="inlineStr"/>
      <c r="Z1076" s="11" t="inlineStr"/>
      <c r="AA1076" s="8" t="inlineStr"/>
      <c r="AB1076" s="8" t="inlineStr"/>
      <c r="AC1076" s="11" t="inlineStr">
        <is>
          <t>MasterMilitaryOnBaseList 12.2.25 NS.xlsx</t>
        </is>
      </c>
      <c r="AD1076" s="11" t="inlineStr">
        <is>
          <t>2026-Commercial-Sponsorship-Advertising-Opportunities-as-of-June-2026.pdf</t>
        </is>
      </c>
      <c r="AE1076" s="15" t="inlineStr">
        <is>
          <t>Open in Box</t>
        </is>
      </c>
      <c r="AF1076" s="15" t="inlineStr">
        <is>
          <t>Open in Box</t>
        </is>
      </c>
    </row>
    <row r="1077">
      <c r="A1077" s="11" t="inlineStr">
        <is>
          <t>MS-KEESLERA-010</t>
        </is>
      </c>
      <c r="B1077" s="8" t="inlineStr">
        <is>
          <t>Keesler AFB</t>
        </is>
      </c>
      <c r="C1077" s="11" t="inlineStr"/>
      <c r="D1077" s="11" t="inlineStr">
        <is>
          <t>MS</t>
        </is>
      </c>
      <c r="E1077" s="11" t="inlineStr">
        <is>
          <t>Biloxi-Gulfport</t>
        </is>
      </c>
      <c r="F1077" s="11" t="inlineStr">
        <is>
          <t>39534</t>
        </is>
      </c>
      <c r="G1077" s="11" t="inlineStr">
        <is>
          <t>Air Force</t>
        </is>
      </c>
      <c r="H1077" s="11" t="inlineStr">
        <is>
          <t>Print &amp; Publications</t>
        </is>
      </c>
      <c r="I1077" s="8" t="inlineStr">
        <is>
          <t>Golf Score Cards - Half Page</t>
        </is>
      </c>
      <c r="J1077" s="11" t="inlineStr"/>
      <c r="K1077" s="8" t="inlineStr">
        <is>
          <t>Your ad will appear in the score cards on the golf course on the installation.</t>
        </is>
      </c>
      <c r="L1077" s="11" t="n">
        <v>6</v>
      </c>
      <c r="M1077" s="12" t="n"/>
      <c r="N1077" s="12" t="n"/>
      <c r="O1077" s="12" t="n">
        <v>1200</v>
      </c>
      <c r="P1077" s="12" t="n">
        <v>2400</v>
      </c>
      <c r="Q1077" s="12" t="n"/>
      <c r="R1077" s="13">
        <f>IF(ISNUMBER(M1077),ROUND(M1077/(1-Settings!$B$2)/Settings!$B$3,0)*Settings!$B$3,"")</f>
        <v/>
      </c>
      <c r="S1077" s="13">
        <f>IF(ISNUMBER(N1077),ROUND(N1077/(1-Settings!$B$2)/Settings!$B$3,0)*Settings!$B$3,"")</f>
        <v/>
      </c>
      <c r="T1077" s="13">
        <f>IF(ISNUMBER(O1077),ROUND(O1077/(1-Settings!$B$2)/Settings!$B$3,0)*Settings!$B$3,"")</f>
        <v/>
      </c>
      <c r="U1077" s="13">
        <f>IF(ISNUMBER(P1077),ROUND(P1077/(1-Settings!$B$2)/Settings!$B$3,0)*Settings!$B$3,"")</f>
        <v/>
      </c>
      <c r="V1077" s="13">
        <f>IF(ISNUMBER(Q1077),ROUND(Q1077/(1-Settings!$B$2)/Settings!$B$3,0)*Settings!$B$3,"")</f>
        <v/>
      </c>
      <c r="W1077" s="14" t="n">
        <v>5162</v>
      </c>
      <c r="X1077" s="14" t="n">
        <v>4425</v>
      </c>
      <c r="Y1077" s="11" t="inlineStr"/>
      <c r="Z1077" s="11" t="inlineStr"/>
      <c r="AA1077" s="8" t="inlineStr"/>
      <c r="AB1077" s="8" t="inlineStr"/>
      <c r="AC1077" s="11" t="inlineStr">
        <is>
          <t>MasterMilitaryOnBaseList 12.2.25 NS.xlsx</t>
        </is>
      </c>
      <c r="AD1077" s="11" t="inlineStr">
        <is>
          <t>2026-Commercial-Sponsorship-Advertising-Opportunities-as-of-June-2026.pdf</t>
        </is>
      </c>
      <c r="AE1077" s="15" t="inlineStr">
        <is>
          <t>Open in Box</t>
        </is>
      </c>
      <c r="AF1077" s="15" t="inlineStr">
        <is>
          <t>Open in Box</t>
        </is>
      </c>
    </row>
    <row r="1078">
      <c r="A1078" s="11" t="inlineStr">
        <is>
          <t>MS-KEESLERA-011</t>
        </is>
      </c>
      <c r="B1078" s="8" t="inlineStr">
        <is>
          <t>Keesler AFB</t>
        </is>
      </c>
      <c r="C1078" s="11" t="inlineStr"/>
      <c r="D1078" s="11" t="inlineStr">
        <is>
          <t>MS</t>
        </is>
      </c>
      <c r="E1078" s="11" t="inlineStr">
        <is>
          <t>Biloxi-Gulfport</t>
        </is>
      </c>
      <c r="F1078" s="11" t="inlineStr">
        <is>
          <t>39534</t>
        </is>
      </c>
      <c r="G1078" s="11" t="inlineStr">
        <is>
          <t>Air Force</t>
        </is>
      </c>
      <c r="H1078" s="11" t="inlineStr">
        <is>
          <t>Print &amp; Publications</t>
        </is>
      </c>
      <c r="I1078" s="8" t="inlineStr">
        <is>
          <t>Golf Score Cards - Quarter Page</t>
        </is>
      </c>
      <c r="J1078" s="11" t="inlineStr"/>
      <c r="K1078" s="8" t="inlineStr">
        <is>
          <t>Your ad will appear in the score cards on the golf course on the installation.</t>
        </is>
      </c>
      <c r="L1078" s="11" t="n">
        <v>6</v>
      </c>
      <c r="M1078" s="12" t="n"/>
      <c r="N1078" s="12" t="n"/>
      <c r="O1078" s="12" t="n">
        <v>600</v>
      </c>
      <c r="P1078" s="12" t="n">
        <v>1200</v>
      </c>
      <c r="Q1078" s="12" t="n"/>
      <c r="R1078" s="13">
        <f>IF(ISNUMBER(M1078),ROUND(M1078/(1-Settings!$B$2)/Settings!$B$3,0)*Settings!$B$3,"")</f>
        <v/>
      </c>
      <c r="S1078" s="13">
        <f>IF(ISNUMBER(N1078),ROUND(N1078/(1-Settings!$B$2)/Settings!$B$3,0)*Settings!$B$3,"")</f>
        <v/>
      </c>
      <c r="T1078" s="13">
        <f>IF(ISNUMBER(O1078),ROUND(O1078/(1-Settings!$B$2)/Settings!$B$3,0)*Settings!$B$3,"")</f>
        <v/>
      </c>
      <c r="U1078" s="13">
        <f>IF(ISNUMBER(P1078),ROUND(P1078/(1-Settings!$B$2)/Settings!$B$3,0)*Settings!$B$3,"")</f>
        <v/>
      </c>
      <c r="V1078" s="13">
        <f>IF(ISNUMBER(Q1078),ROUND(Q1078/(1-Settings!$B$2)/Settings!$B$3,0)*Settings!$B$3,"")</f>
        <v/>
      </c>
      <c r="W1078" s="14" t="n">
        <v>5162</v>
      </c>
      <c r="X1078" s="14" t="n">
        <v>4425</v>
      </c>
      <c r="Y1078" s="11" t="inlineStr"/>
      <c r="Z1078" s="11" t="inlineStr"/>
      <c r="AA1078" s="8" t="inlineStr"/>
      <c r="AB1078" s="8" t="inlineStr"/>
      <c r="AC1078" s="11" t="inlineStr">
        <is>
          <t>MasterMilitaryOnBaseList 12.2.25 NS.xlsx</t>
        </is>
      </c>
      <c r="AD1078" s="11" t="inlineStr">
        <is>
          <t>2026-Commercial-Sponsorship-Advertising-Opportunities-as-of-June-2026.pdf</t>
        </is>
      </c>
      <c r="AE1078" s="15" t="inlineStr">
        <is>
          <t>Open in Box</t>
        </is>
      </c>
      <c r="AF1078" s="15" t="inlineStr">
        <is>
          <t>Open in Box</t>
        </is>
      </c>
    </row>
    <row r="1079">
      <c r="A1079" s="11" t="inlineStr">
        <is>
          <t>MS-KEESLERA-012</t>
        </is>
      </c>
      <c r="B1079" s="8" t="inlineStr">
        <is>
          <t>Keesler AFB</t>
        </is>
      </c>
      <c r="C1079" s="11" t="inlineStr"/>
      <c r="D1079" s="11" t="inlineStr">
        <is>
          <t>MS</t>
        </is>
      </c>
      <c r="E1079" s="11" t="inlineStr">
        <is>
          <t>Biloxi-Gulfport</t>
        </is>
      </c>
      <c r="F1079" s="11" t="inlineStr">
        <is>
          <t>39534</t>
        </is>
      </c>
      <c r="G1079" s="11" t="inlineStr">
        <is>
          <t>Air Force</t>
        </is>
      </c>
      <c r="H1079" s="11" t="inlineStr">
        <is>
          <t>Print &amp; Publications</t>
        </is>
      </c>
      <c r="I1079" s="8" t="inlineStr">
        <is>
          <t>Magazine Ad - 1/2 Page</t>
        </is>
      </c>
      <c r="J1079" s="11" t="inlineStr"/>
      <c r="K1079" s="8" t="inlineStr">
        <is>
          <t>Your ad will appear in the Discover Keesler Magazine.</t>
        </is>
      </c>
      <c r="L1079" s="11" t="n">
        <v>1</v>
      </c>
      <c r="M1079" s="12" t="n">
        <v>800</v>
      </c>
      <c r="N1079" s="12" t="n">
        <v>2400</v>
      </c>
      <c r="O1079" s="12" t="n">
        <v>4800</v>
      </c>
      <c r="P1079" s="12" t="n">
        <v>9600</v>
      </c>
      <c r="Q1079" s="12" t="n"/>
      <c r="R1079" s="13">
        <f>IF(ISNUMBER(M1079),ROUND(M1079/(1-Settings!$B$2)/Settings!$B$3,0)*Settings!$B$3,"")</f>
        <v/>
      </c>
      <c r="S1079" s="13">
        <f>IF(ISNUMBER(N1079),ROUND(N1079/(1-Settings!$B$2)/Settings!$B$3,0)*Settings!$B$3,"")</f>
        <v/>
      </c>
      <c r="T1079" s="13">
        <f>IF(ISNUMBER(O1079),ROUND(O1079/(1-Settings!$B$2)/Settings!$B$3,0)*Settings!$B$3,"")</f>
        <v/>
      </c>
      <c r="U1079" s="13">
        <f>IF(ISNUMBER(P1079),ROUND(P1079/(1-Settings!$B$2)/Settings!$B$3,0)*Settings!$B$3,"")</f>
        <v/>
      </c>
      <c r="V1079" s="13">
        <f>IF(ISNUMBER(Q1079),ROUND(Q1079/(1-Settings!$B$2)/Settings!$B$3,0)*Settings!$B$3,"")</f>
        <v/>
      </c>
      <c r="W1079" s="14" t="n">
        <v>5162</v>
      </c>
      <c r="X1079" s="14" t="n">
        <v>4425</v>
      </c>
      <c r="Y1079" s="11" t="inlineStr"/>
      <c r="Z1079" s="11" t="inlineStr"/>
      <c r="AA1079" s="8" t="inlineStr">
        <is>
          <t>Inventory master 6/2026 lists Magazine Ad at $13,500 (3 mo)</t>
        </is>
      </c>
      <c r="AB1079" s="8" t="inlineStr"/>
      <c r="AC1079" s="11" t="inlineStr">
        <is>
          <t>MasterMilitaryOnBaseList 12.2.25 NS.xlsx</t>
        </is>
      </c>
      <c r="AD1079" s="11" t="inlineStr">
        <is>
          <t>2026-Commercial-Sponsorship-Advertising-Opportunities-as-of-June-2026.pdf</t>
        </is>
      </c>
      <c r="AE1079" s="15" t="inlineStr">
        <is>
          <t>Open in Box</t>
        </is>
      </c>
      <c r="AF1079" s="15" t="inlineStr">
        <is>
          <t>Open in Box</t>
        </is>
      </c>
    </row>
    <row r="1080">
      <c r="A1080" s="11" t="inlineStr">
        <is>
          <t>MS-KEESLERA-013</t>
        </is>
      </c>
      <c r="B1080" s="8" t="inlineStr">
        <is>
          <t>Keesler AFB</t>
        </is>
      </c>
      <c r="C1080" s="11" t="inlineStr"/>
      <c r="D1080" s="11" t="inlineStr">
        <is>
          <t>MS</t>
        </is>
      </c>
      <c r="E1080" s="11" t="inlineStr">
        <is>
          <t>Biloxi-Gulfport</t>
        </is>
      </c>
      <c r="F1080" s="11" t="inlineStr">
        <is>
          <t>39534</t>
        </is>
      </c>
      <c r="G1080" s="11" t="inlineStr">
        <is>
          <t>Air Force</t>
        </is>
      </c>
      <c r="H1080" s="11" t="inlineStr">
        <is>
          <t>Print &amp; Publications</t>
        </is>
      </c>
      <c r="I1080" s="8" t="inlineStr">
        <is>
          <t>Magazine Ad - 1/4 Page</t>
        </is>
      </c>
      <c r="J1080" s="11" t="inlineStr"/>
      <c r="K1080" s="8" t="inlineStr">
        <is>
          <t>Your ad will appear in the Discover Keesler Magazine.</t>
        </is>
      </c>
      <c r="L1080" s="11" t="n">
        <v>1</v>
      </c>
      <c r="M1080" s="12" t="n">
        <v>500</v>
      </c>
      <c r="N1080" s="12" t="n">
        <v>1500</v>
      </c>
      <c r="O1080" s="12" t="n">
        <v>3000</v>
      </c>
      <c r="P1080" s="12" t="n">
        <v>6000</v>
      </c>
      <c r="Q1080" s="12" t="n"/>
      <c r="R1080" s="13">
        <f>IF(ISNUMBER(M1080),ROUND(M1080/(1-Settings!$B$2)/Settings!$B$3,0)*Settings!$B$3,"")</f>
        <v/>
      </c>
      <c r="S1080" s="13">
        <f>IF(ISNUMBER(N1080),ROUND(N1080/(1-Settings!$B$2)/Settings!$B$3,0)*Settings!$B$3,"")</f>
        <v/>
      </c>
      <c r="T1080" s="13">
        <f>IF(ISNUMBER(O1080),ROUND(O1080/(1-Settings!$B$2)/Settings!$B$3,0)*Settings!$B$3,"")</f>
        <v/>
      </c>
      <c r="U1080" s="13">
        <f>IF(ISNUMBER(P1080),ROUND(P1080/(1-Settings!$B$2)/Settings!$B$3,0)*Settings!$B$3,"")</f>
        <v/>
      </c>
      <c r="V1080" s="13">
        <f>IF(ISNUMBER(Q1080),ROUND(Q1080/(1-Settings!$B$2)/Settings!$B$3,0)*Settings!$B$3,"")</f>
        <v/>
      </c>
      <c r="W1080" s="14" t="n">
        <v>5162</v>
      </c>
      <c r="X1080" s="14" t="n">
        <v>4425</v>
      </c>
      <c r="Y1080" s="11" t="inlineStr"/>
      <c r="Z1080" s="11" t="inlineStr"/>
      <c r="AA1080" s="8" t="inlineStr">
        <is>
          <t>Inventory master 6/2026 lists Magazine Ad at $13,500 (3 mo)</t>
        </is>
      </c>
      <c r="AB1080" s="8" t="inlineStr"/>
      <c r="AC1080" s="11" t="inlineStr">
        <is>
          <t>MasterMilitaryOnBaseList 12.2.25 NS.xlsx</t>
        </is>
      </c>
      <c r="AD1080" s="11" t="inlineStr">
        <is>
          <t>2026-Commercial-Sponsorship-Advertising-Opportunities-as-of-June-2026.pdf</t>
        </is>
      </c>
      <c r="AE1080" s="15" t="inlineStr">
        <is>
          <t>Open in Box</t>
        </is>
      </c>
      <c r="AF1080" s="15" t="inlineStr">
        <is>
          <t>Open in Box</t>
        </is>
      </c>
    </row>
    <row r="1081">
      <c r="A1081" s="11" t="inlineStr">
        <is>
          <t>MS-KEESLERA-014</t>
        </is>
      </c>
      <c r="B1081" s="8" t="inlineStr">
        <is>
          <t>Keesler AFB</t>
        </is>
      </c>
      <c r="C1081" s="11" t="inlineStr"/>
      <c r="D1081" s="11" t="inlineStr">
        <is>
          <t>MS</t>
        </is>
      </c>
      <c r="E1081" s="11" t="inlineStr">
        <is>
          <t>Biloxi-Gulfport</t>
        </is>
      </c>
      <c r="F1081" s="11" t="inlineStr">
        <is>
          <t>39534</t>
        </is>
      </c>
      <c r="G1081" s="11" t="inlineStr">
        <is>
          <t>Air Force</t>
        </is>
      </c>
      <c r="H1081" s="11" t="inlineStr">
        <is>
          <t>Print &amp; Publications</t>
        </is>
      </c>
      <c r="I1081" s="8" t="inlineStr">
        <is>
          <t>Magazine Ad - Back Cover</t>
        </is>
      </c>
      <c r="J1081" s="11" t="inlineStr"/>
      <c r="K1081" s="8" t="inlineStr">
        <is>
          <t>Your ad will appear in the Discover Keesler Magazine.</t>
        </is>
      </c>
      <c r="L1081" s="11" t="n">
        <v>1</v>
      </c>
      <c r="M1081" s="12" t="n">
        <v>1500</v>
      </c>
      <c r="N1081" s="12" t="n">
        <v>4500</v>
      </c>
      <c r="O1081" s="12" t="n">
        <v>9000</v>
      </c>
      <c r="P1081" s="12" t="n">
        <v>18000</v>
      </c>
      <c r="Q1081" s="12" t="n"/>
      <c r="R1081" s="13">
        <f>IF(ISNUMBER(M1081),ROUND(M1081/(1-Settings!$B$2)/Settings!$B$3,0)*Settings!$B$3,"")</f>
        <v/>
      </c>
      <c r="S1081" s="13">
        <f>IF(ISNUMBER(N1081),ROUND(N1081/(1-Settings!$B$2)/Settings!$B$3,0)*Settings!$B$3,"")</f>
        <v/>
      </c>
      <c r="T1081" s="13">
        <f>IF(ISNUMBER(O1081),ROUND(O1081/(1-Settings!$B$2)/Settings!$B$3,0)*Settings!$B$3,"")</f>
        <v/>
      </c>
      <c r="U1081" s="13">
        <f>IF(ISNUMBER(P1081),ROUND(P1081/(1-Settings!$B$2)/Settings!$B$3,0)*Settings!$B$3,"")</f>
        <v/>
      </c>
      <c r="V1081" s="13">
        <f>IF(ISNUMBER(Q1081),ROUND(Q1081/(1-Settings!$B$2)/Settings!$B$3,0)*Settings!$B$3,"")</f>
        <v/>
      </c>
      <c r="W1081" s="14" t="n">
        <v>5162</v>
      </c>
      <c r="X1081" s="14" t="n">
        <v>4425</v>
      </c>
      <c r="Y1081" s="11" t="inlineStr"/>
      <c r="Z1081" s="11" t="inlineStr"/>
      <c r="AA1081" s="8" t="inlineStr">
        <is>
          <t>Inventory master 6/2026 lists Magazine Ad at $13,500 (3 mo)</t>
        </is>
      </c>
      <c r="AB1081" s="8" t="inlineStr"/>
      <c r="AC1081" s="11" t="inlineStr">
        <is>
          <t>MasterMilitaryOnBaseList 12.2.25 NS.xlsx</t>
        </is>
      </c>
      <c r="AD1081" s="11" t="inlineStr">
        <is>
          <t>2026-Commercial-Sponsorship-Advertising-Opportunities-as-of-June-2026.pdf</t>
        </is>
      </c>
      <c r="AE1081" s="15" t="inlineStr">
        <is>
          <t>Open in Box</t>
        </is>
      </c>
      <c r="AF1081" s="15" t="inlineStr">
        <is>
          <t>Open in Box</t>
        </is>
      </c>
    </row>
    <row r="1082">
      <c r="A1082" s="11" t="inlineStr">
        <is>
          <t>MS-KEESLERA-015</t>
        </is>
      </c>
      <c r="B1082" s="8" t="inlineStr">
        <is>
          <t>Keesler AFB</t>
        </is>
      </c>
      <c r="C1082" s="11" t="inlineStr"/>
      <c r="D1082" s="11" t="inlineStr">
        <is>
          <t>MS</t>
        </is>
      </c>
      <c r="E1082" s="11" t="inlineStr">
        <is>
          <t>Biloxi-Gulfport</t>
        </is>
      </c>
      <c r="F1082" s="11" t="inlineStr">
        <is>
          <t>39534</t>
        </is>
      </c>
      <c r="G1082" s="11" t="inlineStr">
        <is>
          <t>Air Force</t>
        </is>
      </c>
      <c r="H1082" s="11" t="inlineStr">
        <is>
          <t>Print &amp; Publications</t>
        </is>
      </c>
      <c r="I1082" s="8" t="inlineStr">
        <is>
          <t>Magazine Ad - Full Page</t>
        </is>
      </c>
      <c r="J1082" s="11" t="inlineStr"/>
      <c r="K1082" s="8" t="inlineStr">
        <is>
          <t>Your ad will appear in the Discover Keesler Magazine.</t>
        </is>
      </c>
      <c r="L1082" s="11" t="n">
        <v>1</v>
      </c>
      <c r="M1082" s="12" t="n">
        <v>1200</v>
      </c>
      <c r="N1082" s="12" t="n">
        <v>3600</v>
      </c>
      <c r="O1082" s="12" t="n">
        <v>7200</v>
      </c>
      <c r="P1082" s="12" t="n">
        <v>14400</v>
      </c>
      <c r="Q1082" s="12" t="n"/>
      <c r="R1082" s="13">
        <f>IF(ISNUMBER(M1082),ROUND(M1082/(1-Settings!$B$2)/Settings!$B$3,0)*Settings!$B$3,"")</f>
        <v/>
      </c>
      <c r="S1082" s="13">
        <f>IF(ISNUMBER(N1082),ROUND(N1082/(1-Settings!$B$2)/Settings!$B$3,0)*Settings!$B$3,"")</f>
        <v/>
      </c>
      <c r="T1082" s="13">
        <f>IF(ISNUMBER(O1082),ROUND(O1082/(1-Settings!$B$2)/Settings!$B$3,0)*Settings!$B$3,"")</f>
        <v/>
      </c>
      <c r="U1082" s="13">
        <f>IF(ISNUMBER(P1082),ROUND(P1082/(1-Settings!$B$2)/Settings!$B$3,0)*Settings!$B$3,"")</f>
        <v/>
      </c>
      <c r="V1082" s="13">
        <f>IF(ISNUMBER(Q1082),ROUND(Q1082/(1-Settings!$B$2)/Settings!$B$3,0)*Settings!$B$3,"")</f>
        <v/>
      </c>
      <c r="W1082" s="14" t="n">
        <v>5162</v>
      </c>
      <c r="X1082" s="14" t="n">
        <v>4425</v>
      </c>
      <c r="Y1082" s="11" t="inlineStr"/>
      <c r="Z1082" s="11" t="inlineStr"/>
      <c r="AA1082" s="8" t="inlineStr">
        <is>
          <t>Inventory master 6/2026 lists Magazine Ad at $13,500 (3 mo)</t>
        </is>
      </c>
      <c r="AB1082" s="8" t="inlineStr"/>
      <c r="AC1082" s="11" t="inlineStr">
        <is>
          <t>MasterMilitaryOnBaseList 12.2.25 NS.xlsx</t>
        </is>
      </c>
      <c r="AD1082" s="11" t="inlineStr">
        <is>
          <t>2026-Commercial-Sponsorship-Advertising-Opportunities-as-of-June-2026.pdf</t>
        </is>
      </c>
      <c r="AE1082" s="15" t="inlineStr">
        <is>
          <t>Open in Box</t>
        </is>
      </c>
      <c r="AF1082" s="15" t="inlineStr">
        <is>
          <t>Open in Box</t>
        </is>
      </c>
    </row>
    <row r="1083">
      <c r="A1083" s="11" t="inlineStr">
        <is>
          <t>MS-KEESLERA-016</t>
        </is>
      </c>
      <c r="B1083" s="8" t="inlineStr">
        <is>
          <t>Keesler AFB</t>
        </is>
      </c>
      <c r="C1083" s="11" t="inlineStr"/>
      <c r="D1083" s="11" t="inlineStr">
        <is>
          <t>MS</t>
        </is>
      </c>
      <c r="E1083" s="11" t="inlineStr">
        <is>
          <t>Biloxi-Gulfport</t>
        </is>
      </c>
      <c r="F1083" s="11" t="inlineStr">
        <is>
          <t>39534</t>
        </is>
      </c>
      <c r="G1083" s="11" t="inlineStr">
        <is>
          <t>Air Force</t>
        </is>
      </c>
      <c r="H1083" s="11" t="inlineStr">
        <is>
          <t>Print &amp; Publications</t>
        </is>
      </c>
      <c r="I1083" s="8" t="inlineStr">
        <is>
          <t>Magazine Ad - Inside Back Cover</t>
        </is>
      </c>
      <c r="J1083" s="11" t="inlineStr"/>
      <c r="K1083" s="8" t="inlineStr">
        <is>
          <t>Your ad will appear in the Discover Keesler Magazine.</t>
        </is>
      </c>
      <c r="L1083" s="11" t="n">
        <v>1</v>
      </c>
      <c r="M1083" s="12" t="n">
        <v>1350</v>
      </c>
      <c r="N1083" s="12" t="n">
        <v>4050</v>
      </c>
      <c r="O1083" s="12" t="n">
        <v>8100</v>
      </c>
      <c r="P1083" s="12" t="n">
        <v>16200</v>
      </c>
      <c r="Q1083" s="12" t="n"/>
      <c r="R1083" s="13">
        <f>IF(ISNUMBER(M1083),ROUND(M1083/(1-Settings!$B$2)/Settings!$B$3,0)*Settings!$B$3,"")</f>
        <v/>
      </c>
      <c r="S1083" s="13">
        <f>IF(ISNUMBER(N1083),ROUND(N1083/(1-Settings!$B$2)/Settings!$B$3,0)*Settings!$B$3,"")</f>
        <v/>
      </c>
      <c r="T1083" s="13">
        <f>IF(ISNUMBER(O1083),ROUND(O1083/(1-Settings!$B$2)/Settings!$B$3,0)*Settings!$B$3,"")</f>
        <v/>
      </c>
      <c r="U1083" s="13">
        <f>IF(ISNUMBER(P1083),ROUND(P1083/(1-Settings!$B$2)/Settings!$B$3,0)*Settings!$B$3,"")</f>
        <v/>
      </c>
      <c r="V1083" s="13">
        <f>IF(ISNUMBER(Q1083),ROUND(Q1083/(1-Settings!$B$2)/Settings!$B$3,0)*Settings!$B$3,"")</f>
        <v/>
      </c>
      <c r="W1083" s="14" t="n">
        <v>5162</v>
      </c>
      <c r="X1083" s="14" t="n">
        <v>4425</v>
      </c>
      <c r="Y1083" s="11" t="inlineStr"/>
      <c r="Z1083" s="11" t="inlineStr"/>
      <c r="AA1083" s="8" t="inlineStr">
        <is>
          <t>Inventory master 6/2026 lists Magazine Ad at $13,500 (3 mo)</t>
        </is>
      </c>
      <c r="AB1083" s="8" t="inlineStr"/>
      <c r="AC1083" s="11" t="inlineStr">
        <is>
          <t>MasterMilitaryOnBaseList 12.2.25 NS.xlsx</t>
        </is>
      </c>
      <c r="AD1083" s="11" t="inlineStr">
        <is>
          <t>2026-Commercial-Sponsorship-Advertising-Opportunities-as-of-June-2026.pdf</t>
        </is>
      </c>
      <c r="AE1083" s="15" t="inlineStr">
        <is>
          <t>Open in Box</t>
        </is>
      </c>
      <c r="AF1083" s="15" t="inlineStr">
        <is>
          <t>Open in Box</t>
        </is>
      </c>
    </row>
    <row r="1084">
      <c r="A1084" s="11" t="inlineStr">
        <is>
          <t>MS-KEESLERA-017</t>
        </is>
      </c>
      <c r="B1084" s="8" t="inlineStr">
        <is>
          <t>Keesler AFB</t>
        </is>
      </c>
      <c r="C1084" s="11" t="inlineStr"/>
      <c r="D1084" s="11" t="inlineStr">
        <is>
          <t>MS</t>
        </is>
      </c>
      <c r="E1084" s="11" t="inlineStr">
        <is>
          <t>Biloxi-Gulfport</t>
        </is>
      </c>
      <c r="F1084" s="11" t="inlineStr">
        <is>
          <t>39534</t>
        </is>
      </c>
      <c r="G1084" s="11" t="inlineStr">
        <is>
          <t>Air Force</t>
        </is>
      </c>
      <c r="H1084" s="11" t="inlineStr">
        <is>
          <t>Print &amp; Publications</t>
        </is>
      </c>
      <c r="I1084" s="8" t="inlineStr">
        <is>
          <t>Magazine Ad - Inside Front Cover</t>
        </is>
      </c>
      <c r="J1084" s="11" t="inlineStr"/>
      <c r="K1084" s="8" t="inlineStr">
        <is>
          <t>Your ad will appear in the Discover Keesler Magazine.</t>
        </is>
      </c>
      <c r="L1084" s="11" t="n">
        <v>1</v>
      </c>
      <c r="M1084" s="12" t="n">
        <v>1200</v>
      </c>
      <c r="N1084" s="12" t="n">
        <v>3600</v>
      </c>
      <c r="O1084" s="12" t="n">
        <v>7200</v>
      </c>
      <c r="P1084" s="12" t="n">
        <v>14400</v>
      </c>
      <c r="Q1084" s="12" t="n"/>
      <c r="R1084" s="13">
        <f>IF(ISNUMBER(M1084),ROUND(M1084/(1-Settings!$B$2)/Settings!$B$3,0)*Settings!$B$3,"")</f>
        <v/>
      </c>
      <c r="S1084" s="13">
        <f>IF(ISNUMBER(N1084),ROUND(N1084/(1-Settings!$B$2)/Settings!$B$3,0)*Settings!$B$3,"")</f>
        <v/>
      </c>
      <c r="T1084" s="13">
        <f>IF(ISNUMBER(O1084),ROUND(O1084/(1-Settings!$B$2)/Settings!$B$3,0)*Settings!$B$3,"")</f>
        <v/>
      </c>
      <c r="U1084" s="13">
        <f>IF(ISNUMBER(P1084),ROUND(P1084/(1-Settings!$B$2)/Settings!$B$3,0)*Settings!$B$3,"")</f>
        <v/>
      </c>
      <c r="V1084" s="13">
        <f>IF(ISNUMBER(Q1084),ROUND(Q1084/(1-Settings!$B$2)/Settings!$B$3,0)*Settings!$B$3,"")</f>
        <v/>
      </c>
      <c r="W1084" s="14" t="n">
        <v>5162</v>
      </c>
      <c r="X1084" s="14" t="n">
        <v>4425</v>
      </c>
      <c r="Y1084" s="11" t="inlineStr"/>
      <c r="Z1084" s="11" t="inlineStr"/>
      <c r="AA1084" s="8" t="inlineStr">
        <is>
          <t>Inventory master 6/2026 lists Magazine Ad at $13,500 (3 mo)</t>
        </is>
      </c>
      <c r="AB1084" s="8" t="inlineStr"/>
      <c r="AC1084" s="11" t="inlineStr">
        <is>
          <t>MasterMilitaryOnBaseList 12.2.25 NS.xlsx</t>
        </is>
      </c>
      <c r="AD1084" s="11" t="inlineStr">
        <is>
          <t>2026-Commercial-Sponsorship-Advertising-Opportunities-as-of-June-2026.pdf</t>
        </is>
      </c>
      <c r="AE1084" s="15" t="inlineStr">
        <is>
          <t>Open in Box</t>
        </is>
      </c>
      <c r="AF1084" s="15" t="inlineStr">
        <is>
          <t>Open in Box</t>
        </is>
      </c>
    </row>
    <row r="1085">
      <c r="A1085" s="11" t="inlineStr">
        <is>
          <t>MS-KEESLERA-020</t>
        </is>
      </c>
      <c r="B1085" s="8" t="inlineStr">
        <is>
          <t>Keesler AFB</t>
        </is>
      </c>
      <c r="C1085" s="11" t="inlineStr"/>
      <c r="D1085" s="11" t="inlineStr">
        <is>
          <t>MS</t>
        </is>
      </c>
      <c r="E1085" s="11" t="inlineStr">
        <is>
          <t>Biloxi-Gulfport</t>
        </is>
      </c>
      <c r="F1085" s="11" t="inlineStr">
        <is>
          <t>39534</t>
        </is>
      </c>
      <c r="G1085" s="11" t="inlineStr">
        <is>
          <t>Air Force</t>
        </is>
      </c>
      <c r="H1085" s="11" t="inlineStr">
        <is>
          <t>Sponsorship &amp; Other</t>
        </is>
      </c>
      <c r="I1085" s="8" t="inlineStr">
        <is>
          <t>Golf Cart - 30 Carts</t>
        </is>
      </c>
      <c r="J1085" s="11" t="inlineStr"/>
      <c r="K1085" s="8" t="inlineStr">
        <is>
          <t>Your ad will appear on 30 approved golf carts on the installation.</t>
        </is>
      </c>
      <c r="L1085" s="11" t="n">
        <v>1</v>
      </c>
      <c r="M1085" s="12" t="n">
        <v>100</v>
      </c>
      <c r="N1085" s="12" t="n">
        <v>300</v>
      </c>
      <c r="O1085" s="12" t="n">
        <v>600</v>
      </c>
      <c r="P1085" s="12" t="n">
        <v>1200</v>
      </c>
      <c r="Q1085" s="12" t="n"/>
      <c r="R1085" s="13">
        <f>IF(ISNUMBER(M1085),ROUND(M1085/(1-Settings!$B$2)/Settings!$B$3,0)*Settings!$B$3,"")</f>
        <v/>
      </c>
      <c r="S1085" s="13">
        <f>IF(ISNUMBER(N1085),ROUND(N1085/(1-Settings!$B$2)/Settings!$B$3,0)*Settings!$B$3,"")</f>
        <v/>
      </c>
      <c r="T1085" s="13">
        <f>IF(ISNUMBER(O1085),ROUND(O1085/(1-Settings!$B$2)/Settings!$B$3,0)*Settings!$B$3,"")</f>
        <v/>
      </c>
      <c r="U1085" s="13">
        <f>IF(ISNUMBER(P1085),ROUND(P1085/(1-Settings!$B$2)/Settings!$B$3,0)*Settings!$B$3,"")</f>
        <v/>
      </c>
      <c r="V1085" s="13">
        <f>IF(ISNUMBER(Q1085),ROUND(Q1085/(1-Settings!$B$2)/Settings!$B$3,0)*Settings!$B$3,"")</f>
        <v/>
      </c>
      <c r="W1085" s="14" t="n">
        <v>5162</v>
      </c>
      <c r="X1085" s="14" t="n">
        <v>4425</v>
      </c>
      <c r="Y1085" s="11" t="inlineStr"/>
      <c r="Z1085" s="11" t="inlineStr"/>
      <c r="AA1085" s="8" t="inlineStr"/>
      <c r="AB1085" s="8" t="inlineStr"/>
      <c r="AC1085" s="11" t="inlineStr">
        <is>
          <t>MasterMilitaryOnBaseList 12.2.25 NS.xlsx</t>
        </is>
      </c>
      <c r="AD1085" s="11" t="inlineStr">
        <is>
          <t>2026-Commercial-Sponsorship-Advertising-Opportunities-as-of-June-2026.pdf</t>
        </is>
      </c>
      <c r="AE1085" s="15" t="inlineStr">
        <is>
          <t>Open in Box</t>
        </is>
      </c>
      <c r="AF1085" s="15" t="inlineStr">
        <is>
          <t>Open in Box</t>
        </is>
      </c>
    </row>
    <row r="1086">
      <c r="A1086" s="11" t="inlineStr">
        <is>
          <t>MS-KEESLERA-004</t>
        </is>
      </c>
      <c r="B1086" s="8" t="inlineStr">
        <is>
          <t>Keesler AFB</t>
        </is>
      </c>
      <c r="C1086" s="11" t="inlineStr"/>
      <c r="D1086" s="11" t="inlineStr">
        <is>
          <t>MS</t>
        </is>
      </c>
      <c r="E1086" s="11" t="inlineStr">
        <is>
          <t>Biloxi-Gulfport</t>
        </is>
      </c>
      <c r="F1086" s="11" t="inlineStr">
        <is>
          <t>39534</t>
        </is>
      </c>
      <c r="G1086" s="11" t="inlineStr">
        <is>
          <t>Air Force</t>
        </is>
      </c>
      <c r="H1086" s="11" t="inlineStr">
        <is>
          <t>Standard Media</t>
        </is>
      </c>
      <c r="I1086" s="8" t="inlineStr">
        <is>
          <t>Outdoor Sign</t>
        </is>
      </c>
      <c r="J1086" s="11" t="inlineStr">
        <is>
          <t>3' x 6'</t>
        </is>
      </c>
      <c r="K1086" s="8" t="inlineStr">
        <is>
          <t>Your ad will appear in an approved outdoor area on the installation.</t>
        </is>
      </c>
      <c r="L1086" s="11" t="n">
        <v>6</v>
      </c>
      <c r="M1086" s="12" t="n"/>
      <c r="N1086" s="12" t="n"/>
      <c r="O1086" s="12" t="n">
        <v>1500</v>
      </c>
      <c r="P1086" s="12" t="n">
        <v>3000</v>
      </c>
      <c r="Q1086" s="12" t="n"/>
      <c r="R1086" s="13">
        <f>IF(ISNUMBER(M1086),ROUND(M1086/(1-Settings!$B$2)/Settings!$B$3,0)*Settings!$B$3,"")</f>
        <v/>
      </c>
      <c r="S1086" s="13">
        <f>IF(ISNUMBER(N1086),ROUND(N1086/(1-Settings!$B$2)/Settings!$B$3,0)*Settings!$B$3,"")</f>
        <v/>
      </c>
      <c r="T1086" s="13">
        <f>IF(ISNUMBER(O1086),ROUND(O1086/(1-Settings!$B$2)/Settings!$B$3,0)*Settings!$B$3,"")</f>
        <v/>
      </c>
      <c r="U1086" s="13">
        <f>IF(ISNUMBER(P1086),ROUND(P1086/(1-Settings!$B$2)/Settings!$B$3,0)*Settings!$B$3,"")</f>
        <v/>
      </c>
      <c r="V1086" s="13">
        <f>IF(ISNUMBER(Q1086),ROUND(Q1086/(1-Settings!$B$2)/Settings!$B$3,0)*Settings!$B$3,"")</f>
        <v/>
      </c>
      <c r="W1086" s="14" t="n">
        <v>5162</v>
      </c>
      <c r="X1086" s="14" t="n">
        <v>4425</v>
      </c>
      <c r="Y1086" s="11" t="inlineStr"/>
      <c r="Z1086" s="11" t="inlineStr"/>
      <c r="AA1086" s="8" t="inlineStr"/>
      <c r="AB1086" s="8" t="inlineStr"/>
      <c r="AC1086" s="11" t="inlineStr">
        <is>
          <t>MasterMilitaryOnBaseList 12.2.25 NS.xlsx</t>
        </is>
      </c>
      <c r="AD1086" s="11" t="inlineStr">
        <is>
          <t>2026-Commercial-Sponsorship-Advertising-Opportunities-as-of-June-2026.pdf</t>
        </is>
      </c>
      <c r="AE1086" s="15" t="inlineStr">
        <is>
          <t>Open in Box</t>
        </is>
      </c>
      <c r="AF1086" s="15" t="inlineStr">
        <is>
          <t>Open in Box</t>
        </is>
      </c>
    </row>
    <row r="1087">
      <c r="A1087" s="11" t="inlineStr">
        <is>
          <t>MS-KEESLERA-005</t>
        </is>
      </c>
      <c r="B1087" s="8" t="inlineStr">
        <is>
          <t>Keesler AFB</t>
        </is>
      </c>
      <c r="C1087" s="11" t="inlineStr"/>
      <c r="D1087" s="11" t="inlineStr">
        <is>
          <t>MS</t>
        </is>
      </c>
      <c r="E1087" s="11" t="inlineStr">
        <is>
          <t>Biloxi-Gulfport</t>
        </is>
      </c>
      <c r="F1087" s="11" t="inlineStr">
        <is>
          <t>39534</t>
        </is>
      </c>
      <c r="G1087" s="11" t="inlineStr">
        <is>
          <t>Air Force</t>
        </is>
      </c>
      <c r="H1087" s="11" t="inlineStr">
        <is>
          <t>Standard Media</t>
        </is>
      </c>
      <c r="I1087" s="8" t="inlineStr">
        <is>
          <t>Poster</t>
        </is>
      </c>
      <c r="J1087" s="11" t="inlineStr"/>
      <c r="K1087" s="8" t="inlineStr">
        <is>
          <t>Your ad will appear in an approved location on the installation.</t>
        </is>
      </c>
      <c r="L1087" s="11" t="n">
        <v>1</v>
      </c>
      <c r="M1087" s="12" t="n">
        <v>100</v>
      </c>
      <c r="N1087" s="12" t="n">
        <v>300</v>
      </c>
      <c r="O1087" s="12" t="n">
        <v>600</v>
      </c>
      <c r="P1087" s="12" t="n">
        <v>1200</v>
      </c>
      <c r="Q1087" s="12" t="n"/>
      <c r="R1087" s="13">
        <f>IF(ISNUMBER(M1087),ROUND(M1087/(1-Settings!$B$2)/Settings!$B$3,0)*Settings!$B$3,"")</f>
        <v/>
      </c>
      <c r="S1087" s="13">
        <f>IF(ISNUMBER(N1087),ROUND(N1087/(1-Settings!$B$2)/Settings!$B$3,0)*Settings!$B$3,"")</f>
        <v/>
      </c>
      <c r="T1087" s="13">
        <f>IF(ISNUMBER(O1087),ROUND(O1087/(1-Settings!$B$2)/Settings!$B$3,0)*Settings!$B$3,"")</f>
        <v/>
      </c>
      <c r="U1087" s="13">
        <f>IF(ISNUMBER(P1087),ROUND(P1087/(1-Settings!$B$2)/Settings!$B$3,0)*Settings!$B$3,"")</f>
        <v/>
      </c>
      <c r="V1087" s="13">
        <f>IF(ISNUMBER(Q1087),ROUND(Q1087/(1-Settings!$B$2)/Settings!$B$3,0)*Settings!$B$3,"")</f>
        <v/>
      </c>
      <c r="W1087" s="14" t="n">
        <v>5162</v>
      </c>
      <c r="X1087" s="14" t="n">
        <v>4425</v>
      </c>
      <c r="Y1087" s="11" t="inlineStr"/>
      <c r="Z1087" s="11" t="inlineStr"/>
      <c r="AA1087" s="8" t="inlineStr"/>
      <c r="AB1087" s="8" t="inlineStr"/>
      <c r="AC1087" s="11" t="inlineStr">
        <is>
          <t>MasterMilitaryOnBaseList 12.2.25 NS.xlsx</t>
        </is>
      </c>
      <c r="AD1087" s="11" t="inlineStr">
        <is>
          <t>2026-Commercial-Sponsorship-Advertising-Opportunities-as-of-June-2026.pdf</t>
        </is>
      </c>
      <c r="AE1087" s="15" t="inlineStr">
        <is>
          <t>Open in Box</t>
        </is>
      </c>
      <c r="AF1087" s="15" t="inlineStr">
        <is>
          <t>Open in Box</t>
        </is>
      </c>
    </row>
    <row r="1088">
      <c r="A1088" s="11" t="inlineStr">
        <is>
          <t>MS-KEESLERA-018</t>
        </is>
      </c>
      <c r="B1088" s="8" t="inlineStr">
        <is>
          <t>Keesler AFB</t>
        </is>
      </c>
      <c r="C1088" s="11" t="inlineStr"/>
      <c r="D1088" s="11" t="inlineStr">
        <is>
          <t>MS</t>
        </is>
      </c>
      <c r="E1088" s="11" t="inlineStr">
        <is>
          <t>Biloxi-Gulfport</t>
        </is>
      </c>
      <c r="F1088" s="11" t="inlineStr">
        <is>
          <t>39534</t>
        </is>
      </c>
      <c r="G1088" s="11" t="inlineStr">
        <is>
          <t>Air Force</t>
        </is>
      </c>
      <c r="H1088" s="11" t="inlineStr">
        <is>
          <t>Web &amp; Email</t>
        </is>
      </c>
      <c r="I1088" s="8" t="inlineStr">
        <is>
          <t>E-Newsletter Ad - Small</t>
        </is>
      </c>
      <c r="J1088" s="11" t="inlineStr">
        <is>
          <t>600px x 300px</t>
        </is>
      </c>
      <c r="K1088" s="8" t="inlineStr">
        <is>
          <t>Your ad will appear in the base-wide e-newsletter.</t>
        </is>
      </c>
      <c r="L1088" s="11" t="n">
        <v>1</v>
      </c>
      <c r="M1088" s="12" t="n">
        <v>120</v>
      </c>
      <c r="N1088" s="12" t="n">
        <v>360</v>
      </c>
      <c r="O1088" s="12" t="n">
        <v>720</v>
      </c>
      <c r="P1088" s="12" t="n">
        <v>1440</v>
      </c>
      <c r="Q1088" s="12" t="n"/>
      <c r="R1088" s="13">
        <f>IF(ISNUMBER(M1088),ROUND(M1088/(1-Settings!$B$2)/Settings!$B$3,0)*Settings!$B$3,"")</f>
        <v/>
      </c>
      <c r="S1088" s="13">
        <f>IF(ISNUMBER(N1088),ROUND(N1088/(1-Settings!$B$2)/Settings!$B$3,0)*Settings!$B$3,"")</f>
        <v/>
      </c>
      <c r="T1088" s="13">
        <f>IF(ISNUMBER(O1088),ROUND(O1088/(1-Settings!$B$2)/Settings!$B$3,0)*Settings!$B$3,"")</f>
        <v/>
      </c>
      <c r="U1088" s="13">
        <f>IF(ISNUMBER(P1088),ROUND(P1088/(1-Settings!$B$2)/Settings!$B$3,0)*Settings!$B$3,"")</f>
        <v/>
      </c>
      <c r="V1088" s="13">
        <f>IF(ISNUMBER(Q1088),ROUND(Q1088/(1-Settings!$B$2)/Settings!$B$3,0)*Settings!$B$3,"")</f>
        <v/>
      </c>
      <c r="W1088" s="14" t="n">
        <v>5162</v>
      </c>
      <c r="X1088" s="14" t="n">
        <v>4425</v>
      </c>
      <c r="Y1088" s="11" t="inlineStr"/>
      <c r="Z1088" s="11" t="inlineStr"/>
      <c r="AA1088" s="8" t="inlineStr">
        <is>
          <t>Inventory master 6/2026 lists Monthly E-Newsletter Ad at $720 (3 mo)</t>
        </is>
      </c>
      <c r="AB1088" s="8" t="inlineStr"/>
      <c r="AC1088" s="11" t="inlineStr">
        <is>
          <t>MasterMilitaryOnBaseList 12.2.25 NS.xlsx</t>
        </is>
      </c>
      <c r="AD1088" s="11" t="inlineStr">
        <is>
          <t>2026-Commercial-Sponsorship-Advertising-Opportunities-as-of-June-2026.pdf</t>
        </is>
      </c>
      <c r="AE1088" s="15" t="inlineStr">
        <is>
          <t>Open in Box</t>
        </is>
      </c>
      <c r="AF1088" s="15" t="inlineStr">
        <is>
          <t>Open in Box</t>
        </is>
      </c>
    </row>
    <row r="1089">
      <c r="A1089" s="11" t="inlineStr">
        <is>
          <t>MS-KEESLERA-019</t>
        </is>
      </c>
      <c r="B1089" s="8" t="inlineStr">
        <is>
          <t>Keesler AFB</t>
        </is>
      </c>
      <c r="C1089" s="11" t="inlineStr"/>
      <c r="D1089" s="11" t="inlineStr">
        <is>
          <t>MS</t>
        </is>
      </c>
      <c r="E1089" s="11" t="inlineStr">
        <is>
          <t>Biloxi-Gulfport</t>
        </is>
      </c>
      <c r="F1089" s="11" t="inlineStr">
        <is>
          <t>39534</t>
        </is>
      </c>
      <c r="G1089" s="11" t="inlineStr">
        <is>
          <t>Air Force</t>
        </is>
      </c>
      <c r="H1089" s="11" t="inlineStr">
        <is>
          <t>Web &amp; Email</t>
        </is>
      </c>
      <c r="I1089" s="8" t="inlineStr">
        <is>
          <t>Training Student E-Newsletter Ad</t>
        </is>
      </c>
      <c r="J1089" s="11" t="inlineStr"/>
      <c r="K1089" s="8" t="inlineStr">
        <is>
          <t>Your ad will appear in the training student e-newsletter.</t>
        </is>
      </c>
      <c r="L1089" s="11" t="n">
        <v>1</v>
      </c>
      <c r="M1089" s="12" t="n">
        <v>50</v>
      </c>
      <c r="N1089" s="12" t="n">
        <v>150</v>
      </c>
      <c r="O1089" s="12" t="n">
        <v>300</v>
      </c>
      <c r="P1089" s="12" t="n">
        <v>600</v>
      </c>
      <c r="Q1089" s="12" t="n"/>
      <c r="R1089" s="13">
        <f>IF(ISNUMBER(M1089),ROUND(M1089/(1-Settings!$B$2)/Settings!$B$3,0)*Settings!$B$3,"")</f>
        <v/>
      </c>
      <c r="S1089" s="13">
        <f>IF(ISNUMBER(N1089),ROUND(N1089/(1-Settings!$B$2)/Settings!$B$3,0)*Settings!$B$3,"")</f>
        <v/>
      </c>
      <c r="T1089" s="13">
        <f>IF(ISNUMBER(O1089),ROUND(O1089/(1-Settings!$B$2)/Settings!$B$3,0)*Settings!$B$3,"")</f>
        <v/>
      </c>
      <c r="U1089" s="13">
        <f>IF(ISNUMBER(P1089),ROUND(P1089/(1-Settings!$B$2)/Settings!$B$3,0)*Settings!$B$3,"")</f>
        <v/>
      </c>
      <c r="V1089" s="13">
        <f>IF(ISNUMBER(Q1089),ROUND(Q1089/(1-Settings!$B$2)/Settings!$B$3,0)*Settings!$B$3,"")</f>
        <v/>
      </c>
      <c r="W1089" s="14" t="n">
        <v>5162</v>
      </c>
      <c r="X1089" s="14" t="n">
        <v>4425</v>
      </c>
      <c r="Y1089" s="11" t="inlineStr"/>
      <c r="Z1089" s="11" t="inlineStr"/>
      <c r="AA1089" s="8" t="inlineStr">
        <is>
          <t>Inventory master 6/2026 lists Monthly E-Newsletter Ad at $720 (3 mo)</t>
        </is>
      </c>
      <c r="AB1089" s="8" t="inlineStr"/>
      <c r="AC1089" s="11" t="inlineStr">
        <is>
          <t>MasterMilitaryOnBaseList 12.2.25 NS.xlsx</t>
        </is>
      </c>
      <c r="AD1089" s="11" t="inlineStr">
        <is>
          <t>2026-Commercial-Sponsorship-Advertising-Opportunities-as-of-June-2026.pdf</t>
        </is>
      </c>
      <c r="AE1089" s="15" t="inlineStr">
        <is>
          <t>Open in Box</t>
        </is>
      </c>
      <c r="AF1089" s="15" t="inlineStr">
        <is>
          <t>Open in Box</t>
        </is>
      </c>
    </row>
    <row r="1090">
      <c r="A1090" s="11" t="inlineStr">
        <is>
          <t>MS-KEESLERA-021</t>
        </is>
      </c>
      <c r="B1090" s="8" t="inlineStr">
        <is>
          <t>Keesler AFB</t>
        </is>
      </c>
      <c r="C1090" s="11" t="inlineStr"/>
      <c r="D1090" s="11" t="inlineStr">
        <is>
          <t>MS</t>
        </is>
      </c>
      <c r="E1090" s="11" t="inlineStr">
        <is>
          <t>Biloxi-Gulfport</t>
        </is>
      </c>
      <c r="F1090" s="11" t="inlineStr"/>
      <c r="G1090" s="11" t="inlineStr">
        <is>
          <t>Air Force</t>
        </is>
      </c>
      <c r="H1090" s="11" t="inlineStr">
        <is>
          <t>Web &amp; Email</t>
        </is>
      </c>
      <c r="I1090" s="8" t="inlineStr">
        <is>
          <t>Web Ad</t>
        </is>
      </c>
      <c r="J1090" s="11" t="inlineStr"/>
      <c r="K1090" s="8" t="inlineStr">
        <is>
          <t>Your ad will appear on the installation MWR / FSS website.</t>
        </is>
      </c>
      <c r="L1090" s="11" t="n">
        <v>3</v>
      </c>
      <c r="M1090" s="12" t="n"/>
      <c r="N1090" s="12" t="n">
        <v>750</v>
      </c>
      <c r="O1090" s="12" t="n"/>
      <c r="P1090" s="12" t="n"/>
      <c r="Q1090" s="12" t="n"/>
      <c r="R1090" s="13">
        <f>IF(ISNUMBER(M1090),ROUND(M1090/(1-Settings!$B$2)/Settings!$B$3,0)*Settings!$B$3,"")</f>
        <v/>
      </c>
      <c r="S1090" s="13">
        <f>IF(ISNUMBER(N1090),ROUND(N1090/(1-Settings!$B$2)/Settings!$B$3,0)*Settings!$B$3,"")</f>
        <v/>
      </c>
      <c r="T1090" s="13">
        <f>IF(ISNUMBER(O1090),ROUND(O1090/(1-Settings!$B$2)/Settings!$B$3,0)*Settings!$B$3,"")</f>
        <v/>
      </c>
      <c r="U1090" s="13">
        <f>IF(ISNUMBER(P1090),ROUND(P1090/(1-Settings!$B$2)/Settings!$B$3,0)*Settings!$B$3,"")</f>
        <v/>
      </c>
      <c r="V1090" s="13">
        <f>IF(ISNUMBER(Q1090),ROUND(Q1090/(1-Settings!$B$2)/Settings!$B$3,0)*Settings!$B$3,"")</f>
        <v/>
      </c>
      <c r="W1090" s="14" t="n">
        <v>5162</v>
      </c>
      <c r="X1090" s="14" t="n">
        <v>4425</v>
      </c>
      <c r="Y1090" s="11" t="inlineStr">
        <is>
          <t>2026</t>
        </is>
      </c>
      <c r="Z1090" s="11" t="inlineStr">
        <is>
          <t>2026-06</t>
        </is>
      </c>
      <c r="AA1090" s="8" t="inlineStr">
        <is>
          <t>3-month commitment</t>
        </is>
      </c>
      <c r="AB1090" s="8" t="inlineStr"/>
      <c r="AC1090" s="11" t="inlineStr">
        <is>
          <t>Military - National Publication Inventory Master_June 2026.xlsx</t>
        </is>
      </c>
      <c r="AD1090" s="11" t="inlineStr">
        <is>
          <t>2026-Commercial-Sponsorship-Advertising-Opportunities-as-of-June-2026.pdf</t>
        </is>
      </c>
      <c r="AE1090" s="15" t="inlineStr">
        <is>
          <t>Open in Box</t>
        </is>
      </c>
      <c r="AF1090" s="15" t="inlineStr">
        <is>
          <t>Open in Box</t>
        </is>
      </c>
    </row>
    <row r="1091">
      <c r="A1091" s="11" t="inlineStr">
        <is>
          <t>MS-MERIDIAN-001</t>
        </is>
      </c>
      <c r="B1091" s="8" t="inlineStr">
        <is>
          <t>Meridian NAS</t>
        </is>
      </c>
      <c r="C1091" s="11" t="inlineStr"/>
      <c r="D1091" s="11" t="inlineStr">
        <is>
          <t>MS</t>
        </is>
      </c>
      <c r="E1091" s="11" t="inlineStr">
        <is>
          <t>Meridian</t>
        </is>
      </c>
      <c r="F1091" s="11" t="inlineStr">
        <is>
          <t>39309</t>
        </is>
      </c>
      <c r="G1091" s="11" t="inlineStr">
        <is>
          <t>Navy</t>
        </is>
      </c>
      <c r="H1091" s="11" t="inlineStr">
        <is>
          <t>Digital</t>
        </is>
      </c>
      <c r="I1091" s="8" t="inlineStr">
        <is>
          <t>Bowling Scoring Monitors</t>
        </is>
      </c>
      <c r="J1091" s="11" t="inlineStr">
        <is>
          <t>1920pxW x 1080pxH</t>
        </is>
      </c>
      <c r="K1091" s="8" t="inlineStr">
        <is>
          <t>Your ad will be seen on 8 bowling scoring monitors.</t>
        </is>
      </c>
      <c r="L1091" s="11" t="n">
        <v>1</v>
      </c>
      <c r="M1091" s="12" t="n">
        <v>300</v>
      </c>
      <c r="N1091" s="12" t="n">
        <v>900</v>
      </c>
      <c r="O1091" s="12" t="n">
        <v>1800</v>
      </c>
      <c r="P1091" s="12" t="n">
        <v>3600</v>
      </c>
      <c r="Q1091" s="12" t="n">
        <v>0</v>
      </c>
      <c r="R1091" s="13">
        <f>IF(ISNUMBER(M1091),ROUND(M1091/(1-Settings!$B$2)/Settings!$B$3,0)*Settings!$B$3,"")</f>
        <v/>
      </c>
      <c r="S1091" s="13">
        <f>IF(ISNUMBER(N1091),ROUND(N1091/(1-Settings!$B$2)/Settings!$B$3,0)*Settings!$B$3,"")</f>
        <v/>
      </c>
      <c r="T1091" s="13">
        <f>IF(ISNUMBER(O1091),ROUND(O1091/(1-Settings!$B$2)/Settings!$B$3,0)*Settings!$B$3,"")</f>
        <v/>
      </c>
      <c r="U1091" s="13">
        <f>IF(ISNUMBER(P1091),ROUND(P1091/(1-Settings!$B$2)/Settings!$B$3,0)*Settings!$B$3,"")</f>
        <v/>
      </c>
      <c r="V1091" s="13">
        <f>IF(ISNUMBER(Q1091),ROUND(Q1091/(1-Settings!$B$2)/Settings!$B$3,0)*Settings!$B$3,"")</f>
        <v/>
      </c>
      <c r="W1091" s="14" t="n">
        <v>1126</v>
      </c>
      <c r="X1091" s="14" t="n">
        <v>680</v>
      </c>
      <c r="Y1091" s="11" t="inlineStr"/>
      <c r="Z1091" s="11" t="inlineStr"/>
      <c r="AA1091" s="8" t="inlineStr"/>
      <c r="AB1091" s="8" t="inlineStr"/>
      <c r="AC1091" s="11" t="inlineStr">
        <is>
          <t>MasterMilitaryOnBaseList 12.2.25 NS.xlsx</t>
        </is>
      </c>
      <c r="AD1091" s="11" t="inlineStr">
        <is>
          <t>FY26-27 ADVERTISING ASSETS_NRSE.xlsx</t>
        </is>
      </c>
      <c r="AE1091" s="15" t="inlineStr">
        <is>
          <t>Open in Box</t>
        </is>
      </c>
      <c r="AF1091" s="15" t="inlineStr">
        <is>
          <t>Open in Box</t>
        </is>
      </c>
    </row>
    <row r="1092">
      <c r="A1092" s="11" t="inlineStr">
        <is>
          <t>MS-MERIDIAN-002</t>
        </is>
      </c>
      <c r="B1092" s="8" t="inlineStr">
        <is>
          <t>Meridian NAS</t>
        </is>
      </c>
      <c r="C1092" s="11" t="inlineStr"/>
      <c r="D1092" s="11" t="inlineStr">
        <is>
          <t>MS</t>
        </is>
      </c>
      <c r="E1092" s="11" t="inlineStr">
        <is>
          <t>Meridian</t>
        </is>
      </c>
      <c r="F1092" s="11" t="inlineStr">
        <is>
          <t>39309</t>
        </is>
      </c>
      <c r="G1092" s="11" t="inlineStr">
        <is>
          <t>Navy</t>
        </is>
      </c>
      <c r="H1092" s="11" t="inlineStr">
        <is>
          <t>Digital</t>
        </is>
      </c>
      <c r="I1092" s="8" t="inlineStr">
        <is>
          <t>Digital Monitor Network</t>
        </is>
      </c>
      <c r="J1092" s="11" t="inlineStr">
        <is>
          <t>1920pxW x 1080pxH</t>
        </is>
      </c>
      <c r="K1092" s="8" t="inlineStr">
        <is>
          <t>Your ad will be seen on 13 digital monitors in approved installation facilities.</t>
        </is>
      </c>
      <c r="L1092" s="11" t="n">
        <v>1</v>
      </c>
      <c r="M1092" s="12" t="n">
        <v>390</v>
      </c>
      <c r="N1092" s="12" t="n">
        <v>1170</v>
      </c>
      <c r="O1092" s="12" t="n">
        <v>2340</v>
      </c>
      <c r="P1092" s="12" t="n">
        <v>4680</v>
      </c>
      <c r="Q1092" s="12" t="n">
        <v>0</v>
      </c>
      <c r="R1092" s="13">
        <f>IF(ISNUMBER(M1092),ROUND(M1092/(1-Settings!$B$2)/Settings!$B$3,0)*Settings!$B$3,"")</f>
        <v/>
      </c>
      <c r="S1092" s="13">
        <f>IF(ISNUMBER(N1092),ROUND(N1092/(1-Settings!$B$2)/Settings!$B$3,0)*Settings!$B$3,"")</f>
        <v/>
      </c>
      <c r="T1092" s="13">
        <f>IF(ISNUMBER(O1092),ROUND(O1092/(1-Settings!$B$2)/Settings!$B$3,0)*Settings!$B$3,"")</f>
        <v/>
      </c>
      <c r="U1092" s="13">
        <f>IF(ISNUMBER(P1092),ROUND(P1092/(1-Settings!$B$2)/Settings!$B$3,0)*Settings!$B$3,"")</f>
        <v/>
      </c>
      <c r="V1092" s="13">
        <f>IF(ISNUMBER(Q1092),ROUND(Q1092/(1-Settings!$B$2)/Settings!$B$3,0)*Settings!$B$3,"")</f>
        <v/>
      </c>
      <c r="W1092" s="14" t="n">
        <v>1126</v>
      </c>
      <c r="X1092" s="14" t="n">
        <v>680</v>
      </c>
      <c r="Y1092" s="11" t="inlineStr"/>
      <c r="Z1092" s="11" t="inlineStr"/>
      <c r="AA1092" s="8" t="inlineStr"/>
      <c r="AB1092" s="8" t="inlineStr"/>
      <c r="AC1092" s="11" t="inlineStr">
        <is>
          <t>MasterMilitaryOnBaseList 12.2.25 NS.xlsx</t>
        </is>
      </c>
      <c r="AD1092" s="11" t="inlineStr">
        <is>
          <t>FY26-27 ADVERTISING ASSETS_NRSE.xlsx</t>
        </is>
      </c>
      <c r="AE1092" s="15" t="inlineStr">
        <is>
          <t>Open in Box</t>
        </is>
      </c>
      <c r="AF1092" s="15" t="inlineStr">
        <is>
          <t>Open in Box</t>
        </is>
      </c>
    </row>
    <row r="1093">
      <c r="A1093" s="11" t="inlineStr">
        <is>
          <t>MS-MERIDIAN-005</t>
        </is>
      </c>
      <c r="B1093" s="8" t="inlineStr">
        <is>
          <t>Meridian NAS</t>
        </is>
      </c>
      <c r="C1093" s="11" t="inlineStr"/>
      <c r="D1093" s="11" t="inlineStr">
        <is>
          <t>MS</t>
        </is>
      </c>
      <c r="E1093" s="11" t="inlineStr">
        <is>
          <t>Meridian</t>
        </is>
      </c>
      <c r="F1093" s="11" t="inlineStr">
        <is>
          <t>39309</t>
        </is>
      </c>
      <c r="G1093" s="11" t="inlineStr">
        <is>
          <t>Navy</t>
        </is>
      </c>
      <c r="H1093" s="11" t="inlineStr">
        <is>
          <t>Large Format</t>
        </is>
      </c>
      <c r="I1093" s="8" t="inlineStr">
        <is>
          <t>Counter Wrap</t>
        </is>
      </c>
      <c r="J1093" s="11" t="inlineStr">
        <is>
          <t>Varies</t>
        </is>
      </c>
      <c r="K1093" s="8" t="inlineStr">
        <is>
          <t>Your ad will be seen at an approved installation facility.</t>
        </is>
      </c>
      <c r="L1093" s="11" t="n">
        <v>1</v>
      </c>
      <c r="M1093" s="12" t="n">
        <v>450</v>
      </c>
      <c r="N1093" s="12" t="n">
        <v>1350</v>
      </c>
      <c r="O1093" s="12" t="n">
        <v>2700</v>
      </c>
      <c r="P1093" s="12" t="n">
        <v>5400</v>
      </c>
      <c r="Q1093" s="12" t="n"/>
      <c r="R1093" s="13">
        <f>IF(ISNUMBER(M1093),ROUND(M1093/(1-Settings!$B$2)/Settings!$B$3,0)*Settings!$B$3,"")</f>
        <v/>
      </c>
      <c r="S1093" s="13">
        <f>IF(ISNUMBER(N1093),ROUND(N1093/(1-Settings!$B$2)/Settings!$B$3,0)*Settings!$B$3,"")</f>
        <v/>
      </c>
      <c r="T1093" s="13">
        <f>IF(ISNUMBER(O1093),ROUND(O1093/(1-Settings!$B$2)/Settings!$B$3,0)*Settings!$B$3,"")</f>
        <v/>
      </c>
      <c r="U1093" s="13">
        <f>IF(ISNUMBER(P1093),ROUND(P1093/(1-Settings!$B$2)/Settings!$B$3,0)*Settings!$B$3,"")</f>
        <v/>
      </c>
      <c r="V1093" s="13">
        <f>IF(ISNUMBER(Q1093),ROUND(Q1093/(1-Settings!$B$2)/Settings!$B$3,0)*Settings!$B$3,"")</f>
        <v/>
      </c>
      <c r="W1093" s="14" t="n">
        <v>1126</v>
      </c>
      <c r="X1093" s="14" t="n">
        <v>680</v>
      </c>
      <c r="Y1093" s="11" t="inlineStr"/>
      <c r="Z1093" s="11" t="inlineStr"/>
      <c r="AA1093" s="8" t="inlineStr"/>
      <c r="AB1093" s="8" t="inlineStr"/>
      <c r="AC1093" s="11" t="inlineStr">
        <is>
          <t>MasterMilitaryOnBaseList 12.2.25 NS.xlsx</t>
        </is>
      </c>
      <c r="AD1093" s="11" t="inlineStr">
        <is>
          <t>FY26-27 ADVERTISING ASSETS_NRSE.xlsx</t>
        </is>
      </c>
      <c r="AE1093" s="15" t="inlineStr">
        <is>
          <t>Open in Box</t>
        </is>
      </c>
      <c r="AF1093" s="15" t="inlineStr">
        <is>
          <t>Open in Box</t>
        </is>
      </c>
    </row>
    <row r="1094">
      <c r="A1094" s="11" t="inlineStr">
        <is>
          <t>MS-MERIDIAN-006</t>
        </is>
      </c>
      <c r="B1094" s="8" t="inlineStr">
        <is>
          <t>Meridian NAS</t>
        </is>
      </c>
      <c r="C1094" s="11" t="inlineStr"/>
      <c r="D1094" s="11" t="inlineStr">
        <is>
          <t>MS</t>
        </is>
      </c>
      <c r="E1094" s="11" t="inlineStr">
        <is>
          <t>Meridian</t>
        </is>
      </c>
      <c r="F1094" s="11" t="inlineStr">
        <is>
          <t>39309</t>
        </is>
      </c>
      <c r="G1094" s="11" t="inlineStr">
        <is>
          <t>Navy</t>
        </is>
      </c>
      <c r="H1094" s="11" t="inlineStr">
        <is>
          <t>Large Format</t>
        </is>
      </c>
      <c r="I1094" s="8" t="inlineStr">
        <is>
          <t>Poster Large</t>
        </is>
      </c>
      <c r="J1094" s="11" t="inlineStr">
        <is>
          <t>22"W x 56"H</t>
        </is>
      </c>
      <c r="K1094" s="8" t="inlineStr">
        <is>
          <t>Your ad will appear at an approved installation facility.</t>
        </is>
      </c>
      <c r="L1094" s="11" t="n">
        <v>1</v>
      </c>
      <c r="M1094" s="12" t="n">
        <v>350</v>
      </c>
      <c r="N1094" s="12" t="n">
        <v>1050</v>
      </c>
      <c r="O1094" s="12" t="n">
        <v>2100</v>
      </c>
      <c r="P1094" s="12" t="n">
        <v>4200</v>
      </c>
      <c r="Q1094" s="12" t="n">
        <v>200</v>
      </c>
      <c r="R1094" s="13">
        <f>IF(ISNUMBER(M1094),ROUND(M1094/(1-Settings!$B$2)/Settings!$B$3,0)*Settings!$B$3,"")</f>
        <v/>
      </c>
      <c r="S1094" s="13">
        <f>IF(ISNUMBER(N1094),ROUND(N1094/(1-Settings!$B$2)/Settings!$B$3,0)*Settings!$B$3,"")</f>
        <v/>
      </c>
      <c r="T1094" s="13">
        <f>IF(ISNUMBER(O1094),ROUND(O1094/(1-Settings!$B$2)/Settings!$B$3,0)*Settings!$B$3,"")</f>
        <v/>
      </c>
      <c r="U1094" s="13">
        <f>IF(ISNUMBER(P1094),ROUND(P1094/(1-Settings!$B$2)/Settings!$B$3,0)*Settings!$B$3,"")</f>
        <v/>
      </c>
      <c r="V1094" s="13">
        <f>IF(ISNUMBER(Q1094),ROUND(Q1094/(1-Settings!$B$2)/Settings!$B$3,0)*Settings!$B$3,"")</f>
        <v/>
      </c>
      <c r="W1094" s="14" t="n">
        <v>1126</v>
      </c>
      <c r="X1094" s="14" t="n">
        <v>680</v>
      </c>
      <c r="Y1094" s="11" t="inlineStr"/>
      <c r="Z1094" s="11" t="inlineStr"/>
      <c r="AA1094" s="8" t="inlineStr"/>
      <c r="AB1094" s="8" t="inlineStr"/>
      <c r="AC1094" s="11" t="inlineStr">
        <is>
          <t>MasterMilitaryOnBaseList 12.2.25 NS.xlsx</t>
        </is>
      </c>
      <c r="AD1094" s="11" t="inlineStr">
        <is>
          <t>FY26-27 ADVERTISING ASSETS_NRSE.xlsx</t>
        </is>
      </c>
      <c r="AE1094" s="15" t="inlineStr">
        <is>
          <t>Open in Box</t>
        </is>
      </c>
      <c r="AF1094" s="15" t="inlineStr">
        <is>
          <t>Open in Box</t>
        </is>
      </c>
    </row>
    <row r="1095">
      <c r="A1095" s="11" t="inlineStr">
        <is>
          <t>MS-MERIDIAN-007</t>
        </is>
      </c>
      <c r="B1095" s="8" t="inlineStr">
        <is>
          <t>Meridian NAS</t>
        </is>
      </c>
      <c r="C1095" s="11" t="inlineStr"/>
      <c r="D1095" s="11" t="inlineStr">
        <is>
          <t>MS</t>
        </is>
      </c>
      <c r="E1095" s="11" t="inlineStr">
        <is>
          <t>Meridian</t>
        </is>
      </c>
      <c r="F1095" s="11" t="inlineStr">
        <is>
          <t>39309</t>
        </is>
      </c>
      <c r="G1095" s="11" t="inlineStr">
        <is>
          <t>Navy</t>
        </is>
      </c>
      <c r="H1095" s="11" t="inlineStr">
        <is>
          <t>Large Format</t>
        </is>
      </c>
      <c r="I1095" s="8" t="inlineStr">
        <is>
          <t>Wall / Window Cling</t>
        </is>
      </c>
      <c r="J1095" s="11" t="inlineStr">
        <is>
          <t>Varies</t>
        </is>
      </c>
      <c r="K1095" s="8" t="inlineStr">
        <is>
          <t>Your ad will appear at an approved installation facility.</t>
        </is>
      </c>
      <c r="L1095" s="11" t="n">
        <v>1</v>
      </c>
      <c r="M1095" s="12" t="n">
        <v>250</v>
      </c>
      <c r="N1095" s="12" t="n">
        <v>750</v>
      </c>
      <c r="O1095" s="12" t="n">
        <v>1500</v>
      </c>
      <c r="P1095" s="12" t="n">
        <v>3000</v>
      </c>
      <c r="Q1095" s="12" t="n"/>
      <c r="R1095" s="13">
        <f>IF(ISNUMBER(M1095),ROUND(M1095/(1-Settings!$B$2)/Settings!$B$3,0)*Settings!$B$3,"")</f>
        <v/>
      </c>
      <c r="S1095" s="13">
        <f>IF(ISNUMBER(N1095),ROUND(N1095/(1-Settings!$B$2)/Settings!$B$3,0)*Settings!$B$3,"")</f>
        <v/>
      </c>
      <c r="T1095" s="13">
        <f>IF(ISNUMBER(O1095),ROUND(O1095/(1-Settings!$B$2)/Settings!$B$3,0)*Settings!$B$3,"")</f>
        <v/>
      </c>
      <c r="U1095" s="13">
        <f>IF(ISNUMBER(P1095),ROUND(P1095/(1-Settings!$B$2)/Settings!$B$3,0)*Settings!$B$3,"")</f>
        <v/>
      </c>
      <c r="V1095" s="13">
        <f>IF(ISNUMBER(Q1095),ROUND(Q1095/(1-Settings!$B$2)/Settings!$B$3,0)*Settings!$B$3,"")</f>
        <v/>
      </c>
      <c r="W1095" s="14" t="n">
        <v>1126</v>
      </c>
      <c r="X1095" s="14" t="n">
        <v>680</v>
      </c>
      <c r="Y1095" s="11" t="inlineStr"/>
      <c r="Z1095" s="11" t="inlineStr"/>
      <c r="AA1095" s="8" t="inlineStr"/>
      <c r="AB1095" s="8" t="inlineStr"/>
      <c r="AC1095" s="11" t="inlineStr">
        <is>
          <t>MasterMilitaryOnBaseList 12.2.25 NS.xlsx</t>
        </is>
      </c>
      <c r="AD1095" s="11" t="inlineStr">
        <is>
          <t>FY26-27 ADVERTISING ASSETS_NRSE.xlsx</t>
        </is>
      </c>
      <c r="AE1095" s="15" t="inlineStr">
        <is>
          <t>Open in Box</t>
        </is>
      </c>
      <c r="AF1095" s="15" t="inlineStr">
        <is>
          <t>Open in Box</t>
        </is>
      </c>
    </row>
    <row r="1096">
      <c r="A1096" s="11" t="inlineStr">
        <is>
          <t>MS-MERIDIAN-008</t>
        </is>
      </c>
      <c r="B1096" s="8" t="inlineStr">
        <is>
          <t>Meridian NAS</t>
        </is>
      </c>
      <c r="C1096" s="11" t="inlineStr"/>
      <c r="D1096" s="11" t="inlineStr">
        <is>
          <t>MS</t>
        </is>
      </c>
      <c r="E1096" s="11" t="inlineStr">
        <is>
          <t>Meridian</t>
        </is>
      </c>
      <c r="F1096" s="11" t="inlineStr">
        <is>
          <t>39309</t>
        </is>
      </c>
      <c r="G1096" s="11" t="inlineStr">
        <is>
          <t>Navy</t>
        </is>
      </c>
      <c r="H1096" s="11" t="inlineStr">
        <is>
          <t>Print &amp; Publications</t>
        </is>
      </c>
      <c r="I1096" s="8" t="inlineStr">
        <is>
          <t>Brochures / Flyers</t>
        </is>
      </c>
      <c r="J1096" s="11" t="inlineStr">
        <is>
          <t>8.5"W x 11"H</t>
        </is>
      </c>
      <c r="K1096" s="8" t="inlineStr">
        <is>
          <t>Your ad will be seen at 6 approved installation facilities.</t>
        </is>
      </c>
      <c r="L1096" s="11" t="n">
        <v>1</v>
      </c>
      <c r="M1096" s="12" t="n">
        <v>338</v>
      </c>
      <c r="N1096" s="12" t="n">
        <v>1014</v>
      </c>
      <c r="O1096" s="12" t="n">
        <v>2028</v>
      </c>
      <c r="P1096" s="12" t="n">
        <v>4056</v>
      </c>
      <c r="Q1096" s="12" t="n"/>
      <c r="R1096" s="13">
        <f>IF(ISNUMBER(M1096),ROUND(M1096/(1-Settings!$B$2)/Settings!$B$3,0)*Settings!$B$3,"")</f>
        <v/>
      </c>
      <c r="S1096" s="13">
        <f>IF(ISNUMBER(N1096),ROUND(N1096/(1-Settings!$B$2)/Settings!$B$3,0)*Settings!$B$3,"")</f>
        <v/>
      </c>
      <c r="T1096" s="13">
        <f>IF(ISNUMBER(O1096),ROUND(O1096/(1-Settings!$B$2)/Settings!$B$3,0)*Settings!$B$3,"")</f>
        <v/>
      </c>
      <c r="U1096" s="13">
        <f>IF(ISNUMBER(P1096),ROUND(P1096/(1-Settings!$B$2)/Settings!$B$3,0)*Settings!$B$3,"")</f>
        <v/>
      </c>
      <c r="V1096" s="13">
        <f>IF(ISNUMBER(Q1096),ROUND(Q1096/(1-Settings!$B$2)/Settings!$B$3,0)*Settings!$B$3,"")</f>
        <v/>
      </c>
      <c r="W1096" s="14" t="n">
        <v>1126</v>
      </c>
      <c r="X1096" s="14" t="n">
        <v>680</v>
      </c>
      <c r="Y1096" s="11" t="inlineStr"/>
      <c r="Z1096" s="11" t="inlineStr"/>
      <c r="AA1096" s="8" t="inlineStr"/>
      <c r="AB1096" s="8" t="inlineStr"/>
      <c r="AC1096" s="11" t="inlineStr">
        <is>
          <t>MasterMilitaryOnBaseList 12.2.25 NS.xlsx</t>
        </is>
      </c>
      <c r="AD1096" s="11" t="inlineStr">
        <is>
          <t>FY26-27 ADVERTISING ASSETS_NRSE.xlsx</t>
        </is>
      </c>
      <c r="AE1096" s="15" t="inlineStr">
        <is>
          <t>Open in Box</t>
        </is>
      </c>
      <c r="AF1096" s="15" t="inlineStr">
        <is>
          <t>Open in Box</t>
        </is>
      </c>
    </row>
    <row r="1097">
      <c r="A1097" s="11" t="inlineStr">
        <is>
          <t>MS-MERIDIAN-009</t>
        </is>
      </c>
      <c r="B1097" s="8" t="inlineStr">
        <is>
          <t>Meridian NAS</t>
        </is>
      </c>
      <c r="C1097" s="11" t="inlineStr"/>
      <c r="D1097" s="11" t="inlineStr">
        <is>
          <t>MS</t>
        </is>
      </c>
      <c r="E1097" s="11" t="inlineStr">
        <is>
          <t>Meridian</t>
        </is>
      </c>
      <c r="F1097" s="11" t="inlineStr">
        <is>
          <t>39309</t>
        </is>
      </c>
      <c r="G1097" s="11" t="inlineStr">
        <is>
          <t>Navy</t>
        </is>
      </c>
      <c r="H1097" s="11" t="inlineStr">
        <is>
          <t>Print &amp; Publications</t>
        </is>
      </c>
      <c r="I1097" s="8" t="inlineStr">
        <is>
          <t>Newsletter</t>
        </is>
      </c>
      <c r="J1097" s="11" t="inlineStr">
        <is>
          <t>8.5W x 11"H</t>
        </is>
      </c>
      <c r="K1097" s="8" t="inlineStr">
        <is>
          <t>Your ad will be seen in the monthly newsletter.</t>
        </is>
      </c>
      <c r="L1097" s="11" t="n">
        <v>1</v>
      </c>
      <c r="M1097" s="12" t="n">
        <v>150</v>
      </c>
      <c r="N1097" s="12" t="n">
        <v>450</v>
      </c>
      <c r="O1097" s="12" t="n">
        <v>900</v>
      </c>
      <c r="P1097" s="12" t="n">
        <v>1800</v>
      </c>
      <c r="Q1097" s="12" t="n">
        <v>0</v>
      </c>
      <c r="R1097" s="13">
        <f>IF(ISNUMBER(M1097),ROUND(M1097/(1-Settings!$B$2)/Settings!$B$3,0)*Settings!$B$3,"")</f>
        <v/>
      </c>
      <c r="S1097" s="13">
        <f>IF(ISNUMBER(N1097),ROUND(N1097/(1-Settings!$B$2)/Settings!$B$3,0)*Settings!$B$3,"")</f>
        <v/>
      </c>
      <c r="T1097" s="13">
        <f>IF(ISNUMBER(O1097),ROUND(O1097/(1-Settings!$B$2)/Settings!$B$3,0)*Settings!$B$3,"")</f>
        <v/>
      </c>
      <c r="U1097" s="13">
        <f>IF(ISNUMBER(P1097),ROUND(P1097/(1-Settings!$B$2)/Settings!$B$3,0)*Settings!$B$3,"")</f>
        <v/>
      </c>
      <c r="V1097" s="13">
        <f>IF(ISNUMBER(Q1097),ROUND(Q1097/(1-Settings!$B$2)/Settings!$B$3,0)*Settings!$B$3,"")</f>
        <v/>
      </c>
      <c r="W1097" s="14" t="n">
        <v>1126</v>
      </c>
      <c r="X1097" s="14" t="n">
        <v>680</v>
      </c>
      <c r="Y1097" s="11" t="inlineStr"/>
      <c r="Z1097" s="11" t="inlineStr"/>
      <c r="AA1097" s="8" t="inlineStr">
        <is>
          <t>Inventory master 6/2026 lists Monthly E-Newsletter Ad at $200 (1 mo)</t>
        </is>
      </c>
      <c r="AB1097" s="8" t="inlineStr"/>
      <c r="AC1097" s="11" t="inlineStr">
        <is>
          <t>MasterMilitaryOnBaseList 12.2.25 NS.xlsx</t>
        </is>
      </c>
      <c r="AD1097" s="11" t="inlineStr">
        <is>
          <t>FY26-27 ADVERTISING ASSETS_NRSE.xlsx</t>
        </is>
      </c>
      <c r="AE1097" s="15" t="inlineStr">
        <is>
          <t>Open in Box</t>
        </is>
      </c>
      <c r="AF1097" s="15" t="inlineStr">
        <is>
          <t>Open in Box</t>
        </is>
      </c>
    </row>
    <row r="1098">
      <c r="A1098" s="11" t="inlineStr">
        <is>
          <t>MS-MERIDIAN-010</t>
        </is>
      </c>
      <c r="B1098" s="8" t="inlineStr">
        <is>
          <t>Meridian NAS</t>
        </is>
      </c>
      <c r="C1098" s="11" t="inlineStr"/>
      <c r="D1098" s="11" t="inlineStr">
        <is>
          <t>MS</t>
        </is>
      </c>
      <c r="E1098" s="11" t="inlineStr">
        <is>
          <t>Meridian</t>
        </is>
      </c>
      <c r="F1098" s="11" t="inlineStr">
        <is>
          <t>39309</t>
        </is>
      </c>
      <c r="G1098" s="11" t="inlineStr">
        <is>
          <t>Navy</t>
        </is>
      </c>
      <c r="H1098" s="11" t="inlineStr">
        <is>
          <t>Sponsorship &amp; Other</t>
        </is>
      </c>
      <c r="I1098" s="8" t="inlineStr">
        <is>
          <t>Table Tens</t>
        </is>
      </c>
      <c r="J1098" s="11" t="inlineStr">
        <is>
          <t>TBD</t>
        </is>
      </c>
      <c r="K1098" s="8" t="inlineStr">
        <is>
          <t>Your ad will appear at 24 tables inside Rudders Pub.</t>
        </is>
      </c>
      <c r="L1098" s="11" t="n">
        <v>1</v>
      </c>
      <c r="M1098" s="12" t="n">
        <v>125</v>
      </c>
      <c r="N1098" s="12" t="n">
        <v>375</v>
      </c>
      <c r="O1098" s="12" t="n">
        <v>750</v>
      </c>
      <c r="P1098" s="12" t="n">
        <v>1500</v>
      </c>
      <c r="Q1098" s="12" t="n"/>
      <c r="R1098" s="13">
        <f>IF(ISNUMBER(M1098),ROUND(M1098/(1-Settings!$B$2)/Settings!$B$3,0)*Settings!$B$3,"")</f>
        <v/>
      </c>
      <c r="S1098" s="13">
        <f>IF(ISNUMBER(N1098),ROUND(N1098/(1-Settings!$B$2)/Settings!$B$3,0)*Settings!$B$3,"")</f>
        <v/>
      </c>
      <c r="T1098" s="13">
        <f>IF(ISNUMBER(O1098),ROUND(O1098/(1-Settings!$B$2)/Settings!$B$3,0)*Settings!$B$3,"")</f>
        <v/>
      </c>
      <c r="U1098" s="13">
        <f>IF(ISNUMBER(P1098),ROUND(P1098/(1-Settings!$B$2)/Settings!$B$3,0)*Settings!$B$3,"")</f>
        <v/>
      </c>
      <c r="V1098" s="13">
        <f>IF(ISNUMBER(Q1098),ROUND(Q1098/(1-Settings!$B$2)/Settings!$B$3,0)*Settings!$B$3,"")</f>
        <v/>
      </c>
      <c r="W1098" s="14" t="n">
        <v>1126</v>
      </c>
      <c r="X1098" s="14" t="n">
        <v>680</v>
      </c>
      <c r="Y1098" s="11" t="inlineStr"/>
      <c r="Z1098" s="11" t="inlineStr"/>
      <c r="AA1098" s="8" t="inlineStr"/>
      <c r="AB1098" s="8" t="inlineStr"/>
      <c r="AC1098" s="11" t="inlineStr">
        <is>
          <t>MasterMilitaryOnBaseList 12.2.25 NS.xlsx</t>
        </is>
      </c>
      <c r="AD1098" s="11" t="inlineStr">
        <is>
          <t>FY26-27 ADVERTISING ASSETS_NRSE.xlsx</t>
        </is>
      </c>
      <c r="AE1098" s="15" t="inlineStr">
        <is>
          <t>Open in Box</t>
        </is>
      </c>
      <c r="AF1098" s="15" t="inlineStr">
        <is>
          <t>Open in Box</t>
        </is>
      </c>
    </row>
    <row r="1099">
      <c r="A1099" s="11" t="inlineStr">
        <is>
          <t>MS-MERIDIAN-003</t>
        </is>
      </c>
      <c r="B1099" s="8" t="inlineStr">
        <is>
          <t>Meridian NAS</t>
        </is>
      </c>
      <c r="C1099" s="11" t="inlineStr"/>
      <c r="D1099" s="11" t="inlineStr">
        <is>
          <t>MS</t>
        </is>
      </c>
      <c r="E1099" s="11" t="inlineStr">
        <is>
          <t>Meridian</t>
        </is>
      </c>
      <c r="F1099" s="11" t="inlineStr">
        <is>
          <t>39309</t>
        </is>
      </c>
      <c r="G1099" s="11" t="inlineStr">
        <is>
          <t>Navy</t>
        </is>
      </c>
      <c r="H1099" s="11" t="inlineStr">
        <is>
          <t>Standard Media</t>
        </is>
      </c>
      <c r="I1099" s="8" t="inlineStr">
        <is>
          <t>Banner</t>
        </is>
      </c>
      <c r="J1099" s="11" t="inlineStr">
        <is>
          <t>8'W x 4'H</t>
        </is>
      </c>
      <c r="K1099" s="8" t="inlineStr">
        <is>
          <t>Your ad will be seen at an approved installation facility.</t>
        </is>
      </c>
      <c r="L1099" s="11" t="n">
        <v>1</v>
      </c>
      <c r="M1099" s="12" t="n">
        <v>200</v>
      </c>
      <c r="N1099" s="12" t="n">
        <v>600</v>
      </c>
      <c r="O1099" s="12" t="n">
        <v>1200</v>
      </c>
      <c r="P1099" s="12" t="n">
        <v>2400</v>
      </c>
      <c r="Q1099" s="12" t="n">
        <v>250</v>
      </c>
      <c r="R1099" s="13">
        <f>IF(ISNUMBER(M1099),ROUND(M1099/(1-Settings!$B$2)/Settings!$B$3,0)*Settings!$B$3,"")</f>
        <v/>
      </c>
      <c r="S1099" s="13">
        <f>IF(ISNUMBER(N1099),ROUND(N1099/(1-Settings!$B$2)/Settings!$B$3,0)*Settings!$B$3,"")</f>
        <v/>
      </c>
      <c r="T1099" s="13">
        <f>IF(ISNUMBER(O1099),ROUND(O1099/(1-Settings!$B$2)/Settings!$B$3,0)*Settings!$B$3,"")</f>
        <v/>
      </c>
      <c r="U1099" s="13">
        <f>IF(ISNUMBER(P1099),ROUND(P1099/(1-Settings!$B$2)/Settings!$B$3,0)*Settings!$B$3,"")</f>
        <v/>
      </c>
      <c r="V1099" s="13">
        <f>IF(ISNUMBER(Q1099),ROUND(Q1099/(1-Settings!$B$2)/Settings!$B$3,0)*Settings!$B$3,"")</f>
        <v/>
      </c>
      <c r="W1099" s="14" t="n">
        <v>1126</v>
      </c>
      <c r="X1099" s="14" t="n">
        <v>680</v>
      </c>
      <c r="Y1099" s="11" t="inlineStr"/>
      <c r="Z1099" s="11" t="inlineStr"/>
      <c r="AA1099" s="8" t="inlineStr"/>
      <c r="AB1099" s="8" t="inlineStr"/>
      <c r="AC1099" s="11" t="inlineStr">
        <is>
          <t>MasterMilitaryOnBaseList 12.2.25 NS.xlsx</t>
        </is>
      </c>
      <c r="AD1099" s="11" t="inlineStr">
        <is>
          <t>FY26-27 ADVERTISING ASSETS_NRSE.xlsx</t>
        </is>
      </c>
      <c r="AE1099" s="15" t="inlineStr">
        <is>
          <t>Open in Box</t>
        </is>
      </c>
      <c r="AF1099" s="15" t="inlineStr">
        <is>
          <t>Open in Box</t>
        </is>
      </c>
    </row>
    <row r="1100">
      <c r="A1100" s="11" t="inlineStr">
        <is>
          <t>MS-MERIDIAN-004</t>
        </is>
      </c>
      <c r="B1100" s="8" t="inlineStr">
        <is>
          <t>Meridian NAS</t>
        </is>
      </c>
      <c r="C1100" s="11" t="inlineStr"/>
      <c r="D1100" s="11" t="inlineStr">
        <is>
          <t>MS</t>
        </is>
      </c>
      <c r="E1100" s="11" t="inlineStr">
        <is>
          <t>Meridian</t>
        </is>
      </c>
      <c r="F1100" s="11" t="inlineStr">
        <is>
          <t>39309</t>
        </is>
      </c>
      <c r="G1100" s="11" t="inlineStr">
        <is>
          <t>Navy</t>
        </is>
      </c>
      <c r="H1100" s="11" t="inlineStr">
        <is>
          <t>Standard Media</t>
        </is>
      </c>
      <c r="I1100" s="8" t="inlineStr">
        <is>
          <t>Poster</t>
        </is>
      </c>
      <c r="J1100" s="11" t="inlineStr">
        <is>
          <t>22"W x 28"H</t>
        </is>
      </c>
      <c r="K1100" s="8" t="inlineStr">
        <is>
          <t>Your ad will appear at an approved installation facility.</t>
        </is>
      </c>
      <c r="L1100" s="11" t="n">
        <v>1</v>
      </c>
      <c r="M1100" s="12" t="n">
        <v>150</v>
      </c>
      <c r="N1100" s="12" t="n">
        <v>450</v>
      </c>
      <c r="O1100" s="12" t="n">
        <v>900</v>
      </c>
      <c r="P1100" s="12" t="n">
        <v>1800</v>
      </c>
      <c r="Q1100" s="12" t="n">
        <v>100</v>
      </c>
      <c r="R1100" s="13">
        <f>IF(ISNUMBER(M1100),ROUND(M1100/(1-Settings!$B$2)/Settings!$B$3,0)*Settings!$B$3,"")</f>
        <v/>
      </c>
      <c r="S1100" s="13">
        <f>IF(ISNUMBER(N1100),ROUND(N1100/(1-Settings!$B$2)/Settings!$B$3,0)*Settings!$B$3,"")</f>
        <v/>
      </c>
      <c r="T1100" s="13">
        <f>IF(ISNUMBER(O1100),ROUND(O1100/(1-Settings!$B$2)/Settings!$B$3,0)*Settings!$B$3,"")</f>
        <v/>
      </c>
      <c r="U1100" s="13">
        <f>IF(ISNUMBER(P1100),ROUND(P1100/(1-Settings!$B$2)/Settings!$B$3,0)*Settings!$B$3,"")</f>
        <v/>
      </c>
      <c r="V1100" s="13">
        <f>IF(ISNUMBER(Q1100),ROUND(Q1100/(1-Settings!$B$2)/Settings!$B$3,0)*Settings!$B$3,"")</f>
        <v/>
      </c>
      <c r="W1100" s="14" t="n">
        <v>1126</v>
      </c>
      <c r="X1100" s="14" t="n">
        <v>680</v>
      </c>
      <c r="Y1100" s="11" t="inlineStr"/>
      <c r="Z1100" s="11" t="inlineStr"/>
      <c r="AA1100" s="8" t="inlineStr"/>
      <c r="AB1100" s="8" t="inlineStr"/>
      <c r="AC1100" s="11" t="inlineStr">
        <is>
          <t>MasterMilitaryOnBaseList 12.2.25 NS.xlsx</t>
        </is>
      </c>
      <c r="AD1100" s="11" t="inlineStr">
        <is>
          <t>FY26-27 ADVERTISING ASSETS_NRSE.xlsx</t>
        </is>
      </c>
      <c r="AE1100" s="15" t="inlineStr">
        <is>
          <t>Open in Box</t>
        </is>
      </c>
      <c r="AF1100" s="15" t="inlineStr">
        <is>
          <t>Open in Box</t>
        </is>
      </c>
    </row>
    <row r="1101">
      <c r="A1101" s="11" t="inlineStr">
        <is>
          <t>MS-MERIDIAN-011</t>
        </is>
      </c>
      <c r="B1101" s="8" t="inlineStr">
        <is>
          <t>Meridian NAS</t>
        </is>
      </c>
      <c r="C1101" s="11" t="inlineStr"/>
      <c r="D1101" s="11" t="inlineStr">
        <is>
          <t>MS</t>
        </is>
      </c>
      <c r="E1101" s="11" t="inlineStr">
        <is>
          <t>Meridian</t>
        </is>
      </c>
      <c r="F1101" s="11" t="inlineStr"/>
      <c r="G1101" s="11" t="inlineStr">
        <is>
          <t>Navy</t>
        </is>
      </c>
      <c r="H1101" s="11" t="inlineStr">
        <is>
          <t>Web &amp; Email</t>
        </is>
      </c>
      <c r="I1101" s="8" t="inlineStr">
        <is>
          <t>Web Ad</t>
        </is>
      </c>
      <c r="J1101" s="11" t="inlineStr"/>
      <c r="K1101" s="8" t="inlineStr">
        <is>
          <t>Your ad will appear on the installation MWR / FSS website.</t>
        </is>
      </c>
      <c r="L1101" s="11" t="n">
        <v>1</v>
      </c>
      <c r="M1101" s="12" t="n">
        <v>400</v>
      </c>
      <c r="N1101" s="12" t="n"/>
      <c r="O1101" s="12" t="n"/>
      <c r="P1101" s="12" t="n"/>
      <c r="Q1101" s="12" t="n"/>
      <c r="R1101" s="13">
        <f>IF(ISNUMBER(M1101),ROUND(M1101/(1-Settings!$B$2)/Settings!$B$3,0)*Settings!$B$3,"")</f>
        <v/>
      </c>
      <c r="S1101" s="13">
        <f>IF(ISNUMBER(N1101),ROUND(N1101/(1-Settings!$B$2)/Settings!$B$3,0)*Settings!$B$3,"")</f>
        <v/>
      </c>
      <c r="T1101" s="13">
        <f>IF(ISNUMBER(O1101),ROUND(O1101/(1-Settings!$B$2)/Settings!$B$3,0)*Settings!$B$3,"")</f>
        <v/>
      </c>
      <c r="U1101" s="13">
        <f>IF(ISNUMBER(P1101),ROUND(P1101/(1-Settings!$B$2)/Settings!$B$3,0)*Settings!$B$3,"")</f>
        <v/>
      </c>
      <c r="V1101" s="13">
        <f>IF(ISNUMBER(Q1101),ROUND(Q1101/(1-Settings!$B$2)/Settings!$B$3,0)*Settings!$B$3,"")</f>
        <v/>
      </c>
      <c r="W1101" s="14" t="n">
        <v>1126</v>
      </c>
      <c r="X1101" s="14" t="n">
        <v>680</v>
      </c>
      <c r="Y1101" s="11" t="inlineStr">
        <is>
          <t>2026</t>
        </is>
      </c>
      <c r="Z1101" s="11" t="inlineStr">
        <is>
          <t>2026-06</t>
        </is>
      </c>
      <c r="AA1101" s="8" t="inlineStr"/>
      <c r="AB1101" s="8" t="inlineStr"/>
      <c r="AC1101" s="11" t="inlineStr">
        <is>
          <t>Military - National Publication Inventory Master_June 2026.xlsx</t>
        </is>
      </c>
      <c r="AD1101" s="11" t="inlineStr">
        <is>
          <t>FY26-27 ADVERTISING ASSETS_NRSE.xlsx</t>
        </is>
      </c>
      <c r="AE1101" s="15" t="inlineStr">
        <is>
          <t>Open in Box</t>
        </is>
      </c>
      <c r="AF1101" s="15" t="inlineStr">
        <is>
          <t>Open in Box</t>
        </is>
      </c>
    </row>
    <row r="1102">
      <c r="A1102" s="11" t="inlineStr">
        <is>
          <t>MT-MALMSTRO-001</t>
        </is>
      </c>
      <c r="B1102" s="8" t="inlineStr">
        <is>
          <t>Malmstrom AFB</t>
        </is>
      </c>
      <c r="C1102" s="11" t="inlineStr"/>
      <c r="D1102" s="11" t="inlineStr">
        <is>
          <t>MT</t>
        </is>
      </c>
      <c r="E1102" s="11" t="inlineStr">
        <is>
          <t>Great Falls</t>
        </is>
      </c>
      <c r="F1102" s="11" t="inlineStr">
        <is>
          <t>59402</t>
        </is>
      </c>
      <c r="G1102" s="11" t="inlineStr">
        <is>
          <t>Air Force</t>
        </is>
      </c>
      <c r="H1102" s="11" t="inlineStr">
        <is>
          <t>Digital</t>
        </is>
      </c>
      <c r="I1102" s="8" t="inlineStr">
        <is>
          <t>Rotating Digital Screens</t>
        </is>
      </c>
      <c r="J1102" s="11" t="inlineStr">
        <is>
          <t>1920 px x 1080px</t>
        </is>
      </c>
      <c r="K1102" s="8" t="inlineStr">
        <is>
          <t>Your ad will appear in 11 approved installation facilities.</t>
        </is>
      </c>
      <c r="L1102" s="11" t="n">
        <v>1</v>
      </c>
      <c r="M1102" s="12" t="n">
        <v>200</v>
      </c>
      <c r="N1102" s="12" t="n">
        <v>600</v>
      </c>
      <c r="O1102" s="12" t="n">
        <v>900</v>
      </c>
      <c r="P1102" s="12" t="n">
        <v>1200</v>
      </c>
      <c r="Q1102" s="12" t="n"/>
      <c r="R1102" s="13">
        <f>IF(ISNUMBER(M1102),ROUND(M1102/(1-Settings!$B$2)/Settings!$B$3,0)*Settings!$B$3,"")</f>
        <v/>
      </c>
      <c r="S1102" s="13">
        <f>IF(ISNUMBER(N1102),ROUND(N1102/(1-Settings!$B$2)/Settings!$B$3,0)*Settings!$B$3,"")</f>
        <v/>
      </c>
      <c r="T1102" s="13">
        <f>IF(ISNUMBER(O1102),ROUND(O1102/(1-Settings!$B$2)/Settings!$B$3,0)*Settings!$B$3,"")</f>
        <v/>
      </c>
      <c r="U1102" s="13">
        <f>IF(ISNUMBER(P1102),ROUND(P1102/(1-Settings!$B$2)/Settings!$B$3,0)*Settings!$B$3,"")</f>
        <v/>
      </c>
      <c r="V1102" s="13">
        <f>IF(ISNUMBER(Q1102),ROUND(Q1102/(1-Settings!$B$2)/Settings!$B$3,0)*Settings!$B$3,"")</f>
        <v/>
      </c>
      <c r="W1102" s="14" t="n"/>
      <c r="X1102" s="14" t="n"/>
      <c r="Y1102" s="11" t="inlineStr"/>
      <c r="Z1102" s="11" t="inlineStr"/>
      <c r="AA1102" s="8" t="inlineStr"/>
      <c r="AB1102" s="8" t="inlineStr"/>
      <c r="AC1102" s="11" t="inlineStr">
        <is>
          <t>MasterMilitaryOnBaseList 12.2.25 NS.xlsx</t>
        </is>
      </c>
      <c r="AD1102" s="11" t="inlineStr">
        <is>
          <t>Advertising Opps MAFB 2024.pdf</t>
        </is>
      </c>
      <c r="AE1102" s="15" t="inlineStr">
        <is>
          <t>Open in Box</t>
        </is>
      </c>
      <c r="AF1102" s="15" t="inlineStr">
        <is>
          <t>Open in Box</t>
        </is>
      </c>
    </row>
    <row r="1103">
      <c r="A1103" s="11" t="inlineStr">
        <is>
          <t>MT-MALMSTRO-005</t>
        </is>
      </c>
      <c r="B1103" s="8" t="inlineStr">
        <is>
          <t>Malmstrom AFB</t>
        </is>
      </c>
      <c r="C1103" s="11" t="inlineStr"/>
      <c r="D1103" s="11" t="inlineStr">
        <is>
          <t>MT</t>
        </is>
      </c>
      <c r="E1103" s="11" t="inlineStr">
        <is>
          <t>Great Falls</t>
        </is>
      </c>
      <c r="F1103" s="11" t="inlineStr">
        <is>
          <t>59402</t>
        </is>
      </c>
      <c r="G1103" s="11" t="inlineStr">
        <is>
          <t>Air Force</t>
        </is>
      </c>
      <c r="H1103" s="11" t="inlineStr">
        <is>
          <t>Large Format</t>
        </is>
      </c>
      <c r="I1103" s="8" t="inlineStr">
        <is>
          <t>Counter Wrap - Fitness Center</t>
        </is>
      </c>
      <c r="J1103" s="11" t="inlineStr"/>
      <c r="K1103" s="8" t="inlineStr">
        <is>
          <t>Your ad will appear on an approved counter in the fitness center.</t>
        </is>
      </c>
      <c r="L1103" s="11" t="n">
        <v>12</v>
      </c>
      <c r="M1103" s="12" t="n"/>
      <c r="N1103" s="12" t="n"/>
      <c r="O1103" s="12" t="n"/>
      <c r="P1103" s="12" t="n">
        <v>1200</v>
      </c>
      <c r="Q1103" s="12" t="n"/>
      <c r="R1103" s="13">
        <f>IF(ISNUMBER(M1103),ROUND(M1103/(1-Settings!$B$2)/Settings!$B$3,0)*Settings!$B$3,"")</f>
        <v/>
      </c>
      <c r="S1103" s="13">
        <f>IF(ISNUMBER(N1103),ROUND(N1103/(1-Settings!$B$2)/Settings!$B$3,0)*Settings!$B$3,"")</f>
        <v/>
      </c>
      <c r="T1103" s="13">
        <f>IF(ISNUMBER(O1103),ROUND(O1103/(1-Settings!$B$2)/Settings!$B$3,0)*Settings!$B$3,"")</f>
        <v/>
      </c>
      <c r="U1103" s="13">
        <f>IF(ISNUMBER(P1103),ROUND(P1103/(1-Settings!$B$2)/Settings!$B$3,0)*Settings!$B$3,"")</f>
        <v/>
      </c>
      <c r="V1103" s="13">
        <f>IF(ISNUMBER(Q1103),ROUND(Q1103/(1-Settings!$B$2)/Settings!$B$3,0)*Settings!$B$3,"")</f>
        <v/>
      </c>
      <c r="W1103" s="14" t="n"/>
      <c r="X1103" s="14" t="n"/>
      <c r="Y1103" s="11" t="inlineStr"/>
      <c r="Z1103" s="11" t="inlineStr"/>
      <c r="AA1103" s="8" t="inlineStr"/>
      <c r="AB1103" s="8" t="inlineStr"/>
      <c r="AC1103" s="11" t="inlineStr">
        <is>
          <t>MasterMilitaryOnBaseList 12.2.25 NS.xlsx</t>
        </is>
      </c>
      <c r="AD1103" s="11" t="inlineStr">
        <is>
          <t>Advertising Opps MAFB 2024.pdf</t>
        </is>
      </c>
      <c r="AE1103" s="15" t="inlineStr">
        <is>
          <t>Open in Box</t>
        </is>
      </c>
      <c r="AF1103" s="15" t="inlineStr">
        <is>
          <t>Open in Box</t>
        </is>
      </c>
    </row>
    <row r="1104">
      <c r="A1104" s="11" t="inlineStr">
        <is>
          <t>MT-MALMSTRO-006</t>
        </is>
      </c>
      <c r="B1104" s="8" t="inlineStr">
        <is>
          <t>Malmstrom AFB</t>
        </is>
      </c>
      <c r="C1104" s="11" t="inlineStr"/>
      <c r="D1104" s="11" t="inlineStr">
        <is>
          <t>MT</t>
        </is>
      </c>
      <c r="E1104" s="11" t="inlineStr">
        <is>
          <t>Great Falls</t>
        </is>
      </c>
      <c r="F1104" s="11" t="inlineStr">
        <is>
          <t>59402</t>
        </is>
      </c>
      <c r="G1104" s="11" t="inlineStr">
        <is>
          <t>Air Force</t>
        </is>
      </c>
      <c r="H1104" s="11" t="inlineStr">
        <is>
          <t>Large Format</t>
        </is>
      </c>
      <c r="I1104" s="8" t="inlineStr">
        <is>
          <t>Counter top promotion</t>
        </is>
      </c>
      <c r="J1104" s="11" t="inlineStr"/>
      <c r="K1104" s="8" t="inlineStr">
        <is>
          <t>Your ad will appear as a business card, brochure, or other small takeaway item on the main front desk of an approved facility.</t>
        </is>
      </c>
      <c r="L1104" s="11" t="n">
        <v>1</v>
      </c>
      <c r="M1104" s="12" t="n">
        <v>50</v>
      </c>
      <c r="N1104" s="12" t="n"/>
      <c r="O1104" s="12" t="n">
        <v>260</v>
      </c>
      <c r="P1104" s="12" t="n">
        <v>480</v>
      </c>
      <c r="Q1104" s="12" t="n"/>
      <c r="R1104" s="13">
        <f>IF(ISNUMBER(M1104),ROUND(M1104/(1-Settings!$B$2)/Settings!$B$3,0)*Settings!$B$3,"")</f>
        <v/>
      </c>
      <c r="S1104" s="13">
        <f>IF(ISNUMBER(N1104),ROUND(N1104/(1-Settings!$B$2)/Settings!$B$3,0)*Settings!$B$3,"")</f>
        <v/>
      </c>
      <c r="T1104" s="13">
        <f>IF(ISNUMBER(O1104),ROUND(O1104/(1-Settings!$B$2)/Settings!$B$3,0)*Settings!$B$3,"")</f>
        <v/>
      </c>
      <c r="U1104" s="13">
        <f>IF(ISNUMBER(P1104),ROUND(P1104/(1-Settings!$B$2)/Settings!$B$3,0)*Settings!$B$3,"")</f>
        <v/>
      </c>
      <c r="V1104" s="13">
        <f>IF(ISNUMBER(Q1104),ROUND(Q1104/(1-Settings!$B$2)/Settings!$B$3,0)*Settings!$B$3,"")</f>
        <v/>
      </c>
      <c r="W1104" s="14" t="n"/>
      <c r="X1104" s="14" t="n"/>
      <c r="Y1104" s="11" t="inlineStr"/>
      <c r="Z1104" s="11" t="inlineStr"/>
      <c r="AA1104" s="8" t="inlineStr"/>
      <c r="AB1104" s="8" t="inlineStr"/>
      <c r="AC1104" s="11" t="inlineStr">
        <is>
          <t>MasterMilitaryOnBaseList 12.2.25 NS.xlsx</t>
        </is>
      </c>
      <c r="AD1104" s="11" t="inlineStr">
        <is>
          <t>Advertising Opps MAFB 2024.pdf</t>
        </is>
      </c>
      <c r="AE1104" s="15" t="inlineStr">
        <is>
          <t>Open in Box</t>
        </is>
      </c>
      <c r="AF1104" s="15" t="inlineStr">
        <is>
          <t>Open in Box</t>
        </is>
      </c>
    </row>
    <row r="1105">
      <c r="A1105" s="11" t="inlineStr">
        <is>
          <t>MT-MALMSTRO-007</t>
        </is>
      </c>
      <c r="B1105" s="8" t="inlineStr">
        <is>
          <t>Malmstrom AFB</t>
        </is>
      </c>
      <c r="C1105" s="11" t="inlineStr"/>
      <c r="D1105" s="11" t="inlineStr">
        <is>
          <t>MT</t>
        </is>
      </c>
      <c r="E1105" s="11" t="inlineStr">
        <is>
          <t>Great Falls</t>
        </is>
      </c>
      <c r="F1105" s="11" t="inlineStr">
        <is>
          <t>59402</t>
        </is>
      </c>
      <c r="G1105" s="11" t="inlineStr">
        <is>
          <t>Air Force</t>
        </is>
      </c>
      <c r="H1105" s="11" t="inlineStr">
        <is>
          <t>Print &amp; Publications</t>
        </is>
      </c>
      <c r="I1105" s="8" t="inlineStr">
        <is>
          <t>"Bathroom Breeze" Calendar</t>
        </is>
      </c>
      <c r="J1105" s="11" t="inlineStr">
        <is>
          <t>3.875' x 2.5'</t>
        </is>
      </c>
      <c r="K1105" s="8" t="inlineStr">
        <is>
          <t>Your ad will appear in the monthly calendar posted in over 200 bathrooms on the installation.</t>
        </is>
      </c>
      <c r="L1105" s="11" t="n">
        <v>1</v>
      </c>
      <c r="M1105" s="12" t="n">
        <v>150</v>
      </c>
      <c r="N1105" s="12" t="n">
        <v>450</v>
      </c>
      <c r="O1105" s="12" t="n">
        <v>900</v>
      </c>
      <c r="P1105" s="12" t="n">
        <v>1800</v>
      </c>
      <c r="Q1105" s="12" t="n"/>
      <c r="R1105" s="13">
        <f>IF(ISNUMBER(M1105),ROUND(M1105/(1-Settings!$B$2)/Settings!$B$3,0)*Settings!$B$3,"")</f>
        <v/>
      </c>
      <c r="S1105" s="13">
        <f>IF(ISNUMBER(N1105),ROUND(N1105/(1-Settings!$B$2)/Settings!$B$3,0)*Settings!$B$3,"")</f>
        <v/>
      </c>
      <c r="T1105" s="13">
        <f>IF(ISNUMBER(O1105),ROUND(O1105/(1-Settings!$B$2)/Settings!$B$3,0)*Settings!$B$3,"")</f>
        <v/>
      </c>
      <c r="U1105" s="13">
        <f>IF(ISNUMBER(P1105),ROUND(P1105/(1-Settings!$B$2)/Settings!$B$3,0)*Settings!$B$3,"")</f>
        <v/>
      </c>
      <c r="V1105" s="13">
        <f>IF(ISNUMBER(Q1105),ROUND(Q1105/(1-Settings!$B$2)/Settings!$B$3,0)*Settings!$B$3,"")</f>
        <v/>
      </c>
      <c r="W1105" s="14" t="n"/>
      <c r="X1105" s="14" t="n"/>
      <c r="Y1105" s="11" t="inlineStr"/>
      <c r="Z1105" s="11" t="inlineStr"/>
      <c r="AA1105" s="8" t="inlineStr"/>
      <c r="AB1105" s="8" t="inlineStr"/>
      <c r="AC1105" s="11" t="inlineStr">
        <is>
          <t>MasterMilitaryOnBaseList 12.2.25 NS.xlsx</t>
        </is>
      </c>
      <c r="AD1105" s="11" t="inlineStr">
        <is>
          <t>Advertising Opps MAFB 2024.pdf</t>
        </is>
      </c>
      <c r="AE1105" s="15" t="inlineStr">
        <is>
          <t>Open in Box</t>
        </is>
      </c>
      <c r="AF1105" s="15" t="inlineStr">
        <is>
          <t>Open in Box</t>
        </is>
      </c>
    </row>
    <row r="1106">
      <c r="A1106" s="11" t="inlineStr">
        <is>
          <t>MT-MALMSTRO-008</t>
        </is>
      </c>
      <c r="B1106" s="8" t="inlineStr">
        <is>
          <t>Malmstrom AFB</t>
        </is>
      </c>
      <c r="C1106" s="11" t="inlineStr"/>
      <c r="D1106" s="11" t="inlineStr">
        <is>
          <t>MT</t>
        </is>
      </c>
      <c r="E1106" s="11" t="inlineStr">
        <is>
          <t>Great Falls</t>
        </is>
      </c>
      <c r="F1106" s="11" t="inlineStr">
        <is>
          <t>59402</t>
        </is>
      </c>
      <c r="G1106" s="11" t="inlineStr">
        <is>
          <t>Air Force</t>
        </is>
      </c>
      <c r="H1106" s="11" t="inlineStr">
        <is>
          <t>Print &amp; Publications</t>
        </is>
      </c>
      <c r="I1106" s="8" t="inlineStr">
        <is>
          <t>Posters/Flyers</t>
        </is>
      </c>
      <c r="J1106" s="11" t="inlineStr">
        <is>
          <t>8.5" x 11" or 11" x 17"</t>
        </is>
      </c>
      <c r="K1106" s="8" t="inlineStr">
        <is>
          <t>Your ad will appear in the Grizzly Bend, Fitness Center, or Outdoor Recreation. (Price is per facility)</t>
        </is>
      </c>
      <c r="L1106" s="11" t="n">
        <v>1</v>
      </c>
      <c r="M1106" s="12" t="n">
        <v>20</v>
      </c>
      <c r="N1106" s="12" t="n">
        <v>50</v>
      </c>
      <c r="O1106" s="12" t="n">
        <v>100</v>
      </c>
      <c r="P1106" s="12" t="n">
        <v>150</v>
      </c>
      <c r="Q1106" s="12" t="n">
        <v>100</v>
      </c>
      <c r="R1106" s="13">
        <f>IF(ISNUMBER(M1106),ROUND(M1106/(1-Settings!$B$2)/Settings!$B$3,0)*Settings!$B$3,"")</f>
        <v/>
      </c>
      <c r="S1106" s="13">
        <f>IF(ISNUMBER(N1106),ROUND(N1106/(1-Settings!$B$2)/Settings!$B$3,0)*Settings!$B$3,"")</f>
        <v/>
      </c>
      <c r="T1106" s="13">
        <f>IF(ISNUMBER(O1106),ROUND(O1106/(1-Settings!$B$2)/Settings!$B$3,0)*Settings!$B$3,"")</f>
        <v/>
      </c>
      <c r="U1106" s="13">
        <f>IF(ISNUMBER(P1106),ROUND(P1106/(1-Settings!$B$2)/Settings!$B$3,0)*Settings!$B$3,"")</f>
        <v/>
      </c>
      <c r="V1106" s="13">
        <f>IF(ISNUMBER(Q1106),ROUND(Q1106/(1-Settings!$B$2)/Settings!$B$3,0)*Settings!$B$3,"")</f>
        <v/>
      </c>
      <c r="W1106" s="14" t="n"/>
      <c r="X1106" s="14" t="n"/>
      <c r="Y1106" s="11" t="inlineStr"/>
      <c r="Z1106" s="11" t="inlineStr"/>
      <c r="AA1106" s="8" t="inlineStr"/>
      <c r="AB1106" s="8" t="inlineStr"/>
      <c r="AC1106" s="11" t="inlineStr">
        <is>
          <t>MasterMilitaryOnBaseList 12.2.25 NS.xlsx</t>
        </is>
      </c>
      <c r="AD1106" s="11" t="inlineStr">
        <is>
          <t>Advertising Opps MAFB 2024.pdf</t>
        </is>
      </c>
      <c r="AE1106" s="15" t="inlineStr">
        <is>
          <t>Open in Box</t>
        </is>
      </c>
      <c r="AF1106" s="15" t="inlineStr">
        <is>
          <t>Open in Box</t>
        </is>
      </c>
    </row>
    <row r="1107">
      <c r="A1107" s="11" t="inlineStr">
        <is>
          <t>MT-MALMSTRO-002</t>
        </is>
      </c>
      <c r="B1107" s="8" t="inlineStr">
        <is>
          <t>Malmstrom AFB</t>
        </is>
      </c>
      <c r="C1107" s="11" t="inlineStr"/>
      <c r="D1107" s="11" t="inlineStr">
        <is>
          <t>MT</t>
        </is>
      </c>
      <c r="E1107" s="11" t="inlineStr">
        <is>
          <t>Great Falls</t>
        </is>
      </c>
      <c r="F1107" s="11" t="inlineStr">
        <is>
          <t>59402</t>
        </is>
      </c>
      <c r="G1107" s="11" t="inlineStr">
        <is>
          <t>Air Force</t>
        </is>
      </c>
      <c r="H1107" s="11" t="inlineStr">
        <is>
          <t>Standard Media</t>
        </is>
      </c>
      <c r="I1107" s="8" t="inlineStr">
        <is>
          <t>Banner - Fitness Center</t>
        </is>
      </c>
      <c r="J1107" s="11" t="inlineStr">
        <is>
          <t>3' x 5'</t>
        </is>
      </c>
      <c r="K1107" s="8" t="inlineStr">
        <is>
          <t>Your ad will appear in the fitness center on the installation.</t>
        </is>
      </c>
      <c r="L1107" s="11" t="n">
        <v>1</v>
      </c>
      <c r="M1107" s="12" t="n">
        <v>75</v>
      </c>
      <c r="N1107" s="12" t="n">
        <v>225</v>
      </c>
      <c r="O1107" s="12" t="n">
        <v>400</v>
      </c>
      <c r="P1107" s="12" t="n">
        <v>650</v>
      </c>
      <c r="Q1107" s="12" t="n"/>
      <c r="R1107" s="13">
        <f>IF(ISNUMBER(M1107),ROUND(M1107/(1-Settings!$B$2)/Settings!$B$3,0)*Settings!$B$3,"")</f>
        <v/>
      </c>
      <c r="S1107" s="13">
        <f>IF(ISNUMBER(N1107),ROUND(N1107/(1-Settings!$B$2)/Settings!$B$3,0)*Settings!$B$3,"")</f>
        <v/>
      </c>
      <c r="T1107" s="13">
        <f>IF(ISNUMBER(O1107),ROUND(O1107/(1-Settings!$B$2)/Settings!$B$3,0)*Settings!$B$3,"")</f>
        <v/>
      </c>
      <c r="U1107" s="13">
        <f>IF(ISNUMBER(P1107),ROUND(P1107/(1-Settings!$B$2)/Settings!$B$3,0)*Settings!$B$3,"")</f>
        <v/>
      </c>
      <c r="V1107" s="13">
        <f>IF(ISNUMBER(Q1107),ROUND(Q1107/(1-Settings!$B$2)/Settings!$B$3,0)*Settings!$B$3,"")</f>
        <v/>
      </c>
      <c r="W1107" s="14" t="n"/>
      <c r="X1107" s="14" t="n"/>
      <c r="Y1107" s="11" t="inlineStr"/>
      <c r="Z1107" s="11" t="inlineStr"/>
      <c r="AA1107" s="8" t="inlineStr"/>
      <c r="AB1107" s="8" t="inlineStr"/>
      <c r="AC1107" s="11" t="inlineStr">
        <is>
          <t>MasterMilitaryOnBaseList 12.2.25 NS.xlsx</t>
        </is>
      </c>
      <c r="AD1107" s="11" t="inlineStr">
        <is>
          <t>Advertising Opps MAFB 2024.pdf</t>
        </is>
      </c>
      <c r="AE1107" s="15" t="inlineStr">
        <is>
          <t>Open in Box</t>
        </is>
      </c>
      <c r="AF1107" s="15" t="inlineStr">
        <is>
          <t>Open in Box</t>
        </is>
      </c>
    </row>
    <row r="1108">
      <c r="A1108" s="11" t="inlineStr">
        <is>
          <t>MT-MALMSTRO-003</t>
        </is>
      </c>
      <c r="B1108" s="8" t="inlineStr">
        <is>
          <t>Malmstrom AFB</t>
        </is>
      </c>
      <c r="C1108" s="11" t="inlineStr"/>
      <c r="D1108" s="11" t="inlineStr">
        <is>
          <t>MT</t>
        </is>
      </c>
      <c r="E1108" s="11" t="inlineStr">
        <is>
          <t>Great Falls</t>
        </is>
      </c>
      <c r="F1108" s="11" t="inlineStr">
        <is>
          <t>59402</t>
        </is>
      </c>
      <c r="G1108" s="11" t="inlineStr">
        <is>
          <t>Air Force</t>
        </is>
      </c>
      <c r="H1108" s="11" t="inlineStr">
        <is>
          <t>Standard Media</t>
        </is>
      </c>
      <c r="I1108" s="8" t="inlineStr">
        <is>
          <t>Banner - ODR Campground</t>
        </is>
      </c>
      <c r="J1108" s="11" t="inlineStr">
        <is>
          <t>3' x 5'</t>
        </is>
      </c>
      <c r="K1108" s="8" t="inlineStr">
        <is>
          <t>Your ad will appear on the ODR campground on the installation. ($250 for 7 months)</t>
        </is>
      </c>
      <c r="L1108" s="11" t="n">
        <v>1</v>
      </c>
      <c r="M1108" s="12" t="n">
        <v>50</v>
      </c>
      <c r="N1108" s="12" t="n">
        <v>150</v>
      </c>
      <c r="O1108" s="12" t="n">
        <v>250</v>
      </c>
      <c r="P1108" s="12" t="n"/>
      <c r="Q1108" s="12" t="n"/>
      <c r="R1108" s="13">
        <f>IF(ISNUMBER(M1108),ROUND(M1108/(1-Settings!$B$2)/Settings!$B$3,0)*Settings!$B$3,"")</f>
        <v/>
      </c>
      <c r="S1108" s="13">
        <f>IF(ISNUMBER(N1108),ROUND(N1108/(1-Settings!$B$2)/Settings!$B$3,0)*Settings!$B$3,"")</f>
        <v/>
      </c>
      <c r="T1108" s="13">
        <f>IF(ISNUMBER(O1108),ROUND(O1108/(1-Settings!$B$2)/Settings!$B$3,0)*Settings!$B$3,"")</f>
        <v/>
      </c>
      <c r="U1108" s="13">
        <f>IF(ISNUMBER(P1108),ROUND(P1108/(1-Settings!$B$2)/Settings!$B$3,0)*Settings!$B$3,"")</f>
        <v/>
      </c>
      <c r="V1108" s="13">
        <f>IF(ISNUMBER(Q1108),ROUND(Q1108/(1-Settings!$B$2)/Settings!$B$3,0)*Settings!$B$3,"")</f>
        <v/>
      </c>
      <c r="W1108" s="14" t="n"/>
      <c r="X1108" s="14" t="n"/>
      <c r="Y1108" s="11" t="inlineStr"/>
      <c r="Z1108" s="11" t="inlineStr"/>
      <c r="AA1108" s="8" t="inlineStr"/>
      <c r="AB1108" s="8" t="inlineStr"/>
      <c r="AC1108" s="11" t="inlineStr">
        <is>
          <t>MasterMilitaryOnBaseList 12.2.25 NS.xlsx</t>
        </is>
      </c>
      <c r="AD1108" s="11" t="inlineStr">
        <is>
          <t>Advertising Opps MAFB 2024.pdf</t>
        </is>
      </c>
      <c r="AE1108" s="15" t="inlineStr">
        <is>
          <t>Open in Box</t>
        </is>
      </c>
      <c r="AF1108" s="15" t="inlineStr">
        <is>
          <t>Open in Box</t>
        </is>
      </c>
    </row>
    <row r="1109">
      <c r="A1109" s="11" t="inlineStr">
        <is>
          <t>MT-MALMSTRO-004</t>
        </is>
      </c>
      <c r="B1109" s="8" t="inlineStr">
        <is>
          <t>Malmstrom AFB</t>
        </is>
      </c>
      <c r="C1109" s="11" t="inlineStr"/>
      <c r="D1109" s="11" t="inlineStr">
        <is>
          <t>MT</t>
        </is>
      </c>
      <c r="E1109" s="11" t="inlineStr">
        <is>
          <t>Great Falls</t>
        </is>
      </c>
      <c r="F1109" s="11" t="inlineStr">
        <is>
          <t>59402</t>
        </is>
      </c>
      <c r="G1109" s="11" t="inlineStr">
        <is>
          <t>Air Force</t>
        </is>
      </c>
      <c r="H1109" s="11" t="inlineStr">
        <is>
          <t>Standard Media</t>
        </is>
      </c>
      <c r="I1109" s="8" t="inlineStr">
        <is>
          <t>Coffee Cup Sleeves</t>
        </is>
      </c>
      <c r="J1109" s="11" t="inlineStr"/>
      <c r="K1109" s="8" t="inlineStr">
        <is>
          <t>Your ad will appear on coffee cup sleeves used in the Malmstrom Inns. ($40/year)</t>
        </is>
      </c>
      <c r="L1109" s="11" t="n"/>
      <c r="M1109" s="12" t="n"/>
      <c r="N1109" s="12" t="n"/>
      <c r="O1109" s="12" t="n"/>
      <c r="P1109" s="12" t="n"/>
      <c r="Q1109" s="12" t="n"/>
      <c r="R1109" s="13">
        <f>IF(ISNUMBER(M1109),ROUND(M1109/(1-Settings!$B$2)/Settings!$B$3,0)*Settings!$B$3,"")</f>
        <v/>
      </c>
      <c r="S1109" s="13">
        <f>IF(ISNUMBER(N1109),ROUND(N1109/(1-Settings!$B$2)/Settings!$B$3,0)*Settings!$B$3,"")</f>
        <v/>
      </c>
      <c r="T1109" s="13">
        <f>IF(ISNUMBER(O1109),ROUND(O1109/(1-Settings!$B$2)/Settings!$B$3,0)*Settings!$B$3,"")</f>
        <v/>
      </c>
      <c r="U1109" s="13">
        <f>IF(ISNUMBER(P1109),ROUND(P1109/(1-Settings!$B$2)/Settings!$B$3,0)*Settings!$B$3,"")</f>
        <v/>
      </c>
      <c r="V1109" s="13">
        <f>IF(ISNUMBER(Q1109),ROUND(Q1109/(1-Settings!$B$2)/Settings!$B$3,0)*Settings!$B$3,"")</f>
        <v/>
      </c>
      <c r="W1109" s="14" t="n"/>
      <c r="X1109" s="14" t="n"/>
      <c r="Y1109" s="11" t="inlineStr"/>
      <c r="Z1109" s="11" t="inlineStr"/>
      <c r="AA1109" s="8" t="inlineStr"/>
      <c r="AB1109" s="16" t="inlineStr">
        <is>
          <t>No price on file - inquire</t>
        </is>
      </c>
      <c r="AC1109" s="11" t="inlineStr">
        <is>
          <t>MasterMilitaryOnBaseList 12.2.25 NS.xlsx</t>
        </is>
      </c>
      <c r="AD1109" s="11" t="inlineStr">
        <is>
          <t>Advertising Opps MAFB 2024.pdf</t>
        </is>
      </c>
      <c r="AE1109" s="15" t="inlineStr">
        <is>
          <t>Open in Box</t>
        </is>
      </c>
      <c r="AF1109" s="15" t="inlineStr">
        <is>
          <t>Open in Box</t>
        </is>
      </c>
    </row>
    <row r="1110">
      <c r="A1110" s="11" t="inlineStr">
        <is>
          <t>NC-CHERRYPO-001</t>
        </is>
      </c>
      <c r="B1110" s="8" t="inlineStr">
        <is>
          <t>Cherry Point MCAS</t>
        </is>
      </c>
      <c r="C1110" s="11" t="inlineStr"/>
      <c r="D1110" s="11" t="inlineStr">
        <is>
          <t>NC</t>
        </is>
      </c>
      <c r="E1110" s="11" t="inlineStr">
        <is>
          <t>Greenville-N.Bern-Washngtn</t>
        </is>
      </c>
      <c r="F1110" s="11" t="inlineStr">
        <is>
          <t>28533</t>
        </is>
      </c>
      <c r="G1110" s="11" t="inlineStr">
        <is>
          <t>Marine Corps</t>
        </is>
      </c>
      <c r="H1110" s="11" t="inlineStr">
        <is>
          <t>Digital</t>
        </is>
      </c>
      <c r="I1110" s="8" t="inlineStr">
        <is>
          <t>Digital Monitors</t>
        </is>
      </c>
      <c r="J1110" s="11" t="inlineStr"/>
      <c r="K1110" s="8" t="inlineStr">
        <is>
          <t>Your ad will appear in approved locations on the installation.</t>
        </is>
      </c>
      <c r="L1110" s="11" t="n">
        <v>1</v>
      </c>
      <c r="M1110" s="12" t="n">
        <v>300</v>
      </c>
      <c r="N1110" s="12" t="n">
        <v>800</v>
      </c>
      <c r="O1110" s="12" t="n">
        <v>1600</v>
      </c>
      <c r="P1110" s="12" t="n">
        <v>3000</v>
      </c>
      <c r="Q1110" s="12" t="n"/>
      <c r="R1110" s="13">
        <f>IF(ISNUMBER(M1110),ROUND(M1110/(1-Settings!$B$2)/Settings!$B$3,0)*Settings!$B$3,"")</f>
        <v/>
      </c>
      <c r="S1110" s="13">
        <f>IF(ISNUMBER(N1110),ROUND(N1110/(1-Settings!$B$2)/Settings!$B$3,0)*Settings!$B$3,"")</f>
        <v/>
      </c>
      <c r="T1110" s="13">
        <f>IF(ISNUMBER(O1110),ROUND(O1110/(1-Settings!$B$2)/Settings!$B$3,0)*Settings!$B$3,"")</f>
        <v/>
      </c>
      <c r="U1110" s="13">
        <f>IF(ISNUMBER(P1110),ROUND(P1110/(1-Settings!$B$2)/Settings!$B$3,0)*Settings!$B$3,"")</f>
        <v/>
      </c>
      <c r="V1110" s="13">
        <f>IF(ISNUMBER(Q1110),ROUND(Q1110/(1-Settings!$B$2)/Settings!$B$3,0)*Settings!$B$3,"")</f>
        <v/>
      </c>
      <c r="W1110" s="14" t="n">
        <v>5973</v>
      </c>
      <c r="X1110" s="14" t="n">
        <v>6547</v>
      </c>
      <c r="Y1110" s="11" t="inlineStr"/>
      <c r="Z1110" s="11" t="inlineStr"/>
      <c r="AA1110" s="8" t="inlineStr"/>
      <c r="AB1110" s="8" t="inlineStr"/>
      <c r="AC1110" s="11" t="inlineStr">
        <is>
          <t>MasterMilitaryOnBaseList 12.2.25 NS.xlsx</t>
        </is>
      </c>
      <c r="AD1110" s="11" t="inlineStr">
        <is>
          <t>Cherry Point MCAS - LG Format Updates - 07.24.2026.docx</t>
        </is>
      </c>
      <c r="AE1110" s="15" t="inlineStr">
        <is>
          <t>Open in Box</t>
        </is>
      </c>
      <c r="AF1110" s="15" t="inlineStr">
        <is>
          <t>Open in Box</t>
        </is>
      </c>
    </row>
    <row r="1111">
      <c r="A1111" s="11" t="inlineStr">
        <is>
          <t>NC-CHERRYPO-002</t>
        </is>
      </c>
      <c r="B1111" s="8" t="inlineStr">
        <is>
          <t>Cherry Point MCAS</t>
        </is>
      </c>
      <c r="C1111" s="11" t="inlineStr"/>
      <c r="D1111" s="11" t="inlineStr">
        <is>
          <t>NC</t>
        </is>
      </c>
      <c r="E1111" s="11" t="inlineStr">
        <is>
          <t>Greenville-N.Bern-Washngtn</t>
        </is>
      </c>
      <c r="F1111" s="11" t="inlineStr">
        <is>
          <t>28533</t>
        </is>
      </c>
      <c r="G1111" s="11" t="inlineStr">
        <is>
          <t>Marine Corps</t>
        </is>
      </c>
      <c r="H1111" s="11" t="inlineStr">
        <is>
          <t>Standard Media</t>
        </is>
      </c>
      <c r="I1111" s="8" t="inlineStr">
        <is>
          <t>Banners</t>
        </is>
      </c>
      <c r="J1111" s="11" t="inlineStr">
        <is>
          <t>3' x 12'</t>
        </is>
      </c>
      <c r="K1111" s="8" t="inlineStr">
        <is>
          <t>Your ad will appear in one of three approved locations on the installation.</t>
        </is>
      </c>
      <c r="L1111" s="11" t="n">
        <v>1</v>
      </c>
      <c r="M1111" s="12" t="n">
        <v>200</v>
      </c>
      <c r="N1111" s="12" t="n">
        <v>500</v>
      </c>
      <c r="O1111" s="12" t="n"/>
      <c r="P1111" s="12" t="n"/>
      <c r="Q1111" s="12" t="n">
        <v>200</v>
      </c>
      <c r="R1111" s="13">
        <f>IF(ISNUMBER(M1111),ROUND(M1111/(1-Settings!$B$2)/Settings!$B$3,0)*Settings!$B$3,"")</f>
        <v/>
      </c>
      <c r="S1111" s="13">
        <f>IF(ISNUMBER(N1111),ROUND(N1111/(1-Settings!$B$2)/Settings!$B$3,0)*Settings!$B$3,"")</f>
        <v/>
      </c>
      <c r="T1111" s="13">
        <f>IF(ISNUMBER(O1111),ROUND(O1111/(1-Settings!$B$2)/Settings!$B$3,0)*Settings!$B$3,"")</f>
        <v/>
      </c>
      <c r="U1111" s="13">
        <f>IF(ISNUMBER(P1111),ROUND(P1111/(1-Settings!$B$2)/Settings!$B$3,0)*Settings!$B$3,"")</f>
        <v/>
      </c>
      <c r="V1111" s="13">
        <f>IF(ISNUMBER(Q1111),ROUND(Q1111/(1-Settings!$B$2)/Settings!$B$3,0)*Settings!$B$3,"")</f>
        <v/>
      </c>
      <c r="W1111" s="14" t="n">
        <v>5973</v>
      </c>
      <c r="X1111" s="14" t="n">
        <v>6547</v>
      </c>
      <c r="Y1111" s="11" t="inlineStr"/>
      <c r="Z1111" s="11" t="inlineStr"/>
      <c r="AA1111" s="8" t="inlineStr"/>
      <c r="AB1111" s="8" t="inlineStr"/>
      <c r="AC1111" s="11" t="inlineStr">
        <is>
          <t>MasterMilitaryOnBaseList 12.2.25 NS.xlsx</t>
        </is>
      </c>
      <c r="AD1111" s="11" t="inlineStr">
        <is>
          <t>Cherry Point MCAS - LG Format Updates - 07.24.2026.docx</t>
        </is>
      </c>
      <c r="AE1111" s="15" t="inlineStr">
        <is>
          <t>Open in Box</t>
        </is>
      </c>
      <c r="AF1111" s="15" t="inlineStr">
        <is>
          <t>Open in Box</t>
        </is>
      </c>
    </row>
    <row r="1112">
      <c r="A1112" s="11" t="inlineStr">
        <is>
          <t>NC-CHERRYPO-003</t>
        </is>
      </c>
      <c r="B1112" s="8" t="inlineStr">
        <is>
          <t>Cherry Point MCAS</t>
        </is>
      </c>
      <c r="C1112" s="11" t="inlineStr"/>
      <c r="D1112" s="11" t="inlineStr">
        <is>
          <t>NC</t>
        </is>
      </c>
      <c r="E1112" s="11" t="inlineStr">
        <is>
          <t>Greenville-N.Bern-Washngtn</t>
        </is>
      </c>
      <c r="F1112" s="11" t="inlineStr">
        <is>
          <t>28533</t>
        </is>
      </c>
      <c r="G1112" s="11" t="inlineStr">
        <is>
          <t>Marine Corps</t>
        </is>
      </c>
      <c r="H1112" s="11" t="inlineStr">
        <is>
          <t>Standard Media</t>
        </is>
      </c>
      <c r="I1112" s="8" t="inlineStr">
        <is>
          <t>Gas Pump Sign</t>
        </is>
      </c>
      <c r="J1112" s="11" t="inlineStr">
        <is>
          <t>19" x 11" with 1/2" frame</t>
        </is>
      </c>
      <c r="K1112" s="8" t="inlineStr">
        <is>
          <t>Your ad will appear at the Marine Mart Convenience Store and Main Exchange Convenience Store on the installation.</t>
        </is>
      </c>
      <c r="L1112" s="11" t="n">
        <v>1</v>
      </c>
      <c r="M1112" s="12" t="n">
        <v>150</v>
      </c>
      <c r="N1112" s="12" t="n">
        <v>350</v>
      </c>
      <c r="O1112" s="12" t="n"/>
      <c r="P1112" s="12" t="n"/>
      <c r="Q1112" s="12" t="n"/>
      <c r="R1112" s="13">
        <f>IF(ISNUMBER(M1112),ROUND(M1112/(1-Settings!$B$2)/Settings!$B$3,0)*Settings!$B$3,"")</f>
        <v/>
      </c>
      <c r="S1112" s="13">
        <f>IF(ISNUMBER(N1112),ROUND(N1112/(1-Settings!$B$2)/Settings!$B$3,0)*Settings!$B$3,"")</f>
        <v/>
      </c>
      <c r="T1112" s="13">
        <f>IF(ISNUMBER(O1112),ROUND(O1112/(1-Settings!$B$2)/Settings!$B$3,0)*Settings!$B$3,"")</f>
        <v/>
      </c>
      <c r="U1112" s="13">
        <f>IF(ISNUMBER(P1112),ROUND(P1112/(1-Settings!$B$2)/Settings!$B$3,0)*Settings!$B$3,"")</f>
        <v/>
      </c>
      <c r="V1112" s="13">
        <f>IF(ISNUMBER(Q1112),ROUND(Q1112/(1-Settings!$B$2)/Settings!$B$3,0)*Settings!$B$3,"")</f>
        <v/>
      </c>
      <c r="W1112" s="14" t="n">
        <v>5973</v>
      </c>
      <c r="X1112" s="14" t="n">
        <v>6547</v>
      </c>
      <c r="Y1112" s="11" t="inlineStr"/>
      <c r="Z1112" s="11" t="inlineStr"/>
      <c r="AA1112" s="8" t="inlineStr"/>
      <c r="AB1112" s="8" t="inlineStr"/>
      <c r="AC1112" s="11" t="inlineStr">
        <is>
          <t>MasterMilitaryOnBaseList 12.2.25 NS.xlsx</t>
        </is>
      </c>
      <c r="AD1112" s="11" t="inlineStr">
        <is>
          <t>Cherry Point MCAS - LG Format Updates - 07.24.2026.docx</t>
        </is>
      </c>
      <c r="AE1112" s="15" t="inlineStr">
        <is>
          <t>Open in Box</t>
        </is>
      </c>
      <c r="AF1112" s="15" t="inlineStr">
        <is>
          <t>Open in Box</t>
        </is>
      </c>
    </row>
    <row r="1113">
      <c r="A1113" s="11" t="inlineStr">
        <is>
          <t>NC-CHERRYPO-004</t>
        </is>
      </c>
      <c r="B1113" s="8" t="inlineStr">
        <is>
          <t>Cherry Point MCAS</t>
        </is>
      </c>
      <c r="C1113" s="11" t="inlineStr"/>
      <c r="D1113" s="11" t="inlineStr">
        <is>
          <t>NC</t>
        </is>
      </c>
      <c r="E1113" s="11" t="inlineStr">
        <is>
          <t>Greenville-N.Bern-Washngtn</t>
        </is>
      </c>
      <c r="F1113" s="11" t="inlineStr">
        <is>
          <t>28533</t>
        </is>
      </c>
      <c r="G1113" s="11" t="inlineStr">
        <is>
          <t>Marine Corps</t>
        </is>
      </c>
      <c r="H1113" s="11" t="inlineStr">
        <is>
          <t>Standard Media</t>
        </is>
      </c>
      <c r="I1113" s="8" t="inlineStr">
        <is>
          <t>Posters</t>
        </is>
      </c>
      <c r="J1113" s="11" t="inlineStr"/>
      <c r="K1113" s="8" t="inlineStr">
        <is>
          <t>Your ad will appear in two approved locations on the installation.</t>
        </is>
      </c>
      <c r="L1113" s="11" t="n">
        <v>1</v>
      </c>
      <c r="M1113" s="12" t="n">
        <v>120</v>
      </c>
      <c r="N1113" s="12" t="n">
        <v>360</v>
      </c>
      <c r="O1113" s="12" t="n">
        <v>720</v>
      </c>
      <c r="P1113" s="12" t="n">
        <v>1440</v>
      </c>
      <c r="Q1113" s="12" t="n">
        <v>100</v>
      </c>
      <c r="R1113" s="13">
        <f>IF(ISNUMBER(M1113),ROUND(M1113/(1-Settings!$B$2)/Settings!$B$3,0)*Settings!$B$3,"")</f>
        <v/>
      </c>
      <c r="S1113" s="13">
        <f>IF(ISNUMBER(N1113),ROUND(N1113/(1-Settings!$B$2)/Settings!$B$3,0)*Settings!$B$3,"")</f>
        <v/>
      </c>
      <c r="T1113" s="13">
        <f>IF(ISNUMBER(O1113),ROUND(O1113/(1-Settings!$B$2)/Settings!$B$3,0)*Settings!$B$3,"")</f>
        <v/>
      </c>
      <c r="U1113" s="13">
        <f>IF(ISNUMBER(P1113),ROUND(P1113/(1-Settings!$B$2)/Settings!$B$3,0)*Settings!$B$3,"")</f>
        <v/>
      </c>
      <c r="V1113" s="13">
        <f>IF(ISNUMBER(Q1113),ROUND(Q1113/(1-Settings!$B$2)/Settings!$B$3,0)*Settings!$B$3,"")</f>
        <v/>
      </c>
      <c r="W1113" s="14" t="n">
        <v>5973</v>
      </c>
      <c r="X1113" s="14" t="n">
        <v>6547</v>
      </c>
      <c r="Y1113" s="11" t="inlineStr"/>
      <c r="Z1113" s="11" t="inlineStr"/>
      <c r="AA1113" s="8" t="inlineStr"/>
      <c r="AB1113" s="8" t="inlineStr"/>
      <c r="AC1113" s="11" t="inlineStr">
        <is>
          <t>MasterMilitaryOnBaseList 12.2.25 NS.xlsx</t>
        </is>
      </c>
      <c r="AD1113" s="11" t="inlineStr">
        <is>
          <t>Cherry Point MCAS - LG Format Updates - 07.24.2026.docx</t>
        </is>
      </c>
      <c r="AE1113" s="15" t="inlineStr">
        <is>
          <t>Open in Box</t>
        </is>
      </c>
      <c r="AF1113" s="15" t="inlineStr">
        <is>
          <t>Open in Box</t>
        </is>
      </c>
    </row>
    <row r="1114">
      <c r="A1114" s="11" t="inlineStr">
        <is>
          <t>NC-CHERRYPO-005</t>
        </is>
      </c>
      <c r="B1114" s="8" t="inlineStr">
        <is>
          <t>Cherry Point MCAS</t>
        </is>
      </c>
      <c r="C1114" s="11" t="inlineStr"/>
      <c r="D1114" s="11" t="inlineStr">
        <is>
          <t>NC</t>
        </is>
      </c>
      <c r="E1114" s="11" t="inlineStr">
        <is>
          <t>Greenville-N.Bern-Washngtn</t>
        </is>
      </c>
      <c r="F1114" s="11" t="inlineStr">
        <is>
          <t>28533</t>
        </is>
      </c>
      <c r="G1114" s="11" t="inlineStr">
        <is>
          <t>Marine Corps</t>
        </is>
      </c>
      <c r="H1114" s="11" t="inlineStr">
        <is>
          <t>Standard Media</t>
        </is>
      </c>
      <c r="I1114" s="8" t="inlineStr">
        <is>
          <t>Table top display</t>
        </is>
      </c>
      <c r="J1114" s="11" t="inlineStr"/>
      <c r="K1114" s="8" t="inlineStr">
        <is>
          <t>Your table will be set up at the Troop Store or Roadhouse. ($125/location).</t>
        </is>
      </c>
      <c r="L1114" s="11" t="n"/>
      <c r="M1114" s="12" t="n"/>
      <c r="N1114" s="12" t="n"/>
      <c r="O1114" s="12" t="n"/>
      <c r="P1114" s="12" t="n"/>
      <c r="Q1114" s="12" t="n"/>
      <c r="R1114" s="13">
        <f>IF(ISNUMBER(M1114),ROUND(M1114/(1-Settings!$B$2)/Settings!$B$3,0)*Settings!$B$3,"")</f>
        <v/>
      </c>
      <c r="S1114" s="13">
        <f>IF(ISNUMBER(N1114),ROUND(N1114/(1-Settings!$B$2)/Settings!$B$3,0)*Settings!$B$3,"")</f>
        <v/>
      </c>
      <c r="T1114" s="13">
        <f>IF(ISNUMBER(O1114),ROUND(O1114/(1-Settings!$B$2)/Settings!$B$3,0)*Settings!$B$3,"")</f>
        <v/>
      </c>
      <c r="U1114" s="13">
        <f>IF(ISNUMBER(P1114),ROUND(P1114/(1-Settings!$B$2)/Settings!$B$3,0)*Settings!$B$3,"")</f>
        <v/>
      </c>
      <c r="V1114" s="13">
        <f>IF(ISNUMBER(Q1114),ROUND(Q1114/(1-Settings!$B$2)/Settings!$B$3,0)*Settings!$B$3,"")</f>
        <v/>
      </c>
      <c r="W1114" s="14" t="n">
        <v>5973</v>
      </c>
      <c r="X1114" s="14" t="n">
        <v>6547</v>
      </c>
      <c r="Y1114" s="11" t="inlineStr"/>
      <c r="Z1114" s="11" t="inlineStr"/>
      <c r="AA1114" s="8" t="inlineStr"/>
      <c r="AB1114" s="16" t="inlineStr">
        <is>
          <t>No price on file - inquire</t>
        </is>
      </c>
      <c r="AC1114" s="11" t="inlineStr">
        <is>
          <t>MasterMilitaryOnBaseList 12.2.25 NS.xlsx</t>
        </is>
      </c>
      <c r="AD1114" s="11" t="inlineStr">
        <is>
          <t>Cherry Point MCAS - LG Format Updates - 07.24.2026.docx</t>
        </is>
      </c>
      <c r="AE1114" s="15" t="inlineStr">
        <is>
          <t>Open in Box</t>
        </is>
      </c>
      <c r="AF1114" s="15" t="inlineStr">
        <is>
          <t>Open in Box</t>
        </is>
      </c>
    </row>
    <row r="1115">
      <c r="A1115" s="11" t="inlineStr">
        <is>
          <t>NC-CHERRYPO-006</t>
        </is>
      </c>
      <c r="B1115" s="8" t="inlineStr">
        <is>
          <t>Cherry Point MCAS</t>
        </is>
      </c>
      <c r="C1115" s="11" t="inlineStr"/>
      <c r="D1115" s="11" t="inlineStr">
        <is>
          <t>NC</t>
        </is>
      </c>
      <c r="E1115" s="11" t="inlineStr">
        <is>
          <t>Greenville-N.Bern-Washngtn</t>
        </is>
      </c>
      <c r="F1115" s="11" t="inlineStr"/>
      <c r="G1115" s="11" t="inlineStr">
        <is>
          <t>Marine Corps</t>
        </is>
      </c>
      <c r="H1115" s="11" t="inlineStr">
        <is>
          <t>Web &amp; Email</t>
        </is>
      </c>
      <c r="I1115" s="8" t="inlineStr">
        <is>
          <t>Web Ad</t>
        </is>
      </c>
      <c r="J1115" s="11" t="inlineStr"/>
      <c r="K1115" s="8" t="inlineStr">
        <is>
          <t>Your ad will appear on the installation MWR / FSS website.</t>
        </is>
      </c>
      <c r="L1115" s="11" t="n">
        <v>1</v>
      </c>
      <c r="M1115" s="12" t="n">
        <v>150</v>
      </c>
      <c r="N1115" s="12" t="n"/>
      <c r="O1115" s="12" t="n"/>
      <c r="P1115" s="12" t="n"/>
      <c r="Q1115" s="12" t="n"/>
      <c r="R1115" s="13">
        <f>IF(ISNUMBER(M1115),ROUND(M1115/(1-Settings!$B$2)/Settings!$B$3,0)*Settings!$B$3,"")</f>
        <v/>
      </c>
      <c r="S1115" s="13">
        <f>IF(ISNUMBER(N1115),ROUND(N1115/(1-Settings!$B$2)/Settings!$B$3,0)*Settings!$B$3,"")</f>
        <v/>
      </c>
      <c r="T1115" s="13">
        <f>IF(ISNUMBER(O1115),ROUND(O1115/(1-Settings!$B$2)/Settings!$B$3,0)*Settings!$B$3,"")</f>
        <v/>
      </c>
      <c r="U1115" s="13">
        <f>IF(ISNUMBER(P1115),ROUND(P1115/(1-Settings!$B$2)/Settings!$B$3,0)*Settings!$B$3,"")</f>
        <v/>
      </c>
      <c r="V1115" s="13">
        <f>IF(ISNUMBER(Q1115),ROUND(Q1115/(1-Settings!$B$2)/Settings!$B$3,0)*Settings!$B$3,"")</f>
        <v/>
      </c>
      <c r="W1115" s="14" t="n">
        <v>5973</v>
      </c>
      <c r="X1115" s="14" t="n">
        <v>6547</v>
      </c>
      <c r="Y1115" s="11" t="inlineStr">
        <is>
          <t>2026</t>
        </is>
      </c>
      <c r="Z1115" s="11" t="inlineStr">
        <is>
          <t>2026-06</t>
        </is>
      </c>
      <c r="AA1115" s="8" t="inlineStr"/>
      <c r="AB1115" s="8" t="inlineStr"/>
      <c r="AC1115" s="11" t="inlineStr">
        <is>
          <t>Military - National Publication Inventory Master_June 2026.xlsx</t>
        </is>
      </c>
      <c r="AD1115" s="11" t="inlineStr">
        <is>
          <t>Cherry Point MCAS - LG Format Updates - 07.24.2026.docx</t>
        </is>
      </c>
      <c r="AE1115" s="15" t="inlineStr">
        <is>
          <t>Open in Box</t>
        </is>
      </c>
      <c r="AF1115" s="15" t="inlineStr">
        <is>
          <t>Open in Box</t>
        </is>
      </c>
    </row>
    <row r="1116">
      <c r="A1116" s="11" t="inlineStr">
        <is>
          <t>NC-FORTLIBE-001</t>
        </is>
      </c>
      <c r="B1116" s="8" t="inlineStr">
        <is>
          <t>Fort Liberty</t>
        </is>
      </c>
      <c r="C1116" s="11" t="inlineStr">
        <is>
          <t>Fort Bragg</t>
        </is>
      </c>
      <c r="D1116" s="11" t="inlineStr">
        <is>
          <t>NC</t>
        </is>
      </c>
      <c r="E1116" s="11" t="inlineStr">
        <is>
          <t>Raleigh-Durham (Fayetvlle)</t>
        </is>
      </c>
      <c r="F1116" s="11" t="inlineStr">
        <is>
          <t>28307</t>
        </is>
      </c>
      <c r="G1116" s="11" t="inlineStr">
        <is>
          <t>Army</t>
        </is>
      </c>
      <c r="H1116" s="11" t="inlineStr">
        <is>
          <t>Digital</t>
        </is>
      </c>
      <c r="I1116" s="8" t="inlineStr">
        <is>
          <t>Digital Monitors</t>
        </is>
      </c>
      <c r="J1116" s="11" t="inlineStr">
        <is>
          <t>1500px x 844px</t>
        </is>
      </c>
      <c r="K1116" s="8" t="inlineStr">
        <is>
          <t>Your ad will appear on approved monitors on the installation.</t>
        </is>
      </c>
      <c r="L1116" s="11" t="n">
        <v>1</v>
      </c>
      <c r="M1116" s="12" t="n">
        <v>650</v>
      </c>
      <c r="N1116" s="12" t="n">
        <v>1800</v>
      </c>
      <c r="O1116" s="12" t="n">
        <v>3300</v>
      </c>
      <c r="P1116" s="12" t="n">
        <v>5950</v>
      </c>
      <c r="Q1116" s="12" t="n"/>
      <c r="R1116" s="13">
        <f>IF(ISNUMBER(M1116),ROUND(M1116/(1-Settings!$B$2)/Settings!$B$3,0)*Settings!$B$3,"")</f>
        <v/>
      </c>
      <c r="S1116" s="13">
        <f>IF(ISNUMBER(N1116),ROUND(N1116/(1-Settings!$B$2)/Settings!$B$3,0)*Settings!$B$3,"")</f>
        <v/>
      </c>
      <c r="T1116" s="13">
        <f>IF(ISNUMBER(O1116),ROUND(O1116/(1-Settings!$B$2)/Settings!$B$3,0)*Settings!$B$3,"")</f>
        <v/>
      </c>
      <c r="U1116" s="13">
        <f>IF(ISNUMBER(P1116),ROUND(P1116/(1-Settings!$B$2)/Settings!$B$3,0)*Settings!$B$3,"")</f>
        <v/>
      </c>
      <c r="V1116" s="13">
        <f>IF(ISNUMBER(Q1116),ROUND(Q1116/(1-Settings!$B$2)/Settings!$B$3,0)*Settings!$B$3,"")</f>
        <v/>
      </c>
      <c r="W1116" s="14" t="n">
        <v>45055</v>
      </c>
      <c r="X1116" s="14" t="n">
        <v>64046</v>
      </c>
      <c r="Y1116" s="11" t="inlineStr"/>
      <c r="Z1116" s="11" t="inlineStr"/>
      <c r="AA1116" s="8" t="inlineStr">
        <is>
          <t>Inventory master 6/2026 lists Digital Monitor Network at $700 (1 mo)</t>
        </is>
      </c>
      <c r="AB1116" s="8" t="inlineStr"/>
      <c r="AC1116" s="11" t="inlineStr">
        <is>
          <t>MasterMilitaryOnBaseList 12.2.25 NS.xlsx</t>
        </is>
      </c>
      <c r="AD1116" s="11" t="inlineStr">
        <is>
          <t>1 Advertising Rate Card FY26-WEB.pdf</t>
        </is>
      </c>
      <c r="AE1116" s="15" t="inlineStr">
        <is>
          <t>Open in Box</t>
        </is>
      </c>
      <c r="AF1116" s="15" t="inlineStr">
        <is>
          <t>Open in Box</t>
        </is>
      </c>
    </row>
    <row r="1117">
      <c r="A1117" s="11" t="inlineStr">
        <is>
          <t>NC-FORTLIBE-002</t>
        </is>
      </c>
      <c r="B1117" s="8" t="inlineStr">
        <is>
          <t>Fort Liberty</t>
        </is>
      </c>
      <c r="C1117" s="11" t="inlineStr">
        <is>
          <t>Fort Bragg</t>
        </is>
      </c>
      <c r="D1117" s="11" t="inlineStr">
        <is>
          <t>NC</t>
        </is>
      </c>
      <c r="E1117" s="11" t="inlineStr">
        <is>
          <t>Raleigh-Durham (Fayetvlle)</t>
        </is>
      </c>
      <c r="F1117" s="11" t="inlineStr">
        <is>
          <t>28307</t>
        </is>
      </c>
      <c r="G1117" s="11" t="inlineStr">
        <is>
          <t>Army</t>
        </is>
      </c>
      <c r="H1117" s="11" t="inlineStr">
        <is>
          <t>Digital</t>
        </is>
      </c>
      <c r="I1117" s="8" t="inlineStr">
        <is>
          <t>Golf Scoreboard</t>
        </is>
      </c>
      <c r="J1117" s="11" t="inlineStr">
        <is>
          <t>4' x 1'</t>
        </is>
      </c>
      <c r="K1117" s="8" t="inlineStr">
        <is>
          <t>Your ad will appear on the golf scoreboard on the Fort Libert Golf Course on the installation.</t>
        </is>
      </c>
      <c r="L1117" s="11" t="n">
        <v>12</v>
      </c>
      <c r="M1117" s="12" t="n"/>
      <c r="N1117" s="12" t="n"/>
      <c r="O1117" s="12" t="n"/>
      <c r="P1117" s="12" t="n">
        <v>1000</v>
      </c>
      <c r="Q1117" s="12" t="n"/>
      <c r="R1117" s="13">
        <f>IF(ISNUMBER(M1117),ROUND(M1117/(1-Settings!$B$2)/Settings!$B$3,0)*Settings!$B$3,"")</f>
        <v/>
      </c>
      <c r="S1117" s="13">
        <f>IF(ISNUMBER(N1117),ROUND(N1117/(1-Settings!$B$2)/Settings!$B$3,0)*Settings!$B$3,"")</f>
        <v/>
      </c>
      <c r="T1117" s="13">
        <f>IF(ISNUMBER(O1117),ROUND(O1117/(1-Settings!$B$2)/Settings!$B$3,0)*Settings!$B$3,"")</f>
        <v/>
      </c>
      <c r="U1117" s="13">
        <f>IF(ISNUMBER(P1117),ROUND(P1117/(1-Settings!$B$2)/Settings!$B$3,0)*Settings!$B$3,"")</f>
        <v/>
      </c>
      <c r="V1117" s="13">
        <f>IF(ISNUMBER(Q1117),ROUND(Q1117/(1-Settings!$B$2)/Settings!$B$3,0)*Settings!$B$3,"")</f>
        <v/>
      </c>
      <c r="W1117" s="14" t="n">
        <v>45055</v>
      </c>
      <c r="X1117" s="14" t="n">
        <v>64046</v>
      </c>
      <c r="Y1117" s="11" t="inlineStr"/>
      <c r="Z1117" s="11" t="inlineStr"/>
      <c r="AA1117" s="8" t="inlineStr"/>
      <c r="AB1117" s="8" t="inlineStr"/>
      <c r="AC1117" s="11" t="inlineStr">
        <is>
          <t>MasterMilitaryOnBaseList 12.2.25 NS.xlsx</t>
        </is>
      </c>
      <c r="AD1117" s="11" t="inlineStr">
        <is>
          <t>1 Advertising Rate Card FY26-WEB.pdf</t>
        </is>
      </c>
      <c r="AE1117" s="15" t="inlineStr">
        <is>
          <t>Open in Box</t>
        </is>
      </c>
      <c r="AF1117" s="15" t="inlineStr">
        <is>
          <t>Open in Box</t>
        </is>
      </c>
    </row>
    <row r="1118">
      <c r="A1118" s="11" t="inlineStr">
        <is>
          <t>NC-FORTLIBE-003</t>
        </is>
      </c>
      <c r="B1118" s="8" t="inlineStr">
        <is>
          <t>Fort Liberty</t>
        </is>
      </c>
      <c r="C1118" s="11" t="inlineStr">
        <is>
          <t>Fort Bragg</t>
        </is>
      </c>
      <c r="D1118" s="11" t="inlineStr">
        <is>
          <t>NC</t>
        </is>
      </c>
      <c r="E1118" s="11" t="inlineStr">
        <is>
          <t>Raleigh-Durham (Fayetvlle)</t>
        </is>
      </c>
      <c r="F1118" s="11" t="inlineStr">
        <is>
          <t>28307</t>
        </is>
      </c>
      <c r="G1118" s="11" t="inlineStr">
        <is>
          <t>Army</t>
        </is>
      </c>
      <c r="H1118" s="11" t="inlineStr">
        <is>
          <t>Digital</t>
        </is>
      </c>
      <c r="I1118" s="8" t="inlineStr">
        <is>
          <t>Lane Sweeps</t>
        </is>
      </c>
      <c r="J1118" s="11" t="inlineStr">
        <is>
          <t>50" W x 4" H</t>
        </is>
      </c>
      <c r="K1118" s="8" t="inlineStr">
        <is>
          <t>Your ad will appear on lane sweeps at the Fort Liberty Bowling Centers on the installation.</t>
        </is>
      </c>
      <c r="L1118" s="11" t="n">
        <v>6</v>
      </c>
      <c r="M1118" s="12" t="n"/>
      <c r="N1118" s="12" t="n"/>
      <c r="O1118" s="12" t="n">
        <v>750</v>
      </c>
      <c r="P1118" s="12" t="n">
        <v>1350</v>
      </c>
      <c r="Q1118" s="12" t="n"/>
      <c r="R1118" s="13">
        <f>IF(ISNUMBER(M1118),ROUND(M1118/(1-Settings!$B$2)/Settings!$B$3,0)*Settings!$B$3,"")</f>
        <v/>
      </c>
      <c r="S1118" s="13">
        <f>IF(ISNUMBER(N1118),ROUND(N1118/(1-Settings!$B$2)/Settings!$B$3,0)*Settings!$B$3,"")</f>
        <v/>
      </c>
      <c r="T1118" s="13">
        <f>IF(ISNUMBER(O1118),ROUND(O1118/(1-Settings!$B$2)/Settings!$B$3,0)*Settings!$B$3,"")</f>
        <v/>
      </c>
      <c r="U1118" s="13">
        <f>IF(ISNUMBER(P1118),ROUND(P1118/(1-Settings!$B$2)/Settings!$B$3,0)*Settings!$B$3,"")</f>
        <v/>
      </c>
      <c r="V1118" s="13">
        <f>IF(ISNUMBER(Q1118),ROUND(Q1118/(1-Settings!$B$2)/Settings!$B$3,0)*Settings!$B$3,"")</f>
        <v/>
      </c>
      <c r="W1118" s="14" t="n">
        <v>45055</v>
      </c>
      <c r="X1118" s="14" t="n">
        <v>64046</v>
      </c>
      <c r="Y1118" s="11" t="inlineStr"/>
      <c r="Z1118" s="11" t="inlineStr"/>
      <c r="AA1118" s="8" t="inlineStr"/>
      <c r="AB1118" s="8" t="inlineStr"/>
      <c r="AC1118" s="11" t="inlineStr">
        <is>
          <t>MasterMilitaryOnBaseList 12.2.25 NS.xlsx</t>
        </is>
      </c>
      <c r="AD1118" s="11" t="inlineStr">
        <is>
          <t>1 Advertising Rate Card FY26-WEB.pdf</t>
        </is>
      </c>
      <c r="AE1118" s="15" t="inlineStr">
        <is>
          <t>Open in Box</t>
        </is>
      </c>
      <c r="AF1118" s="15" t="inlineStr">
        <is>
          <t>Open in Box</t>
        </is>
      </c>
    </row>
    <row r="1119">
      <c r="A1119" s="11" t="inlineStr">
        <is>
          <t>NC-FORTLIBE-010</t>
        </is>
      </c>
      <c r="B1119" s="8" t="inlineStr">
        <is>
          <t>Fort Liberty</t>
        </is>
      </c>
      <c r="C1119" s="11" t="inlineStr">
        <is>
          <t>Fort Bragg</t>
        </is>
      </c>
      <c r="D1119" s="11" t="inlineStr">
        <is>
          <t>NC</t>
        </is>
      </c>
      <c r="E1119" s="11" t="inlineStr">
        <is>
          <t>Raleigh-Durham (Fayetvlle)</t>
        </is>
      </c>
      <c r="F1119" s="11" t="inlineStr">
        <is>
          <t>28307</t>
        </is>
      </c>
      <c r="G1119" s="11" t="inlineStr">
        <is>
          <t>Army</t>
        </is>
      </c>
      <c r="H1119" s="11" t="inlineStr">
        <is>
          <t>Large Format</t>
        </is>
      </c>
      <c r="I1119" s="8" t="inlineStr">
        <is>
          <t>Counter Wrap - Tier 1</t>
        </is>
      </c>
      <c r="J1119" s="11" t="inlineStr">
        <is>
          <t>TBD</t>
        </is>
      </c>
      <c r="K1119" s="8" t="inlineStr">
        <is>
          <t>Your ad will appear on an approved counter on the installation.</t>
        </is>
      </c>
      <c r="L1119" s="11" t="n">
        <v>6</v>
      </c>
      <c r="M1119" s="12" t="n"/>
      <c r="N1119" s="12" t="n"/>
      <c r="O1119" s="12" t="n">
        <v>4700</v>
      </c>
      <c r="P1119" s="12" t="n">
        <v>8650</v>
      </c>
      <c r="Q1119" s="12" t="n"/>
      <c r="R1119" s="13">
        <f>IF(ISNUMBER(M1119),ROUND(M1119/(1-Settings!$B$2)/Settings!$B$3,0)*Settings!$B$3,"")</f>
        <v/>
      </c>
      <c r="S1119" s="13">
        <f>IF(ISNUMBER(N1119),ROUND(N1119/(1-Settings!$B$2)/Settings!$B$3,0)*Settings!$B$3,"")</f>
        <v/>
      </c>
      <c r="T1119" s="13">
        <f>IF(ISNUMBER(O1119),ROUND(O1119/(1-Settings!$B$2)/Settings!$B$3,0)*Settings!$B$3,"")</f>
        <v/>
      </c>
      <c r="U1119" s="13">
        <f>IF(ISNUMBER(P1119),ROUND(P1119/(1-Settings!$B$2)/Settings!$B$3,0)*Settings!$B$3,"")</f>
        <v/>
      </c>
      <c r="V1119" s="13">
        <f>IF(ISNUMBER(Q1119),ROUND(Q1119/(1-Settings!$B$2)/Settings!$B$3,0)*Settings!$B$3,"")</f>
        <v/>
      </c>
      <c r="W1119" s="14" t="n">
        <v>45055</v>
      </c>
      <c r="X1119" s="14" t="n">
        <v>64046</v>
      </c>
      <c r="Y1119" s="11" t="inlineStr"/>
      <c r="Z1119" s="11" t="inlineStr"/>
      <c r="AA1119" s="8" t="inlineStr"/>
      <c r="AB1119" s="8" t="inlineStr"/>
      <c r="AC1119" s="11" t="inlineStr">
        <is>
          <t>MasterMilitaryOnBaseList 12.2.25 NS.xlsx</t>
        </is>
      </c>
      <c r="AD1119" s="11" t="inlineStr">
        <is>
          <t>1 Advertising Rate Card FY26-WEB.pdf</t>
        </is>
      </c>
      <c r="AE1119" s="15" t="inlineStr">
        <is>
          <t>Open in Box</t>
        </is>
      </c>
      <c r="AF1119" s="15" t="inlineStr">
        <is>
          <t>Open in Box</t>
        </is>
      </c>
    </row>
    <row r="1120">
      <c r="A1120" s="11" t="inlineStr">
        <is>
          <t>NC-FORTLIBE-011</t>
        </is>
      </c>
      <c r="B1120" s="8" t="inlineStr">
        <is>
          <t>Fort Liberty</t>
        </is>
      </c>
      <c r="C1120" s="11" t="inlineStr">
        <is>
          <t>Fort Bragg</t>
        </is>
      </c>
      <c r="D1120" s="11" t="inlineStr">
        <is>
          <t>NC</t>
        </is>
      </c>
      <c r="E1120" s="11" t="inlineStr">
        <is>
          <t>Raleigh-Durham (Fayetvlle)</t>
        </is>
      </c>
      <c r="F1120" s="11" t="inlineStr">
        <is>
          <t>28307</t>
        </is>
      </c>
      <c r="G1120" s="11" t="inlineStr">
        <is>
          <t>Army</t>
        </is>
      </c>
      <c r="H1120" s="11" t="inlineStr">
        <is>
          <t>Large Format</t>
        </is>
      </c>
      <c r="I1120" s="8" t="inlineStr">
        <is>
          <t>Counter Wrap - Tier 2</t>
        </is>
      </c>
      <c r="J1120" s="11" t="inlineStr">
        <is>
          <t>TBD</t>
        </is>
      </c>
      <c r="K1120" s="8" t="inlineStr">
        <is>
          <t>Your ad will appear on an approved counter on the installation.</t>
        </is>
      </c>
      <c r="L1120" s="11" t="n">
        <v>6</v>
      </c>
      <c r="M1120" s="12" t="n"/>
      <c r="N1120" s="12" t="n"/>
      <c r="O1120" s="12" t="n">
        <v>4300</v>
      </c>
      <c r="P1120" s="12" t="n">
        <v>7900</v>
      </c>
      <c r="Q1120" s="12" t="n"/>
      <c r="R1120" s="13">
        <f>IF(ISNUMBER(M1120),ROUND(M1120/(1-Settings!$B$2)/Settings!$B$3,0)*Settings!$B$3,"")</f>
        <v/>
      </c>
      <c r="S1120" s="13">
        <f>IF(ISNUMBER(N1120),ROUND(N1120/(1-Settings!$B$2)/Settings!$B$3,0)*Settings!$B$3,"")</f>
        <v/>
      </c>
      <c r="T1120" s="13">
        <f>IF(ISNUMBER(O1120),ROUND(O1120/(1-Settings!$B$2)/Settings!$B$3,0)*Settings!$B$3,"")</f>
        <v/>
      </c>
      <c r="U1120" s="13">
        <f>IF(ISNUMBER(P1120),ROUND(P1120/(1-Settings!$B$2)/Settings!$B$3,0)*Settings!$B$3,"")</f>
        <v/>
      </c>
      <c r="V1120" s="13">
        <f>IF(ISNUMBER(Q1120),ROUND(Q1120/(1-Settings!$B$2)/Settings!$B$3,0)*Settings!$B$3,"")</f>
        <v/>
      </c>
      <c r="W1120" s="14" t="n">
        <v>45055</v>
      </c>
      <c r="X1120" s="14" t="n">
        <v>64046</v>
      </c>
      <c r="Y1120" s="11" t="inlineStr"/>
      <c r="Z1120" s="11" t="inlineStr"/>
      <c r="AA1120" s="8" t="inlineStr"/>
      <c r="AB1120" s="8" t="inlineStr"/>
      <c r="AC1120" s="11" t="inlineStr">
        <is>
          <t>MasterMilitaryOnBaseList 12.2.25 NS.xlsx</t>
        </is>
      </c>
      <c r="AD1120" s="11" t="inlineStr">
        <is>
          <t>1 Advertising Rate Card FY26-WEB.pdf</t>
        </is>
      </c>
      <c r="AE1120" s="15" t="inlineStr">
        <is>
          <t>Open in Box</t>
        </is>
      </c>
      <c r="AF1120" s="15" t="inlineStr">
        <is>
          <t>Open in Box</t>
        </is>
      </c>
    </row>
    <row r="1121">
      <c r="A1121" s="11" t="inlineStr">
        <is>
          <t>NC-FORTLIBE-012</t>
        </is>
      </c>
      <c r="B1121" s="8" t="inlineStr">
        <is>
          <t>Fort Liberty</t>
        </is>
      </c>
      <c r="C1121" s="11" t="inlineStr">
        <is>
          <t>Fort Bragg</t>
        </is>
      </c>
      <c r="D1121" s="11" t="inlineStr">
        <is>
          <t>NC</t>
        </is>
      </c>
      <c r="E1121" s="11" t="inlineStr">
        <is>
          <t>Raleigh-Durham (Fayetvlle)</t>
        </is>
      </c>
      <c r="F1121" s="11" t="inlineStr">
        <is>
          <t>28307</t>
        </is>
      </c>
      <c r="G1121" s="11" t="inlineStr">
        <is>
          <t>Army</t>
        </is>
      </c>
      <c r="H1121" s="11" t="inlineStr">
        <is>
          <t>Large Format</t>
        </is>
      </c>
      <c r="I1121" s="8" t="inlineStr">
        <is>
          <t>Counter Wrap - Tier 3</t>
        </is>
      </c>
      <c r="J1121" s="11" t="inlineStr">
        <is>
          <t>TBD</t>
        </is>
      </c>
      <c r="K1121" s="8" t="inlineStr">
        <is>
          <t>Your ad will appear on an approved counter on the installation.</t>
        </is>
      </c>
      <c r="L1121" s="11" t="n">
        <v>6</v>
      </c>
      <c r="M1121" s="12" t="n"/>
      <c r="N1121" s="12" t="n"/>
      <c r="O1121" s="12" t="n">
        <v>3900</v>
      </c>
      <c r="P1121" s="12" t="n">
        <v>7200</v>
      </c>
      <c r="Q1121" s="12" t="n"/>
      <c r="R1121" s="13">
        <f>IF(ISNUMBER(M1121),ROUND(M1121/(1-Settings!$B$2)/Settings!$B$3,0)*Settings!$B$3,"")</f>
        <v/>
      </c>
      <c r="S1121" s="13">
        <f>IF(ISNUMBER(N1121),ROUND(N1121/(1-Settings!$B$2)/Settings!$B$3,0)*Settings!$B$3,"")</f>
        <v/>
      </c>
      <c r="T1121" s="13">
        <f>IF(ISNUMBER(O1121),ROUND(O1121/(1-Settings!$B$2)/Settings!$B$3,0)*Settings!$B$3,"")</f>
        <v/>
      </c>
      <c r="U1121" s="13">
        <f>IF(ISNUMBER(P1121),ROUND(P1121/(1-Settings!$B$2)/Settings!$B$3,0)*Settings!$B$3,"")</f>
        <v/>
      </c>
      <c r="V1121" s="13">
        <f>IF(ISNUMBER(Q1121),ROUND(Q1121/(1-Settings!$B$2)/Settings!$B$3,0)*Settings!$B$3,"")</f>
        <v/>
      </c>
      <c r="W1121" s="14" t="n">
        <v>45055</v>
      </c>
      <c r="X1121" s="14" t="n">
        <v>64046</v>
      </c>
      <c r="Y1121" s="11" t="inlineStr"/>
      <c r="Z1121" s="11" t="inlineStr"/>
      <c r="AA1121" s="8" t="inlineStr"/>
      <c r="AB1121" s="8" t="inlineStr"/>
      <c r="AC1121" s="11" t="inlineStr">
        <is>
          <t>MasterMilitaryOnBaseList 12.2.25 NS.xlsx</t>
        </is>
      </c>
      <c r="AD1121" s="11" t="inlineStr">
        <is>
          <t>1 Advertising Rate Card FY26-WEB.pdf</t>
        </is>
      </c>
      <c r="AE1121" s="15" t="inlineStr">
        <is>
          <t>Open in Box</t>
        </is>
      </c>
      <c r="AF1121" s="15" t="inlineStr">
        <is>
          <t>Open in Box</t>
        </is>
      </c>
    </row>
    <row r="1122">
      <c r="A1122" s="11" t="inlineStr">
        <is>
          <t>NC-FORTLIBE-013</t>
        </is>
      </c>
      <c r="B1122" s="8" t="inlineStr">
        <is>
          <t>Fort Liberty</t>
        </is>
      </c>
      <c r="C1122" s="11" t="inlineStr">
        <is>
          <t>Fort Bragg</t>
        </is>
      </c>
      <c r="D1122" s="11" t="inlineStr">
        <is>
          <t>NC</t>
        </is>
      </c>
      <c r="E1122" s="11" t="inlineStr">
        <is>
          <t>Raleigh-Durham (Fayetvlle)</t>
        </is>
      </c>
      <c r="F1122" s="11" t="inlineStr">
        <is>
          <t>28307</t>
        </is>
      </c>
      <c r="G1122" s="11" t="inlineStr">
        <is>
          <t>Army</t>
        </is>
      </c>
      <c r="H1122" s="11" t="inlineStr">
        <is>
          <t>Large Format</t>
        </is>
      </c>
      <c r="I1122" s="8" t="inlineStr">
        <is>
          <t>Fence Banner - Tier 1</t>
        </is>
      </c>
      <c r="J1122" s="11" t="inlineStr">
        <is>
          <t>8' x 3'</t>
        </is>
      </c>
      <c r="K1122" s="8" t="inlineStr">
        <is>
          <t>Your ad will appear on an approved fence on the installation.</t>
        </is>
      </c>
      <c r="L1122" s="11" t="n">
        <v>1</v>
      </c>
      <c r="M1122" s="12" t="n">
        <v>900</v>
      </c>
      <c r="N1122" s="12" t="n">
        <v>2500</v>
      </c>
      <c r="O1122" s="12" t="n">
        <v>4700</v>
      </c>
      <c r="P1122" s="12" t="n">
        <v>8650</v>
      </c>
      <c r="Q1122" s="12" t="n"/>
      <c r="R1122" s="13">
        <f>IF(ISNUMBER(M1122),ROUND(M1122/(1-Settings!$B$2)/Settings!$B$3,0)*Settings!$B$3,"")</f>
        <v/>
      </c>
      <c r="S1122" s="13">
        <f>IF(ISNUMBER(N1122),ROUND(N1122/(1-Settings!$B$2)/Settings!$B$3,0)*Settings!$B$3,"")</f>
        <v/>
      </c>
      <c r="T1122" s="13">
        <f>IF(ISNUMBER(O1122),ROUND(O1122/(1-Settings!$B$2)/Settings!$B$3,0)*Settings!$B$3,"")</f>
        <v/>
      </c>
      <c r="U1122" s="13">
        <f>IF(ISNUMBER(P1122),ROUND(P1122/(1-Settings!$B$2)/Settings!$B$3,0)*Settings!$B$3,"")</f>
        <v/>
      </c>
      <c r="V1122" s="13">
        <f>IF(ISNUMBER(Q1122),ROUND(Q1122/(1-Settings!$B$2)/Settings!$B$3,0)*Settings!$B$3,"")</f>
        <v/>
      </c>
      <c r="W1122" s="14" t="n">
        <v>45055</v>
      </c>
      <c r="X1122" s="14" t="n">
        <v>64046</v>
      </c>
      <c r="Y1122" s="11" t="inlineStr"/>
      <c r="Z1122" s="11" t="inlineStr"/>
      <c r="AA1122" s="8" t="inlineStr"/>
      <c r="AB1122" s="8" t="inlineStr"/>
      <c r="AC1122" s="11" t="inlineStr">
        <is>
          <t>MasterMilitaryOnBaseList 12.2.25 NS.xlsx</t>
        </is>
      </c>
      <c r="AD1122" s="11" t="inlineStr">
        <is>
          <t>1 Advertising Rate Card FY26-WEB.pdf</t>
        </is>
      </c>
      <c r="AE1122" s="15" t="inlineStr">
        <is>
          <t>Open in Box</t>
        </is>
      </c>
      <c r="AF1122" s="15" t="inlineStr">
        <is>
          <t>Open in Box</t>
        </is>
      </c>
    </row>
    <row r="1123">
      <c r="A1123" s="11" t="inlineStr">
        <is>
          <t>NC-FORTLIBE-014</t>
        </is>
      </c>
      <c r="B1123" s="8" t="inlineStr">
        <is>
          <t>Fort Liberty</t>
        </is>
      </c>
      <c r="C1123" s="11" t="inlineStr">
        <is>
          <t>Fort Bragg</t>
        </is>
      </c>
      <c r="D1123" s="11" t="inlineStr">
        <is>
          <t>NC</t>
        </is>
      </c>
      <c r="E1123" s="11" t="inlineStr">
        <is>
          <t>Raleigh-Durham (Fayetvlle)</t>
        </is>
      </c>
      <c r="F1123" s="11" t="inlineStr">
        <is>
          <t>28307</t>
        </is>
      </c>
      <c r="G1123" s="11" t="inlineStr">
        <is>
          <t>Army</t>
        </is>
      </c>
      <c r="H1123" s="11" t="inlineStr">
        <is>
          <t>Large Format</t>
        </is>
      </c>
      <c r="I1123" s="8" t="inlineStr">
        <is>
          <t>Fence Banner - Tier 2</t>
        </is>
      </c>
      <c r="J1123" s="11" t="inlineStr">
        <is>
          <t>8' x 3'</t>
        </is>
      </c>
      <c r="K1123" s="8" t="inlineStr">
        <is>
          <t>Your ad will appear on an approved fence on the installation.</t>
        </is>
      </c>
      <c r="L1123" s="11" t="n">
        <v>1</v>
      </c>
      <c r="M1123" s="12" t="n">
        <v>825</v>
      </c>
      <c r="N1123" s="12" t="n">
        <v>2300</v>
      </c>
      <c r="O1123" s="12" t="n">
        <v>4300</v>
      </c>
      <c r="P1123" s="12" t="n">
        <v>7900</v>
      </c>
      <c r="Q1123" s="12" t="n"/>
      <c r="R1123" s="13">
        <f>IF(ISNUMBER(M1123),ROUND(M1123/(1-Settings!$B$2)/Settings!$B$3,0)*Settings!$B$3,"")</f>
        <v/>
      </c>
      <c r="S1123" s="13">
        <f>IF(ISNUMBER(N1123),ROUND(N1123/(1-Settings!$B$2)/Settings!$B$3,0)*Settings!$B$3,"")</f>
        <v/>
      </c>
      <c r="T1123" s="13">
        <f>IF(ISNUMBER(O1123),ROUND(O1123/(1-Settings!$B$2)/Settings!$B$3,0)*Settings!$B$3,"")</f>
        <v/>
      </c>
      <c r="U1123" s="13">
        <f>IF(ISNUMBER(P1123),ROUND(P1123/(1-Settings!$B$2)/Settings!$B$3,0)*Settings!$B$3,"")</f>
        <v/>
      </c>
      <c r="V1123" s="13">
        <f>IF(ISNUMBER(Q1123),ROUND(Q1123/(1-Settings!$B$2)/Settings!$B$3,0)*Settings!$B$3,"")</f>
        <v/>
      </c>
      <c r="W1123" s="14" t="n">
        <v>45055</v>
      </c>
      <c r="X1123" s="14" t="n">
        <v>64046</v>
      </c>
      <c r="Y1123" s="11" t="inlineStr"/>
      <c r="Z1123" s="11" t="inlineStr"/>
      <c r="AA1123" s="8" t="inlineStr"/>
      <c r="AB1123" s="8" t="inlineStr"/>
      <c r="AC1123" s="11" t="inlineStr">
        <is>
          <t>MasterMilitaryOnBaseList 12.2.25 NS.xlsx</t>
        </is>
      </c>
      <c r="AD1123" s="11" t="inlineStr">
        <is>
          <t>1 Advertising Rate Card FY26-WEB.pdf</t>
        </is>
      </c>
      <c r="AE1123" s="15" t="inlineStr">
        <is>
          <t>Open in Box</t>
        </is>
      </c>
      <c r="AF1123" s="15" t="inlineStr">
        <is>
          <t>Open in Box</t>
        </is>
      </c>
    </row>
    <row r="1124">
      <c r="A1124" s="11" t="inlineStr">
        <is>
          <t>NC-FORTLIBE-015</t>
        </is>
      </c>
      <c r="B1124" s="8" t="inlineStr">
        <is>
          <t>Fort Liberty</t>
        </is>
      </c>
      <c r="C1124" s="11" t="inlineStr">
        <is>
          <t>Fort Bragg</t>
        </is>
      </c>
      <c r="D1124" s="11" t="inlineStr">
        <is>
          <t>NC</t>
        </is>
      </c>
      <c r="E1124" s="11" t="inlineStr">
        <is>
          <t>Raleigh-Durham (Fayetvlle)</t>
        </is>
      </c>
      <c r="F1124" s="11" t="inlineStr">
        <is>
          <t>28307</t>
        </is>
      </c>
      <c r="G1124" s="11" t="inlineStr">
        <is>
          <t>Army</t>
        </is>
      </c>
      <c r="H1124" s="11" t="inlineStr">
        <is>
          <t>Large Format</t>
        </is>
      </c>
      <c r="I1124" s="8" t="inlineStr">
        <is>
          <t>Fence Banner - Tier 3</t>
        </is>
      </c>
      <c r="J1124" s="11" t="inlineStr">
        <is>
          <t>8' x 3'</t>
        </is>
      </c>
      <c r="K1124" s="8" t="inlineStr">
        <is>
          <t>Your ad will appear on an approved fence on the installation.</t>
        </is>
      </c>
      <c r="L1124" s="11" t="n">
        <v>1</v>
      </c>
      <c r="M1124" s="12" t="n">
        <v>750</v>
      </c>
      <c r="N1124" s="12" t="n">
        <v>2100</v>
      </c>
      <c r="O1124" s="12" t="n">
        <v>3900</v>
      </c>
      <c r="P1124" s="12" t="n">
        <v>7200</v>
      </c>
      <c r="Q1124" s="12" t="n"/>
      <c r="R1124" s="13">
        <f>IF(ISNUMBER(M1124),ROUND(M1124/(1-Settings!$B$2)/Settings!$B$3,0)*Settings!$B$3,"")</f>
        <v/>
      </c>
      <c r="S1124" s="13">
        <f>IF(ISNUMBER(N1124),ROUND(N1124/(1-Settings!$B$2)/Settings!$B$3,0)*Settings!$B$3,"")</f>
        <v/>
      </c>
      <c r="T1124" s="13">
        <f>IF(ISNUMBER(O1124),ROUND(O1124/(1-Settings!$B$2)/Settings!$B$3,0)*Settings!$B$3,"")</f>
        <v/>
      </c>
      <c r="U1124" s="13">
        <f>IF(ISNUMBER(P1124),ROUND(P1124/(1-Settings!$B$2)/Settings!$B$3,0)*Settings!$B$3,"")</f>
        <v/>
      </c>
      <c r="V1124" s="13">
        <f>IF(ISNUMBER(Q1124),ROUND(Q1124/(1-Settings!$B$2)/Settings!$B$3,0)*Settings!$B$3,"")</f>
        <v/>
      </c>
      <c r="W1124" s="14" t="n">
        <v>45055</v>
      </c>
      <c r="X1124" s="14" t="n">
        <v>64046</v>
      </c>
      <c r="Y1124" s="11" t="inlineStr"/>
      <c r="Z1124" s="11" t="inlineStr"/>
      <c r="AA1124" s="8" t="inlineStr"/>
      <c r="AB1124" s="8" t="inlineStr"/>
      <c r="AC1124" s="11" t="inlineStr">
        <is>
          <t>MasterMilitaryOnBaseList 12.2.25 NS.xlsx</t>
        </is>
      </c>
      <c r="AD1124" s="11" t="inlineStr">
        <is>
          <t>1 Advertising Rate Card FY26-WEB.pdf</t>
        </is>
      </c>
      <c r="AE1124" s="15" t="inlineStr">
        <is>
          <t>Open in Box</t>
        </is>
      </c>
      <c r="AF1124" s="15" t="inlineStr">
        <is>
          <t>Open in Box</t>
        </is>
      </c>
    </row>
    <row r="1125">
      <c r="A1125" s="11" t="inlineStr">
        <is>
          <t>NC-FORTLIBE-016</t>
        </is>
      </c>
      <c r="B1125" s="8" t="inlineStr">
        <is>
          <t>Fort Liberty</t>
        </is>
      </c>
      <c r="C1125" s="11" t="inlineStr">
        <is>
          <t>Fort Bragg</t>
        </is>
      </c>
      <c r="D1125" s="11" t="inlineStr">
        <is>
          <t>NC</t>
        </is>
      </c>
      <c r="E1125" s="11" t="inlineStr">
        <is>
          <t>Raleigh-Durham (Fayetvlle)</t>
        </is>
      </c>
      <c r="F1125" s="11" t="inlineStr">
        <is>
          <t>28307</t>
        </is>
      </c>
      <c r="G1125" s="11" t="inlineStr">
        <is>
          <t>Army</t>
        </is>
      </c>
      <c r="H1125" s="11" t="inlineStr">
        <is>
          <t>Large Format</t>
        </is>
      </c>
      <c r="I1125" s="8" t="inlineStr">
        <is>
          <t>Floor Decal - Tier 1</t>
        </is>
      </c>
      <c r="J1125" s="11" t="inlineStr">
        <is>
          <t>4' x 3'</t>
        </is>
      </c>
      <c r="K1125" s="8" t="inlineStr">
        <is>
          <t>Your ad will appear on the floor in an approved location on the installation.</t>
        </is>
      </c>
      <c r="L1125" s="11" t="n">
        <v>1</v>
      </c>
      <c r="M1125" s="12" t="n">
        <v>400</v>
      </c>
      <c r="N1125" s="12" t="n">
        <v>900</v>
      </c>
      <c r="O1125" s="12" t="n">
        <v>1440</v>
      </c>
      <c r="P1125" s="12" t="n">
        <v>2100</v>
      </c>
      <c r="Q1125" s="12" t="n"/>
      <c r="R1125" s="13">
        <f>IF(ISNUMBER(M1125),ROUND(M1125/(1-Settings!$B$2)/Settings!$B$3,0)*Settings!$B$3,"")</f>
        <v/>
      </c>
      <c r="S1125" s="13">
        <f>IF(ISNUMBER(N1125),ROUND(N1125/(1-Settings!$B$2)/Settings!$B$3,0)*Settings!$B$3,"")</f>
        <v/>
      </c>
      <c r="T1125" s="13">
        <f>IF(ISNUMBER(O1125),ROUND(O1125/(1-Settings!$B$2)/Settings!$B$3,0)*Settings!$B$3,"")</f>
        <v/>
      </c>
      <c r="U1125" s="13">
        <f>IF(ISNUMBER(P1125),ROUND(P1125/(1-Settings!$B$2)/Settings!$B$3,0)*Settings!$B$3,"")</f>
        <v/>
      </c>
      <c r="V1125" s="13">
        <f>IF(ISNUMBER(Q1125),ROUND(Q1125/(1-Settings!$B$2)/Settings!$B$3,0)*Settings!$B$3,"")</f>
        <v/>
      </c>
      <c r="W1125" s="14" t="n">
        <v>45055</v>
      </c>
      <c r="X1125" s="14" t="n">
        <v>64046</v>
      </c>
      <c r="Y1125" s="11" t="inlineStr"/>
      <c r="Z1125" s="11" t="inlineStr"/>
      <c r="AA1125" s="8" t="inlineStr"/>
      <c r="AB1125" s="8" t="inlineStr"/>
      <c r="AC1125" s="11" t="inlineStr">
        <is>
          <t>MasterMilitaryOnBaseList 12.2.25 NS.xlsx</t>
        </is>
      </c>
      <c r="AD1125" s="11" t="inlineStr">
        <is>
          <t>1 Advertising Rate Card FY26-WEB.pdf</t>
        </is>
      </c>
      <c r="AE1125" s="15" t="inlineStr">
        <is>
          <t>Open in Box</t>
        </is>
      </c>
      <c r="AF1125" s="15" t="inlineStr">
        <is>
          <t>Open in Box</t>
        </is>
      </c>
    </row>
    <row r="1126">
      <c r="A1126" s="11" t="inlineStr">
        <is>
          <t>NC-FORTLIBE-017</t>
        </is>
      </c>
      <c r="B1126" s="8" t="inlineStr">
        <is>
          <t>Fort Liberty</t>
        </is>
      </c>
      <c r="C1126" s="11" t="inlineStr">
        <is>
          <t>Fort Bragg</t>
        </is>
      </c>
      <c r="D1126" s="11" t="inlineStr">
        <is>
          <t>NC</t>
        </is>
      </c>
      <c r="E1126" s="11" t="inlineStr">
        <is>
          <t>Raleigh-Durham (Fayetvlle)</t>
        </is>
      </c>
      <c r="F1126" s="11" t="inlineStr">
        <is>
          <t>28307</t>
        </is>
      </c>
      <c r="G1126" s="11" t="inlineStr">
        <is>
          <t>Army</t>
        </is>
      </c>
      <c r="H1126" s="11" t="inlineStr">
        <is>
          <t>Large Format</t>
        </is>
      </c>
      <c r="I1126" s="8" t="inlineStr">
        <is>
          <t>Floor Decal - Tier 2</t>
        </is>
      </c>
      <c r="J1126" s="11" t="inlineStr">
        <is>
          <t>4' x 3'</t>
        </is>
      </c>
      <c r="K1126" s="8" t="inlineStr">
        <is>
          <t>Your ad will appear on the floor in an approved location on the installation.</t>
        </is>
      </c>
      <c r="L1126" s="11" t="n">
        <v>1</v>
      </c>
      <c r="M1126" s="12" t="n">
        <v>350</v>
      </c>
      <c r="N1126" s="12" t="n">
        <v>825</v>
      </c>
      <c r="O1126" s="12" t="n">
        <v>1320</v>
      </c>
      <c r="P1126" s="12" t="n">
        <v>1950</v>
      </c>
      <c r="Q1126" s="12" t="n"/>
      <c r="R1126" s="13">
        <f>IF(ISNUMBER(M1126),ROUND(M1126/(1-Settings!$B$2)/Settings!$B$3,0)*Settings!$B$3,"")</f>
        <v/>
      </c>
      <c r="S1126" s="13">
        <f>IF(ISNUMBER(N1126),ROUND(N1126/(1-Settings!$B$2)/Settings!$B$3,0)*Settings!$B$3,"")</f>
        <v/>
      </c>
      <c r="T1126" s="13">
        <f>IF(ISNUMBER(O1126),ROUND(O1126/(1-Settings!$B$2)/Settings!$B$3,0)*Settings!$B$3,"")</f>
        <v/>
      </c>
      <c r="U1126" s="13">
        <f>IF(ISNUMBER(P1126),ROUND(P1126/(1-Settings!$B$2)/Settings!$B$3,0)*Settings!$B$3,"")</f>
        <v/>
      </c>
      <c r="V1126" s="13">
        <f>IF(ISNUMBER(Q1126),ROUND(Q1126/(1-Settings!$B$2)/Settings!$B$3,0)*Settings!$B$3,"")</f>
        <v/>
      </c>
      <c r="W1126" s="14" t="n">
        <v>45055</v>
      </c>
      <c r="X1126" s="14" t="n">
        <v>64046</v>
      </c>
      <c r="Y1126" s="11" t="inlineStr"/>
      <c r="Z1126" s="11" t="inlineStr"/>
      <c r="AA1126" s="8" t="inlineStr"/>
      <c r="AB1126" s="8" t="inlineStr"/>
      <c r="AC1126" s="11" t="inlineStr">
        <is>
          <t>MasterMilitaryOnBaseList 12.2.25 NS.xlsx</t>
        </is>
      </c>
      <c r="AD1126" s="11" t="inlineStr">
        <is>
          <t>1 Advertising Rate Card FY26-WEB.pdf</t>
        </is>
      </c>
      <c r="AE1126" s="15" t="inlineStr">
        <is>
          <t>Open in Box</t>
        </is>
      </c>
      <c r="AF1126" s="15" t="inlineStr">
        <is>
          <t>Open in Box</t>
        </is>
      </c>
    </row>
    <row r="1127">
      <c r="A1127" s="11" t="inlineStr">
        <is>
          <t>NC-FORTLIBE-018</t>
        </is>
      </c>
      <c r="B1127" s="8" t="inlineStr">
        <is>
          <t>Fort Liberty</t>
        </is>
      </c>
      <c r="C1127" s="11" t="inlineStr">
        <is>
          <t>Fort Bragg</t>
        </is>
      </c>
      <c r="D1127" s="11" t="inlineStr">
        <is>
          <t>NC</t>
        </is>
      </c>
      <c r="E1127" s="11" t="inlineStr">
        <is>
          <t>Raleigh-Durham (Fayetvlle)</t>
        </is>
      </c>
      <c r="F1127" s="11" t="inlineStr">
        <is>
          <t>28307</t>
        </is>
      </c>
      <c r="G1127" s="11" t="inlineStr">
        <is>
          <t>Army</t>
        </is>
      </c>
      <c r="H1127" s="11" t="inlineStr">
        <is>
          <t>Large Format</t>
        </is>
      </c>
      <c r="I1127" s="8" t="inlineStr">
        <is>
          <t>Floor Decal - Tier 3</t>
        </is>
      </c>
      <c r="J1127" s="11" t="inlineStr">
        <is>
          <t>4' x 3'</t>
        </is>
      </c>
      <c r="K1127" s="8" t="inlineStr">
        <is>
          <t>Your ad will appear on the floor in an approved location on the installation.</t>
        </is>
      </c>
      <c r="L1127" s="11" t="n">
        <v>1</v>
      </c>
      <c r="M1127" s="12" t="n">
        <v>300</v>
      </c>
      <c r="N1127" s="12" t="n">
        <v>750</v>
      </c>
      <c r="O1127" s="12" t="n">
        <v>1200</v>
      </c>
      <c r="P1127" s="12" t="n">
        <v>1800</v>
      </c>
      <c r="Q1127" s="12" t="n"/>
      <c r="R1127" s="13">
        <f>IF(ISNUMBER(M1127),ROUND(M1127/(1-Settings!$B$2)/Settings!$B$3,0)*Settings!$B$3,"")</f>
        <v/>
      </c>
      <c r="S1127" s="13">
        <f>IF(ISNUMBER(N1127),ROUND(N1127/(1-Settings!$B$2)/Settings!$B$3,0)*Settings!$B$3,"")</f>
        <v/>
      </c>
      <c r="T1127" s="13">
        <f>IF(ISNUMBER(O1127),ROUND(O1127/(1-Settings!$B$2)/Settings!$B$3,0)*Settings!$B$3,"")</f>
        <v/>
      </c>
      <c r="U1127" s="13">
        <f>IF(ISNUMBER(P1127),ROUND(P1127/(1-Settings!$B$2)/Settings!$B$3,0)*Settings!$B$3,"")</f>
        <v/>
      </c>
      <c r="V1127" s="13">
        <f>IF(ISNUMBER(Q1127),ROUND(Q1127/(1-Settings!$B$2)/Settings!$B$3,0)*Settings!$B$3,"")</f>
        <v/>
      </c>
      <c r="W1127" s="14" t="n">
        <v>45055</v>
      </c>
      <c r="X1127" s="14" t="n">
        <v>64046</v>
      </c>
      <c r="Y1127" s="11" t="inlineStr"/>
      <c r="Z1127" s="11" t="inlineStr"/>
      <c r="AA1127" s="8" t="inlineStr"/>
      <c r="AB1127" s="8" t="inlineStr"/>
      <c r="AC1127" s="11" t="inlineStr">
        <is>
          <t>MasterMilitaryOnBaseList 12.2.25 NS.xlsx</t>
        </is>
      </c>
      <c r="AD1127" s="11" t="inlineStr">
        <is>
          <t>1 Advertising Rate Card FY26-WEB.pdf</t>
        </is>
      </c>
      <c r="AE1127" s="15" t="inlineStr">
        <is>
          <t>Open in Box</t>
        </is>
      </c>
      <c r="AF1127" s="15" t="inlineStr">
        <is>
          <t>Open in Box</t>
        </is>
      </c>
    </row>
    <row r="1128">
      <c r="A1128" s="11" t="inlineStr">
        <is>
          <t>NC-FORTLIBE-019</t>
        </is>
      </c>
      <c r="B1128" s="8" t="inlineStr">
        <is>
          <t>Fort Liberty</t>
        </is>
      </c>
      <c r="C1128" s="11" t="inlineStr">
        <is>
          <t>Fort Bragg</t>
        </is>
      </c>
      <c r="D1128" s="11" t="inlineStr">
        <is>
          <t>NC</t>
        </is>
      </c>
      <c r="E1128" s="11" t="inlineStr">
        <is>
          <t>Raleigh-Durham (Fayetvlle)</t>
        </is>
      </c>
      <c r="F1128" s="11" t="inlineStr">
        <is>
          <t>28307</t>
        </is>
      </c>
      <c r="G1128" s="11" t="inlineStr">
        <is>
          <t>Army</t>
        </is>
      </c>
      <c r="H1128" s="11" t="inlineStr">
        <is>
          <t>Large Format</t>
        </is>
      </c>
      <c r="I1128" s="8" t="inlineStr">
        <is>
          <t>Large Fence Banner - Tier 1</t>
        </is>
      </c>
      <c r="J1128" s="11" t="inlineStr">
        <is>
          <t>Larger 8' x 3'</t>
        </is>
      </c>
      <c r="K1128" s="8" t="inlineStr">
        <is>
          <t>Your ad will appear on an approved fence on the installation.</t>
        </is>
      </c>
      <c r="L1128" s="11" t="n">
        <v>1</v>
      </c>
      <c r="M1128" s="12" t="n">
        <v>1200</v>
      </c>
      <c r="N1128" s="12" t="n">
        <v>3200</v>
      </c>
      <c r="O1128" s="12" t="n">
        <v>5575</v>
      </c>
      <c r="P1128" s="12" t="n">
        <v>10000</v>
      </c>
      <c r="Q1128" s="12" t="n">
        <v>200</v>
      </c>
      <c r="R1128" s="13">
        <f>IF(ISNUMBER(M1128),ROUND(M1128/(1-Settings!$B$2)/Settings!$B$3,0)*Settings!$B$3,"")</f>
        <v/>
      </c>
      <c r="S1128" s="13">
        <f>IF(ISNUMBER(N1128),ROUND(N1128/(1-Settings!$B$2)/Settings!$B$3,0)*Settings!$B$3,"")</f>
        <v/>
      </c>
      <c r="T1128" s="13">
        <f>IF(ISNUMBER(O1128),ROUND(O1128/(1-Settings!$B$2)/Settings!$B$3,0)*Settings!$B$3,"")</f>
        <v/>
      </c>
      <c r="U1128" s="13">
        <f>IF(ISNUMBER(P1128),ROUND(P1128/(1-Settings!$B$2)/Settings!$B$3,0)*Settings!$B$3,"")</f>
        <v/>
      </c>
      <c r="V1128" s="13">
        <f>IF(ISNUMBER(Q1128),ROUND(Q1128/(1-Settings!$B$2)/Settings!$B$3,0)*Settings!$B$3,"")</f>
        <v/>
      </c>
      <c r="W1128" s="14" t="n">
        <v>45055</v>
      </c>
      <c r="X1128" s="14" t="n">
        <v>64046</v>
      </c>
      <c r="Y1128" s="11" t="inlineStr"/>
      <c r="Z1128" s="11" t="inlineStr"/>
      <c r="AA1128" s="8" t="inlineStr"/>
      <c r="AB1128" s="8" t="inlineStr"/>
      <c r="AC1128" s="11" t="inlineStr">
        <is>
          <t>MasterMilitaryOnBaseList 12.2.25 NS.xlsx</t>
        </is>
      </c>
      <c r="AD1128" s="11" t="inlineStr">
        <is>
          <t>1 Advertising Rate Card FY26-WEB.pdf</t>
        </is>
      </c>
      <c r="AE1128" s="15" t="inlineStr">
        <is>
          <t>Open in Box</t>
        </is>
      </c>
      <c r="AF1128" s="15" t="inlineStr">
        <is>
          <t>Open in Box</t>
        </is>
      </c>
    </row>
    <row r="1129">
      <c r="A1129" s="11" t="inlineStr">
        <is>
          <t>NC-FORTLIBE-020</t>
        </is>
      </c>
      <c r="B1129" s="8" t="inlineStr">
        <is>
          <t>Fort Liberty</t>
        </is>
      </c>
      <c r="C1129" s="11" t="inlineStr">
        <is>
          <t>Fort Bragg</t>
        </is>
      </c>
      <c r="D1129" s="11" t="inlineStr">
        <is>
          <t>NC</t>
        </is>
      </c>
      <c r="E1129" s="11" t="inlineStr">
        <is>
          <t>Raleigh-Durham (Fayetvlle)</t>
        </is>
      </c>
      <c r="F1129" s="11" t="inlineStr">
        <is>
          <t>28307</t>
        </is>
      </c>
      <c r="G1129" s="11" t="inlineStr">
        <is>
          <t>Army</t>
        </is>
      </c>
      <c r="H1129" s="11" t="inlineStr">
        <is>
          <t>Large Format</t>
        </is>
      </c>
      <c r="I1129" s="8" t="inlineStr">
        <is>
          <t>Large Fence Banner - Tier 2</t>
        </is>
      </c>
      <c r="J1129" s="11" t="inlineStr">
        <is>
          <t>Larger 8' x 3'</t>
        </is>
      </c>
      <c r="K1129" s="8" t="inlineStr">
        <is>
          <t>Your ad will appear on an approved fence on the installation.</t>
        </is>
      </c>
      <c r="L1129" s="11" t="n">
        <v>1</v>
      </c>
      <c r="M1129" s="12" t="n">
        <v>1100</v>
      </c>
      <c r="N1129" s="12" t="n">
        <v>2950</v>
      </c>
      <c r="O1129" s="12" t="n">
        <v>5300</v>
      </c>
      <c r="P1129" s="12" t="n">
        <v>9250</v>
      </c>
      <c r="Q1129" s="12" t="n">
        <v>200</v>
      </c>
      <c r="R1129" s="13">
        <f>IF(ISNUMBER(M1129),ROUND(M1129/(1-Settings!$B$2)/Settings!$B$3,0)*Settings!$B$3,"")</f>
        <v/>
      </c>
      <c r="S1129" s="13">
        <f>IF(ISNUMBER(N1129),ROUND(N1129/(1-Settings!$B$2)/Settings!$B$3,0)*Settings!$B$3,"")</f>
        <v/>
      </c>
      <c r="T1129" s="13">
        <f>IF(ISNUMBER(O1129),ROUND(O1129/(1-Settings!$B$2)/Settings!$B$3,0)*Settings!$B$3,"")</f>
        <v/>
      </c>
      <c r="U1129" s="13">
        <f>IF(ISNUMBER(P1129),ROUND(P1129/(1-Settings!$B$2)/Settings!$B$3,0)*Settings!$B$3,"")</f>
        <v/>
      </c>
      <c r="V1129" s="13">
        <f>IF(ISNUMBER(Q1129),ROUND(Q1129/(1-Settings!$B$2)/Settings!$B$3,0)*Settings!$B$3,"")</f>
        <v/>
      </c>
      <c r="W1129" s="14" t="n">
        <v>45055</v>
      </c>
      <c r="X1129" s="14" t="n">
        <v>64046</v>
      </c>
      <c r="Y1129" s="11" t="inlineStr"/>
      <c r="Z1129" s="11" t="inlineStr"/>
      <c r="AA1129" s="8" t="inlineStr"/>
      <c r="AB1129" s="8" t="inlineStr"/>
      <c r="AC1129" s="11" t="inlineStr">
        <is>
          <t>MasterMilitaryOnBaseList 12.2.25 NS.xlsx</t>
        </is>
      </c>
      <c r="AD1129" s="11" t="inlineStr">
        <is>
          <t>1 Advertising Rate Card FY26-WEB.pdf</t>
        </is>
      </c>
      <c r="AE1129" s="15" t="inlineStr">
        <is>
          <t>Open in Box</t>
        </is>
      </c>
      <c r="AF1129" s="15" t="inlineStr">
        <is>
          <t>Open in Box</t>
        </is>
      </c>
    </row>
    <row r="1130">
      <c r="A1130" s="11" t="inlineStr">
        <is>
          <t>NC-FORTLIBE-021</t>
        </is>
      </c>
      <c r="B1130" s="8" t="inlineStr">
        <is>
          <t>Fort Liberty</t>
        </is>
      </c>
      <c r="C1130" s="11" t="inlineStr">
        <is>
          <t>Fort Bragg</t>
        </is>
      </c>
      <c r="D1130" s="11" t="inlineStr">
        <is>
          <t>NC</t>
        </is>
      </c>
      <c r="E1130" s="11" t="inlineStr">
        <is>
          <t>Raleigh-Durham (Fayetvlle)</t>
        </is>
      </c>
      <c r="F1130" s="11" t="inlineStr">
        <is>
          <t>28307</t>
        </is>
      </c>
      <c r="G1130" s="11" t="inlineStr">
        <is>
          <t>Army</t>
        </is>
      </c>
      <c r="H1130" s="11" t="inlineStr">
        <is>
          <t>Large Format</t>
        </is>
      </c>
      <c r="I1130" s="8" t="inlineStr">
        <is>
          <t>Large Fence Banner - Tier 3</t>
        </is>
      </c>
      <c r="J1130" s="11" t="inlineStr">
        <is>
          <t>Larger 8' x 3'</t>
        </is>
      </c>
      <c r="K1130" s="8" t="inlineStr">
        <is>
          <t>Your ad will appear on an approved fence on the installation.</t>
        </is>
      </c>
      <c r="L1130" s="11" t="n">
        <v>1</v>
      </c>
      <c r="M1130" s="12" t="n">
        <v>1000</v>
      </c>
      <c r="N1130" s="12" t="n">
        <v>2700</v>
      </c>
      <c r="O1130" s="12" t="n">
        <v>4800</v>
      </c>
      <c r="P1130" s="12" t="n">
        <v>8400</v>
      </c>
      <c r="Q1130" s="12" t="n">
        <v>200</v>
      </c>
      <c r="R1130" s="13">
        <f>IF(ISNUMBER(M1130),ROUND(M1130/(1-Settings!$B$2)/Settings!$B$3,0)*Settings!$B$3,"")</f>
        <v/>
      </c>
      <c r="S1130" s="13">
        <f>IF(ISNUMBER(N1130),ROUND(N1130/(1-Settings!$B$2)/Settings!$B$3,0)*Settings!$B$3,"")</f>
        <v/>
      </c>
      <c r="T1130" s="13">
        <f>IF(ISNUMBER(O1130),ROUND(O1130/(1-Settings!$B$2)/Settings!$B$3,0)*Settings!$B$3,"")</f>
        <v/>
      </c>
      <c r="U1130" s="13">
        <f>IF(ISNUMBER(P1130),ROUND(P1130/(1-Settings!$B$2)/Settings!$B$3,0)*Settings!$B$3,"")</f>
        <v/>
      </c>
      <c r="V1130" s="13">
        <f>IF(ISNUMBER(Q1130),ROUND(Q1130/(1-Settings!$B$2)/Settings!$B$3,0)*Settings!$B$3,"")</f>
        <v/>
      </c>
      <c r="W1130" s="14" t="n">
        <v>45055</v>
      </c>
      <c r="X1130" s="14" t="n">
        <v>64046</v>
      </c>
      <c r="Y1130" s="11" t="inlineStr"/>
      <c r="Z1130" s="11" t="inlineStr"/>
      <c r="AA1130" s="8" t="inlineStr"/>
      <c r="AB1130" s="8" t="inlineStr"/>
      <c r="AC1130" s="11" t="inlineStr">
        <is>
          <t>MasterMilitaryOnBaseList 12.2.25 NS.xlsx</t>
        </is>
      </c>
      <c r="AD1130" s="11" t="inlineStr">
        <is>
          <t>1 Advertising Rate Card FY26-WEB.pdf</t>
        </is>
      </c>
      <c r="AE1130" s="15" t="inlineStr">
        <is>
          <t>Open in Box</t>
        </is>
      </c>
      <c r="AF1130" s="15" t="inlineStr">
        <is>
          <t>Open in Box</t>
        </is>
      </c>
    </row>
    <row r="1131">
      <c r="A1131" s="11" t="inlineStr">
        <is>
          <t>NC-FORTLIBE-022</t>
        </is>
      </c>
      <c r="B1131" s="8" t="inlineStr">
        <is>
          <t>Fort Liberty</t>
        </is>
      </c>
      <c r="C1131" s="11" t="inlineStr">
        <is>
          <t>Fort Bragg</t>
        </is>
      </c>
      <c r="D1131" s="11" t="inlineStr">
        <is>
          <t>NC</t>
        </is>
      </c>
      <c r="E1131" s="11" t="inlineStr">
        <is>
          <t>Raleigh-Durham (Fayetvlle)</t>
        </is>
      </c>
      <c r="F1131" s="11" t="inlineStr">
        <is>
          <t>28307</t>
        </is>
      </c>
      <c r="G1131" s="11" t="inlineStr">
        <is>
          <t>Army</t>
        </is>
      </c>
      <c r="H1131" s="11" t="inlineStr">
        <is>
          <t>Large Format</t>
        </is>
      </c>
      <c r="I1131" s="8" t="inlineStr">
        <is>
          <t>Large Format Banner - Tier 1</t>
        </is>
      </c>
      <c r="J1131" s="11" t="inlineStr">
        <is>
          <t>Larger than 5' x 3'</t>
        </is>
      </c>
      <c r="K1131" s="8" t="inlineStr">
        <is>
          <t>Your ad will appear in an approved location on the installation.</t>
        </is>
      </c>
      <c r="L1131" s="11" t="n">
        <v>1</v>
      </c>
      <c r="M1131" s="12" t="n">
        <v>900</v>
      </c>
      <c r="N1131" s="12" t="n">
        <v>2500</v>
      </c>
      <c r="O1131" s="12" t="n">
        <v>4700</v>
      </c>
      <c r="P1131" s="12" t="n">
        <v>8650</v>
      </c>
      <c r="Q1131" s="12" t="n">
        <v>200</v>
      </c>
      <c r="R1131" s="13">
        <f>IF(ISNUMBER(M1131),ROUND(M1131/(1-Settings!$B$2)/Settings!$B$3,0)*Settings!$B$3,"")</f>
        <v/>
      </c>
      <c r="S1131" s="13">
        <f>IF(ISNUMBER(N1131),ROUND(N1131/(1-Settings!$B$2)/Settings!$B$3,0)*Settings!$B$3,"")</f>
        <v/>
      </c>
      <c r="T1131" s="13">
        <f>IF(ISNUMBER(O1131),ROUND(O1131/(1-Settings!$B$2)/Settings!$B$3,0)*Settings!$B$3,"")</f>
        <v/>
      </c>
      <c r="U1131" s="13">
        <f>IF(ISNUMBER(P1131),ROUND(P1131/(1-Settings!$B$2)/Settings!$B$3,0)*Settings!$B$3,"")</f>
        <v/>
      </c>
      <c r="V1131" s="13">
        <f>IF(ISNUMBER(Q1131),ROUND(Q1131/(1-Settings!$B$2)/Settings!$B$3,0)*Settings!$B$3,"")</f>
        <v/>
      </c>
      <c r="W1131" s="14" t="n">
        <v>45055</v>
      </c>
      <c r="X1131" s="14" t="n">
        <v>64046</v>
      </c>
      <c r="Y1131" s="11" t="inlineStr"/>
      <c r="Z1131" s="11" t="inlineStr"/>
      <c r="AA1131" s="8" t="inlineStr"/>
      <c r="AB1131" s="8" t="inlineStr"/>
      <c r="AC1131" s="11" t="inlineStr">
        <is>
          <t>MasterMilitaryOnBaseList 12.2.25 NS.xlsx</t>
        </is>
      </c>
      <c r="AD1131" s="11" t="inlineStr">
        <is>
          <t>1 Advertising Rate Card FY26-WEB.pdf</t>
        </is>
      </c>
      <c r="AE1131" s="15" t="inlineStr">
        <is>
          <t>Open in Box</t>
        </is>
      </c>
      <c r="AF1131" s="15" t="inlineStr">
        <is>
          <t>Open in Box</t>
        </is>
      </c>
    </row>
    <row r="1132">
      <c r="A1132" s="11" t="inlineStr">
        <is>
          <t>NC-FORTLIBE-023</t>
        </is>
      </c>
      <c r="B1132" s="8" t="inlineStr">
        <is>
          <t>Fort Liberty</t>
        </is>
      </c>
      <c r="C1132" s="11" t="inlineStr">
        <is>
          <t>Fort Bragg</t>
        </is>
      </c>
      <c r="D1132" s="11" t="inlineStr">
        <is>
          <t>NC</t>
        </is>
      </c>
      <c r="E1132" s="11" t="inlineStr">
        <is>
          <t>Raleigh-Durham (Fayetvlle)</t>
        </is>
      </c>
      <c r="F1132" s="11" t="inlineStr">
        <is>
          <t>28307</t>
        </is>
      </c>
      <c r="G1132" s="11" t="inlineStr">
        <is>
          <t>Army</t>
        </is>
      </c>
      <c r="H1132" s="11" t="inlineStr">
        <is>
          <t>Large Format</t>
        </is>
      </c>
      <c r="I1132" s="8" t="inlineStr">
        <is>
          <t>Large Format Banner - Tier 2</t>
        </is>
      </c>
      <c r="J1132" s="11" t="inlineStr">
        <is>
          <t>Larger than 5' x 3'</t>
        </is>
      </c>
      <c r="K1132" s="8" t="inlineStr">
        <is>
          <t>Your ad will appear in an approved location on the installation.</t>
        </is>
      </c>
      <c r="L1132" s="11" t="n">
        <v>1</v>
      </c>
      <c r="M1132" s="12" t="n">
        <v>825</v>
      </c>
      <c r="N1132" s="12" t="n">
        <v>2300</v>
      </c>
      <c r="O1132" s="12" t="n">
        <v>4300</v>
      </c>
      <c r="P1132" s="12" t="n">
        <v>7900</v>
      </c>
      <c r="Q1132" s="12" t="n">
        <v>200</v>
      </c>
      <c r="R1132" s="13">
        <f>IF(ISNUMBER(M1132),ROUND(M1132/(1-Settings!$B$2)/Settings!$B$3,0)*Settings!$B$3,"")</f>
        <v/>
      </c>
      <c r="S1132" s="13">
        <f>IF(ISNUMBER(N1132),ROUND(N1132/(1-Settings!$B$2)/Settings!$B$3,0)*Settings!$B$3,"")</f>
        <v/>
      </c>
      <c r="T1132" s="13">
        <f>IF(ISNUMBER(O1132),ROUND(O1132/(1-Settings!$B$2)/Settings!$B$3,0)*Settings!$B$3,"")</f>
        <v/>
      </c>
      <c r="U1132" s="13">
        <f>IF(ISNUMBER(P1132),ROUND(P1132/(1-Settings!$B$2)/Settings!$B$3,0)*Settings!$B$3,"")</f>
        <v/>
      </c>
      <c r="V1132" s="13">
        <f>IF(ISNUMBER(Q1132),ROUND(Q1132/(1-Settings!$B$2)/Settings!$B$3,0)*Settings!$B$3,"")</f>
        <v/>
      </c>
      <c r="W1132" s="14" t="n">
        <v>45055</v>
      </c>
      <c r="X1132" s="14" t="n">
        <v>64046</v>
      </c>
      <c r="Y1132" s="11" t="inlineStr"/>
      <c r="Z1132" s="11" t="inlineStr"/>
      <c r="AA1132" s="8" t="inlineStr"/>
      <c r="AB1132" s="8" t="inlineStr"/>
      <c r="AC1132" s="11" t="inlineStr">
        <is>
          <t>MasterMilitaryOnBaseList 12.2.25 NS.xlsx</t>
        </is>
      </c>
      <c r="AD1132" s="11" t="inlineStr">
        <is>
          <t>1 Advertising Rate Card FY26-WEB.pdf</t>
        </is>
      </c>
      <c r="AE1132" s="15" t="inlineStr">
        <is>
          <t>Open in Box</t>
        </is>
      </c>
      <c r="AF1132" s="15" t="inlineStr">
        <is>
          <t>Open in Box</t>
        </is>
      </c>
    </row>
    <row r="1133">
      <c r="A1133" s="11" t="inlineStr">
        <is>
          <t>NC-FORTLIBE-024</t>
        </is>
      </c>
      <c r="B1133" s="8" t="inlineStr">
        <is>
          <t>Fort Liberty</t>
        </is>
      </c>
      <c r="C1133" s="11" t="inlineStr">
        <is>
          <t>Fort Bragg</t>
        </is>
      </c>
      <c r="D1133" s="11" t="inlineStr">
        <is>
          <t>NC</t>
        </is>
      </c>
      <c r="E1133" s="11" t="inlineStr">
        <is>
          <t>Raleigh-Durham (Fayetvlle)</t>
        </is>
      </c>
      <c r="F1133" s="11" t="inlineStr">
        <is>
          <t>28307</t>
        </is>
      </c>
      <c r="G1133" s="11" t="inlineStr">
        <is>
          <t>Army</t>
        </is>
      </c>
      <c r="H1133" s="11" t="inlineStr">
        <is>
          <t>Large Format</t>
        </is>
      </c>
      <c r="I1133" s="8" t="inlineStr">
        <is>
          <t>Large Format Banner - Tier 3</t>
        </is>
      </c>
      <c r="J1133" s="11" t="inlineStr">
        <is>
          <t>Larger than 5' x 3'</t>
        </is>
      </c>
      <c r="K1133" s="8" t="inlineStr">
        <is>
          <t>Your ad will appear in an approved location on the installation.</t>
        </is>
      </c>
      <c r="L1133" s="11" t="n">
        <v>1</v>
      </c>
      <c r="M1133" s="12" t="n">
        <v>750</v>
      </c>
      <c r="N1133" s="12" t="n">
        <v>2100</v>
      </c>
      <c r="O1133" s="12" t="n">
        <v>3900</v>
      </c>
      <c r="P1133" s="12" t="n">
        <v>7200</v>
      </c>
      <c r="Q1133" s="12" t="n">
        <v>200</v>
      </c>
      <c r="R1133" s="13">
        <f>IF(ISNUMBER(M1133),ROUND(M1133/(1-Settings!$B$2)/Settings!$B$3,0)*Settings!$B$3,"")</f>
        <v/>
      </c>
      <c r="S1133" s="13">
        <f>IF(ISNUMBER(N1133),ROUND(N1133/(1-Settings!$B$2)/Settings!$B$3,0)*Settings!$B$3,"")</f>
        <v/>
      </c>
      <c r="T1133" s="13">
        <f>IF(ISNUMBER(O1133),ROUND(O1133/(1-Settings!$B$2)/Settings!$B$3,0)*Settings!$B$3,"")</f>
        <v/>
      </c>
      <c r="U1133" s="13">
        <f>IF(ISNUMBER(P1133),ROUND(P1133/(1-Settings!$B$2)/Settings!$B$3,0)*Settings!$B$3,"")</f>
        <v/>
      </c>
      <c r="V1133" s="13">
        <f>IF(ISNUMBER(Q1133),ROUND(Q1133/(1-Settings!$B$2)/Settings!$B$3,0)*Settings!$B$3,"")</f>
        <v/>
      </c>
      <c r="W1133" s="14" t="n">
        <v>45055</v>
      </c>
      <c r="X1133" s="14" t="n">
        <v>64046</v>
      </c>
      <c r="Y1133" s="11" t="inlineStr"/>
      <c r="Z1133" s="11" t="inlineStr"/>
      <c r="AA1133" s="8" t="inlineStr"/>
      <c r="AB1133" s="8" t="inlineStr"/>
      <c r="AC1133" s="11" t="inlineStr">
        <is>
          <t>MasterMilitaryOnBaseList 12.2.25 NS.xlsx</t>
        </is>
      </c>
      <c r="AD1133" s="11" t="inlineStr">
        <is>
          <t>1 Advertising Rate Card FY26-WEB.pdf</t>
        </is>
      </c>
      <c r="AE1133" s="15" t="inlineStr">
        <is>
          <t>Open in Box</t>
        </is>
      </c>
      <c r="AF1133" s="15" t="inlineStr">
        <is>
          <t>Open in Box</t>
        </is>
      </c>
    </row>
    <row r="1134">
      <c r="A1134" s="11" t="inlineStr">
        <is>
          <t>NC-FORTLIBE-025</t>
        </is>
      </c>
      <c r="B1134" s="8" t="inlineStr">
        <is>
          <t>Fort Liberty</t>
        </is>
      </c>
      <c r="C1134" s="11" t="inlineStr">
        <is>
          <t>Fort Bragg</t>
        </is>
      </c>
      <c r="D1134" s="11" t="inlineStr">
        <is>
          <t>NC</t>
        </is>
      </c>
      <c r="E1134" s="11" t="inlineStr">
        <is>
          <t>Raleigh-Durham (Fayetvlle)</t>
        </is>
      </c>
      <c r="F1134" s="11" t="inlineStr">
        <is>
          <t>28307</t>
        </is>
      </c>
      <c r="G1134" s="11" t="inlineStr">
        <is>
          <t>Army</t>
        </is>
      </c>
      <c r="H1134" s="11" t="inlineStr">
        <is>
          <t>Large Format</t>
        </is>
      </c>
      <c r="I1134" s="8" t="inlineStr">
        <is>
          <t>Large Format Wall Decal - Hercules PFC</t>
        </is>
      </c>
      <c r="J1134" s="11" t="inlineStr">
        <is>
          <t>Larger than 8' x 3'</t>
        </is>
      </c>
      <c r="K1134" s="8" t="inlineStr">
        <is>
          <t>Your ad will appear on an approved wall on the installation.</t>
        </is>
      </c>
      <c r="L1134" s="11" t="n">
        <v>1</v>
      </c>
      <c r="M1134" s="12" t="n">
        <v>1100</v>
      </c>
      <c r="N1134" s="12" t="n">
        <v>2950</v>
      </c>
      <c r="O1134" s="12" t="n">
        <v>5300</v>
      </c>
      <c r="P1134" s="12" t="n">
        <v>9250</v>
      </c>
      <c r="Q1134" s="12" t="n"/>
      <c r="R1134" s="13">
        <f>IF(ISNUMBER(M1134),ROUND(M1134/(1-Settings!$B$2)/Settings!$B$3,0)*Settings!$B$3,"")</f>
        <v/>
      </c>
      <c r="S1134" s="13">
        <f>IF(ISNUMBER(N1134),ROUND(N1134/(1-Settings!$B$2)/Settings!$B$3,0)*Settings!$B$3,"")</f>
        <v/>
      </c>
      <c r="T1134" s="13">
        <f>IF(ISNUMBER(O1134),ROUND(O1134/(1-Settings!$B$2)/Settings!$B$3,0)*Settings!$B$3,"")</f>
        <v/>
      </c>
      <c r="U1134" s="13">
        <f>IF(ISNUMBER(P1134),ROUND(P1134/(1-Settings!$B$2)/Settings!$B$3,0)*Settings!$B$3,"")</f>
        <v/>
      </c>
      <c r="V1134" s="13">
        <f>IF(ISNUMBER(Q1134),ROUND(Q1134/(1-Settings!$B$2)/Settings!$B$3,0)*Settings!$B$3,"")</f>
        <v/>
      </c>
      <c r="W1134" s="14" t="n">
        <v>45055</v>
      </c>
      <c r="X1134" s="14" t="n">
        <v>64046</v>
      </c>
      <c r="Y1134" s="11" t="inlineStr"/>
      <c r="Z1134" s="11" t="inlineStr"/>
      <c r="AA1134" s="8" t="inlineStr"/>
      <c r="AB1134" s="8" t="inlineStr"/>
      <c r="AC1134" s="11" t="inlineStr">
        <is>
          <t>MasterMilitaryOnBaseList 12.2.25 NS.xlsx</t>
        </is>
      </c>
      <c r="AD1134" s="11" t="inlineStr">
        <is>
          <t>1 Advertising Rate Card FY26-WEB.pdf</t>
        </is>
      </c>
      <c r="AE1134" s="15" t="inlineStr">
        <is>
          <t>Open in Box</t>
        </is>
      </c>
      <c r="AF1134" s="15" t="inlineStr">
        <is>
          <t>Open in Box</t>
        </is>
      </c>
    </row>
    <row r="1135">
      <c r="A1135" s="11" t="inlineStr">
        <is>
          <t>NC-FORTLIBE-026</t>
        </is>
      </c>
      <c r="B1135" s="8" t="inlineStr">
        <is>
          <t>Fort Liberty</t>
        </is>
      </c>
      <c r="C1135" s="11" t="inlineStr">
        <is>
          <t>Fort Bragg</t>
        </is>
      </c>
      <c r="D1135" s="11" t="inlineStr">
        <is>
          <t>NC</t>
        </is>
      </c>
      <c r="E1135" s="11" t="inlineStr">
        <is>
          <t>Raleigh-Durham (Fayetvlle)</t>
        </is>
      </c>
      <c r="F1135" s="11" t="inlineStr">
        <is>
          <t>28307</t>
        </is>
      </c>
      <c r="G1135" s="11" t="inlineStr">
        <is>
          <t>Army</t>
        </is>
      </c>
      <c r="H1135" s="11" t="inlineStr">
        <is>
          <t>Large Format</t>
        </is>
      </c>
      <c r="I1135" s="8" t="inlineStr">
        <is>
          <t>Large Format Wall Decal - Other available facilities</t>
        </is>
      </c>
      <c r="J1135" s="11" t="inlineStr">
        <is>
          <t>Larger than 8' x 3'</t>
        </is>
      </c>
      <c r="K1135" s="8" t="inlineStr">
        <is>
          <t>Your ad will appear on an approved wall on the installation.</t>
        </is>
      </c>
      <c r="L1135" s="11" t="n">
        <v>1</v>
      </c>
      <c r="M1135" s="12" t="n">
        <v>1000</v>
      </c>
      <c r="N1135" s="12" t="n">
        <v>2700</v>
      </c>
      <c r="O1135" s="12" t="n">
        <v>4800</v>
      </c>
      <c r="P1135" s="12" t="n">
        <v>8400</v>
      </c>
      <c r="Q1135" s="12" t="n"/>
      <c r="R1135" s="13">
        <f>IF(ISNUMBER(M1135),ROUND(M1135/(1-Settings!$B$2)/Settings!$B$3,0)*Settings!$B$3,"")</f>
        <v/>
      </c>
      <c r="S1135" s="13">
        <f>IF(ISNUMBER(N1135),ROUND(N1135/(1-Settings!$B$2)/Settings!$B$3,0)*Settings!$B$3,"")</f>
        <v/>
      </c>
      <c r="T1135" s="13">
        <f>IF(ISNUMBER(O1135),ROUND(O1135/(1-Settings!$B$2)/Settings!$B$3,0)*Settings!$B$3,"")</f>
        <v/>
      </c>
      <c r="U1135" s="13">
        <f>IF(ISNUMBER(P1135),ROUND(P1135/(1-Settings!$B$2)/Settings!$B$3,0)*Settings!$B$3,"")</f>
        <v/>
      </c>
      <c r="V1135" s="13">
        <f>IF(ISNUMBER(Q1135),ROUND(Q1135/(1-Settings!$B$2)/Settings!$B$3,0)*Settings!$B$3,"")</f>
        <v/>
      </c>
      <c r="W1135" s="14" t="n">
        <v>45055</v>
      </c>
      <c r="X1135" s="14" t="n">
        <v>64046</v>
      </c>
      <c r="Y1135" s="11" t="inlineStr"/>
      <c r="Z1135" s="11" t="inlineStr"/>
      <c r="AA1135" s="8" t="inlineStr"/>
      <c r="AB1135" s="8" t="inlineStr"/>
      <c r="AC1135" s="11" t="inlineStr">
        <is>
          <t>MasterMilitaryOnBaseList 12.2.25 NS.xlsx</t>
        </is>
      </c>
      <c r="AD1135" s="11" t="inlineStr">
        <is>
          <t>1 Advertising Rate Card FY26-WEB.pdf</t>
        </is>
      </c>
      <c r="AE1135" s="15" t="inlineStr">
        <is>
          <t>Open in Box</t>
        </is>
      </c>
      <c r="AF1135" s="15" t="inlineStr">
        <is>
          <t>Open in Box</t>
        </is>
      </c>
    </row>
    <row r="1136">
      <c r="A1136" s="11" t="inlineStr">
        <is>
          <t>NC-FORTLIBE-027</t>
        </is>
      </c>
      <c r="B1136" s="8" t="inlineStr">
        <is>
          <t>Fort Liberty</t>
        </is>
      </c>
      <c r="C1136" s="11" t="inlineStr">
        <is>
          <t>Fort Bragg</t>
        </is>
      </c>
      <c r="D1136" s="11" t="inlineStr">
        <is>
          <t>NC</t>
        </is>
      </c>
      <c r="E1136" s="11" t="inlineStr">
        <is>
          <t>Raleigh-Durham (Fayetvlle)</t>
        </is>
      </c>
      <c r="F1136" s="11" t="inlineStr">
        <is>
          <t>28307</t>
        </is>
      </c>
      <c r="G1136" s="11" t="inlineStr">
        <is>
          <t>Army</t>
        </is>
      </c>
      <c r="H1136" s="11" t="inlineStr">
        <is>
          <t>Large Format</t>
        </is>
      </c>
      <c r="I1136" s="8" t="inlineStr">
        <is>
          <t>Large Format Wall Decal - Ritz-Epps PFC</t>
        </is>
      </c>
      <c r="J1136" s="11" t="inlineStr">
        <is>
          <t>Larger than 8' x 3'</t>
        </is>
      </c>
      <c r="K1136" s="8" t="inlineStr">
        <is>
          <t>Your ad will appear on an approved wall on the installation.</t>
        </is>
      </c>
      <c r="L1136" s="11" t="n">
        <v>1</v>
      </c>
      <c r="M1136" s="12" t="n">
        <v>1200</v>
      </c>
      <c r="N1136" s="12" t="n">
        <v>3200</v>
      </c>
      <c r="O1136" s="12" t="n">
        <v>5575</v>
      </c>
      <c r="P1136" s="12" t="n">
        <v>10000</v>
      </c>
      <c r="Q1136" s="12" t="n"/>
      <c r="R1136" s="13">
        <f>IF(ISNUMBER(M1136),ROUND(M1136/(1-Settings!$B$2)/Settings!$B$3,0)*Settings!$B$3,"")</f>
        <v/>
      </c>
      <c r="S1136" s="13">
        <f>IF(ISNUMBER(N1136),ROUND(N1136/(1-Settings!$B$2)/Settings!$B$3,0)*Settings!$B$3,"")</f>
        <v/>
      </c>
      <c r="T1136" s="13">
        <f>IF(ISNUMBER(O1136),ROUND(O1136/(1-Settings!$B$2)/Settings!$B$3,0)*Settings!$B$3,"")</f>
        <v/>
      </c>
      <c r="U1136" s="13">
        <f>IF(ISNUMBER(P1136),ROUND(P1136/(1-Settings!$B$2)/Settings!$B$3,0)*Settings!$B$3,"")</f>
        <v/>
      </c>
      <c r="V1136" s="13">
        <f>IF(ISNUMBER(Q1136),ROUND(Q1136/(1-Settings!$B$2)/Settings!$B$3,0)*Settings!$B$3,"")</f>
        <v/>
      </c>
      <c r="W1136" s="14" t="n">
        <v>45055</v>
      </c>
      <c r="X1136" s="14" t="n">
        <v>64046</v>
      </c>
      <c r="Y1136" s="11" t="inlineStr"/>
      <c r="Z1136" s="11" t="inlineStr"/>
      <c r="AA1136" s="8" t="inlineStr"/>
      <c r="AB1136" s="8" t="inlineStr"/>
      <c r="AC1136" s="11" t="inlineStr">
        <is>
          <t>MasterMilitaryOnBaseList 12.2.25 NS.xlsx</t>
        </is>
      </c>
      <c r="AD1136" s="11" t="inlineStr">
        <is>
          <t>1 Advertising Rate Card FY26-WEB.pdf</t>
        </is>
      </c>
      <c r="AE1136" s="15" t="inlineStr">
        <is>
          <t>Open in Box</t>
        </is>
      </c>
      <c r="AF1136" s="15" t="inlineStr">
        <is>
          <t>Open in Box</t>
        </is>
      </c>
    </row>
    <row r="1137">
      <c r="A1137" s="11" t="inlineStr">
        <is>
          <t>NC-FORTLIBE-028</t>
        </is>
      </c>
      <c r="B1137" s="8" t="inlineStr">
        <is>
          <t>Fort Liberty</t>
        </is>
      </c>
      <c r="C1137" s="11" t="inlineStr">
        <is>
          <t>Fort Bragg</t>
        </is>
      </c>
      <c r="D1137" s="11" t="inlineStr">
        <is>
          <t>NC</t>
        </is>
      </c>
      <c r="E1137" s="11" t="inlineStr">
        <is>
          <t>Raleigh-Durham (Fayetvlle)</t>
        </is>
      </c>
      <c r="F1137" s="11" t="inlineStr">
        <is>
          <t>28307</t>
        </is>
      </c>
      <c r="G1137" s="11" t="inlineStr">
        <is>
          <t>Army</t>
        </is>
      </c>
      <c r="H1137" s="11" t="inlineStr">
        <is>
          <t>Large Format</t>
        </is>
      </c>
      <c r="I1137" s="8" t="inlineStr">
        <is>
          <t>Wall Decal - Hercules PFC</t>
        </is>
      </c>
      <c r="J1137" s="11" t="inlineStr">
        <is>
          <t>8' x 3'</t>
        </is>
      </c>
      <c r="K1137" s="8" t="inlineStr">
        <is>
          <t>Your ad will appear on an approved wall on the installation.</t>
        </is>
      </c>
      <c r="L1137" s="11" t="n">
        <v>1</v>
      </c>
      <c r="M1137" s="12" t="n">
        <v>825</v>
      </c>
      <c r="N1137" s="12" t="n">
        <v>2300</v>
      </c>
      <c r="O1137" s="12" t="n">
        <v>4300</v>
      </c>
      <c r="P1137" s="12" t="n">
        <v>7900</v>
      </c>
      <c r="Q1137" s="12" t="n"/>
      <c r="R1137" s="13">
        <f>IF(ISNUMBER(M1137),ROUND(M1137/(1-Settings!$B$2)/Settings!$B$3,0)*Settings!$B$3,"")</f>
        <v/>
      </c>
      <c r="S1137" s="13">
        <f>IF(ISNUMBER(N1137),ROUND(N1137/(1-Settings!$B$2)/Settings!$B$3,0)*Settings!$B$3,"")</f>
        <v/>
      </c>
      <c r="T1137" s="13">
        <f>IF(ISNUMBER(O1137),ROUND(O1137/(1-Settings!$B$2)/Settings!$B$3,0)*Settings!$B$3,"")</f>
        <v/>
      </c>
      <c r="U1137" s="13">
        <f>IF(ISNUMBER(P1137),ROUND(P1137/(1-Settings!$B$2)/Settings!$B$3,0)*Settings!$B$3,"")</f>
        <v/>
      </c>
      <c r="V1137" s="13">
        <f>IF(ISNUMBER(Q1137),ROUND(Q1137/(1-Settings!$B$2)/Settings!$B$3,0)*Settings!$B$3,"")</f>
        <v/>
      </c>
      <c r="W1137" s="14" t="n">
        <v>45055</v>
      </c>
      <c r="X1137" s="14" t="n">
        <v>64046</v>
      </c>
      <c r="Y1137" s="11" t="inlineStr"/>
      <c r="Z1137" s="11" t="inlineStr"/>
      <c r="AA1137" s="8" t="inlineStr"/>
      <c r="AB1137" s="8" t="inlineStr"/>
      <c r="AC1137" s="11" t="inlineStr">
        <is>
          <t>MasterMilitaryOnBaseList 12.2.25 NS.xlsx</t>
        </is>
      </c>
      <c r="AD1137" s="11" t="inlineStr">
        <is>
          <t>1 Advertising Rate Card FY26-WEB.pdf</t>
        </is>
      </c>
      <c r="AE1137" s="15" t="inlineStr">
        <is>
          <t>Open in Box</t>
        </is>
      </c>
      <c r="AF1137" s="15" t="inlineStr">
        <is>
          <t>Open in Box</t>
        </is>
      </c>
    </row>
    <row r="1138">
      <c r="A1138" s="11" t="inlineStr">
        <is>
          <t>NC-FORTLIBE-029</t>
        </is>
      </c>
      <c r="B1138" s="8" t="inlineStr">
        <is>
          <t>Fort Liberty</t>
        </is>
      </c>
      <c r="C1138" s="11" t="inlineStr">
        <is>
          <t>Fort Bragg</t>
        </is>
      </c>
      <c r="D1138" s="11" t="inlineStr">
        <is>
          <t>NC</t>
        </is>
      </c>
      <c r="E1138" s="11" t="inlineStr">
        <is>
          <t>Raleigh-Durham (Fayetvlle)</t>
        </is>
      </c>
      <c r="F1138" s="11" t="inlineStr">
        <is>
          <t>28307</t>
        </is>
      </c>
      <c r="G1138" s="11" t="inlineStr">
        <is>
          <t>Army</t>
        </is>
      </c>
      <c r="H1138" s="11" t="inlineStr">
        <is>
          <t>Large Format</t>
        </is>
      </c>
      <c r="I1138" s="8" t="inlineStr">
        <is>
          <t>Wall Decal - Other available facilities</t>
        </is>
      </c>
      <c r="J1138" s="11" t="inlineStr">
        <is>
          <t>8' x 3'</t>
        </is>
      </c>
      <c r="K1138" s="8" t="inlineStr">
        <is>
          <t>Your ad will appear on an approved wall on the installation.</t>
        </is>
      </c>
      <c r="L1138" s="11" t="n">
        <v>1</v>
      </c>
      <c r="M1138" s="12" t="n">
        <v>750</v>
      </c>
      <c r="N1138" s="12" t="n">
        <v>2100</v>
      </c>
      <c r="O1138" s="12" t="n">
        <v>3900</v>
      </c>
      <c r="P1138" s="12" t="n">
        <v>7200</v>
      </c>
      <c r="Q1138" s="12" t="n"/>
      <c r="R1138" s="13">
        <f>IF(ISNUMBER(M1138),ROUND(M1138/(1-Settings!$B$2)/Settings!$B$3,0)*Settings!$B$3,"")</f>
        <v/>
      </c>
      <c r="S1138" s="13">
        <f>IF(ISNUMBER(N1138),ROUND(N1138/(1-Settings!$B$2)/Settings!$B$3,0)*Settings!$B$3,"")</f>
        <v/>
      </c>
      <c r="T1138" s="13">
        <f>IF(ISNUMBER(O1138),ROUND(O1138/(1-Settings!$B$2)/Settings!$B$3,0)*Settings!$B$3,"")</f>
        <v/>
      </c>
      <c r="U1138" s="13">
        <f>IF(ISNUMBER(P1138),ROUND(P1138/(1-Settings!$B$2)/Settings!$B$3,0)*Settings!$B$3,"")</f>
        <v/>
      </c>
      <c r="V1138" s="13">
        <f>IF(ISNUMBER(Q1138),ROUND(Q1138/(1-Settings!$B$2)/Settings!$B$3,0)*Settings!$B$3,"")</f>
        <v/>
      </c>
      <c r="W1138" s="14" t="n">
        <v>45055</v>
      </c>
      <c r="X1138" s="14" t="n">
        <v>64046</v>
      </c>
      <c r="Y1138" s="11" t="inlineStr"/>
      <c r="Z1138" s="11" t="inlineStr"/>
      <c r="AA1138" s="8" t="inlineStr"/>
      <c r="AB1138" s="8" t="inlineStr"/>
      <c r="AC1138" s="11" t="inlineStr">
        <is>
          <t>MasterMilitaryOnBaseList 12.2.25 NS.xlsx</t>
        </is>
      </c>
      <c r="AD1138" s="11" t="inlineStr">
        <is>
          <t>1 Advertising Rate Card FY26-WEB.pdf</t>
        </is>
      </c>
      <c r="AE1138" s="15" t="inlineStr">
        <is>
          <t>Open in Box</t>
        </is>
      </c>
      <c r="AF1138" s="15" t="inlineStr">
        <is>
          <t>Open in Box</t>
        </is>
      </c>
    </row>
    <row r="1139">
      <c r="A1139" s="11" t="inlineStr">
        <is>
          <t>NC-FORTLIBE-030</t>
        </is>
      </c>
      <c r="B1139" s="8" t="inlineStr">
        <is>
          <t>Fort Liberty</t>
        </is>
      </c>
      <c r="C1139" s="11" t="inlineStr">
        <is>
          <t>Fort Bragg</t>
        </is>
      </c>
      <c r="D1139" s="11" t="inlineStr">
        <is>
          <t>NC</t>
        </is>
      </c>
      <c r="E1139" s="11" t="inlineStr">
        <is>
          <t>Raleigh-Durham (Fayetvlle)</t>
        </is>
      </c>
      <c r="F1139" s="11" t="inlineStr">
        <is>
          <t>28307</t>
        </is>
      </c>
      <c r="G1139" s="11" t="inlineStr">
        <is>
          <t>Army</t>
        </is>
      </c>
      <c r="H1139" s="11" t="inlineStr">
        <is>
          <t>Large Format</t>
        </is>
      </c>
      <c r="I1139" s="8" t="inlineStr">
        <is>
          <t>Wall Decal - Ritz-Epps PFC</t>
        </is>
      </c>
      <c r="J1139" s="11" t="inlineStr">
        <is>
          <t>8' x 3'</t>
        </is>
      </c>
      <c r="K1139" s="8" t="inlineStr">
        <is>
          <t>Your ad will appear on an approved wall on the installation.</t>
        </is>
      </c>
      <c r="L1139" s="11" t="n">
        <v>1</v>
      </c>
      <c r="M1139" s="12" t="n">
        <v>900</v>
      </c>
      <c r="N1139" s="12" t="n">
        <v>2500</v>
      </c>
      <c r="O1139" s="12" t="n">
        <v>4700</v>
      </c>
      <c r="P1139" s="12" t="n">
        <v>8650</v>
      </c>
      <c r="Q1139" s="12" t="n"/>
      <c r="R1139" s="13">
        <f>IF(ISNUMBER(M1139),ROUND(M1139/(1-Settings!$B$2)/Settings!$B$3,0)*Settings!$B$3,"")</f>
        <v/>
      </c>
      <c r="S1139" s="13">
        <f>IF(ISNUMBER(N1139),ROUND(N1139/(1-Settings!$B$2)/Settings!$B$3,0)*Settings!$B$3,"")</f>
        <v/>
      </c>
      <c r="T1139" s="13">
        <f>IF(ISNUMBER(O1139),ROUND(O1139/(1-Settings!$B$2)/Settings!$B$3,0)*Settings!$B$3,"")</f>
        <v/>
      </c>
      <c r="U1139" s="13">
        <f>IF(ISNUMBER(P1139),ROUND(P1139/(1-Settings!$B$2)/Settings!$B$3,0)*Settings!$B$3,"")</f>
        <v/>
      </c>
      <c r="V1139" s="13">
        <f>IF(ISNUMBER(Q1139),ROUND(Q1139/(1-Settings!$B$2)/Settings!$B$3,0)*Settings!$B$3,"")</f>
        <v/>
      </c>
      <c r="W1139" s="14" t="n">
        <v>45055</v>
      </c>
      <c r="X1139" s="14" t="n">
        <v>64046</v>
      </c>
      <c r="Y1139" s="11" t="inlineStr"/>
      <c r="Z1139" s="11" t="inlineStr"/>
      <c r="AA1139" s="8" t="inlineStr"/>
      <c r="AB1139" s="8" t="inlineStr"/>
      <c r="AC1139" s="11" t="inlineStr">
        <is>
          <t>MasterMilitaryOnBaseList 12.2.25 NS.xlsx</t>
        </is>
      </c>
      <c r="AD1139" s="11" t="inlineStr">
        <is>
          <t>1 Advertising Rate Card FY26-WEB.pdf</t>
        </is>
      </c>
      <c r="AE1139" s="15" t="inlineStr">
        <is>
          <t>Open in Box</t>
        </is>
      </c>
      <c r="AF1139" s="15" t="inlineStr">
        <is>
          <t>Open in Box</t>
        </is>
      </c>
    </row>
    <row r="1140">
      <c r="A1140" s="11" t="inlineStr">
        <is>
          <t>NC-FORTLIBE-035</t>
        </is>
      </c>
      <c r="B1140" s="8" t="inlineStr">
        <is>
          <t>Fort Liberty</t>
        </is>
      </c>
      <c r="C1140" s="11" t="inlineStr"/>
      <c r="D1140" s="11" t="inlineStr">
        <is>
          <t>NC</t>
        </is>
      </c>
      <c r="E1140" s="11" t="inlineStr">
        <is>
          <t>Raleigh-Durham (Fayetvlle)</t>
        </is>
      </c>
      <c r="F1140" s="11" t="inlineStr"/>
      <c r="G1140" s="11" t="inlineStr">
        <is>
          <t>Army</t>
        </is>
      </c>
      <c r="H1140" s="11" t="inlineStr">
        <is>
          <t>Print &amp; Publications</t>
        </is>
      </c>
      <c r="I1140" s="8" t="inlineStr">
        <is>
          <t>Guide / Map Ad</t>
        </is>
      </c>
      <c r="J1140" s="11" t="inlineStr"/>
      <c r="K1140" s="8" t="inlineStr">
        <is>
          <t>Your ad will appear in the installation guide or map.</t>
        </is>
      </c>
      <c r="L1140" s="11" t="n">
        <v>12</v>
      </c>
      <c r="M1140" s="12" t="n"/>
      <c r="N1140" s="12" t="n"/>
      <c r="O1140" s="12" t="n"/>
      <c r="P1140" s="12" t="n">
        <v>1500</v>
      </c>
      <c r="Q1140" s="12" t="n"/>
      <c r="R1140" s="13">
        <f>IF(ISNUMBER(M1140),ROUND(M1140/(1-Settings!$B$2)/Settings!$B$3,0)*Settings!$B$3,"")</f>
        <v/>
      </c>
      <c r="S1140" s="13">
        <f>IF(ISNUMBER(N1140),ROUND(N1140/(1-Settings!$B$2)/Settings!$B$3,0)*Settings!$B$3,"")</f>
        <v/>
      </c>
      <c r="T1140" s="13">
        <f>IF(ISNUMBER(O1140),ROUND(O1140/(1-Settings!$B$2)/Settings!$B$3,0)*Settings!$B$3,"")</f>
        <v/>
      </c>
      <c r="U1140" s="13">
        <f>IF(ISNUMBER(P1140),ROUND(P1140/(1-Settings!$B$2)/Settings!$B$3,0)*Settings!$B$3,"")</f>
        <v/>
      </c>
      <c r="V1140" s="13">
        <f>IF(ISNUMBER(Q1140),ROUND(Q1140/(1-Settings!$B$2)/Settings!$B$3,0)*Settings!$B$3,"")</f>
        <v/>
      </c>
      <c r="W1140" s="14" t="n">
        <v>45055</v>
      </c>
      <c r="X1140" s="14" t="n">
        <v>64046</v>
      </c>
      <c r="Y1140" s="11" t="inlineStr">
        <is>
          <t>2026</t>
        </is>
      </c>
      <c r="Z1140" s="11" t="inlineStr">
        <is>
          <t>2026-06</t>
        </is>
      </c>
      <c r="AA1140" s="8" t="inlineStr">
        <is>
          <t>Annual</t>
        </is>
      </c>
      <c r="AB1140" s="8" t="inlineStr"/>
      <c r="AC1140" s="11" t="inlineStr">
        <is>
          <t>Military - National Publication Inventory Master_June 2026.xlsx</t>
        </is>
      </c>
      <c r="AD1140" s="11" t="inlineStr">
        <is>
          <t>1 Advertising Rate Card FY26-WEB.pdf</t>
        </is>
      </c>
      <c r="AE1140" s="15" t="inlineStr">
        <is>
          <t>Open in Box</t>
        </is>
      </c>
      <c r="AF1140" s="15" t="inlineStr">
        <is>
          <t>Open in Box</t>
        </is>
      </c>
    </row>
    <row r="1141">
      <c r="A1141" s="11" t="inlineStr">
        <is>
          <t>NC-FORTLIBE-031</t>
        </is>
      </c>
      <c r="B1141" s="8" t="inlineStr">
        <is>
          <t>Fort Liberty</t>
        </is>
      </c>
      <c r="C1141" s="11" t="inlineStr">
        <is>
          <t>Fort Bragg</t>
        </is>
      </c>
      <c r="D1141" s="11" t="inlineStr">
        <is>
          <t>NC</t>
        </is>
      </c>
      <c r="E1141" s="11" t="inlineStr">
        <is>
          <t>Raleigh-Durham (Fayetvlle)</t>
        </is>
      </c>
      <c r="F1141" s="11" t="inlineStr">
        <is>
          <t>28307</t>
        </is>
      </c>
      <c r="G1141" s="11" t="inlineStr">
        <is>
          <t>Army</t>
        </is>
      </c>
      <c r="H1141" s="11" t="inlineStr">
        <is>
          <t>Print &amp; Publications</t>
        </is>
      </c>
      <c r="I1141" s="8" t="inlineStr">
        <is>
          <t>Newsletter</t>
        </is>
      </c>
      <c r="J1141" s="11" t="inlineStr">
        <is>
          <t>600px x 90px</t>
        </is>
      </c>
      <c r="K1141" s="8" t="inlineStr">
        <is>
          <t>Your ad will appear in the monthly Fort Libert e-newsletter.</t>
        </is>
      </c>
      <c r="L1141" s="11" t="n">
        <v>1</v>
      </c>
      <c r="M1141" s="12" t="n">
        <v>275</v>
      </c>
      <c r="N1141" s="12" t="n">
        <v>650</v>
      </c>
      <c r="O1141" s="12" t="n"/>
      <c r="P1141" s="12" t="n"/>
      <c r="Q1141" s="12" t="n"/>
      <c r="R1141" s="13">
        <f>IF(ISNUMBER(M1141),ROUND(M1141/(1-Settings!$B$2)/Settings!$B$3,0)*Settings!$B$3,"")</f>
        <v/>
      </c>
      <c r="S1141" s="13">
        <f>IF(ISNUMBER(N1141),ROUND(N1141/(1-Settings!$B$2)/Settings!$B$3,0)*Settings!$B$3,"")</f>
        <v/>
      </c>
      <c r="T1141" s="13">
        <f>IF(ISNUMBER(O1141),ROUND(O1141/(1-Settings!$B$2)/Settings!$B$3,0)*Settings!$B$3,"")</f>
        <v/>
      </c>
      <c r="U1141" s="13">
        <f>IF(ISNUMBER(P1141),ROUND(P1141/(1-Settings!$B$2)/Settings!$B$3,0)*Settings!$B$3,"")</f>
        <v/>
      </c>
      <c r="V1141" s="13">
        <f>IF(ISNUMBER(Q1141),ROUND(Q1141/(1-Settings!$B$2)/Settings!$B$3,0)*Settings!$B$3,"")</f>
        <v/>
      </c>
      <c r="W1141" s="14" t="n">
        <v>45055</v>
      </c>
      <c r="X1141" s="14" t="n">
        <v>64046</v>
      </c>
      <c r="Y1141" s="11" t="inlineStr"/>
      <c r="Z1141" s="11" t="inlineStr"/>
      <c r="AA1141" s="8" t="inlineStr">
        <is>
          <t>Inventory master 6/2026 lists Monthly E-Newsletter Ad at $300 (12 mo)</t>
        </is>
      </c>
      <c r="AB1141" s="8" t="inlineStr"/>
      <c r="AC1141" s="11" t="inlineStr">
        <is>
          <t>MasterMilitaryOnBaseList 12.2.25 NS.xlsx</t>
        </is>
      </c>
      <c r="AD1141" s="11" t="inlineStr">
        <is>
          <t>1 Advertising Rate Card FY26-WEB.pdf</t>
        </is>
      </c>
      <c r="AE1141" s="15" t="inlineStr">
        <is>
          <t>Open in Box</t>
        </is>
      </c>
      <c r="AF1141" s="15" t="inlineStr">
        <is>
          <t>Open in Box</t>
        </is>
      </c>
    </row>
    <row r="1142">
      <c r="A1142" s="11" t="inlineStr">
        <is>
          <t>NC-FORTLIBE-033</t>
        </is>
      </c>
      <c r="B1142" s="8" t="inlineStr">
        <is>
          <t>Fort Liberty</t>
        </is>
      </c>
      <c r="C1142" s="11" t="inlineStr">
        <is>
          <t>Fort Bragg</t>
        </is>
      </c>
      <c r="D1142" s="11" t="inlineStr">
        <is>
          <t>NC</t>
        </is>
      </c>
      <c r="E1142" s="11" t="inlineStr">
        <is>
          <t>Raleigh-Durham (Fayetvlle)</t>
        </is>
      </c>
      <c r="F1142" s="11" t="inlineStr">
        <is>
          <t>28307</t>
        </is>
      </c>
      <c r="G1142" s="11" t="inlineStr">
        <is>
          <t>Army</t>
        </is>
      </c>
      <c r="H1142" s="11" t="inlineStr">
        <is>
          <t>Sponsorship &amp; Other</t>
        </is>
      </c>
      <c r="I1142" s="8" t="inlineStr">
        <is>
          <t>Dasherboard</t>
        </is>
      </c>
      <c r="J1142" s="11" t="inlineStr">
        <is>
          <t>5' x 3'</t>
        </is>
      </c>
      <c r="K1142" s="8" t="inlineStr">
        <is>
          <t>Your ad will appear on a dasherboard at the Cleland Ice Rink on the installation.</t>
        </is>
      </c>
      <c r="L1142" s="11" t="n">
        <v>6</v>
      </c>
      <c r="M1142" s="12" t="n"/>
      <c r="N1142" s="12" t="n"/>
      <c r="O1142" s="12" t="n">
        <v>3000</v>
      </c>
      <c r="P1142" s="12" t="n">
        <v>5500</v>
      </c>
      <c r="Q1142" s="12" t="n"/>
      <c r="R1142" s="13">
        <f>IF(ISNUMBER(M1142),ROUND(M1142/(1-Settings!$B$2)/Settings!$B$3,0)*Settings!$B$3,"")</f>
        <v/>
      </c>
      <c r="S1142" s="13">
        <f>IF(ISNUMBER(N1142),ROUND(N1142/(1-Settings!$B$2)/Settings!$B$3,0)*Settings!$B$3,"")</f>
        <v/>
      </c>
      <c r="T1142" s="13">
        <f>IF(ISNUMBER(O1142),ROUND(O1142/(1-Settings!$B$2)/Settings!$B$3,0)*Settings!$B$3,"")</f>
        <v/>
      </c>
      <c r="U1142" s="13">
        <f>IF(ISNUMBER(P1142),ROUND(P1142/(1-Settings!$B$2)/Settings!$B$3,0)*Settings!$B$3,"")</f>
        <v/>
      </c>
      <c r="V1142" s="13">
        <f>IF(ISNUMBER(Q1142),ROUND(Q1142/(1-Settings!$B$2)/Settings!$B$3,0)*Settings!$B$3,"")</f>
        <v/>
      </c>
      <c r="W1142" s="14" t="n">
        <v>45055</v>
      </c>
      <c r="X1142" s="14" t="n">
        <v>64046</v>
      </c>
      <c r="Y1142" s="11" t="inlineStr"/>
      <c r="Z1142" s="11" t="inlineStr"/>
      <c r="AA1142" s="8" t="inlineStr"/>
      <c r="AB1142" s="8" t="inlineStr"/>
      <c r="AC1142" s="11" t="inlineStr">
        <is>
          <t>MasterMilitaryOnBaseList 12.2.25 NS.xlsx</t>
        </is>
      </c>
      <c r="AD1142" s="11" t="inlineStr">
        <is>
          <t>1 Advertising Rate Card FY26-WEB.pdf</t>
        </is>
      </c>
      <c r="AE1142" s="15" t="inlineStr">
        <is>
          <t>Open in Box</t>
        </is>
      </c>
      <c r="AF1142" s="15" t="inlineStr">
        <is>
          <t>Open in Box</t>
        </is>
      </c>
    </row>
    <row r="1143">
      <c r="A1143" s="11" t="inlineStr">
        <is>
          <t>NC-FORTLIBE-004</t>
        </is>
      </c>
      <c r="B1143" s="8" t="inlineStr">
        <is>
          <t>Fort Liberty</t>
        </is>
      </c>
      <c r="C1143" s="11" t="inlineStr">
        <is>
          <t>Fort Bragg</t>
        </is>
      </c>
      <c r="D1143" s="11" t="inlineStr">
        <is>
          <t>NC</t>
        </is>
      </c>
      <c r="E1143" s="11" t="inlineStr">
        <is>
          <t>Raleigh-Durham (Fayetvlle)</t>
        </is>
      </c>
      <c r="F1143" s="11" t="inlineStr">
        <is>
          <t>28307</t>
        </is>
      </c>
      <c r="G1143" s="11" t="inlineStr">
        <is>
          <t>Army</t>
        </is>
      </c>
      <c r="H1143" s="11" t="inlineStr">
        <is>
          <t>Standard Media</t>
        </is>
      </c>
      <c r="I1143" s="8" t="inlineStr">
        <is>
          <t>Banner - Tier 1</t>
        </is>
      </c>
      <c r="J1143" s="11" t="inlineStr">
        <is>
          <t>5' x 3'</t>
        </is>
      </c>
      <c r="K1143" s="8" t="inlineStr">
        <is>
          <t>Your ad will appear in an approved location on the installation.</t>
        </is>
      </c>
      <c r="L1143" s="11" t="n">
        <v>1</v>
      </c>
      <c r="M1143" s="12" t="n">
        <v>600</v>
      </c>
      <c r="N1143" s="12" t="n">
        <v>1625</v>
      </c>
      <c r="O1143" s="12" t="n">
        <v>3000</v>
      </c>
      <c r="P1143" s="12" t="n">
        <v>5050</v>
      </c>
      <c r="Q1143" s="12" t="n">
        <v>200</v>
      </c>
      <c r="R1143" s="13">
        <f>IF(ISNUMBER(M1143),ROUND(M1143/(1-Settings!$B$2)/Settings!$B$3,0)*Settings!$B$3,"")</f>
        <v/>
      </c>
      <c r="S1143" s="13">
        <f>IF(ISNUMBER(N1143),ROUND(N1143/(1-Settings!$B$2)/Settings!$B$3,0)*Settings!$B$3,"")</f>
        <v/>
      </c>
      <c r="T1143" s="13">
        <f>IF(ISNUMBER(O1143),ROUND(O1143/(1-Settings!$B$2)/Settings!$B$3,0)*Settings!$B$3,"")</f>
        <v/>
      </c>
      <c r="U1143" s="13">
        <f>IF(ISNUMBER(P1143),ROUND(P1143/(1-Settings!$B$2)/Settings!$B$3,0)*Settings!$B$3,"")</f>
        <v/>
      </c>
      <c r="V1143" s="13">
        <f>IF(ISNUMBER(Q1143),ROUND(Q1143/(1-Settings!$B$2)/Settings!$B$3,0)*Settings!$B$3,"")</f>
        <v/>
      </c>
      <c r="W1143" s="14" t="n">
        <v>45055</v>
      </c>
      <c r="X1143" s="14" t="n">
        <v>64046</v>
      </c>
      <c r="Y1143" s="11" t="inlineStr"/>
      <c r="Z1143" s="11" t="inlineStr"/>
      <c r="AA1143" s="8" t="inlineStr"/>
      <c r="AB1143" s="8" t="inlineStr"/>
      <c r="AC1143" s="11" t="inlineStr">
        <is>
          <t>MasterMilitaryOnBaseList 12.2.25 NS.xlsx</t>
        </is>
      </c>
      <c r="AD1143" s="11" t="inlineStr">
        <is>
          <t>1 Advertising Rate Card FY26-WEB.pdf</t>
        </is>
      </c>
      <c r="AE1143" s="15" t="inlineStr">
        <is>
          <t>Open in Box</t>
        </is>
      </c>
      <c r="AF1143" s="15" t="inlineStr">
        <is>
          <t>Open in Box</t>
        </is>
      </c>
    </row>
    <row r="1144">
      <c r="A1144" s="11" t="inlineStr">
        <is>
          <t>NC-FORTLIBE-005</t>
        </is>
      </c>
      <c r="B1144" s="8" t="inlineStr">
        <is>
          <t>Fort Liberty</t>
        </is>
      </c>
      <c r="C1144" s="11" t="inlineStr">
        <is>
          <t>Fort Bragg</t>
        </is>
      </c>
      <c r="D1144" s="11" t="inlineStr">
        <is>
          <t>NC</t>
        </is>
      </c>
      <c r="E1144" s="11" t="inlineStr">
        <is>
          <t>Raleigh-Durham (Fayetvlle)</t>
        </is>
      </c>
      <c r="F1144" s="11" t="inlineStr">
        <is>
          <t>28307</t>
        </is>
      </c>
      <c r="G1144" s="11" t="inlineStr">
        <is>
          <t>Army</t>
        </is>
      </c>
      <c r="H1144" s="11" t="inlineStr">
        <is>
          <t>Standard Media</t>
        </is>
      </c>
      <c r="I1144" s="8" t="inlineStr">
        <is>
          <t>Banner - Tier 2</t>
        </is>
      </c>
      <c r="J1144" s="11" t="inlineStr">
        <is>
          <t>5' x 3'</t>
        </is>
      </c>
      <c r="K1144" s="8" t="inlineStr">
        <is>
          <t>Your ad will appear in an approved location on the installation.</t>
        </is>
      </c>
      <c r="L1144" s="11" t="n">
        <v>1</v>
      </c>
      <c r="M1144" s="12" t="n">
        <v>550</v>
      </c>
      <c r="N1144" s="12" t="n">
        <v>1475</v>
      </c>
      <c r="O1144" s="12" t="n">
        <v>2650</v>
      </c>
      <c r="P1144" s="12" t="n">
        <v>4600</v>
      </c>
      <c r="Q1144" s="12" t="n">
        <v>200</v>
      </c>
      <c r="R1144" s="13">
        <f>IF(ISNUMBER(M1144),ROUND(M1144/(1-Settings!$B$2)/Settings!$B$3,0)*Settings!$B$3,"")</f>
        <v/>
      </c>
      <c r="S1144" s="13">
        <f>IF(ISNUMBER(N1144),ROUND(N1144/(1-Settings!$B$2)/Settings!$B$3,0)*Settings!$B$3,"")</f>
        <v/>
      </c>
      <c r="T1144" s="13">
        <f>IF(ISNUMBER(O1144),ROUND(O1144/(1-Settings!$B$2)/Settings!$B$3,0)*Settings!$B$3,"")</f>
        <v/>
      </c>
      <c r="U1144" s="13">
        <f>IF(ISNUMBER(P1144),ROUND(P1144/(1-Settings!$B$2)/Settings!$B$3,0)*Settings!$B$3,"")</f>
        <v/>
      </c>
      <c r="V1144" s="13">
        <f>IF(ISNUMBER(Q1144),ROUND(Q1144/(1-Settings!$B$2)/Settings!$B$3,0)*Settings!$B$3,"")</f>
        <v/>
      </c>
      <c r="W1144" s="14" t="n">
        <v>45055</v>
      </c>
      <c r="X1144" s="14" t="n">
        <v>64046</v>
      </c>
      <c r="Y1144" s="11" t="inlineStr"/>
      <c r="Z1144" s="11" t="inlineStr"/>
      <c r="AA1144" s="8" t="inlineStr"/>
      <c r="AB1144" s="8" t="inlineStr"/>
      <c r="AC1144" s="11" t="inlineStr">
        <is>
          <t>MasterMilitaryOnBaseList 12.2.25 NS.xlsx</t>
        </is>
      </c>
      <c r="AD1144" s="11" t="inlineStr">
        <is>
          <t>1 Advertising Rate Card FY26-WEB.pdf</t>
        </is>
      </c>
      <c r="AE1144" s="15" t="inlineStr">
        <is>
          <t>Open in Box</t>
        </is>
      </c>
      <c r="AF1144" s="15" t="inlineStr">
        <is>
          <t>Open in Box</t>
        </is>
      </c>
    </row>
    <row r="1145">
      <c r="A1145" s="11" t="inlineStr">
        <is>
          <t>NC-FORTLIBE-006</t>
        </is>
      </c>
      <c r="B1145" s="8" t="inlineStr">
        <is>
          <t>Fort Liberty</t>
        </is>
      </c>
      <c r="C1145" s="11" t="inlineStr">
        <is>
          <t>Fort Bragg</t>
        </is>
      </c>
      <c r="D1145" s="11" t="inlineStr">
        <is>
          <t>NC</t>
        </is>
      </c>
      <c r="E1145" s="11" t="inlineStr">
        <is>
          <t>Raleigh-Durham (Fayetvlle)</t>
        </is>
      </c>
      <c r="F1145" s="11" t="inlineStr">
        <is>
          <t>28307</t>
        </is>
      </c>
      <c r="G1145" s="11" t="inlineStr">
        <is>
          <t>Army</t>
        </is>
      </c>
      <c r="H1145" s="11" t="inlineStr">
        <is>
          <t>Standard Media</t>
        </is>
      </c>
      <c r="I1145" s="8" t="inlineStr">
        <is>
          <t>Banner - Tier 3</t>
        </is>
      </c>
      <c r="J1145" s="11" t="inlineStr">
        <is>
          <t>5' x 3'</t>
        </is>
      </c>
      <c r="K1145" s="8" t="inlineStr">
        <is>
          <t>Your ad will appear in an approved location on the installation.</t>
        </is>
      </c>
      <c r="L1145" s="11" t="n">
        <v>1</v>
      </c>
      <c r="M1145" s="12" t="n">
        <v>500</v>
      </c>
      <c r="N1145" s="12" t="n">
        <v>1350</v>
      </c>
      <c r="O1145" s="12" t="n">
        <v>2400</v>
      </c>
      <c r="P1145" s="12" t="n">
        <v>4200</v>
      </c>
      <c r="Q1145" s="12" t="n">
        <v>200</v>
      </c>
      <c r="R1145" s="13">
        <f>IF(ISNUMBER(M1145),ROUND(M1145/(1-Settings!$B$2)/Settings!$B$3,0)*Settings!$B$3,"")</f>
        <v/>
      </c>
      <c r="S1145" s="13">
        <f>IF(ISNUMBER(N1145),ROUND(N1145/(1-Settings!$B$2)/Settings!$B$3,0)*Settings!$B$3,"")</f>
        <v/>
      </c>
      <c r="T1145" s="13">
        <f>IF(ISNUMBER(O1145),ROUND(O1145/(1-Settings!$B$2)/Settings!$B$3,0)*Settings!$B$3,"")</f>
        <v/>
      </c>
      <c r="U1145" s="13">
        <f>IF(ISNUMBER(P1145),ROUND(P1145/(1-Settings!$B$2)/Settings!$B$3,0)*Settings!$B$3,"")</f>
        <v/>
      </c>
      <c r="V1145" s="13">
        <f>IF(ISNUMBER(Q1145),ROUND(Q1145/(1-Settings!$B$2)/Settings!$B$3,0)*Settings!$B$3,"")</f>
        <v/>
      </c>
      <c r="W1145" s="14" t="n">
        <v>45055</v>
      </c>
      <c r="X1145" s="14" t="n">
        <v>64046</v>
      </c>
      <c r="Y1145" s="11" t="inlineStr"/>
      <c r="Z1145" s="11" t="inlineStr"/>
      <c r="AA1145" s="8" t="inlineStr"/>
      <c r="AB1145" s="8" t="inlineStr"/>
      <c r="AC1145" s="11" t="inlineStr">
        <is>
          <t>MasterMilitaryOnBaseList 12.2.25 NS.xlsx</t>
        </is>
      </c>
      <c r="AD1145" s="11" t="inlineStr">
        <is>
          <t>1 Advertising Rate Card FY26-WEB.pdf</t>
        </is>
      </c>
      <c r="AE1145" s="15" t="inlineStr">
        <is>
          <t>Open in Box</t>
        </is>
      </c>
      <c r="AF1145" s="15" t="inlineStr">
        <is>
          <t>Open in Box</t>
        </is>
      </c>
    </row>
    <row r="1146">
      <c r="A1146" s="11" t="inlineStr">
        <is>
          <t>NC-FORTLIBE-007</t>
        </is>
      </c>
      <c r="B1146" s="8" t="inlineStr">
        <is>
          <t>Fort Liberty</t>
        </is>
      </c>
      <c r="C1146" s="11" t="inlineStr">
        <is>
          <t>Fort Bragg</t>
        </is>
      </c>
      <c r="D1146" s="11" t="inlineStr">
        <is>
          <t>NC</t>
        </is>
      </c>
      <c r="E1146" s="11" t="inlineStr">
        <is>
          <t>Raleigh-Durham (Fayetvlle)</t>
        </is>
      </c>
      <c r="F1146" s="11" t="inlineStr">
        <is>
          <t>28307</t>
        </is>
      </c>
      <c r="G1146" s="11" t="inlineStr">
        <is>
          <t>Army</t>
        </is>
      </c>
      <c r="H1146" s="11" t="inlineStr">
        <is>
          <t>Standard Media</t>
        </is>
      </c>
      <c r="I1146" s="8" t="inlineStr">
        <is>
          <t>Poster - Tier 1</t>
        </is>
      </c>
      <c r="J1146" s="11" t="inlineStr">
        <is>
          <t>22" x 28"</t>
        </is>
      </c>
      <c r="K1146" s="8" t="inlineStr">
        <is>
          <t>Your ad will appear in approved locations on the installation.</t>
        </is>
      </c>
      <c r="L1146" s="11" t="n">
        <v>1</v>
      </c>
      <c r="M1146" s="12" t="n">
        <v>300</v>
      </c>
      <c r="N1146" s="12" t="n">
        <v>700</v>
      </c>
      <c r="O1146" s="12" t="n">
        <v>1250</v>
      </c>
      <c r="P1146" s="12" t="n">
        <v>2100</v>
      </c>
      <c r="Q1146" s="12" t="n">
        <v>100</v>
      </c>
      <c r="R1146" s="13">
        <f>IF(ISNUMBER(M1146),ROUND(M1146/(1-Settings!$B$2)/Settings!$B$3,0)*Settings!$B$3,"")</f>
        <v/>
      </c>
      <c r="S1146" s="13">
        <f>IF(ISNUMBER(N1146),ROUND(N1146/(1-Settings!$B$2)/Settings!$B$3,0)*Settings!$B$3,"")</f>
        <v/>
      </c>
      <c r="T1146" s="13">
        <f>IF(ISNUMBER(O1146),ROUND(O1146/(1-Settings!$B$2)/Settings!$B$3,0)*Settings!$B$3,"")</f>
        <v/>
      </c>
      <c r="U1146" s="13">
        <f>IF(ISNUMBER(P1146),ROUND(P1146/(1-Settings!$B$2)/Settings!$B$3,0)*Settings!$B$3,"")</f>
        <v/>
      </c>
      <c r="V1146" s="13">
        <f>IF(ISNUMBER(Q1146),ROUND(Q1146/(1-Settings!$B$2)/Settings!$B$3,0)*Settings!$B$3,"")</f>
        <v/>
      </c>
      <c r="W1146" s="14" t="n">
        <v>45055</v>
      </c>
      <c r="X1146" s="14" t="n">
        <v>64046</v>
      </c>
      <c r="Y1146" s="11" t="inlineStr"/>
      <c r="Z1146" s="11" t="inlineStr"/>
      <c r="AA1146" s="8" t="inlineStr"/>
      <c r="AB1146" s="8" t="inlineStr"/>
      <c r="AC1146" s="11" t="inlineStr">
        <is>
          <t>MasterMilitaryOnBaseList 12.2.25 NS.xlsx</t>
        </is>
      </c>
      <c r="AD1146" s="11" t="inlineStr">
        <is>
          <t>1 Advertising Rate Card FY26-WEB.pdf</t>
        </is>
      </c>
      <c r="AE1146" s="15" t="inlineStr">
        <is>
          <t>Open in Box</t>
        </is>
      </c>
      <c r="AF1146" s="15" t="inlineStr">
        <is>
          <t>Open in Box</t>
        </is>
      </c>
    </row>
    <row r="1147">
      <c r="A1147" s="11" t="inlineStr">
        <is>
          <t>NC-FORTLIBE-008</t>
        </is>
      </c>
      <c r="B1147" s="8" t="inlineStr">
        <is>
          <t>Fort Liberty</t>
        </is>
      </c>
      <c r="C1147" s="11" t="inlineStr">
        <is>
          <t>Fort Bragg</t>
        </is>
      </c>
      <c r="D1147" s="11" t="inlineStr">
        <is>
          <t>NC</t>
        </is>
      </c>
      <c r="E1147" s="11" t="inlineStr">
        <is>
          <t>Raleigh-Durham (Fayetvlle)</t>
        </is>
      </c>
      <c r="F1147" s="11" t="inlineStr">
        <is>
          <t>28307</t>
        </is>
      </c>
      <c r="G1147" s="11" t="inlineStr">
        <is>
          <t>Army</t>
        </is>
      </c>
      <c r="H1147" s="11" t="inlineStr">
        <is>
          <t>Standard Media</t>
        </is>
      </c>
      <c r="I1147" s="8" t="inlineStr">
        <is>
          <t>Poster - Tier 2</t>
        </is>
      </c>
      <c r="J1147" s="11" t="inlineStr">
        <is>
          <t>22" x 28"</t>
        </is>
      </c>
      <c r="K1147" s="8" t="inlineStr">
        <is>
          <t>Your ad will appear in approved locations on the installation.</t>
        </is>
      </c>
      <c r="L1147" s="11" t="n">
        <v>1</v>
      </c>
      <c r="M1147" s="12" t="n">
        <v>275</v>
      </c>
      <c r="N1147" s="12" t="n">
        <v>650</v>
      </c>
      <c r="O1147" s="12" t="n">
        <v>1150</v>
      </c>
      <c r="P1147" s="12" t="n">
        <v>1950</v>
      </c>
      <c r="Q1147" s="12" t="n">
        <v>100</v>
      </c>
      <c r="R1147" s="13">
        <f>IF(ISNUMBER(M1147),ROUND(M1147/(1-Settings!$B$2)/Settings!$B$3,0)*Settings!$B$3,"")</f>
        <v/>
      </c>
      <c r="S1147" s="13">
        <f>IF(ISNUMBER(N1147),ROUND(N1147/(1-Settings!$B$2)/Settings!$B$3,0)*Settings!$B$3,"")</f>
        <v/>
      </c>
      <c r="T1147" s="13">
        <f>IF(ISNUMBER(O1147),ROUND(O1147/(1-Settings!$B$2)/Settings!$B$3,0)*Settings!$B$3,"")</f>
        <v/>
      </c>
      <c r="U1147" s="13">
        <f>IF(ISNUMBER(P1147),ROUND(P1147/(1-Settings!$B$2)/Settings!$B$3,0)*Settings!$B$3,"")</f>
        <v/>
      </c>
      <c r="V1147" s="13">
        <f>IF(ISNUMBER(Q1147),ROUND(Q1147/(1-Settings!$B$2)/Settings!$B$3,0)*Settings!$B$3,"")</f>
        <v/>
      </c>
      <c r="W1147" s="14" t="n">
        <v>45055</v>
      </c>
      <c r="X1147" s="14" t="n">
        <v>64046</v>
      </c>
      <c r="Y1147" s="11" t="inlineStr"/>
      <c r="Z1147" s="11" t="inlineStr"/>
      <c r="AA1147" s="8" t="inlineStr"/>
      <c r="AB1147" s="8" t="inlineStr"/>
      <c r="AC1147" s="11" t="inlineStr">
        <is>
          <t>MasterMilitaryOnBaseList 12.2.25 NS.xlsx</t>
        </is>
      </c>
      <c r="AD1147" s="11" t="inlineStr">
        <is>
          <t>1 Advertising Rate Card FY26-WEB.pdf</t>
        </is>
      </c>
      <c r="AE1147" s="15" t="inlineStr">
        <is>
          <t>Open in Box</t>
        </is>
      </c>
      <c r="AF1147" s="15" t="inlineStr">
        <is>
          <t>Open in Box</t>
        </is>
      </c>
    </row>
    <row r="1148">
      <c r="A1148" s="11" t="inlineStr">
        <is>
          <t>NC-FORTLIBE-009</t>
        </is>
      </c>
      <c r="B1148" s="8" t="inlineStr">
        <is>
          <t>Fort Liberty</t>
        </is>
      </c>
      <c r="C1148" s="11" t="inlineStr">
        <is>
          <t>Fort Bragg</t>
        </is>
      </c>
      <c r="D1148" s="11" t="inlineStr">
        <is>
          <t>NC</t>
        </is>
      </c>
      <c r="E1148" s="11" t="inlineStr">
        <is>
          <t>Raleigh-Durham (Fayetvlle)</t>
        </is>
      </c>
      <c r="F1148" s="11" t="inlineStr">
        <is>
          <t>28307</t>
        </is>
      </c>
      <c r="G1148" s="11" t="inlineStr">
        <is>
          <t>Army</t>
        </is>
      </c>
      <c r="H1148" s="11" t="inlineStr">
        <is>
          <t>Standard Media</t>
        </is>
      </c>
      <c r="I1148" s="8" t="inlineStr">
        <is>
          <t>Poster - Tier 3</t>
        </is>
      </c>
      <c r="J1148" s="11" t="inlineStr">
        <is>
          <t>22" x 28"</t>
        </is>
      </c>
      <c r="K1148" s="8" t="inlineStr">
        <is>
          <t>Your ad will appear in approved locations on the installation.</t>
        </is>
      </c>
      <c r="L1148" s="11" t="n">
        <v>1</v>
      </c>
      <c r="M1148" s="12" t="n">
        <v>250</v>
      </c>
      <c r="N1148" s="12" t="n">
        <v>600</v>
      </c>
      <c r="O1148" s="12" t="n">
        <v>1050</v>
      </c>
      <c r="P1148" s="12" t="n">
        <v>1800</v>
      </c>
      <c r="Q1148" s="12" t="n">
        <v>100</v>
      </c>
      <c r="R1148" s="13">
        <f>IF(ISNUMBER(M1148),ROUND(M1148/(1-Settings!$B$2)/Settings!$B$3,0)*Settings!$B$3,"")</f>
        <v/>
      </c>
      <c r="S1148" s="13">
        <f>IF(ISNUMBER(N1148),ROUND(N1148/(1-Settings!$B$2)/Settings!$B$3,0)*Settings!$B$3,"")</f>
        <v/>
      </c>
      <c r="T1148" s="13">
        <f>IF(ISNUMBER(O1148),ROUND(O1148/(1-Settings!$B$2)/Settings!$B$3,0)*Settings!$B$3,"")</f>
        <v/>
      </c>
      <c r="U1148" s="13">
        <f>IF(ISNUMBER(P1148),ROUND(P1148/(1-Settings!$B$2)/Settings!$B$3,0)*Settings!$B$3,"")</f>
        <v/>
      </c>
      <c r="V1148" s="13">
        <f>IF(ISNUMBER(Q1148),ROUND(Q1148/(1-Settings!$B$2)/Settings!$B$3,0)*Settings!$B$3,"")</f>
        <v/>
      </c>
      <c r="W1148" s="14" t="n">
        <v>45055</v>
      </c>
      <c r="X1148" s="14" t="n">
        <v>64046</v>
      </c>
      <c r="Y1148" s="11" t="inlineStr"/>
      <c r="Z1148" s="11" t="inlineStr"/>
      <c r="AA1148" s="8" t="inlineStr"/>
      <c r="AB1148" s="8" t="inlineStr"/>
      <c r="AC1148" s="11" t="inlineStr">
        <is>
          <t>MasterMilitaryOnBaseList 12.2.25 NS.xlsx</t>
        </is>
      </c>
      <c r="AD1148" s="11" t="inlineStr">
        <is>
          <t>1 Advertising Rate Card FY26-WEB.pdf</t>
        </is>
      </c>
      <c r="AE1148" s="15" t="inlineStr">
        <is>
          <t>Open in Box</t>
        </is>
      </c>
      <c r="AF1148" s="15" t="inlineStr">
        <is>
          <t>Open in Box</t>
        </is>
      </c>
    </row>
    <row r="1149">
      <c r="A1149" s="11" t="inlineStr">
        <is>
          <t>NC-FORTLIBE-032</t>
        </is>
      </c>
      <c r="B1149" s="8" t="inlineStr">
        <is>
          <t>Fort Liberty</t>
        </is>
      </c>
      <c r="C1149" s="11" t="inlineStr">
        <is>
          <t>Fort Bragg</t>
        </is>
      </c>
      <c r="D1149" s="11" t="inlineStr">
        <is>
          <t>NC</t>
        </is>
      </c>
      <c r="E1149" s="11" t="inlineStr">
        <is>
          <t>Raleigh-Durham (Fayetvlle)</t>
        </is>
      </c>
      <c r="F1149" s="11" t="inlineStr">
        <is>
          <t>28307</t>
        </is>
      </c>
      <c r="G1149" s="11" t="inlineStr">
        <is>
          <t>Army</t>
        </is>
      </c>
      <c r="H1149" s="11" t="inlineStr">
        <is>
          <t>Web &amp; Email</t>
        </is>
      </c>
      <c r="I1149" s="8" t="inlineStr">
        <is>
          <t>Social Media Posts</t>
        </is>
      </c>
      <c r="J1149" s="11" t="inlineStr">
        <is>
          <t>1200px 628px</t>
        </is>
      </c>
      <c r="K1149" s="8" t="inlineStr">
        <is>
          <t>Your ad will appear on the Fort Liberty Family and MWR Facebook page.</t>
        </is>
      </c>
      <c r="L1149" s="11" t="n">
        <v>1</v>
      </c>
      <c r="M1149" s="12" t="n">
        <v>400</v>
      </c>
      <c r="N1149" s="12" t="n">
        <v>750</v>
      </c>
      <c r="O1149" s="12" t="n"/>
      <c r="P1149" s="12" t="n"/>
      <c r="Q1149" s="12" t="n"/>
      <c r="R1149" s="13">
        <f>IF(ISNUMBER(M1149),ROUND(M1149/(1-Settings!$B$2)/Settings!$B$3,0)*Settings!$B$3,"")</f>
        <v/>
      </c>
      <c r="S1149" s="13">
        <f>IF(ISNUMBER(N1149),ROUND(N1149/(1-Settings!$B$2)/Settings!$B$3,0)*Settings!$B$3,"")</f>
        <v/>
      </c>
      <c r="T1149" s="13">
        <f>IF(ISNUMBER(O1149),ROUND(O1149/(1-Settings!$B$2)/Settings!$B$3,0)*Settings!$B$3,"")</f>
        <v/>
      </c>
      <c r="U1149" s="13">
        <f>IF(ISNUMBER(P1149),ROUND(P1149/(1-Settings!$B$2)/Settings!$B$3,0)*Settings!$B$3,"")</f>
        <v/>
      </c>
      <c r="V1149" s="13">
        <f>IF(ISNUMBER(Q1149),ROUND(Q1149/(1-Settings!$B$2)/Settings!$B$3,0)*Settings!$B$3,"")</f>
        <v/>
      </c>
      <c r="W1149" s="14" t="n">
        <v>45055</v>
      </c>
      <c r="X1149" s="14" t="n">
        <v>64046</v>
      </c>
      <c r="Y1149" s="11" t="inlineStr"/>
      <c r="Z1149" s="11" t="inlineStr"/>
      <c r="AA1149" s="8" t="inlineStr"/>
      <c r="AB1149" s="8" t="inlineStr"/>
      <c r="AC1149" s="11" t="inlineStr">
        <is>
          <t>MasterMilitaryOnBaseList 12.2.25 NS.xlsx</t>
        </is>
      </c>
      <c r="AD1149" s="11" t="inlineStr">
        <is>
          <t>1 Advertising Rate Card FY26-WEB.pdf</t>
        </is>
      </c>
      <c r="AE1149" s="15" t="inlineStr">
        <is>
          <t>Open in Box</t>
        </is>
      </c>
      <c r="AF1149" s="15" t="inlineStr">
        <is>
          <t>Open in Box</t>
        </is>
      </c>
    </row>
    <row r="1150">
      <c r="A1150" s="11" t="inlineStr">
        <is>
          <t>NC-FORTLIBE-034</t>
        </is>
      </c>
      <c r="B1150" s="8" t="inlineStr">
        <is>
          <t>Fort Liberty</t>
        </is>
      </c>
      <c r="C1150" s="11" t="inlineStr"/>
      <c r="D1150" s="11" t="inlineStr">
        <is>
          <t>NC</t>
        </is>
      </c>
      <c r="E1150" s="11" t="inlineStr">
        <is>
          <t>Raleigh-Durham (Fayetvlle)</t>
        </is>
      </c>
      <c r="F1150" s="11" t="inlineStr"/>
      <c r="G1150" s="11" t="inlineStr">
        <is>
          <t>Army</t>
        </is>
      </c>
      <c r="H1150" s="11" t="inlineStr">
        <is>
          <t>Web &amp; Email</t>
        </is>
      </c>
      <c r="I1150" s="8" t="inlineStr">
        <is>
          <t>Web Ad</t>
        </is>
      </c>
      <c r="J1150" s="11" t="inlineStr"/>
      <c r="K1150" s="8" t="inlineStr">
        <is>
          <t>Your ad will appear on the installation MWR / FSS website.</t>
        </is>
      </c>
      <c r="L1150" s="11" t="n">
        <v>12</v>
      </c>
      <c r="M1150" s="12" t="n"/>
      <c r="N1150" s="12" t="n"/>
      <c r="O1150" s="12" t="n"/>
      <c r="P1150" s="12" t="n">
        <v>700</v>
      </c>
      <c r="Q1150" s="12" t="n"/>
      <c r="R1150" s="13">
        <f>IF(ISNUMBER(M1150),ROUND(M1150/(1-Settings!$B$2)/Settings!$B$3,0)*Settings!$B$3,"")</f>
        <v/>
      </c>
      <c r="S1150" s="13">
        <f>IF(ISNUMBER(N1150),ROUND(N1150/(1-Settings!$B$2)/Settings!$B$3,0)*Settings!$B$3,"")</f>
        <v/>
      </c>
      <c r="T1150" s="13">
        <f>IF(ISNUMBER(O1150),ROUND(O1150/(1-Settings!$B$2)/Settings!$B$3,0)*Settings!$B$3,"")</f>
        <v/>
      </c>
      <c r="U1150" s="13">
        <f>IF(ISNUMBER(P1150),ROUND(P1150/(1-Settings!$B$2)/Settings!$B$3,0)*Settings!$B$3,"")</f>
        <v/>
      </c>
      <c r="V1150" s="13">
        <f>IF(ISNUMBER(Q1150),ROUND(Q1150/(1-Settings!$B$2)/Settings!$B$3,0)*Settings!$B$3,"")</f>
        <v/>
      </c>
      <c r="W1150" s="14" t="n">
        <v>45055</v>
      </c>
      <c r="X1150" s="14" t="n">
        <v>64046</v>
      </c>
      <c r="Y1150" s="11" t="inlineStr">
        <is>
          <t>2026</t>
        </is>
      </c>
      <c r="Z1150" s="11" t="inlineStr">
        <is>
          <t>2026-06</t>
        </is>
      </c>
      <c r="AA1150" s="8" t="inlineStr">
        <is>
          <t>Annual</t>
        </is>
      </c>
      <c r="AB1150" s="8" t="inlineStr"/>
      <c r="AC1150" s="11" t="inlineStr">
        <is>
          <t>Military - National Publication Inventory Master_June 2026.xlsx</t>
        </is>
      </c>
      <c r="AD1150" s="11" t="inlineStr">
        <is>
          <t>1 Advertising Rate Card FY26-WEB.pdf</t>
        </is>
      </c>
      <c r="AE1150" s="15" t="inlineStr">
        <is>
          <t>Open in Box</t>
        </is>
      </c>
      <c r="AF1150" s="15" t="inlineStr">
        <is>
          <t>Open in Box</t>
        </is>
      </c>
    </row>
    <row r="1151">
      <c r="A1151" s="11" t="inlineStr">
        <is>
          <t>NC-NEWRIVER-001</t>
        </is>
      </c>
      <c r="B1151" s="8" t="inlineStr">
        <is>
          <t>New River MCAS</t>
        </is>
      </c>
      <c r="C1151" s="11" t="inlineStr"/>
      <c r="D1151" s="11" t="inlineStr">
        <is>
          <t>NC</t>
        </is>
      </c>
      <c r="E1151" s="11" t="inlineStr">
        <is>
          <t>Greenville-N.Bern-Washngtn</t>
        </is>
      </c>
      <c r="F1151" s="11" t="inlineStr">
        <is>
          <t>28545</t>
        </is>
      </c>
      <c r="G1151" s="11" t="inlineStr">
        <is>
          <t>Marine Corps</t>
        </is>
      </c>
      <c r="H1151" s="11" t="inlineStr">
        <is>
          <t>Digital</t>
        </is>
      </c>
      <c r="I1151" s="8" t="inlineStr">
        <is>
          <t>Digital Monitors - Education Center</t>
        </is>
      </c>
      <c r="J1151" s="11" t="inlineStr"/>
      <c r="K1151" s="8" t="inlineStr">
        <is>
          <t>Your ad will appear in the Education Center on the installation.</t>
        </is>
      </c>
      <c r="L1151" s="11" t="n"/>
      <c r="M1151" s="12" t="n"/>
      <c r="N1151" s="12" t="n"/>
      <c r="O1151" s="12" t="n"/>
      <c r="P1151" s="12" t="n"/>
      <c r="Q1151" s="12" t="n"/>
      <c r="R1151" s="13">
        <f>IF(ISNUMBER(M1151),ROUND(M1151/(1-Settings!$B$2)/Settings!$B$3,0)*Settings!$B$3,"")</f>
        <v/>
      </c>
      <c r="S1151" s="13">
        <f>IF(ISNUMBER(N1151),ROUND(N1151/(1-Settings!$B$2)/Settings!$B$3,0)*Settings!$B$3,"")</f>
        <v/>
      </c>
      <c r="T1151" s="13">
        <f>IF(ISNUMBER(O1151),ROUND(O1151/(1-Settings!$B$2)/Settings!$B$3,0)*Settings!$B$3,"")</f>
        <v/>
      </c>
      <c r="U1151" s="13">
        <f>IF(ISNUMBER(P1151),ROUND(P1151/(1-Settings!$B$2)/Settings!$B$3,0)*Settings!$B$3,"")</f>
        <v/>
      </c>
      <c r="V1151" s="13">
        <f>IF(ISNUMBER(Q1151),ROUND(Q1151/(1-Settings!$B$2)/Settings!$B$3,0)*Settings!$B$3,"")</f>
        <v/>
      </c>
      <c r="W1151" s="14" t="n"/>
      <c r="X1151" s="14" t="n"/>
      <c r="Y1151" s="11" t="inlineStr"/>
      <c r="Z1151" s="11" t="inlineStr"/>
      <c r="AA1151" s="8" t="inlineStr">
        <is>
          <t>Inventory master 6/2026 lists Digital Monitor Network at $2,975 (1 mo)</t>
        </is>
      </c>
      <c r="AB1151" s="16" t="inlineStr">
        <is>
          <t>No price on file - inquire</t>
        </is>
      </c>
      <c r="AC1151" s="11" t="inlineStr">
        <is>
          <t>MasterMilitaryOnBaseList 12.2.25 NS.xlsx</t>
        </is>
      </c>
      <c r="AD1151" s="11" t="inlineStr">
        <is>
          <t>Education Center Wall Wrap Pricing.pdf</t>
        </is>
      </c>
      <c r="AE1151" s="15" t="inlineStr">
        <is>
          <t>Open in Box</t>
        </is>
      </c>
      <c r="AF1151" s="15" t="inlineStr">
        <is>
          <t>Open in Box</t>
        </is>
      </c>
    </row>
    <row r="1152">
      <c r="A1152" s="11" t="inlineStr">
        <is>
          <t>NC-NEWRIVER-002</t>
        </is>
      </c>
      <c r="B1152" s="8" t="inlineStr">
        <is>
          <t>New River MCAS</t>
        </is>
      </c>
      <c r="C1152" s="11" t="inlineStr"/>
      <c r="D1152" s="11" t="inlineStr">
        <is>
          <t>NC</t>
        </is>
      </c>
      <c r="E1152" s="11" t="inlineStr">
        <is>
          <t>Greenville-N.Bern-Washngtn</t>
        </is>
      </c>
      <c r="F1152" s="11" t="inlineStr">
        <is>
          <t>28545</t>
        </is>
      </c>
      <c r="G1152" s="11" t="inlineStr">
        <is>
          <t>Marine Corps</t>
        </is>
      </c>
      <c r="H1152" s="11" t="inlineStr">
        <is>
          <t>Digital</t>
        </is>
      </c>
      <c r="I1152" s="8" t="inlineStr">
        <is>
          <t>Digital Monitors - Main Exchange</t>
        </is>
      </c>
      <c r="J1152" s="11" t="inlineStr"/>
      <c r="K1152" s="8" t="inlineStr">
        <is>
          <t>Your ad will appear in the Main Exchange on the installation.</t>
        </is>
      </c>
      <c r="L1152" s="11" t="n"/>
      <c r="M1152" s="12" t="n"/>
      <c r="N1152" s="12" t="n"/>
      <c r="O1152" s="12" t="n"/>
      <c r="P1152" s="12" t="n"/>
      <c r="Q1152" s="12" t="n"/>
      <c r="R1152" s="13">
        <f>IF(ISNUMBER(M1152),ROUND(M1152/(1-Settings!$B$2)/Settings!$B$3,0)*Settings!$B$3,"")</f>
        <v/>
      </c>
      <c r="S1152" s="13">
        <f>IF(ISNUMBER(N1152),ROUND(N1152/(1-Settings!$B$2)/Settings!$B$3,0)*Settings!$B$3,"")</f>
        <v/>
      </c>
      <c r="T1152" s="13">
        <f>IF(ISNUMBER(O1152),ROUND(O1152/(1-Settings!$B$2)/Settings!$B$3,0)*Settings!$B$3,"")</f>
        <v/>
      </c>
      <c r="U1152" s="13">
        <f>IF(ISNUMBER(P1152),ROUND(P1152/(1-Settings!$B$2)/Settings!$B$3,0)*Settings!$B$3,"")</f>
        <v/>
      </c>
      <c r="V1152" s="13">
        <f>IF(ISNUMBER(Q1152),ROUND(Q1152/(1-Settings!$B$2)/Settings!$B$3,0)*Settings!$B$3,"")</f>
        <v/>
      </c>
      <c r="W1152" s="14" t="n"/>
      <c r="X1152" s="14" t="n"/>
      <c r="Y1152" s="11" t="inlineStr"/>
      <c r="Z1152" s="11" t="inlineStr"/>
      <c r="AA1152" s="8" t="inlineStr">
        <is>
          <t>Inventory master 6/2026 lists Digital Monitor Network at $2,975 (1 mo)</t>
        </is>
      </c>
      <c r="AB1152" s="16" t="inlineStr">
        <is>
          <t>No price on file - inquire</t>
        </is>
      </c>
      <c r="AC1152" s="11" t="inlineStr">
        <is>
          <t>MasterMilitaryOnBaseList 12.2.25 NS.xlsx</t>
        </is>
      </c>
      <c r="AD1152" s="11" t="inlineStr">
        <is>
          <t>Education Center Wall Wrap Pricing.pdf</t>
        </is>
      </c>
      <c r="AE1152" s="15" t="inlineStr">
        <is>
          <t>Open in Box</t>
        </is>
      </c>
      <c r="AF1152" s="15" t="inlineStr">
        <is>
          <t>Open in Box</t>
        </is>
      </c>
    </row>
    <row r="1153">
      <c r="A1153" s="11" t="inlineStr">
        <is>
          <t>NC-NEWRIVER-003</t>
        </is>
      </c>
      <c r="B1153" s="8" t="inlineStr">
        <is>
          <t>New River MCAS</t>
        </is>
      </c>
      <c r="C1153" s="11" t="inlineStr"/>
      <c r="D1153" s="11" t="inlineStr">
        <is>
          <t>NC</t>
        </is>
      </c>
      <c r="E1153" s="11" t="inlineStr">
        <is>
          <t>Greenville-N.Bern-Washngtn</t>
        </is>
      </c>
      <c r="F1153" s="11" t="inlineStr">
        <is>
          <t>28545</t>
        </is>
      </c>
      <c r="G1153" s="11" t="inlineStr">
        <is>
          <t>Marine Corps</t>
        </is>
      </c>
      <c r="H1153" s="11" t="inlineStr">
        <is>
          <t>Digital</t>
        </is>
      </c>
      <c r="I1153" s="8" t="inlineStr">
        <is>
          <t>Digital Monitors - Marine Marts</t>
        </is>
      </c>
      <c r="J1153" s="11" t="inlineStr"/>
      <c r="K1153" s="8" t="inlineStr">
        <is>
          <t>Your ad will appear in the Marine Mart on the installation.</t>
        </is>
      </c>
      <c r="L1153" s="11" t="n"/>
      <c r="M1153" s="12" t="n"/>
      <c r="N1153" s="12" t="n"/>
      <c r="O1153" s="12" t="n"/>
      <c r="P1153" s="12" t="n"/>
      <c r="Q1153" s="12" t="n"/>
      <c r="R1153" s="13">
        <f>IF(ISNUMBER(M1153),ROUND(M1153/(1-Settings!$B$2)/Settings!$B$3,0)*Settings!$B$3,"")</f>
        <v/>
      </c>
      <c r="S1153" s="13">
        <f>IF(ISNUMBER(N1153),ROUND(N1153/(1-Settings!$B$2)/Settings!$B$3,0)*Settings!$B$3,"")</f>
        <v/>
      </c>
      <c r="T1153" s="13">
        <f>IF(ISNUMBER(O1153),ROUND(O1153/(1-Settings!$B$2)/Settings!$B$3,0)*Settings!$B$3,"")</f>
        <v/>
      </c>
      <c r="U1153" s="13">
        <f>IF(ISNUMBER(P1153),ROUND(P1153/(1-Settings!$B$2)/Settings!$B$3,0)*Settings!$B$3,"")</f>
        <v/>
      </c>
      <c r="V1153" s="13">
        <f>IF(ISNUMBER(Q1153),ROUND(Q1153/(1-Settings!$B$2)/Settings!$B$3,0)*Settings!$B$3,"")</f>
        <v/>
      </c>
      <c r="W1153" s="14" t="n"/>
      <c r="X1153" s="14" t="n"/>
      <c r="Y1153" s="11" t="inlineStr"/>
      <c r="Z1153" s="11" t="inlineStr"/>
      <c r="AA1153" s="8" t="inlineStr">
        <is>
          <t>Inventory master 6/2026 lists Digital Monitor Network at $2,975 (1 mo)</t>
        </is>
      </c>
      <c r="AB1153" s="16" t="inlineStr">
        <is>
          <t>No price on file - inquire</t>
        </is>
      </c>
      <c r="AC1153" s="11" t="inlineStr">
        <is>
          <t>MasterMilitaryOnBaseList 12.2.25 NS.xlsx</t>
        </is>
      </c>
      <c r="AD1153" s="11" t="inlineStr">
        <is>
          <t>Education Center Wall Wrap Pricing.pdf</t>
        </is>
      </c>
      <c r="AE1153" s="15" t="inlineStr">
        <is>
          <t>Open in Box</t>
        </is>
      </c>
      <c r="AF1153" s="15" t="inlineStr">
        <is>
          <t>Open in Box</t>
        </is>
      </c>
    </row>
    <row r="1154">
      <c r="A1154" s="11" t="inlineStr">
        <is>
          <t>NC-NEWRIVER-004</t>
        </is>
      </c>
      <c r="B1154" s="8" t="inlineStr">
        <is>
          <t>New River MCAS</t>
        </is>
      </c>
      <c r="C1154" s="11" t="inlineStr"/>
      <c r="D1154" s="11" t="inlineStr">
        <is>
          <t>NC</t>
        </is>
      </c>
      <c r="E1154" s="11" t="inlineStr">
        <is>
          <t>Greenville-N.Bern-Washngtn</t>
        </is>
      </c>
      <c r="F1154" s="11" t="inlineStr">
        <is>
          <t>28545</t>
        </is>
      </c>
      <c r="G1154" s="11" t="inlineStr">
        <is>
          <t>Marine Corps</t>
        </is>
      </c>
      <c r="H1154" s="11" t="inlineStr">
        <is>
          <t>Digital</t>
        </is>
      </c>
      <c r="I1154" s="8" t="inlineStr">
        <is>
          <t>Digital Monitors - Movie Theater</t>
        </is>
      </c>
      <c r="J1154" s="11" t="inlineStr"/>
      <c r="K1154" s="8" t="inlineStr">
        <is>
          <t>Your ad will appear in the Movie Theater on the installation.</t>
        </is>
      </c>
      <c r="L1154" s="11" t="n"/>
      <c r="M1154" s="12" t="n"/>
      <c r="N1154" s="12" t="n"/>
      <c r="O1154" s="12" t="n"/>
      <c r="P1154" s="12" t="n"/>
      <c r="Q1154" s="12" t="n"/>
      <c r="R1154" s="13">
        <f>IF(ISNUMBER(M1154),ROUND(M1154/(1-Settings!$B$2)/Settings!$B$3,0)*Settings!$B$3,"")</f>
        <v/>
      </c>
      <c r="S1154" s="13">
        <f>IF(ISNUMBER(N1154),ROUND(N1154/(1-Settings!$B$2)/Settings!$B$3,0)*Settings!$B$3,"")</f>
        <v/>
      </c>
      <c r="T1154" s="13">
        <f>IF(ISNUMBER(O1154),ROUND(O1154/(1-Settings!$B$2)/Settings!$B$3,0)*Settings!$B$3,"")</f>
        <v/>
      </c>
      <c r="U1154" s="13">
        <f>IF(ISNUMBER(P1154),ROUND(P1154/(1-Settings!$B$2)/Settings!$B$3,0)*Settings!$B$3,"")</f>
        <v/>
      </c>
      <c r="V1154" s="13">
        <f>IF(ISNUMBER(Q1154),ROUND(Q1154/(1-Settings!$B$2)/Settings!$B$3,0)*Settings!$B$3,"")</f>
        <v/>
      </c>
      <c r="W1154" s="14" t="n"/>
      <c r="X1154" s="14" t="n"/>
      <c r="Y1154" s="11" t="inlineStr"/>
      <c r="Z1154" s="11" t="inlineStr"/>
      <c r="AA1154" s="8" t="inlineStr">
        <is>
          <t>Inventory master 6/2026 lists Digital Monitor Network at $2,975 (1 mo); Inventory master 6/2026 lists Movie Theater Ad at $500 (1 mo)</t>
        </is>
      </c>
      <c r="AB1154" s="16" t="inlineStr">
        <is>
          <t>No price on file - inquire</t>
        </is>
      </c>
      <c r="AC1154" s="11" t="inlineStr">
        <is>
          <t>MasterMilitaryOnBaseList 12.2.25 NS.xlsx</t>
        </is>
      </c>
      <c r="AD1154" s="11" t="inlineStr">
        <is>
          <t>Education Center Wall Wrap Pricing.pdf</t>
        </is>
      </c>
      <c r="AE1154" s="15" t="inlineStr">
        <is>
          <t>Open in Box</t>
        </is>
      </c>
      <c r="AF1154" s="15" t="inlineStr">
        <is>
          <t>Open in Box</t>
        </is>
      </c>
    </row>
    <row r="1155">
      <c r="A1155" s="11" t="inlineStr">
        <is>
          <t>NC-NEWRIVER-005</t>
        </is>
      </c>
      <c r="B1155" s="8" t="inlineStr">
        <is>
          <t>New River MCAS</t>
        </is>
      </c>
      <c r="C1155" s="11" t="inlineStr"/>
      <c r="D1155" s="11" t="inlineStr">
        <is>
          <t>NC</t>
        </is>
      </c>
      <c r="E1155" s="11" t="inlineStr">
        <is>
          <t>Greenville-N.Bern-Washngtn</t>
        </is>
      </c>
      <c r="F1155" s="11" t="inlineStr">
        <is>
          <t>28545</t>
        </is>
      </c>
      <c r="G1155" s="11" t="inlineStr">
        <is>
          <t>Marine Corps</t>
        </is>
      </c>
      <c r="H1155" s="11" t="inlineStr">
        <is>
          <t>Digital</t>
        </is>
      </c>
      <c r="I1155" s="8" t="inlineStr">
        <is>
          <t>Digital Monitors - New River Bowling Centers</t>
        </is>
      </c>
      <c r="J1155" s="11" t="inlineStr"/>
      <c r="K1155" s="8" t="inlineStr">
        <is>
          <t>Your ad will appear in the New River Bowling Center on the installation.</t>
        </is>
      </c>
      <c r="L1155" s="11" t="n">
        <v>1</v>
      </c>
      <c r="M1155" s="12" t="n">
        <v>400</v>
      </c>
      <c r="N1155" s="12" t="n">
        <v>1140</v>
      </c>
      <c r="O1155" s="12" t="n">
        <v>2160</v>
      </c>
      <c r="P1155" s="12" t="n">
        <v>4080</v>
      </c>
      <c r="Q1155" s="12" t="n"/>
      <c r="R1155" s="13">
        <f>IF(ISNUMBER(M1155),ROUND(M1155/(1-Settings!$B$2)/Settings!$B$3,0)*Settings!$B$3,"")</f>
        <v/>
      </c>
      <c r="S1155" s="13">
        <f>IF(ISNUMBER(N1155),ROUND(N1155/(1-Settings!$B$2)/Settings!$B$3,0)*Settings!$B$3,"")</f>
        <v/>
      </c>
      <c r="T1155" s="13">
        <f>IF(ISNUMBER(O1155),ROUND(O1155/(1-Settings!$B$2)/Settings!$B$3,0)*Settings!$B$3,"")</f>
        <v/>
      </c>
      <c r="U1155" s="13">
        <f>IF(ISNUMBER(P1155),ROUND(P1155/(1-Settings!$B$2)/Settings!$B$3,0)*Settings!$B$3,"")</f>
        <v/>
      </c>
      <c r="V1155" s="13">
        <f>IF(ISNUMBER(Q1155),ROUND(Q1155/(1-Settings!$B$2)/Settings!$B$3,0)*Settings!$B$3,"")</f>
        <v/>
      </c>
      <c r="W1155" s="14" t="n"/>
      <c r="X1155" s="14" t="n"/>
      <c r="Y1155" s="11" t="inlineStr"/>
      <c r="Z1155" s="11" t="inlineStr"/>
      <c r="AA1155" s="8" t="inlineStr">
        <is>
          <t>Inventory master 6/2026 lists Digital Monitor Network at $2,975 (1 mo)</t>
        </is>
      </c>
      <c r="AB1155" s="8" t="inlineStr"/>
      <c r="AC1155" s="11" t="inlineStr">
        <is>
          <t>MasterMilitaryOnBaseList 12.2.25 NS.xlsx</t>
        </is>
      </c>
      <c r="AD1155" s="11" t="inlineStr">
        <is>
          <t>Education Center Wall Wrap Pricing.pdf</t>
        </is>
      </c>
      <c r="AE1155" s="15" t="inlineStr">
        <is>
          <t>Open in Box</t>
        </is>
      </c>
      <c r="AF1155" s="15" t="inlineStr">
        <is>
          <t>Open in Box</t>
        </is>
      </c>
    </row>
    <row r="1156">
      <c r="A1156" s="11" t="inlineStr">
        <is>
          <t>NC-NEWRIVER-006</t>
        </is>
      </c>
      <c r="B1156" s="8" t="inlineStr">
        <is>
          <t>New River MCAS</t>
        </is>
      </c>
      <c r="C1156" s="11" t="inlineStr"/>
      <c r="D1156" s="11" t="inlineStr">
        <is>
          <t>NC</t>
        </is>
      </c>
      <c r="E1156" s="11" t="inlineStr">
        <is>
          <t>Greenville-N.Bern-Washngtn</t>
        </is>
      </c>
      <c r="F1156" s="11" t="inlineStr">
        <is>
          <t>28545</t>
        </is>
      </c>
      <c r="G1156" s="11" t="inlineStr">
        <is>
          <t>Marine Corps</t>
        </is>
      </c>
      <c r="H1156" s="11" t="inlineStr">
        <is>
          <t>Digital</t>
        </is>
      </c>
      <c r="I1156" s="8" t="inlineStr">
        <is>
          <t>Digital Monitors - SMP Recreation Centers</t>
        </is>
      </c>
      <c r="J1156" s="11" t="inlineStr"/>
      <c r="K1156" s="8" t="inlineStr">
        <is>
          <t>Your ad will appear in approved SMP Recreation Centers on the installation.</t>
        </is>
      </c>
      <c r="L1156" s="11" t="n">
        <v>1</v>
      </c>
      <c r="M1156" s="12" t="n">
        <v>375</v>
      </c>
      <c r="N1156" s="12" t="n">
        <v>1070</v>
      </c>
      <c r="O1156" s="12" t="n">
        <v>2025</v>
      </c>
      <c r="P1156" s="12" t="n">
        <v>3825</v>
      </c>
      <c r="Q1156" s="12" t="n"/>
      <c r="R1156" s="13">
        <f>IF(ISNUMBER(M1156),ROUND(M1156/(1-Settings!$B$2)/Settings!$B$3,0)*Settings!$B$3,"")</f>
        <v/>
      </c>
      <c r="S1156" s="13">
        <f>IF(ISNUMBER(N1156),ROUND(N1156/(1-Settings!$B$2)/Settings!$B$3,0)*Settings!$B$3,"")</f>
        <v/>
      </c>
      <c r="T1156" s="13">
        <f>IF(ISNUMBER(O1156),ROUND(O1156/(1-Settings!$B$2)/Settings!$B$3,0)*Settings!$B$3,"")</f>
        <v/>
      </c>
      <c r="U1156" s="13">
        <f>IF(ISNUMBER(P1156),ROUND(P1156/(1-Settings!$B$2)/Settings!$B$3,0)*Settings!$B$3,"")</f>
        <v/>
      </c>
      <c r="V1156" s="13">
        <f>IF(ISNUMBER(Q1156),ROUND(Q1156/(1-Settings!$B$2)/Settings!$B$3,0)*Settings!$B$3,"")</f>
        <v/>
      </c>
      <c r="W1156" s="14" t="n"/>
      <c r="X1156" s="14" t="n"/>
      <c r="Y1156" s="11" t="inlineStr"/>
      <c r="Z1156" s="11" t="inlineStr"/>
      <c r="AA1156" s="8" t="inlineStr">
        <is>
          <t>Inventory master 6/2026 lists Digital Monitor Network at $2,975 (1 mo)</t>
        </is>
      </c>
      <c r="AB1156" s="8" t="inlineStr"/>
      <c r="AC1156" s="11" t="inlineStr">
        <is>
          <t>MasterMilitaryOnBaseList 12.2.25 NS.xlsx</t>
        </is>
      </c>
      <c r="AD1156" s="11" t="inlineStr">
        <is>
          <t>Education Center Wall Wrap Pricing.pdf</t>
        </is>
      </c>
      <c r="AE1156" s="15" t="inlineStr">
        <is>
          <t>Open in Box</t>
        </is>
      </c>
      <c r="AF1156" s="15" t="inlineStr">
        <is>
          <t>Open in Box</t>
        </is>
      </c>
    </row>
    <row r="1157">
      <c r="A1157" s="11" t="inlineStr">
        <is>
          <t>NC-NEWRIVER-007</t>
        </is>
      </c>
      <c r="B1157" s="8" t="inlineStr">
        <is>
          <t>New River MCAS</t>
        </is>
      </c>
      <c r="C1157" s="11" t="inlineStr"/>
      <c r="D1157" s="11" t="inlineStr">
        <is>
          <t>NC</t>
        </is>
      </c>
      <c r="E1157" s="11" t="inlineStr">
        <is>
          <t>Greenville-N.Bern-Washngtn</t>
        </is>
      </c>
      <c r="F1157" s="11" t="inlineStr">
        <is>
          <t>28545</t>
        </is>
      </c>
      <c r="G1157" s="11" t="inlineStr">
        <is>
          <t>Marine Corps</t>
        </is>
      </c>
      <c r="H1157" s="11" t="inlineStr">
        <is>
          <t>Digital</t>
        </is>
      </c>
      <c r="I1157" s="8" t="inlineStr">
        <is>
          <t>Digital Monitors - Tarawa Terrace Community Center</t>
        </is>
      </c>
      <c r="J1157" s="11" t="inlineStr"/>
      <c r="K1157" s="8" t="inlineStr">
        <is>
          <t>Your ad will appear in the Tarawa Terrace Community Center on the installation.</t>
        </is>
      </c>
      <c r="L1157" s="11" t="n">
        <v>1</v>
      </c>
      <c r="M1157" s="12" t="n">
        <v>100</v>
      </c>
      <c r="N1157" s="12" t="n">
        <v>285</v>
      </c>
      <c r="O1157" s="12" t="n">
        <v>540</v>
      </c>
      <c r="P1157" s="12" t="n">
        <v>960</v>
      </c>
      <c r="Q1157" s="12" t="n"/>
      <c r="R1157" s="13">
        <f>IF(ISNUMBER(M1157),ROUND(M1157/(1-Settings!$B$2)/Settings!$B$3,0)*Settings!$B$3,"")</f>
        <v/>
      </c>
      <c r="S1157" s="13">
        <f>IF(ISNUMBER(N1157),ROUND(N1157/(1-Settings!$B$2)/Settings!$B$3,0)*Settings!$B$3,"")</f>
        <v/>
      </c>
      <c r="T1157" s="13">
        <f>IF(ISNUMBER(O1157),ROUND(O1157/(1-Settings!$B$2)/Settings!$B$3,0)*Settings!$B$3,"")</f>
        <v/>
      </c>
      <c r="U1157" s="13">
        <f>IF(ISNUMBER(P1157),ROUND(P1157/(1-Settings!$B$2)/Settings!$B$3,0)*Settings!$B$3,"")</f>
        <v/>
      </c>
      <c r="V1157" s="13">
        <f>IF(ISNUMBER(Q1157),ROUND(Q1157/(1-Settings!$B$2)/Settings!$B$3,0)*Settings!$B$3,"")</f>
        <v/>
      </c>
      <c r="W1157" s="14" t="n"/>
      <c r="X1157" s="14" t="n"/>
      <c r="Y1157" s="11" t="inlineStr"/>
      <c r="Z1157" s="11" t="inlineStr"/>
      <c r="AA1157" s="8" t="inlineStr">
        <is>
          <t>Inventory master 6/2026 lists Digital Monitor Network at $2,975 (1 mo)</t>
        </is>
      </c>
      <c r="AB1157" s="8" t="inlineStr"/>
      <c r="AC1157" s="11" t="inlineStr">
        <is>
          <t>MasterMilitaryOnBaseList 12.2.25 NS.xlsx</t>
        </is>
      </c>
      <c r="AD1157" s="11" t="inlineStr">
        <is>
          <t>Education Center Wall Wrap Pricing.pdf</t>
        </is>
      </c>
      <c r="AE1157" s="15" t="inlineStr">
        <is>
          <t>Open in Box</t>
        </is>
      </c>
      <c r="AF1157" s="15" t="inlineStr">
        <is>
          <t>Open in Box</t>
        </is>
      </c>
    </row>
    <row r="1158">
      <c r="A1158" s="11" t="inlineStr">
        <is>
          <t>NC-NEWRIVER-008</t>
        </is>
      </c>
      <c r="B1158" s="8" t="inlineStr">
        <is>
          <t>New River MCAS</t>
        </is>
      </c>
      <c r="C1158" s="11" t="inlineStr"/>
      <c r="D1158" s="11" t="inlineStr">
        <is>
          <t>NC</t>
        </is>
      </c>
      <c r="E1158" s="11" t="inlineStr">
        <is>
          <t>Greenville-N.Bern-Washngtn</t>
        </is>
      </c>
      <c r="F1158" s="11" t="inlineStr">
        <is>
          <t>28545</t>
        </is>
      </c>
      <c r="G1158" s="11" t="inlineStr">
        <is>
          <t>Marine Corps</t>
        </is>
      </c>
      <c r="H1158" s="11" t="inlineStr">
        <is>
          <t>Digital</t>
        </is>
      </c>
      <c r="I1158" s="8" t="inlineStr">
        <is>
          <t>Digital Monitors - Wallace Creek Fitness Center</t>
        </is>
      </c>
      <c r="J1158" s="11" t="inlineStr"/>
      <c r="K1158" s="8" t="inlineStr">
        <is>
          <t>Your ad will appear in the Wallace Creek Fitness Center on the installation.</t>
        </is>
      </c>
      <c r="L1158" s="11" t="n">
        <v>1</v>
      </c>
      <c r="M1158" s="12" t="n">
        <v>150</v>
      </c>
      <c r="N1158" s="12" t="n">
        <v>425</v>
      </c>
      <c r="O1158" s="12" t="n">
        <v>810</v>
      </c>
      <c r="P1158" s="12" t="n">
        <v>1440</v>
      </c>
      <c r="Q1158" s="12" t="n"/>
      <c r="R1158" s="13">
        <f>IF(ISNUMBER(M1158),ROUND(M1158/(1-Settings!$B$2)/Settings!$B$3,0)*Settings!$B$3,"")</f>
        <v/>
      </c>
      <c r="S1158" s="13">
        <f>IF(ISNUMBER(N1158),ROUND(N1158/(1-Settings!$B$2)/Settings!$B$3,0)*Settings!$B$3,"")</f>
        <v/>
      </c>
      <c r="T1158" s="13">
        <f>IF(ISNUMBER(O1158),ROUND(O1158/(1-Settings!$B$2)/Settings!$B$3,0)*Settings!$B$3,"")</f>
        <v/>
      </c>
      <c r="U1158" s="13">
        <f>IF(ISNUMBER(P1158),ROUND(P1158/(1-Settings!$B$2)/Settings!$B$3,0)*Settings!$B$3,"")</f>
        <v/>
      </c>
      <c r="V1158" s="13">
        <f>IF(ISNUMBER(Q1158),ROUND(Q1158/(1-Settings!$B$2)/Settings!$B$3,0)*Settings!$B$3,"")</f>
        <v/>
      </c>
      <c r="W1158" s="14" t="n"/>
      <c r="X1158" s="14" t="n"/>
      <c r="Y1158" s="11" t="inlineStr"/>
      <c r="Z1158" s="11" t="inlineStr"/>
      <c r="AA1158" s="8" t="inlineStr">
        <is>
          <t>Inventory master 6/2026 lists Digital Monitor Network at $2,975 (1 mo)</t>
        </is>
      </c>
      <c r="AB1158" s="8" t="inlineStr"/>
      <c r="AC1158" s="11" t="inlineStr">
        <is>
          <t>MasterMilitaryOnBaseList 12.2.25 NS.xlsx</t>
        </is>
      </c>
      <c r="AD1158" s="11" t="inlineStr">
        <is>
          <t>Education Center Wall Wrap Pricing.pdf</t>
        </is>
      </c>
      <c r="AE1158" s="15" t="inlineStr">
        <is>
          <t>Open in Box</t>
        </is>
      </c>
      <c r="AF1158" s="15" t="inlineStr">
        <is>
          <t>Open in Box</t>
        </is>
      </c>
    </row>
    <row r="1159">
      <c r="A1159" s="11" t="inlineStr">
        <is>
          <t>NC-NEWRIVER-009</t>
        </is>
      </c>
      <c r="B1159" s="8" t="inlineStr">
        <is>
          <t>New River MCAS</t>
        </is>
      </c>
      <c r="C1159" s="11" t="inlineStr"/>
      <c r="D1159" s="11" t="inlineStr">
        <is>
          <t>NC</t>
        </is>
      </c>
      <c r="E1159" s="11" t="inlineStr">
        <is>
          <t>Greenville-N.Bern-Washngtn</t>
        </is>
      </c>
      <c r="F1159" s="11" t="inlineStr">
        <is>
          <t>28545</t>
        </is>
      </c>
      <c r="G1159" s="11" t="inlineStr">
        <is>
          <t>Marine Corps</t>
        </is>
      </c>
      <c r="H1159" s="11" t="inlineStr">
        <is>
          <t>Digital</t>
        </is>
      </c>
      <c r="I1159" s="8" t="inlineStr">
        <is>
          <t>Digital Outdoor Marquees</t>
        </is>
      </c>
      <c r="J1159" s="11" t="inlineStr"/>
      <c r="K1159" s="8" t="inlineStr">
        <is>
          <t>Your ad will appear on approved outdoor digital outdoor marquees on the installation.</t>
        </is>
      </c>
      <c r="L1159" s="11" t="n">
        <v>1</v>
      </c>
      <c r="M1159" s="12" t="n">
        <v>1250</v>
      </c>
      <c r="N1159" s="12" t="n">
        <v>3560</v>
      </c>
      <c r="O1159" s="12" t="n">
        <v>6750</v>
      </c>
      <c r="P1159" s="12" t="n">
        <v>12750</v>
      </c>
      <c r="Q1159" s="12" t="n"/>
      <c r="R1159" s="13">
        <f>IF(ISNUMBER(M1159),ROUND(M1159/(1-Settings!$B$2)/Settings!$B$3,0)*Settings!$B$3,"")</f>
        <v/>
      </c>
      <c r="S1159" s="13">
        <f>IF(ISNUMBER(N1159),ROUND(N1159/(1-Settings!$B$2)/Settings!$B$3,0)*Settings!$B$3,"")</f>
        <v/>
      </c>
      <c r="T1159" s="13">
        <f>IF(ISNUMBER(O1159),ROUND(O1159/(1-Settings!$B$2)/Settings!$B$3,0)*Settings!$B$3,"")</f>
        <v/>
      </c>
      <c r="U1159" s="13">
        <f>IF(ISNUMBER(P1159),ROUND(P1159/(1-Settings!$B$2)/Settings!$B$3,0)*Settings!$B$3,"")</f>
        <v/>
      </c>
      <c r="V1159" s="13">
        <f>IF(ISNUMBER(Q1159),ROUND(Q1159/(1-Settings!$B$2)/Settings!$B$3,0)*Settings!$B$3,"")</f>
        <v/>
      </c>
      <c r="W1159" s="14" t="n"/>
      <c r="X1159" s="14" t="n"/>
      <c r="Y1159" s="11" t="inlineStr"/>
      <c r="Z1159" s="11" t="inlineStr"/>
      <c r="AA1159" s="8" t="inlineStr">
        <is>
          <t>Inventory master 6/2026 lists Digital Monitor Network at $2,975 (1 mo)</t>
        </is>
      </c>
      <c r="AB1159" s="8" t="inlineStr"/>
      <c r="AC1159" s="11" t="inlineStr">
        <is>
          <t>MasterMilitaryOnBaseList 12.2.25 NS.xlsx</t>
        </is>
      </c>
      <c r="AD1159" s="11" t="inlineStr">
        <is>
          <t>Education Center Wall Wrap Pricing.pdf</t>
        </is>
      </c>
      <c r="AE1159" s="15" t="inlineStr">
        <is>
          <t>Open in Box</t>
        </is>
      </c>
      <c r="AF1159" s="15" t="inlineStr">
        <is>
          <t>Open in Box</t>
        </is>
      </c>
    </row>
    <row r="1160">
      <c r="A1160" s="11" t="inlineStr">
        <is>
          <t>NC-NEWRIVER-020</t>
        </is>
      </c>
      <c r="B1160" s="8" t="inlineStr">
        <is>
          <t>New River MCAS</t>
        </is>
      </c>
      <c r="C1160" s="11" t="inlineStr"/>
      <c r="D1160" s="11" t="inlineStr">
        <is>
          <t>NC</t>
        </is>
      </c>
      <c r="E1160" s="11" t="inlineStr">
        <is>
          <t>Greenville-N.Bern-Washngtn</t>
        </is>
      </c>
      <c r="F1160" s="11" t="inlineStr">
        <is>
          <t>28545</t>
        </is>
      </c>
      <c r="G1160" s="11" t="inlineStr">
        <is>
          <t>Marine Corps</t>
        </is>
      </c>
      <c r="H1160" s="11" t="inlineStr">
        <is>
          <t>Large Format</t>
        </is>
      </c>
      <c r="I1160" s="8" t="inlineStr">
        <is>
          <t>Mobile Billboard</t>
        </is>
      </c>
      <c r="J1160" s="11" t="inlineStr"/>
      <c r="K1160" s="8" t="inlineStr">
        <is>
          <t>Your ad will appear on an approved location on the installation.</t>
        </is>
      </c>
      <c r="L1160" s="11" t="n"/>
      <c r="M1160" s="12" t="n"/>
      <c r="N1160" s="12" t="n"/>
      <c r="O1160" s="12" t="n"/>
      <c r="P1160" s="12" t="n"/>
      <c r="Q1160" s="12" t="n"/>
      <c r="R1160" s="13">
        <f>IF(ISNUMBER(M1160),ROUND(M1160/(1-Settings!$B$2)/Settings!$B$3,0)*Settings!$B$3,"")</f>
        <v/>
      </c>
      <c r="S1160" s="13">
        <f>IF(ISNUMBER(N1160),ROUND(N1160/(1-Settings!$B$2)/Settings!$B$3,0)*Settings!$B$3,"")</f>
        <v/>
      </c>
      <c r="T1160" s="13">
        <f>IF(ISNUMBER(O1160),ROUND(O1160/(1-Settings!$B$2)/Settings!$B$3,0)*Settings!$B$3,"")</f>
        <v/>
      </c>
      <c r="U1160" s="13">
        <f>IF(ISNUMBER(P1160),ROUND(P1160/(1-Settings!$B$2)/Settings!$B$3,0)*Settings!$B$3,"")</f>
        <v/>
      </c>
      <c r="V1160" s="13">
        <f>IF(ISNUMBER(Q1160),ROUND(Q1160/(1-Settings!$B$2)/Settings!$B$3,0)*Settings!$B$3,"")</f>
        <v/>
      </c>
      <c r="W1160" s="14" t="n"/>
      <c r="X1160" s="14" t="n"/>
      <c r="Y1160" s="11" t="inlineStr"/>
      <c r="Z1160" s="11" t="inlineStr"/>
      <c r="AA1160" s="8" t="inlineStr"/>
      <c r="AB1160" s="16" t="inlineStr">
        <is>
          <t>No price on file - inquire</t>
        </is>
      </c>
      <c r="AC1160" s="11" t="inlineStr">
        <is>
          <t>MasterMilitaryOnBaseList 12.2.25 NS.xlsx</t>
        </is>
      </c>
      <c r="AD1160" s="11" t="inlineStr">
        <is>
          <t>Education Center Wall Wrap Pricing.pdf</t>
        </is>
      </c>
      <c r="AE1160" s="15" t="inlineStr">
        <is>
          <t>Open in Box</t>
        </is>
      </c>
      <c r="AF1160" s="15" t="inlineStr">
        <is>
          <t>Open in Box</t>
        </is>
      </c>
    </row>
    <row r="1161">
      <c r="A1161" s="11" t="inlineStr">
        <is>
          <t>NC-NEWRIVER-021</t>
        </is>
      </c>
      <c r="B1161" s="8" t="inlineStr">
        <is>
          <t>New River MCAS</t>
        </is>
      </c>
      <c r="C1161" s="11" t="inlineStr"/>
      <c r="D1161" s="11" t="inlineStr">
        <is>
          <t>NC</t>
        </is>
      </c>
      <c r="E1161" s="11" t="inlineStr">
        <is>
          <t>Greenville-N.Bern-Washngtn</t>
        </is>
      </c>
      <c r="F1161" s="11" t="inlineStr">
        <is>
          <t>28545</t>
        </is>
      </c>
      <c r="G1161" s="11" t="inlineStr">
        <is>
          <t>Marine Corps</t>
        </is>
      </c>
      <c r="H1161" s="11" t="inlineStr">
        <is>
          <t>Large Format</t>
        </is>
      </c>
      <c r="I1161" s="8" t="inlineStr">
        <is>
          <t>Outdoor Banner - Intramural/Adult Sports Fields</t>
        </is>
      </c>
      <c r="J1161" s="11" t="inlineStr"/>
      <c r="K1161" s="8" t="inlineStr">
        <is>
          <t>Your ad will appear on the Intramural/Adult Sports Fields on the installation.</t>
        </is>
      </c>
      <c r="L1161" s="11" t="n"/>
      <c r="M1161" s="12" t="n"/>
      <c r="N1161" s="12" t="n"/>
      <c r="O1161" s="12" t="n"/>
      <c r="P1161" s="12" t="n"/>
      <c r="Q1161" s="12" t="n"/>
      <c r="R1161" s="13">
        <f>IF(ISNUMBER(M1161),ROUND(M1161/(1-Settings!$B$2)/Settings!$B$3,0)*Settings!$B$3,"")</f>
        <v/>
      </c>
      <c r="S1161" s="13">
        <f>IF(ISNUMBER(N1161),ROUND(N1161/(1-Settings!$B$2)/Settings!$B$3,0)*Settings!$B$3,"")</f>
        <v/>
      </c>
      <c r="T1161" s="13">
        <f>IF(ISNUMBER(O1161),ROUND(O1161/(1-Settings!$B$2)/Settings!$B$3,0)*Settings!$B$3,"")</f>
        <v/>
      </c>
      <c r="U1161" s="13">
        <f>IF(ISNUMBER(P1161),ROUND(P1161/(1-Settings!$B$2)/Settings!$B$3,0)*Settings!$B$3,"")</f>
        <v/>
      </c>
      <c r="V1161" s="13">
        <f>IF(ISNUMBER(Q1161),ROUND(Q1161/(1-Settings!$B$2)/Settings!$B$3,0)*Settings!$B$3,"")</f>
        <v/>
      </c>
      <c r="W1161" s="14" t="n"/>
      <c r="X1161" s="14" t="n"/>
      <c r="Y1161" s="11" t="inlineStr"/>
      <c r="Z1161" s="11" t="inlineStr"/>
      <c r="AA1161" s="8" t="inlineStr"/>
      <c r="AB1161" s="16" t="inlineStr">
        <is>
          <t>No price on file - inquire</t>
        </is>
      </c>
      <c r="AC1161" s="11" t="inlineStr">
        <is>
          <t>MasterMilitaryOnBaseList 12.2.25 NS.xlsx</t>
        </is>
      </c>
      <c r="AD1161" s="11" t="inlineStr">
        <is>
          <t>Education Center Wall Wrap Pricing.pdf</t>
        </is>
      </c>
      <c r="AE1161" s="15" t="inlineStr">
        <is>
          <t>Open in Box</t>
        </is>
      </c>
      <c r="AF1161" s="15" t="inlineStr">
        <is>
          <t>Open in Box</t>
        </is>
      </c>
    </row>
    <row r="1162">
      <c r="A1162" s="11" t="inlineStr">
        <is>
          <t>NC-NEWRIVER-022</t>
        </is>
      </c>
      <c r="B1162" s="8" t="inlineStr">
        <is>
          <t>New River MCAS</t>
        </is>
      </c>
      <c r="C1162" s="11" t="inlineStr"/>
      <c r="D1162" s="11" t="inlineStr">
        <is>
          <t>NC</t>
        </is>
      </c>
      <c r="E1162" s="11" t="inlineStr">
        <is>
          <t>Greenville-N.Bern-Washngtn</t>
        </is>
      </c>
      <c r="F1162" s="11" t="inlineStr">
        <is>
          <t>28545</t>
        </is>
      </c>
      <c r="G1162" s="11" t="inlineStr">
        <is>
          <t>Marine Corps</t>
        </is>
      </c>
      <c r="H1162" s="11" t="inlineStr">
        <is>
          <t>Large Format</t>
        </is>
      </c>
      <c r="I1162" s="8" t="inlineStr">
        <is>
          <t>Outdoor Banner - Youth Sports Fields</t>
        </is>
      </c>
      <c r="J1162" s="11" t="inlineStr"/>
      <c r="K1162" s="8" t="inlineStr">
        <is>
          <t>Your ad will appear on the Youth Sport Fields on the installation.</t>
        </is>
      </c>
      <c r="L1162" s="11" t="n"/>
      <c r="M1162" s="12" t="n"/>
      <c r="N1162" s="12" t="n"/>
      <c r="O1162" s="12" t="n"/>
      <c r="P1162" s="12" t="n"/>
      <c r="Q1162" s="12" t="n"/>
      <c r="R1162" s="13">
        <f>IF(ISNUMBER(M1162),ROUND(M1162/(1-Settings!$B$2)/Settings!$B$3,0)*Settings!$B$3,"")</f>
        <v/>
      </c>
      <c r="S1162" s="13">
        <f>IF(ISNUMBER(N1162),ROUND(N1162/(1-Settings!$B$2)/Settings!$B$3,0)*Settings!$B$3,"")</f>
        <v/>
      </c>
      <c r="T1162" s="13">
        <f>IF(ISNUMBER(O1162),ROUND(O1162/(1-Settings!$B$2)/Settings!$B$3,0)*Settings!$B$3,"")</f>
        <v/>
      </c>
      <c r="U1162" s="13">
        <f>IF(ISNUMBER(P1162),ROUND(P1162/(1-Settings!$B$2)/Settings!$B$3,0)*Settings!$B$3,"")</f>
        <v/>
      </c>
      <c r="V1162" s="13">
        <f>IF(ISNUMBER(Q1162),ROUND(Q1162/(1-Settings!$B$2)/Settings!$B$3,0)*Settings!$B$3,"")</f>
        <v/>
      </c>
      <c r="W1162" s="14" t="n"/>
      <c r="X1162" s="14" t="n"/>
      <c r="Y1162" s="11" t="inlineStr"/>
      <c r="Z1162" s="11" t="inlineStr"/>
      <c r="AA1162" s="8" t="inlineStr"/>
      <c r="AB1162" s="16" t="inlineStr">
        <is>
          <t>No price on file - inquire</t>
        </is>
      </c>
      <c r="AC1162" s="11" t="inlineStr">
        <is>
          <t>MasterMilitaryOnBaseList 12.2.25 NS.xlsx</t>
        </is>
      </c>
      <c r="AD1162" s="11" t="inlineStr">
        <is>
          <t>Education Center Wall Wrap Pricing.pdf</t>
        </is>
      </c>
      <c r="AE1162" s="15" t="inlineStr">
        <is>
          <t>Open in Box</t>
        </is>
      </c>
      <c r="AF1162" s="15" t="inlineStr">
        <is>
          <t>Open in Box</t>
        </is>
      </c>
    </row>
    <row r="1163">
      <c r="A1163" s="11" t="inlineStr">
        <is>
          <t>NC-NEWRIVER-025</t>
        </is>
      </c>
      <c r="B1163" s="8" t="inlineStr">
        <is>
          <t>New River MCAS</t>
        </is>
      </c>
      <c r="C1163" s="11" t="inlineStr"/>
      <c r="D1163" s="11" t="inlineStr">
        <is>
          <t>NC</t>
        </is>
      </c>
      <c r="E1163" s="11" t="inlineStr">
        <is>
          <t>Greenville-N.Bern-Washngtn</t>
        </is>
      </c>
      <c r="F1163" s="11" t="inlineStr">
        <is>
          <t>28545</t>
        </is>
      </c>
      <c r="G1163" s="11" t="inlineStr">
        <is>
          <t>Marine Corps</t>
        </is>
      </c>
      <c r="H1163" s="11" t="inlineStr">
        <is>
          <t>Sponsorship &amp; Other</t>
        </is>
      </c>
      <c r="I1163" s="8" t="inlineStr">
        <is>
          <t>Bathroom Stall Ads</t>
        </is>
      </c>
      <c r="J1163" s="11" t="inlineStr"/>
      <c r="K1163" s="8" t="inlineStr">
        <is>
          <t>Your ad will appear in bathroom stalls on the installation.</t>
        </is>
      </c>
      <c r="L1163" s="11" t="n"/>
      <c r="M1163" s="12" t="n"/>
      <c r="N1163" s="12" t="n"/>
      <c r="O1163" s="12" t="n"/>
      <c r="P1163" s="12" t="n"/>
      <c r="Q1163" s="12" t="n"/>
      <c r="R1163" s="13">
        <f>IF(ISNUMBER(M1163),ROUND(M1163/(1-Settings!$B$2)/Settings!$B$3,0)*Settings!$B$3,"")</f>
        <v/>
      </c>
      <c r="S1163" s="13">
        <f>IF(ISNUMBER(N1163),ROUND(N1163/(1-Settings!$B$2)/Settings!$B$3,0)*Settings!$B$3,"")</f>
        <v/>
      </c>
      <c r="T1163" s="13">
        <f>IF(ISNUMBER(O1163),ROUND(O1163/(1-Settings!$B$2)/Settings!$B$3,0)*Settings!$B$3,"")</f>
        <v/>
      </c>
      <c r="U1163" s="13">
        <f>IF(ISNUMBER(P1163),ROUND(P1163/(1-Settings!$B$2)/Settings!$B$3,0)*Settings!$B$3,"")</f>
        <v/>
      </c>
      <c r="V1163" s="13">
        <f>IF(ISNUMBER(Q1163),ROUND(Q1163/(1-Settings!$B$2)/Settings!$B$3,0)*Settings!$B$3,"")</f>
        <v/>
      </c>
      <c r="W1163" s="14" t="n"/>
      <c r="X1163" s="14" t="n"/>
      <c r="Y1163" s="11" t="inlineStr"/>
      <c r="Z1163" s="11" t="inlineStr"/>
      <c r="AA1163" s="8" t="inlineStr"/>
      <c r="AB1163" s="16" t="inlineStr">
        <is>
          <t>No price on file - inquire</t>
        </is>
      </c>
      <c r="AC1163" s="11" t="inlineStr">
        <is>
          <t>MasterMilitaryOnBaseList 12.2.25 NS.xlsx</t>
        </is>
      </c>
      <c r="AD1163" s="11" t="inlineStr">
        <is>
          <t>Education Center Wall Wrap Pricing.pdf</t>
        </is>
      </c>
      <c r="AE1163" s="15" t="inlineStr">
        <is>
          <t>Open in Box</t>
        </is>
      </c>
      <c r="AF1163" s="15" t="inlineStr">
        <is>
          <t>Open in Box</t>
        </is>
      </c>
    </row>
    <row r="1164">
      <c r="A1164" s="11" t="inlineStr">
        <is>
          <t>NC-NEWRIVER-026</t>
        </is>
      </c>
      <c r="B1164" s="8" t="inlineStr">
        <is>
          <t>New River MCAS</t>
        </is>
      </c>
      <c r="C1164" s="11" t="inlineStr"/>
      <c r="D1164" s="11" t="inlineStr">
        <is>
          <t>NC</t>
        </is>
      </c>
      <c r="E1164" s="11" t="inlineStr">
        <is>
          <t>Greenville-N.Bern-Washngtn</t>
        </is>
      </c>
      <c r="F1164" s="11" t="inlineStr">
        <is>
          <t>28545</t>
        </is>
      </c>
      <c r="G1164" s="11" t="inlineStr">
        <is>
          <t>Marine Corps</t>
        </is>
      </c>
      <c r="H1164" s="11" t="inlineStr">
        <is>
          <t>Sponsorship &amp; Other</t>
        </is>
      </c>
      <c r="I1164" s="8" t="inlineStr">
        <is>
          <t>Tabling Event</t>
        </is>
      </c>
      <c r="J1164" s="11" t="inlineStr"/>
      <c r="K1164" s="8" t="inlineStr">
        <is>
          <t>Your table will be set up on the installation for 1 day for 4 hours.</t>
        </is>
      </c>
      <c r="L1164" s="11" t="n"/>
      <c r="M1164" s="12" t="n"/>
      <c r="N1164" s="12" t="n"/>
      <c r="O1164" s="12" t="n"/>
      <c r="P1164" s="12" t="n"/>
      <c r="Q1164" s="12" t="n"/>
      <c r="R1164" s="13">
        <f>IF(ISNUMBER(M1164),ROUND(M1164/(1-Settings!$B$2)/Settings!$B$3,0)*Settings!$B$3,"")</f>
        <v/>
      </c>
      <c r="S1164" s="13">
        <f>IF(ISNUMBER(N1164),ROUND(N1164/(1-Settings!$B$2)/Settings!$B$3,0)*Settings!$B$3,"")</f>
        <v/>
      </c>
      <c r="T1164" s="13">
        <f>IF(ISNUMBER(O1164),ROUND(O1164/(1-Settings!$B$2)/Settings!$B$3,0)*Settings!$B$3,"")</f>
        <v/>
      </c>
      <c r="U1164" s="13">
        <f>IF(ISNUMBER(P1164),ROUND(P1164/(1-Settings!$B$2)/Settings!$B$3,0)*Settings!$B$3,"")</f>
        <v/>
      </c>
      <c r="V1164" s="13">
        <f>IF(ISNUMBER(Q1164),ROUND(Q1164/(1-Settings!$B$2)/Settings!$B$3,0)*Settings!$B$3,"")</f>
        <v/>
      </c>
      <c r="W1164" s="14" t="n"/>
      <c r="X1164" s="14" t="n"/>
      <c r="Y1164" s="11" t="inlineStr"/>
      <c r="Z1164" s="11" t="inlineStr"/>
      <c r="AA1164" s="8" t="inlineStr"/>
      <c r="AB1164" s="16" t="inlineStr">
        <is>
          <t>No price on file - inquire</t>
        </is>
      </c>
      <c r="AC1164" s="11" t="inlineStr">
        <is>
          <t>MasterMilitaryOnBaseList 12.2.25 NS.xlsx</t>
        </is>
      </c>
      <c r="AD1164" s="11" t="inlineStr">
        <is>
          <t>Education Center Wall Wrap Pricing.pdf</t>
        </is>
      </c>
      <c r="AE1164" s="15" t="inlineStr">
        <is>
          <t>Open in Box</t>
        </is>
      </c>
      <c r="AF1164" s="15" t="inlineStr">
        <is>
          <t>Open in Box</t>
        </is>
      </c>
    </row>
    <row r="1165">
      <c r="A1165" s="11" t="inlineStr">
        <is>
          <t>NC-NEWRIVER-010</t>
        </is>
      </c>
      <c r="B1165" s="8" t="inlineStr">
        <is>
          <t>New River MCAS</t>
        </is>
      </c>
      <c r="C1165" s="11" t="inlineStr"/>
      <c r="D1165" s="11" t="inlineStr">
        <is>
          <t>NC</t>
        </is>
      </c>
      <c r="E1165" s="11" t="inlineStr">
        <is>
          <t>Greenville-N.Bern-Washngtn</t>
        </is>
      </c>
      <c r="F1165" s="11" t="inlineStr">
        <is>
          <t>28545</t>
        </is>
      </c>
      <c r="G1165" s="11" t="inlineStr">
        <is>
          <t>Marine Corps</t>
        </is>
      </c>
      <c r="H1165" s="11" t="inlineStr">
        <is>
          <t>Standard Media</t>
        </is>
      </c>
      <c r="I1165" s="8" t="inlineStr">
        <is>
          <t>Banners (12 Locations)</t>
        </is>
      </c>
      <c r="J1165" s="11" t="inlineStr"/>
      <c r="K1165" s="8" t="inlineStr">
        <is>
          <t>Your ad will appear in twelve approved locations on the installation.</t>
        </is>
      </c>
      <c r="L1165" s="11" t="n"/>
      <c r="M1165" s="12" t="n"/>
      <c r="N1165" s="12" t="n"/>
      <c r="O1165" s="12" t="n"/>
      <c r="P1165" s="12" t="n"/>
      <c r="Q1165" s="12" t="n"/>
      <c r="R1165" s="13">
        <f>IF(ISNUMBER(M1165),ROUND(M1165/(1-Settings!$B$2)/Settings!$B$3,0)*Settings!$B$3,"")</f>
        <v/>
      </c>
      <c r="S1165" s="13">
        <f>IF(ISNUMBER(N1165),ROUND(N1165/(1-Settings!$B$2)/Settings!$B$3,0)*Settings!$B$3,"")</f>
        <v/>
      </c>
      <c r="T1165" s="13">
        <f>IF(ISNUMBER(O1165),ROUND(O1165/(1-Settings!$B$2)/Settings!$B$3,0)*Settings!$B$3,"")</f>
        <v/>
      </c>
      <c r="U1165" s="13">
        <f>IF(ISNUMBER(P1165),ROUND(P1165/(1-Settings!$B$2)/Settings!$B$3,0)*Settings!$B$3,"")</f>
        <v/>
      </c>
      <c r="V1165" s="13">
        <f>IF(ISNUMBER(Q1165),ROUND(Q1165/(1-Settings!$B$2)/Settings!$B$3,0)*Settings!$B$3,"")</f>
        <v/>
      </c>
      <c r="W1165" s="14" t="n"/>
      <c r="X1165" s="14" t="n"/>
      <c r="Y1165" s="11" t="inlineStr"/>
      <c r="Z1165" s="11" t="inlineStr"/>
      <c r="AA1165" s="8" t="inlineStr"/>
      <c r="AB1165" s="16" t="inlineStr">
        <is>
          <t>No price on file - inquire</t>
        </is>
      </c>
      <c r="AC1165" s="11" t="inlineStr">
        <is>
          <t>MasterMilitaryOnBaseList 12.2.25 NS.xlsx</t>
        </is>
      </c>
      <c r="AD1165" s="11" t="inlineStr">
        <is>
          <t>Education Center Wall Wrap Pricing.pdf</t>
        </is>
      </c>
      <c r="AE1165" s="15" t="inlineStr">
        <is>
          <t>Open in Box</t>
        </is>
      </c>
      <c r="AF1165" s="15" t="inlineStr">
        <is>
          <t>Open in Box</t>
        </is>
      </c>
    </row>
    <row r="1166">
      <c r="A1166" s="11" t="inlineStr">
        <is>
          <t>NC-NEWRIVER-011</t>
        </is>
      </c>
      <c r="B1166" s="8" t="inlineStr">
        <is>
          <t>New River MCAS</t>
        </is>
      </c>
      <c r="C1166" s="11" t="inlineStr"/>
      <c r="D1166" s="11" t="inlineStr">
        <is>
          <t>NC</t>
        </is>
      </c>
      <c r="E1166" s="11" t="inlineStr">
        <is>
          <t>Greenville-N.Bern-Washngtn</t>
        </is>
      </c>
      <c r="F1166" s="11" t="inlineStr">
        <is>
          <t>28545</t>
        </is>
      </c>
      <c r="G1166" s="11" t="inlineStr">
        <is>
          <t>Marine Corps</t>
        </is>
      </c>
      <c r="H1166" s="11" t="inlineStr">
        <is>
          <t>Standard Media</t>
        </is>
      </c>
      <c r="I1166" s="8" t="inlineStr">
        <is>
          <t>Banners (3 Locations)</t>
        </is>
      </c>
      <c r="J1166" s="11" t="inlineStr"/>
      <c r="K1166" s="8" t="inlineStr">
        <is>
          <t>Your ad will appear in three approved locations on the installation.</t>
        </is>
      </c>
      <c r="L1166" s="11" t="n"/>
      <c r="M1166" s="12" t="n"/>
      <c r="N1166" s="12" t="n"/>
      <c r="O1166" s="12" t="n"/>
      <c r="P1166" s="12" t="n"/>
      <c r="Q1166" s="12" t="n"/>
      <c r="R1166" s="13">
        <f>IF(ISNUMBER(M1166),ROUND(M1166/(1-Settings!$B$2)/Settings!$B$3,0)*Settings!$B$3,"")</f>
        <v/>
      </c>
      <c r="S1166" s="13">
        <f>IF(ISNUMBER(N1166),ROUND(N1166/(1-Settings!$B$2)/Settings!$B$3,0)*Settings!$B$3,"")</f>
        <v/>
      </c>
      <c r="T1166" s="13">
        <f>IF(ISNUMBER(O1166),ROUND(O1166/(1-Settings!$B$2)/Settings!$B$3,0)*Settings!$B$3,"")</f>
        <v/>
      </c>
      <c r="U1166" s="13">
        <f>IF(ISNUMBER(P1166),ROUND(P1166/(1-Settings!$B$2)/Settings!$B$3,0)*Settings!$B$3,"")</f>
        <v/>
      </c>
      <c r="V1166" s="13">
        <f>IF(ISNUMBER(Q1166),ROUND(Q1166/(1-Settings!$B$2)/Settings!$B$3,0)*Settings!$B$3,"")</f>
        <v/>
      </c>
      <c r="W1166" s="14" t="n"/>
      <c r="X1166" s="14" t="n"/>
      <c r="Y1166" s="11" t="inlineStr"/>
      <c r="Z1166" s="11" t="inlineStr"/>
      <c r="AA1166" s="8" t="inlineStr"/>
      <c r="AB1166" s="16" t="inlineStr">
        <is>
          <t>No price on file - inquire</t>
        </is>
      </c>
      <c r="AC1166" s="11" t="inlineStr">
        <is>
          <t>MasterMilitaryOnBaseList 12.2.25 NS.xlsx</t>
        </is>
      </c>
      <c r="AD1166" s="11" t="inlineStr">
        <is>
          <t>Education Center Wall Wrap Pricing.pdf</t>
        </is>
      </c>
      <c r="AE1166" s="15" t="inlineStr">
        <is>
          <t>Open in Box</t>
        </is>
      </c>
      <c r="AF1166" s="15" t="inlineStr">
        <is>
          <t>Open in Box</t>
        </is>
      </c>
    </row>
    <row r="1167">
      <c r="A1167" s="11" t="inlineStr">
        <is>
          <t>NC-NEWRIVER-012</t>
        </is>
      </c>
      <c r="B1167" s="8" t="inlineStr">
        <is>
          <t>New River MCAS</t>
        </is>
      </c>
      <c r="C1167" s="11" t="inlineStr"/>
      <c r="D1167" s="11" t="inlineStr">
        <is>
          <t>NC</t>
        </is>
      </c>
      <c r="E1167" s="11" t="inlineStr">
        <is>
          <t>Greenville-N.Bern-Washngtn</t>
        </is>
      </c>
      <c r="F1167" s="11" t="inlineStr">
        <is>
          <t>28545</t>
        </is>
      </c>
      <c r="G1167" s="11" t="inlineStr">
        <is>
          <t>Marine Corps</t>
        </is>
      </c>
      <c r="H1167" s="11" t="inlineStr">
        <is>
          <t>Standard Media</t>
        </is>
      </c>
      <c r="I1167" s="8" t="inlineStr">
        <is>
          <t>Banners (6 Locations)</t>
        </is>
      </c>
      <c r="J1167" s="11" t="inlineStr"/>
      <c r="K1167" s="8" t="inlineStr">
        <is>
          <t>Your ad will appear in six approved locations on the installation.</t>
        </is>
      </c>
      <c r="L1167" s="11" t="n"/>
      <c r="M1167" s="12" t="n"/>
      <c r="N1167" s="12" t="n"/>
      <c r="O1167" s="12" t="n"/>
      <c r="P1167" s="12" t="n"/>
      <c r="Q1167" s="12" t="n"/>
      <c r="R1167" s="13">
        <f>IF(ISNUMBER(M1167),ROUND(M1167/(1-Settings!$B$2)/Settings!$B$3,0)*Settings!$B$3,"")</f>
        <v/>
      </c>
      <c r="S1167" s="13">
        <f>IF(ISNUMBER(N1167),ROUND(N1167/(1-Settings!$B$2)/Settings!$B$3,0)*Settings!$B$3,"")</f>
        <v/>
      </c>
      <c r="T1167" s="13">
        <f>IF(ISNUMBER(O1167),ROUND(O1167/(1-Settings!$B$2)/Settings!$B$3,0)*Settings!$B$3,"")</f>
        <v/>
      </c>
      <c r="U1167" s="13">
        <f>IF(ISNUMBER(P1167),ROUND(P1167/(1-Settings!$B$2)/Settings!$B$3,0)*Settings!$B$3,"")</f>
        <v/>
      </c>
      <c r="V1167" s="13">
        <f>IF(ISNUMBER(Q1167),ROUND(Q1167/(1-Settings!$B$2)/Settings!$B$3,0)*Settings!$B$3,"")</f>
        <v/>
      </c>
      <c r="W1167" s="14" t="n"/>
      <c r="X1167" s="14" t="n"/>
      <c r="Y1167" s="11" t="inlineStr"/>
      <c r="Z1167" s="11" t="inlineStr"/>
      <c r="AA1167" s="8" t="inlineStr"/>
      <c r="AB1167" s="16" t="inlineStr">
        <is>
          <t>No price on file - inquire</t>
        </is>
      </c>
      <c r="AC1167" s="11" t="inlineStr">
        <is>
          <t>MasterMilitaryOnBaseList 12.2.25 NS.xlsx</t>
        </is>
      </c>
      <c r="AD1167" s="11" t="inlineStr">
        <is>
          <t>Education Center Wall Wrap Pricing.pdf</t>
        </is>
      </c>
      <c r="AE1167" s="15" t="inlineStr">
        <is>
          <t>Open in Box</t>
        </is>
      </c>
      <c r="AF1167" s="15" t="inlineStr">
        <is>
          <t>Open in Box</t>
        </is>
      </c>
    </row>
    <row r="1168">
      <c r="A1168" s="11" t="inlineStr">
        <is>
          <t>NC-NEWRIVER-013</t>
        </is>
      </c>
      <c r="B1168" s="8" t="inlineStr">
        <is>
          <t>New River MCAS</t>
        </is>
      </c>
      <c r="C1168" s="11" t="inlineStr"/>
      <c r="D1168" s="11" t="inlineStr">
        <is>
          <t>NC</t>
        </is>
      </c>
      <c r="E1168" s="11" t="inlineStr">
        <is>
          <t>Greenville-N.Bern-Washngtn</t>
        </is>
      </c>
      <c r="F1168" s="11" t="inlineStr">
        <is>
          <t>28545</t>
        </is>
      </c>
      <c r="G1168" s="11" t="inlineStr">
        <is>
          <t>Marine Corps</t>
        </is>
      </c>
      <c r="H1168" s="11" t="inlineStr">
        <is>
          <t>Standard Media</t>
        </is>
      </c>
      <c r="I1168" s="8" t="inlineStr">
        <is>
          <t>Base Wide Literature Display</t>
        </is>
      </c>
      <c r="J1168" s="11" t="inlineStr"/>
      <c r="K1168" s="8" t="inlineStr">
        <is>
          <t>Your ad will appear in up to 10 approved locations on the installation.</t>
        </is>
      </c>
      <c r="L1168" s="11" t="n"/>
      <c r="M1168" s="12" t="n"/>
      <c r="N1168" s="12" t="n"/>
      <c r="O1168" s="12" t="n"/>
      <c r="P1168" s="12" t="n"/>
      <c r="Q1168" s="12" t="n"/>
      <c r="R1168" s="13">
        <f>IF(ISNUMBER(M1168),ROUND(M1168/(1-Settings!$B$2)/Settings!$B$3,0)*Settings!$B$3,"")</f>
        <v/>
      </c>
      <c r="S1168" s="13">
        <f>IF(ISNUMBER(N1168),ROUND(N1168/(1-Settings!$B$2)/Settings!$B$3,0)*Settings!$B$3,"")</f>
        <v/>
      </c>
      <c r="T1168" s="13">
        <f>IF(ISNUMBER(O1168),ROUND(O1168/(1-Settings!$B$2)/Settings!$B$3,0)*Settings!$B$3,"")</f>
        <v/>
      </c>
      <c r="U1168" s="13">
        <f>IF(ISNUMBER(P1168),ROUND(P1168/(1-Settings!$B$2)/Settings!$B$3,0)*Settings!$B$3,"")</f>
        <v/>
      </c>
      <c r="V1168" s="13">
        <f>IF(ISNUMBER(Q1168),ROUND(Q1168/(1-Settings!$B$2)/Settings!$B$3,0)*Settings!$B$3,"")</f>
        <v/>
      </c>
      <c r="W1168" s="14" t="n"/>
      <c r="X1168" s="14" t="n"/>
      <c r="Y1168" s="11" t="inlineStr"/>
      <c r="Z1168" s="11" t="inlineStr"/>
      <c r="AA1168" s="8" t="inlineStr"/>
      <c r="AB1168" s="16" t="inlineStr">
        <is>
          <t>No price on file - inquire</t>
        </is>
      </c>
      <c r="AC1168" s="11" t="inlineStr">
        <is>
          <t>MasterMilitaryOnBaseList 12.2.25 NS.xlsx</t>
        </is>
      </c>
      <c r="AD1168" s="11" t="inlineStr">
        <is>
          <t>Education Center Wall Wrap Pricing.pdf</t>
        </is>
      </c>
      <c r="AE1168" s="15" t="inlineStr">
        <is>
          <t>Open in Box</t>
        </is>
      </c>
      <c r="AF1168" s="15" t="inlineStr">
        <is>
          <t>Open in Box</t>
        </is>
      </c>
    </row>
    <row r="1169">
      <c r="A1169" s="11" t="inlineStr">
        <is>
          <t>NC-NEWRIVER-014</t>
        </is>
      </c>
      <c r="B1169" s="8" t="inlineStr">
        <is>
          <t>New River MCAS</t>
        </is>
      </c>
      <c r="C1169" s="11" t="inlineStr"/>
      <c r="D1169" s="11" t="inlineStr">
        <is>
          <t>NC</t>
        </is>
      </c>
      <c r="E1169" s="11" t="inlineStr">
        <is>
          <t>Greenville-N.Bern-Washngtn</t>
        </is>
      </c>
      <c r="F1169" s="11" t="inlineStr">
        <is>
          <t>28545</t>
        </is>
      </c>
      <c r="G1169" s="11" t="inlineStr">
        <is>
          <t>Marine Corps</t>
        </is>
      </c>
      <c r="H1169" s="11" t="inlineStr">
        <is>
          <t>Standard Media</t>
        </is>
      </c>
      <c r="I1169" s="8" t="inlineStr">
        <is>
          <t>Gas Pump Advertisement</t>
        </is>
      </c>
      <c r="J1169" s="11" t="inlineStr"/>
      <c r="K1169" s="8" t="inlineStr">
        <is>
          <t>Your ad will appear on an approved gas pump on the installation.</t>
        </is>
      </c>
      <c r="L1169" s="11" t="n"/>
      <c r="M1169" s="12" t="n"/>
      <c r="N1169" s="12" t="n"/>
      <c r="O1169" s="12" t="n"/>
      <c r="P1169" s="12" t="n"/>
      <c r="Q1169" s="12" t="n"/>
      <c r="R1169" s="13">
        <f>IF(ISNUMBER(M1169),ROUND(M1169/(1-Settings!$B$2)/Settings!$B$3,0)*Settings!$B$3,"")</f>
        <v/>
      </c>
      <c r="S1169" s="13">
        <f>IF(ISNUMBER(N1169),ROUND(N1169/(1-Settings!$B$2)/Settings!$B$3,0)*Settings!$B$3,"")</f>
        <v/>
      </c>
      <c r="T1169" s="13">
        <f>IF(ISNUMBER(O1169),ROUND(O1169/(1-Settings!$B$2)/Settings!$B$3,0)*Settings!$B$3,"")</f>
        <v/>
      </c>
      <c r="U1169" s="13">
        <f>IF(ISNUMBER(P1169),ROUND(P1169/(1-Settings!$B$2)/Settings!$B$3,0)*Settings!$B$3,"")</f>
        <v/>
      </c>
      <c r="V1169" s="13">
        <f>IF(ISNUMBER(Q1169),ROUND(Q1169/(1-Settings!$B$2)/Settings!$B$3,0)*Settings!$B$3,"")</f>
        <v/>
      </c>
      <c r="W1169" s="14" t="n"/>
      <c r="X1169" s="14" t="n"/>
      <c r="Y1169" s="11" t="inlineStr"/>
      <c r="Z1169" s="11" t="inlineStr"/>
      <c r="AA1169" s="8" t="inlineStr"/>
      <c r="AB1169" s="16" t="inlineStr">
        <is>
          <t>No price on file - inquire</t>
        </is>
      </c>
      <c r="AC1169" s="11" t="inlineStr">
        <is>
          <t>MasterMilitaryOnBaseList 12.2.25 NS.xlsx</t>
        </is>
      </c>
      <c r="AD1169" s="11" t="inlineStr">
        <is>
          <t>Education Center Wall Wrap Pricing.pdf</t>
        </is>
      </c>
      <c r="AE1169" s="15" t="inlineStr">
        <is>
          <t>Open in Box</t>
        </is>
      </c>
      <c r="AF1169" s="15" t="inlineStr">
        <is>
          <t>Open in Box</t>
        </is>
      </c>
    </row>
    <row r="1170">
      <c r="A1170" s="11" t="inlineStr">
        <is>
          <t>NC-NEWRIVER-015</t>
        </is>
      </c>
      <c r="B1170" s="8" t="inlineStr">
        <is>
          <t>New River MCAS</t>
        </is>
      </c>
      <c r="C1170" s="11" t="inlineStr"/>
      <c r="D1170" s="11" t="inlineStr">
        <is>
          <t>NC</t>
        </is>
      </c>
      <c r="E1170" s="11" t="inlineStr">
        <is>
          <t>Greenville-N.Bern-Washngtn</t>
        </is>
      </c>
      <c r="F1170" s="11" t="inlineStr">
        <is>
          <t>28545</t>
        </is>
      </c>
      <c r="G1170" s="11" t="inlineStr">
        <is>
          <t>Marine Corps</t>
        </is>
      </c>
      <c r="H1170" s="11" t="inlineStr">
        <is>
          <t>Standard Media</t>
        </is>
      </c>
      <c r="I1170" s="8" t="inlineStr">
        <is>
          <t>Outdoor Banner - Onslow Beach</t>
        </is>
      </c>
      <c r="J1170" s="11" t="inlineStr"/>
      <c r="K1170" s="8" t="inlineStr">
        <is>
          <t>Your ad will appear on Onslow Beach on the installation.</t>
        </is>
      </c>
      <c r="L1170" s="11" t="n"/>
      <c r="M1170" s="12" t="n"/>
      <c r="N1170" s="12" t="n"/>
      <c r="O1170" s="12" t="n"/>
      <c r="P1170" s="12" t="n"/>
      <c r="Q1170" s="12" t="n"/>
      <c r="R1170" s="13">
        <f>IF(ISNUMBER(M1170),ROUND(M1170/(1-Settings!$B$2)/Settings!$B$3,0)*Settings!$B$3,"")</f>
        <v/>
      </c>
      <c r="S1170" s="13">
        <f>IF(ISNUMBER(N1170),ROUND(N1170/(1-Settings!$B$2)/Settings!$B$3,0)*Settings!$B$3,"")</f>
        <v/>
      </c>
      <c r="T1170" s="13">
        <f>IF(ISNUMBER(O1170),ROUND(O1170/(1-Settings!$B$2)/Settings!$B$3,0)*Settings!$B$3,"")</f>
        <v/>
      </c>
      <c r="U1170" s="13">
        <f>IF(ISNUMBER(P1170),ROUND(P1170/(1-Settings!$B$2)/Settings!$B$3,0)*Settings!$B$3,"")</f>
        <v/>
      </c>
      <c r="V1170" s="13">
        <f>IF(ISNUMBER(Q1170),ROUND(Q1170/(1-Settings!$B$2)/Settings!$B$3,0)*Settings!$B$3,"")</f>
        <v/>
      </c>
      <c r="W1170" s="14" t="n"/>
      <c r="X1170" s="14" t="n"/>
      <c r="Y1170" s="11" t="inlineStr"/>
      <c r="Z1170" s="11" t="inlineStr"/>
      <c r="AA1170" s="8" t="inlineStr"/>
      <c r="AB1170" s="16" t="inlineStr">
        <is>
          <t>No price on file - inquire</t>
        </is>
      </c>
      <c r="AC1170" s="11" t="inlineStr">
        <is>
          <t>MasterMilitaryOnBaseList 12.2.25 NS.xlsx</t>
        </is>
      </c>
      <c r="AD1170" s="11" t="inlineStr">
        <is>
          <t>Education Center Wall Wrap Pricing.pdf</t>
        </is>
      </c>
      <c r="AE1170" s="15" t="inlineStr">
        <is>
          <t>Open in Box</t>
        </is>
      </c>
      <c r="AF1170" s="15" t="inlineStr">
        <is>
          <t>Open in Box</t>
        </is>
      </c>
    </row>
    <row r="1171">
      <c r="A1171" s="11" t="inlineStr">
        <is>
          <t>NC-NEWRIVER-016</t>
        </is>
      </c>
      <c r="B1171" s="8" t="inlineStr">
        <is>
          <t>New River MCAS</t>
        </is>
      </c>
      <c r="C1171" s="11" t="inlineStr"/>
      <c r="D1171" s="11" t="inlineStr">
        <is>
          <t>NC</t>
        </is>
      </c>
      <c r="E1171" s="11" t="inlineStr">
        <is>
          <t>Greenville-N.Bern-Washngtn</t>
        </is>
      </c>
      <c r="F1171" s="11" t="inlineStr">
        <is>
          <t>28545</t>
        </is>
      </c>
      <c r="G1171" s="11" t="inlineStr">
        <is>
          <t>Marine Corps</t>
        </is>
      </c>
      <c r="H1171" s="11" t="inlineStr">
        <is>
          <t>Standard Media</t>
        </is>
      </c>
      <c r="I1171" s="8" t="inlineStr">
        <is>
          <t>Outdoor Banner - Paradise Point Golf Course</t>
        </is>
      </c>
      <c r="J1171" s="11" t="inlineStr"/>
      <c r="K1171" s="8" t="inlineStr">
        <is>
          <t>Your ad will appear Paradise Point Golf Course on the installation.</t>
        </is>
      </c>
      <c r="L1171" s="11" t="n"/>
      <c r="M1171" s="12" t="n"/>
      <c r="N1171" s="12" t="n"/>
      <c r="O1171" s="12" t="n"/>
      <c r="P1171" s="12" t="n"/>
      <c r="Q1171" s="12" t="n"/>
      <c r="R1171" s="13">
        <f>IF(ISNUMBER(M1171),ROUND(M1171/(1-Settings!$B$2)/Settings!$B$3,0)*Settings!$B$3,"")</f>
        <v/>
      </c>
      <c r="S1171" s="13">
        <f>IF(ISNUMBER(N1171),ROUND(N1171/(1-Settings!$B$2)/Settings!$B$3,0)*Settings!$B$3,"")</f>
        <v/>
      </c>
      <c r="T1171" s="13">
        <f>IF(ISNUMBER(O1171),ROUND(O1171/(1-Settings!$B$2)/Settings!$B$3,0)*Settings!$B$3,"")</f>
        <v/>
      </c>
      <c r="U1171" s="13">
        <f>IF(ISNUMBER(P1171),ROUND(P1171/(1-Settings!$B$2)/Settings!$B$3,0)*Settings!$B$3,"")</f>
        <v/>
      </c>
      <c r="V1171" s="13">
        <f>IF(ISNUMBER(Q1171),ROUND(Q1171/(1-Settings!$B$2)/Settings!$B$3,0)*Settings!$B$3,"")</f>
        <v/>
      </c>
      <c r="W1171" s="14" t="n"/>
      <c r="X1171" s="14" t="n"/>
      <c r="Y1171" s="11" t="inlineStr"/>
      <c r="Z1171" s="11" t="inlineStr"/>
      <c r="AA1171" s="8" t="inlineStr"/>
      <c r="AB1171" s="16" t="inlineStr">
        <is>
          <t>No price on file - inquire</t>
        </is>
      </c>
      <c r="AC1171" s="11" t="inlineStr">
        <is>
          <t>MasterMilitaryOnBaseList 12.2.25 NS.xlsx</t>
        </is>
      </c>
      <c r="AD1171" s="11" t="inlineStr">
        <is>
          <t>Education Center Wall Wrap Pricing.pdf</t>
        </is>
      </c>
      <c r="AE1171" s="15" t="inlineStr">
        <is>
          <t>Open in Box</t>
        </is>
      </c>
      <c r="AF1171" s="15" t="inlineStr">
        <is>
          <t>Open in Box</t>
        </is>
      </c>
    </row>
    <row r="1172">
      <c r="A1172" s="11" t="inlineStr">
        <is>
          <t>NC-NEWRIVER-017</t>
        </is>
      </c>
      <c r="B1172" s="8" t="inlineStr">
        <is>
          <t>New River MCAS</t>
        </is>
      </c>
      <c r="C1172" s="11" t="inlineStr"/>
      <c r="D1172" s="11" t="inlineStr">
        <is>
          <t>NC</t>
        </is>
      </c>
      <c r="E1172" s="11" t="inlineStr">
        <is>
          <t>Greenville-N.Bern-Washngtn</t>
        </is>
      </c>
      <c r="F1172" s="11" t="inlineStr">
        <is>
          <t>28545</t>
        </is>
      </c>
      <c r="G1172" s="11" t="inlineStr">
        <is>
          <t>Marine Corps</t>
        </is>
      </c>
      <c r="H1172" s="11" t="inlineStr">
        <is>
          <t>Standard Media</t>
        </is>
      </c>
      <c r="I1172" s="8" t="inlineStr">
        <is>
          <t>Posters (12 Locations)</t>
        </is>
      </c>
      <c r="J1172" s="11" t="inlineStr"/>
      <c r="K1172" s="8" t="inlineStr">
        <is>
          <t>Your ad will appear in twelve approved locations on the installation.</t>
        </is>
      </c>
      <c r="L1172" s="11" t="n"/>
      <c r="M1172" s="12" t="n"/>
      <c r="N1172" s="12" t="n"/>
      <c r="O1172" s="12" t="n"/>
      <c r="P1172" s="12" t="n"/>
      <c r="Q1172" s="12" t="n"/>
      <c r="R1172" s="13">
        <f>IF(ISNUMBER(M1172),ROUND(M1172/(1-Settings!$B$2)/Settings!$B$3,0)*Settings!$B$3,"")</f>
        <v/>
      </c>
      <c r="S1172" s="13">
        <f>IF(ISNUMBER(N1172),ROUND(N1172/(1-Settings!$B$2)/Settings!$B$3,0)*Settings!$B$3,"")</f>
        <v/>
      </c>
      <c r="T1172" s="13">
        <f>IF(ISNUMBER(O1172),ROUND(O1172/(1-Settings!$B$2)/Settings!$B$3,0)*Settings!$B$3,"")</f>
        <v/>
      </c>
      <c r="U1172" s="13">
        <f>IF(ISNUMBER(P1172),ROUND(P1172/(1-Settings!$B$2)/Settings!$B$3,0)*Settings!$B$3,"")</f>
        <v/>
      </c>
      <c r="V1172" s="13">
        <f>IF(ISNUMBER(Q1172),ROUND(Q1172/(1-Settings!$B$2)/Settings!$B$3,0)*Settings!$B$3,"")</f>
        <v/>
      </c>
      <c r="W1172" s="14" t="n"/>
      <c r="X1172" s="14" t="n"/>
      <c r="Y1172" s="11" t="inlineStr"/>
      <c r="Z1172" s="11" t="inlineStr"/>
      <c r="AA1172" s="8" t="inlineStr"/>
      <c r="AB1172" s="16" t="inlineStr">
        <is>
          <t>No price on file - inquire</t>
        </is>
      </c>
      <c r="AC1172" s="11" t="inlineStr">
        <is>
          <t>MasterMilitaryOnBaseList 12.2.25 NS.xlsx</t>
        </is>
      </c>
      <c r="AD1172" s="11" t="inlineStr">
        <is>
          <t>Education Center Wall Wrap Pricing.pdf</t>
        </is>
      </c>
      <c r="AE1172" s="15" t="inlineStr">
        <is>
          <t>Open in Box</t>
        </is>
      </c>
      <c r="AF1172" s="15" t="inlineStr">
        <is>
          <t>Open in Box</t>
        </is>
      </c>
    </row>
    <row r="1173">
      <c r="A1173" s="11" t="inlineStr">
        <is>
          <t>NC-NEWRIVER-018</t>
        </is>
      </c>
      <c r="B1173" s="8" t="inlineStr">
        <is>
          <t>New River MCAS</t>
        </is>
      </c>
      <c r="C1173" s="11" t="inlineStr"/>
      <c r="D1173" s="11" t="inlineStr">
        <is>
          <t>NC</t>
        </is>
      </c>
      <c r="E1173" s="11" t="inlineStr">
        <is>
          <t>Greenville-N.Bern-Washngtn</t>
        </is>
      </c>
      <c r="F1173" s="11" t="inlineStr">
        <is>
          <t>28545</t>
        </is>
      </c>
      <c r="G1173" s="11" t="inlineStr">
        <is>
          <t>Marine Corps</t>
        </is>
      </c>
      <c r="H1173" s="11" t="inlineStr">
        <is>
          <t>Standard Media</t>
        </is>
      </c>
      <c r="I1173" s="8" t="inlineStr">
        <is>
          <t>Posters (3 Locations)</t>
        </is>
      </c>
      <c r="J1173" s="11" t="inlineStr"/>
      <c r="K1173" s="8" t="inlineStr">
        <is>
          <t>Your ad will appear in three approved locations on the installation.</t>
        </is>
      </c>
      <c r="L1173" s="11" t="n"/>
      <c r="M1173" s="12" t="n"/>
      <c r="N1173" s="12" t="n"/>
      <c r="O1173" s="12" t="n"/>
      <c r="P1173" s="12" t="n"/>
      <c r="Q1173" s="12" t="n"/>
      <c r="R1173" s="13">
        <f>IF(ISNUMBER(M1173),ROUND(M1173/(1-Settings!$B$2)/Settings!$B$3,0)*Settings!$B$3,"")</f>
        <v/>
      </c>
      <c r="S1173" s="13">
        <f>IF(ISNUMBER(N1173),ROUND(N1173/(1-Settings!$B$2)/Settings!$B$3,0)*Settings!$B$3,"")</f>
        <v/>
      </c>
      <c r="T1173" s="13">
        <f>IF(ISNUMBER(O1173),ROUND(O1173/(1-Settings!$B$2)/Settings!$B$3,0)*Settings!$B$3,"")</f>
        <v/>
      </c>
      <c r="U1173" s="13">
        <f>IF(ISNUMBER(P1173),ROUND(P1173/(1-Settings!$B$2)/Settings!$B$3,0)*Settings!$B$3,"")</f>
        <v/>
      </c>
      <c r="V1173" s="13">
        <f>IF(ISNUMBER(Q1173),ROUND(Q1173/(1-Settings!$B$2)/Settings!$B$3,0)*Settings!$B$3,"")</f>
        <v/>
      </c>
      <c r="W1173" s="14" t="n"/>
      <c r="X1173" s="14" t="n"/>
      <c r="Y1173" s="11" t="inlineStr"/>
      <c r="Z1173" s="11" t="inlineStr"/>
      <c r="AA1173" s="8" t="inlineStr"/>
      <c r="AB1173" s="16" t="inlineStr">
        <is>
          <t>No price on file - inquire</t>
        </is>
      </c>
      <c r="AC1173" s="11" t="inlineStr">
        <is>
          <t>MasterMilitaryOnBaseList 12.2.25 NS.xlsx</t>
        </is>
      </c>
      <c r="AD1173" s="11" t="inlineStr">
        <is>
          <t>Education Center Wall Wrap Pricing.pdf</t>
        </is>
      </c>
      <c r="AE1173" s="15" t="inlineStr">
        <is>
          <t>Open in Box</t>
        </is>
      </c>
      <c r="AF1173" s="15" t="inlineStr">
        <is>
          <t>Open in Box</t>
        </is>
      </c>
    </row>
    <row r="1174">
      <c r="A1174" s="11" t="inlineStr">
        <is>
          <t>NC-NEWRIVER-019</t>
        </is>
      </c>
      <c r="B1174" s="8" t="inlineStr">
        <is>
          <t>New River MCAS</t>
        </is>
      </c>
      <c r="C1174" s="11" t="inlineStr"/>
      <c r="D1174" s="11" t="inlineStr">
        <is>
          <t>NC</t>
        </is>
      </c>
      <c r="E1174" s="11" t="inlineStr">
        <is>
          <t>Greenville-N.Bern-Washngtn</t>
        </is>
      </c>
      <c r="F1174" s="11" t="inlineStr">
        <is>
          <t>28545</t>
        </is>
      </c>
      <c r="G1174" s="11" t="inlineStr">
        <is>
          <t>Marine Corps</t>
        </is>
      </c>
      <c r="H1174" s="11" t="inlineStr">
        <is>
          <t>Standard Media</t>
        </is>
      </c>
      <c r="I1174" s="8" t="inlineStr">
        <is>
          <t>Posters (6 Locations)</t>
        </is>
      </c>
      <c r="J1174" s="11" t="inlineStr"/>
      <c r="K1174" s="8" t="inlineStr">
        <is>
          <t>Your ad will appear in six approved locations on the installation.</t>
        </is>
      </c>
      <c r="L1174" s="11" t="n"/>
      <c r="M1174" s="12" t="n"/>
      <c r="N1174" s="12" t="n"/>
      <c r="O1174" s="12" t="n"/>
      <c r="P1174" s="12" t="n"/>
      <c r="Q1174" s="12" t="n"/>
      <c r="R1174" s="13">
        <f>IF(ISNUMBER(M1174),ROUND(M1174/(1-Settings!$B$2)/Settings!$B$3,0)*Settings!$B$3,"")</f>
        <v/>
      </c>
      <c r="S1174" s="13">
        <f>IF(ISNUMBER(N1174),ROUND(N1174/(1-Settings!$B$2)/Settings!$B$3,0)*Settings!$B$3,"")</f>
        <v/>
      </c>
      <c r="T1174" s="13">
        <f>IF(ISNUMBER(O1174),ROUND(O1174/(1-Settings!$B$2)/Settings!$B$3,0)*Settings!$B$3,"")</f>
        <v/>
      </c>
      <c r="U1174" s="13">
        <f>IF(ISNUMBER(P1174),ROUND(P1174/(1-Settings!$B$2)/Settings!$B$3,0)*Settings!$B$3,"")</f>
        <v/>
      </c>
      <c r="V1174" s="13">
        <f>IF(ISNUMBER(Q1174),ROUND(Q1174/(1-Settings!$B$2)/Settings!$B$3,0)*Settings!$B$3,"")</f>
        <v/>
      </c>
      <c r="W1174" s="14" t="n"/>
      <c r="X1174" s="14" t="n"/>
      <c r="Y1174" s="11" t="inlineStr"/>
      <c r="Z1174" s="11" t="inlineStr"/>
      <c r="AA1174" s="8" t="inlineStr"/>
      <c r="AB1174" s="16" t="inlineStr">
        <is>
          <t>No price on file - inquire</t>
        </is>
      </c>
      <c r="AC1174" s="11" t="inlineStr">
        <is>
          <t>MasterMilitaryOnBaseList 12.2.25 NS.xlsx</t>
        </is>
      </c>
      <c r="AD1174" s="11" t="inlineStr">
        <is>
          <t>Education Center Wall Wrap Pricing.pdf</t>
        </is>
      </c>
      <c r="AE1174" s="15" t="inlineStr">
        <is>
          <t>Open in Box</t>
        </is>
      </c>
      <c r="AF1174" s="15" t="inlineStr">
        <is>
          <t>Open in Box</t>
        </is>
      </c>
    </row>
    <row r="1175">
      <c r="A1175" s="11" t="inlineStr">
        <is>
          <t>NC-NEWRIVER-023</t>
        </is>
      </c>
      <c r="B1175" s="8" t="inlineStr">
        <is>
          <t>New River MCAS</t>
        </is>
      </c>
      <c r="C1175" s="11" t="inlineStr"/>
      <c r="D1175" s="11" t="inlineStr">
        <is>
          <t>NC</t>
        </is>
      </c>
      <c r="E1175" s="11" t="inlineStr">
        <is>
          <t>Greenville-N.Bern-Washngtn</t>
        </is>
      </c>
      <c r="F1175" s="11" t="inlineStr">
        <is>
          <t>28545</t>
        </is>
      </c>
      <c r="G1175" s="11" t="inlineStr">
        <is>
          <t>Marine Corps</t>
        </is>
      </c>
      <c r="H1175" s="11" t="inlineStr">
        <is>
          <t>Web &amp; Email</t>
        </is>
      </c>
      <c r="I1175" s="8" t="inlineStr">
        <is>
          <t>E-Newsletter Ad</t>
        </is>
      </c>
      <c r="J1175" s="11" t="inlineStr"/>
      <c r="K1175" s="8" t="inlineStr">
        <is>
          <t>Your ad will appear in the monthly New River e-Newsletter.</t>
        </is>
      </c>
      <c r="L1175" s="11" t="n"/>
      <c r="M1175" s="12" t="n"/>
      <c r="N1175" s="12" t="n"/>
      <c r="O1175" s="12" t="n"/>
      <c r="P1175" s="12" t="n"/>
      <c r="Q1175" s="12" t="n"/>
      <c r="R1175" s="13">
        <f>IF(ISNUMBER(M1175),ROUND(M1175/(1-Settings!$B$2)/Settings!$B$3,0)*Settings!$B$3,"")</f>
        <v/>
      </c>
      <c r="S1175" s="13">
        <f>IF(ISNUMBER(N1175),ROUND(N1175/(1-Settings!$B$2)/Settings!$B$3,0)*Settings!$B$3,"")</f>
        <v/>
      </c>
      <c r="T1175" s="13">
        <f>IF(ISNUMBER(O1175),ROUND(O1175/(1-Settings!$B$2)/Settings!$B$3,0)*Settings!$B$3,"")</f>
        <v/>
      </c>
      <c r="U1175" s="13">
        <f>IF(ISNUMBER(P1175),ROUND(P1175/(1-Settings!$B$2)/Settings!$B$3,0)*Settings!$B$3,"")</f>
        <v/>
      </c>
      <c r="V1175" s="13">
        <f>IF(ISNUMBER(Q1175),ROUND(Q1175/(1-Settings!$B$2)/Settings!$B$3,0)*Settings!$B$3,"")</f>
        <v/>
      </c>
      <c r="W1175" s="14" t="n"/>
      <c r="X1175" s="14" t="n"/>
      <c r="Y1175" s="11" t="inlineStr"/>
      <c r="Z1175" s="11" t="inlineStr"/>
      <c r="AA1175" s="8" t="inlineStr">
        <is>
          <t>Inventory master 6/2026 lists Weekly E-Newsletter Ad at $250 (1 mo)</t>
        </is>
      </c>
      <c r="AB1175" s="16" t="inlineStr">
        <is>
          <t>No price on file - inquire</t>
        </is>
      </c>
      <c r="AC1175" s="11" t="inlineStr">
        <is>
          <t>MasterMilitaryOnBaseList 12.2.25 NS.xlsx</t>
        </is>
      </c>
      <c r="AD1175" s="11" t="inlineStr">
        <is>
          <t>Education Center Wall Wrap Pricing.pdf</t>
        </is>
      </c>
      <c r="AE1175" s="15" t="inlineStr">
        <is>
          <t>Open in Box</t>
        </is>
      </c>
      <c r="AF1175" s="15" t="inlineStr">
        <is>
          <t>Open in Box</t>
        </is>
      </c>
    </row>
    <row r="1176">
      <c r="A1176" s="11" t="inlineStr">
        <is>
          <t>NC-NEWRIVER-024</t>
        </is>
      </c>
      <c r="B1176" s="8" t="inlineStr">
        <is>
          <t>New River MCAS</t>
        </is>
      </c>
      <c r="C1176" s="11" t="inlineStr"/>
      <c r="D1176" s="11" t="inlineStr">
        <is>
          <t>NC</t>
        </is>
      </c>
      <c r="E1176" s="11" t="inlineStr">
        <is>
          <t>Greenville-N.Bern-Washngtn</t>
        </is>
      </c>
      <c r="F1176" s="11" t="inlineStr">
        <is>
          <t>28545</t>
        </is>
      </c>
      <c r="G1176" s="11" t="inlineStr">
        <is>
          <t>Marine Corps</t>
        </is>
      </c>
      <c r="H1176" s="11" t="inlineStr">
        <is>
          <t>Web &amp; Email</t>
        </is>
      </c>
      <c r="I1176" s="8" t="inlineStr">
        <is>
          <t>Social Media Post</t>
        </is>
      </c>
      <c r="J1176" s="11" t="inlineStr"/>
      <c r="K1176" s="8" t="inlineStr">
        <is>
          <t>Your ad will appear on the New River Facebook Page</t>
        </is>
      </c>
      <c r="L1176" s="11" t="n"/>
      <c r="M1176" s="12" t="n"/>
      <c r="N1176" s="12" t="n"/>
      <c r="O1176" s="12" t="n"/>
      <c r="P1176" s="12" t="n"/>
      <c r="Q1176" s="12" t="n"/>
      <c r="R1176" s="13">
        <f>IF(ISNUMBER(M1176),ROUND(M1176/(1-Settings!$B$2)/Settings!$B$3,0)*Settings!$B$3,"")</f>
        <v/>
      </c>
      <c r="S1176" s="13">
        <f>IF(ISNUMBER(N1176),ROUND(N1176/(1-Settings!$B$2)/Settings!$B$3,0)*Settings!$B$3,"")</f>
        <v/>
      </c>
      <c r="T1176" s="13">
        <f>IF(ISNUMBER(O1176),ROUND(O1176/(1-Settings!$B$2)/Settings!$B$3,0)*Settings!$B$3,"")</f>
        <v/>
      </c>
      <c r="U1176" s="13">
        <f>IF(ISNUMBER(P1176),ROUND(P1176/(1-Settings!$B$2)/Settings!$B$3,0)*Settings!$B$3,"")</f>
        <v/>
      </c>
      <c r="V1176" s="13">
        <f>IF(ISNUMBER(Q1176),ROUND(Q1176/(1-Settings!$B$2)/Settings!$B$3,0)*Settings!$B$3,"")</f>
        <v/>
      </c>
      <c r="W1176" s="14" t="n"/>
      <c r="X1176" s="14" t="n"/>
      <c r="Y1176" s="11" t="inlineStr"/>
      <c r="Z1176" s="11" t="inlineStr"/>
      <c r="AA1176" s="8" t="inlineStr"/>
      <c r="AB1176" s="16" t="inlineStr">
        <is>
          <t>No price on file - inquire</t>
        </is>
      </c>
      <c r="AC1176" s="11" t="inlineStr">
        <is>
          <t>MasterMilitaryOnBaseList 12.2.25 NS.xlsx</t>
        </is>
      </c>
      <c r="AD1176" s="11" t="inlineStr">
        <is>
          <t>Education Center Wall Wrap Pricing.pdf</t>
        </is>
      </c>
      <c r="AE1176" s="15" t="inlineStr">
        <is>
          <t>Open in Box</t>
        </is>
      </c>
      <c r="AF1176" s="15" t="inlineStr">
        <is>
          <t>Open in Box</t>
        </is>
      </c>
    </row>
    <row r="1177">
      <c r="A1177" s="11" t="inlineStr">
        <is>
          <t>NC-NEWRIVER-027</t>
        </is>
      </c>
      <c r="B1177" s="8" t="inlineStr">
        <is>
          <t>New River MCAS</t>
        </is>
      </c>
      <c r="C1177" s="11" t="inlineStr"/>
      <c r="D1177" s="11" t="inlineStr">
        <is>
          <t>NC</t>
        </is>
      </c>
      <c r="E1177" s="11" t="inlineStr">
        <is>
          <t>Greenville-N.Bern-Washngtn</t>
        </is>
      </c>
      <c r="F1177" s="11" t="inlineStr"/>
      <c r="G1177" s="11" t="inlineStr">
        <is>
          <t>Marine Corps</t>
        </is>
      </c>
      <c r="H1177" s="11" t="inlineStr">
        <is>
          <t>Web &amp; Email</t>
        </is>
      </c>
      <c r="I1177" s="8" t="inlineStr">
        <is>
          <t>Web Ad</t>
        </is>
      </c>
      <c r="J1177" s="11" t="inlineStr"/>
      <c r="K1177" s="8" t="inlineStr">
        <is>
          <t>Your ad will appear on the installation MWR / FSS website.</t>
        </is>
      </c>
      <c r="L1177" s="11" t="n">
        <v>1</v>
      </c>
      <c r="M1177" s="12" t="n">
        <v>970</v>
      </c>
      <c r="N1177" s="12" t="n"/>
      <c r="O1177" s="12" t="n"/>
      <c r="P1177" s="12" t="n"/>
      <c r="Q1177" s="12" t="n"/>
      <c r="R1177" s="13">
        <f>IF(ISNUMBER(M1177),ROUND(M1177/(1-Settings!$B$2)/Settings!$B$3,0)*Settings!$B$3,"")</f>
        <v/>
      </c>
      <c r="S1177" s="13">
        <f>IF(ISNUMBER(N1177),ROUND(N1177/(1-Settings!$B$2)/Settings!$B$3,0)*Settings!$B$3,"")</f>
        <v/>
      </c>
      <c r="T1177" s="13">
        <f>IF(ISNUMBER(O1177),ROUND(O1177/(1-Settings!$B$2)/Settings!$B$3,0)*Settings!$B$3,"")</f>
        <v/>
      </c>
      <c r="U1177" s="13">
        <f>IF(ISNUMBER(P1177),ROUND(P1177/(1-Settings!$B$2)/Settings!$B$3,0)*Settings!$B$3,"")</f>
        <v/>
      </c>
      <c r="V1177" s="13">
        <f>IF(ISNUMBER(Q1177),ROUND(Q1177/(1-Settings!$B$2)/Settings!$B$3,0)*Settings!$B$3,"")</f>
        <v/>
      </c>
      <c r="W1177" s="14" t="n">
        <v>38706</v>
      </c>
      <c r="X1177" s="14" t="n">
        <v>33400</v>
      </c>
      <c r="Y1177" s="11" t="inlineStr">
        <is>
          <t>2026</t>
        </is>
      </c>
      <c r="Z1177" s="11" t="inlineStr">
        <is>
          <t>2026-06</t>
        </is>
      </c>
      <c r="AA1177" s="8" t="inlineStr"/>
      <c r="AB1177" s="8" t="inlineStr"/>
      <c r="AC1177" s="11" t="inlineStr">
        <is>
          <t>Military - National Publication Inventory Master_June 2026.xlsx</t>
        </is>
      </c>
      <c r="AD1177" s="11" t="inlineStr">
        <is>
          <t>Education Center Wall Wrap Pricing.pdf</t>
        </is>
      </c>
      <c r="AE1177" s="15" t="inlineStr">
        <is>
          <t>Open in Box</t>
        </is>
      </c>
      <c r="AF1177" s="15" t="inlineStr">
        <is>
          <t>Open in Box</t>
        </is>
      </c>
    </row>
    <row r="1178">
      <c r="A1178" s="11" t="inlineStr">
        <is>
          <t>ND-GRANDFOR-001</t>
        </is>
      </c>
      <c r="B1178" s="8" t="inlineStr">
        <is>
          <t>Grand Forks AFB</t>
        </is>
      </c>
      <c r="C1178" s="11" t="inlineStr"/>
      <c r="D1178" s="11" t="inlineStr">
        <is>
          <t>ND</t>
        </is>
      </c>
      <c r="E1178" s="11" t="inlineStr">
        <is>
          <t>Fargo-Valley City, ND</t>
        </is>
      </c>
      <c r="F1178" s="11" t="inlineStr"/>
      <c r="G1178" s="11" t="inlineStr">
        <is>
          <t>Air Force</t>
        </is>
      </c>
      <c r="H1178" s="11" t="inlineStr">
        <is>
          <t>Digital</t>
        </is>
      </c>
      <c r="I1178" s="8" t="inlineStr">
        <is>
          <t>Digital Monitor Network</t>
        </is>
      </c>
      <c r="J1178" s="11" t="inlineStr">
        <is>
          <t>47 screens</t>
        </is>
      </c>
      <c r="K1178" s="8" t="inlineStr">
        <is>
          <t>Your ad will appear on the 47-screen digital monitor network in approved installation facilities.</t>
        </is>
      </c>
      <c r="L1178" s="11" t="n">
        <v>1</v>
      </c>
      <c r="M1178" s="12" t="n">
        <v>120</v>
      </c>
      <c r="N1178" s="12" t="n"/>
      <c r="O1178" s="12" t="n"/>
      <c r="P1178" s="12" t="n"/>
      <c r="Q1178" s="12" t="n"/>
      <c r="R1178" s="13">
        <f>IF(ISNUMBER(M1178),ROUND(M1178/(1-Settings!$B$2)/Settings!$B$3,0)*Settings!$B$3,"")</f>
        <v/>
      </c>
      <c r="S1178" s="13">
        <f>IF(ISNUMBER(N1178),ROUND(N1178/(1-Settings!$B$2)/Settings!$B$3,0)*Settings!$B$3,"")</f>
        <v/>
      </c>
      <c r="T1178" s="13">
        <f>IF(ISNUMBER(O1178),ROUND(O1178/(1-Settings!$B$2)/Settings!$B$3,0)*Settings!$B$3,"")</f>
        <v/>
      </c>
      <c r="U1178" s="13">
        <f>IF(ISNUMBER(P1178),ROUND(P1178/(1-Settings!$B$2)/Settings!$B$3,0)*Settings!$B$3,"")</f>
        <v/>
      </c>
      <c r="V1178" s="13">
        <f>IF(ISNUMBER(Q1178),ROUND(Q1178/(1-Settings!$B$2)/Settings!$B$3,0)*Settings!$B$3,"")</f>
        <v/>
      </c>
      <c r="W1178" s="14" t="n">
        <v>1659</v>
      </c>
      <c r="X1178" s="14" t="n">
        <v>1901</v>
      </c>
      <c r="Y1178" s="11" t="inlineStr">
        <is>
          <t>2026</t>
        </is>
      </c>
      <c r="Z1178" s="11" t="inlineStr">
        <is>
          <t>2026-06</t>
        </is>
      </c>
      <c r="AA1178" s="8" t="inlineStr"/>
      <c r="AB1178" s="8" t="inlineStr"/>
      <c r="AC1178" s="11" t="inlineStr">
        <is>
          <t>Military - National Digital Inventory Master 6.3.26.xlsx</t>
        </is>
      </c>
      <c r="AD1178" s="11" t="inlineStr">
        <is>
          <t>Advertise With 319 FSS.pdf</t>
        </is>
      </c>
      <c r="AE1178" s="15" t="inlineStr">
        <is>
          <t>Open in Box</t>
        </is>
      </c>
      <c r="AF1178" s="15" t="inlineStr">
        <is>
          <t>Open in Box</t>
        </is>
      </c>
    </row>
    <row r="1179">
      <c r="A1179" s="11" t="inlineStr">
        <is>
          <t>ND-GRANDFOR-002</t>
        </is>
      </c>
      <c r="B1179" s="8" t="inlineStr">
        <is>
          <t>Grand Forks AFB</t>
        </is>
      </c>
      <c r="C1179" s="11" t="inlineStr"/>
      <c r="D1179" s="11" t="inlineStr">
        <is>
          <t>ND</t>
        </is>
      </c>
      <c r="E1179" s="11" t="inlineStr">
        <is>
          <t>Fargo-Valley City, ND</t>
        </is>
      </c>
      <c r="F1179" s="11" t="inlineStr"/>
      <c r="G1179" s="11" t="inlineStr">
        <is>
          <t>Air Force</t>
        </is>
      </c>
      <c r="H1179" s="11" t="inlineStr">
        <is>
          <t>Web &amp; Email</t>
        </is>
      </c>
      <c r="I1179" s="8" t="inlineStr">
        <is>
          <t>Web Ad</t>
        </is>
      </c>
      <c r="J1179" s="11" t="inlineStr"/>
      <c r="K1179" s="8" t="inlineStr">
        <is>
          <t>Your ad will appear on the installation MWR / FSS website.</t>
        </is>
      </c>
      <c r="L1179" s="11" t="n">
        <v>1</v>
      </c>
      <c r="M1179" s="12" t="n">
        <v>150</v>
      </c>
      <c r="N1179" s="12" t="n"/>
      <c r="O1179" s="12" t="n"/>
      <c r="P1179" s="12" t="n"/>
      <c r="Q1179" s="12" t="n"/>
      <c r="R1179" s="13">
        <f>IF(ISNUMBER(M1179),ROUND(M1179/(1-Settings!$B$2)/Settings!$B$3,0)*Settings!$B$3,"")</f>
        <v/>
      </c>
      <c r="S1179" s="13">
        <f>IF(ISNUMBER(N1179),ROUND(N1179/(1-Settings!$B$2)/Settings!$B$3,0)*Settings!$B$3,"")</f>
        <v/>
      </c>
      <c r="T1179" s="13">
        <f>IF(ISNUMBER(O1179),ROUND(O1179/(1-Settings!$B$2)/Settings!$B$3,0)*Settings!$B$3,"")</f>
        <v/>
      </c>
      <c r="U1179" s="13">
        <f>IF(ISNUMBER(P1179),ROUND(P1179/(1-Settings!$B$2)/Settings!$B$3,0)*Settings!$B$3,"")</f>
        <v/>
      </c>
      <c r="V1179" s="13">
        <f>IF(ISNUMBER(Q1179),ROUND(Q1179/(1-Settings!$B$2)/Settings!$B$3,0)*Settings!$B$3,"")</f>
        <v/>
      </c>
      <c r="W1179" s="14" t="n">
        <v>1659</v>
      </c>
      <c r="X1179" s="14" t="n">
        <v>1901</v>
      </c>
      <c r="Y1179" s="11" t="inlineStr">
        <is>
          <t>2026</t>
        </is>
      </c>
      <c r="Z1179" s="11" t="inlineStr">
        <is>
          <t>2026-06</t>
        </is>
      </c>
      <c r="AA1179" s="8" t="inlineStr"/>
      <c r="AB1179" s="8" t="inlineStr"/>
      <c r="AC1179" s="11" t="inlineStr">
        <is>
          <t>Military - National Publication Inventory Master_June 2026.xlsx</t>
        </is>
      </c>
      <c r="AD1179" s="11" t="inlineStr">
        <is>
          <t>Advertise With 319 FSS.pdf</t>
        </is>
      </c>
      <c r="AE1179" s="15" t="inlineStr">
        <is>
          <t>Open in Box</t>
        </is>
      </c>
      <c r="AF1179" s="15" t="inlineStr">
        <is>
          <t>Open in Box</t>
        </is>
      </c>
    </row>
    <row r="1180">
      <c r="A1180" s="11" t="inlineStr">
        <is>
          <t>ND-MINOTAFB-002</t>
        </is>
      </c>
      <c r="B1180" s="8" t="inlineStr">
        <is>
          <t>Minot AFB</t>
        </is>
      </c>
      <c r="C1180" s="11" t="inlineStr"/>
      <c r="D1180" s="11" t="inlineStr">
        <is>
          <t>ND</t>
        </is>
      </c>
      <c r="E1180" s="11" t="inlineStr">
        <is>
          <t>Minot-Bismarck-Dickinson, ND</t>
        </is>
      </c>
      <c r="F1180" s="11" t="inlineStr"/>
      <c r="G1180" s="11" t="inlineStr">
        <is>
          <t>Air Force</t>
        </is>
      </c>
      <c r="H1180" s="11" t="inlineStr">
        <is>
          <t>Digital</t>
        </is>
      </c>
      <c r="I1180" s="8" t="inlineStr">
        <is>
          <t>Bowling Scoring Monitors</t>
        </is>
      </c>
      <c r="J1180" s="11" t="inlineStr">
        <is>
          <t>22 screens</t>
        </is>
      </c>
      <c r="K1180" s="8" t="inlineStr">
        <is>
          <t>Your ad will appear on the 22-screen scoring monitors in the installation bowling center.</t>
        </is>
      </c>
      <c r="L1180" s="11" t="n">
        <v>1</v>
      </c>
      <c r="M1180" s="12" t="n">
        <v>200</v>
      </c>
      <c r="N1180" s="12" t="n"/>
      <c r="O1180" s="12" t="n"/>
      <c r="P1180" s="12" t="n"/>
      <c r="Q1180" s="12" t="n"/>
      <c r="R1180" s="13">
        <f>IF(ISNUMBER(M1180),ROUND(M1180/(1-Settings!$B$2)/Settings!$B$3,0)*Settings!$B$3,"")</f>
        <v/>
      </c>
      <c r="S1180" s="13">
        <f>IF(ISNUMBER(N1180),ROUND(N1180/(1-Settings!$B$2)/Settings!$B$3,0)*Settings!$B$3,"")</f>
        <v/>
      </c>
      <c r="T1180" s="13">
        <f>IF(ISNUMBER(O1180),ROUND(O1180/(1-Settings!$B$2)/Settings!$B$3,0)*Settings!$B$3,"")</f>
        <v/>
      </c>
      <c r="U1180" s="13">
        <f>IF(ISNUMBER(P1180),ROUND(P1180/(1-Settings!$B$2)/Settings!$B$3,0)*Settings!$B$3,"")</f>
        <v/>
      </c>
      <c r="V1180" s="13">
        <f>IF(ISNUMBER(Q1180),ROUND(Q1180/(1-Settings!$B$2)/Settings!$B$3,0)*Settings!$B$3,"")</f>
        <v/>
      </c>
      <c r="W1180" s="14" t="n">
        <v>5625</v>
      </c>
      <c r="X1180" s="14" t="n">
        <v>5406</v>
      </c>
      <c r="Y1180" s="11" t="inlineStr">
        <is>
          <t>2026</t>
        </is>
      </c>
      <c r="Z1180" s="11" t="inlineStr">
        <is>
          <t>2026-06</t>
        </is>
      </c>
      <c r="AA1180" s="8" t="inlineStr"/>
      <c r="AB1180" s="8" t="inlineStr"/>
      <c r="AC1180" s="11" t="inlineStr">
        <is>
          <t>Military - National Digital Inventory Master 6.3.26.xlsx</t>
        </is>
      </c>
      <c r="AD1180" s="11" t="inlineStr">
        <is>
          <t>Special Programs - Opportunities cao Sep 2024.pdf</t>
        </is>
      </c>
      <c r="AE1180" s="15" t="inlineStr">
        <is>
          <t>Open in Box</t>
        </is>
      </c>
      <c r="AF1180" s="15" t="inlineStr">
        <is>
          <t>Open in Box</t>
        </is>
      </c>
    </row>
    <row r="1181">
      <c r="A1181" s="11" t="inlineStr">
        <is>
          <t>ND-MINOTAFB-001</t>
        </is>
      </c>
      <c r="B1181" s="8" t="inlineStr">
        <is>
          <t>Minot AFB</t>
        </is>
      </c>
      <c r="C1181" s="11" t="inlineStr"/>
      <c r="D1181" s="11" t="inlineStr">
        <is>
          <t>ND</t>
        </is>
      </c>
      <c r="E1181" s="11" t="inlineStr">
        <is>
          <t>Minot-Bismarck-Dickinson, ND</t>
        </is>
      </c>
      <c r="F1181" s="11" t="inlineStr"/>
      <c r="G1181" s="11" t="inlineStr">
        <is>
          <t>Air Force</t>
        </is>
      </c>
      <c r="H1181" s="11" t="inlineStr">
        <is>
          <t>Digital</t>
        </is>
      </c>
      <c r="I1181" s="8" t="inlineStr">
        <is>
          <t>Digital Monitor Network</t>
        </is>
      </c>
      <c r="J1181" s="11" t="inlineStr">
        <is>
          <t>10 screens</t>
        </is>
      </c>
      <c r="K1181" s="8" t="inlineStr">
        <is>
          <t>Your ad will appear on the 10-screen digital monitor network in approved installation facilities.</t>
        </is>
      </c>
      <c r="L1181" s="11" t="n">
        <v>1</v>
      </c>
      <c r="M1181" s="12" t="n">
        <v>525</v>
      </c>
      <c r="N1181" s="12" t="n"/>
      <c r="O1181" s="12" t="n"/>
      <c r="P1181" s="12" t="n"/>
      <c r="Q1181" s="12" t="n"/>
      <c r="R1181" s="13">
        <f>IF(ISNUMBER(M1181),ROUND(M1181/(1-Settings!$B$2)/Settings!$B$3,0)*Settings!$B$3,"")</f>
        <v/>
      </c>
      <c r="S1181" s="13">
        <f>IF(ISNUMBER(N1181),ROUND(N1181/(1-Settings!$B$2)/Settings!$B$3,0)*Settings!$B$3,"")</f>
        <v/>
      </c>
      <c r="T1181" s="13">
        <f>IF(ISNUMBER(O1181),ROUND(O1181/(1-Settings!$B$2)/Settings!$B$3,0)*Settings!$B$3,"")</f>
        <v/>
      </c>
      <c r="U1181" s="13">
        <f>IF(ISNUMBER(P1181),ROUND(P1181/(1-Settings!$B$2)/Settings!$B$3,0)*Settings!$B$3,"")</f>
        <v/>
      </c>
      <c r="V1181" s="13">
        <f>IF(ISNUMBER(Q1181),ROUND(Q1181/(1-Settings!$B$2)/Settings!$B$3,0)*Settings!$B$3,"")</f>
        <v/>
      </c>
      <c r="W1181" s="14" t="n">
        <v>5625</v>
      </c>
      <c r="X1181" s="14" t="n">
        <v>5406</v>
      </c>
      <c r="Y1181" s="11" t="inlineStr">
        <is>
          <t>2026</t>
        </is>
      </c>
      <c r="Z1181" s="11" t="inlineStr">
        <is>
          <t>2026-06</t>
        </is>
      </c>
      <c r="AA1181" s="8" t="inlineStr"/>
      <c r="AB1181" s="8" t="inlineStr"/>
      <c r="AC1181" s="11" t="inlineStr">
        <is>
          <t>Military - National Digital Inventory Master 6.3.26.xlsx</t>
        </is>
      </c>
      <c r="AD1181" s="11" t="inlineStr">
        <is>
          <t>Special Programs - Opportunities cao Sep 2024.pdf</t>
        </is>
      </c>
      <c r="AE1181" s="15" t="inlineStr">
        <is>
          <t>Open in Box</t>
        </is>
      </c>
      <c r="AF1181" s="15" t="inlineStr">
        <is>
          <t>Open in Box</t>
        </is>
      </c>
    </row>
    <row r="1182">
      <c r="A1182" s="11" t="inlineStr">
        <is>
          <t>ND-MINOTAFB-003</t>
        </is>
      </c>
      <c r="B1182" s="8" t="inlineStr">
        <is>
          <t>Minot AFB</t>
        </is>
      </c>
      <c r="C1182" s="11" t="inlineStr"/>
      <c r="D1182" s="11" t="inlineStr">
        <is>
          <t>ND</t>
        </is>
      </c>
      <c r="E1182" s="11" t="inlineStr">
        <is>
          <t>Minot-Bismarck-Dickinson, ND</t>
        </is>
      </c>
      <c r="F1182" s="11" t="inlineStr"/>
      <c r="G1182" s="11" t="inlineStr">
        <is>
          <t>Air Force</t>
        </is>
      </c>
      <c r="H1182" s="11" t="inlineStr">
        <is>
          <t>Web &amp; Email</t>
        </is>
      </c>
      <c r="I1182" s="8" t="inlineStr">
        <is>
          <t>Web Ad</t>
        </is>
      </c>
      <c r="J1182" s="11" t="inlineStr"/>
      <c r="K1182" s="8" t="inlineStr">
        <is>
          <t>Your ad will appear on the installation MWR / FSS website.</t>
        </is>
      </c>
      <c r="L1182" s="11" t="n">
        <v>3</v>
      </c>
      <c r="M1182" s="12" t="n"/>
      <c r="N1182" s="12" t="n">
        <v>1320</v>
      </c>
      <c r="O1182" s="12" t="n"/>
      <c r="P1182" s="12" t="n"/>
      <c r="Q1182" s="12" t="n"/>
      <c r="R1182" s="13">
        <f>IF(ISNUMBER(M1182),ROUND(M1182/(1-Settings!$B$2)/Settings!$B$3,0)*Settings!$B$3,"")</f>
        <v/>
      </c>
      <c r="S1182" s="13">
        <f>IF(ISNUMBER(N1182),ROUND(N1182/(1-Settings!$B$2)/Settings!$B$3,0)*Settings!$B$3,"")</f>
        <v/>
      </c>
      <c r="T1182" s="13">
        <f>IF(ISNUMBER(O1182),ROUND(O1182/(1-Settings!$B$2)/Settings!$B$3,0)*Settings!$B$3,"")</f>
        <v/>
      </c>
      <c r="U1182" s="13">
        <f>IF(ISNUMBER(P1182),ROUND(P1182/(1-Settings!$B$2)/Settings!$B$3,0)*Settings!$B$3,"")</f>
        <v/>
      </c>
      <c r="V1182" s="13">
        <f>IF(ISNUMBER(Q1182),ROUND(Q1182/(1-Settings!$B$2)/Settings!$B$3,0)*Settings!$B$3,"")</f>
        <v/>
      </c>
      <c r="W1182" s="14" t="n">
        <v>5625</v>
      </c>
      <c r="X1182" s="14" t="n">
        <v>5406</v>
      </c>
      <c r="Y1182" s="11" t="inlineStr">
        <is>
          <t>2026</t>
        </is>
      </c>
      <c r="Z1182" s="11" t="inlineStr">
        <is>
          <t>2026-06</t>
        </is>
      </c>
      <c r="AA1182" s="8" t="inlineStr">
        <is>
          <t>3-month commitment</t>
        </is>
      </c>
      <c r="AB1182" s="8" t="inlineStr"/>
      <c r="AC1182" s="11" t="inlineStr">
        <is>
          <t>Military - National Publication Inventory Master_June 2026.xlsx</t>
        </is>
      </c>
      <c r="AD1182" s="11" t="inlineStr">
        <is>
          <t>Special Programs - Opportunities cao Sep 2024.pdf</t>
        </is>
      </c>
      <c r="AE1182" s="15" t="inlineStr">
        <is>
          <t>Open in Box</t>
        </is>
      </c>
      <c r="AF1182" s="15" t="inlineStr">
        <is>
          <t>Open in Box</t>
        </is>
      </c>
    </row>
    <row r="1183">
      <c r="A1183" s="11" t="inlineStr">
        <is>
          <t>NJ-EARLENWS-001</t>
        </is>
      </c>
      <c r="B1183" s="8" t="inlineStr">
        <is>
          <t>Earle NWS</t>
        </is>
      </c>
      <c r="C1183" s="11" t="inlineStr"/>
      <c r="D1183" s="11" t="inlineStr">
        <is>
          <t>NJ</t>
        </is>
      </c>
      <c r="E1183" s="11" t="inlineStr">
        <is>
          <t>New York, NY</t>
        </is>
      </c>
      <c r="F1183" s="11" t="inlineStr"/>
      <c r="G1183" s="11" t="inlineStr">
        <is>
          <t>Navy</t>
        </is>
      </c>
      <c r="H1183" s="11" t="inlineStr">
        <is>
          <t>Web &amp; Email</t>
        </is>
      </c>
      <c r="I1183" s="8" t="inlineStr">
        <is>
          <t>Monthly E-Newsletter Ad</t>
        </is>
      </c>
      <c r="J1183" s="11" t="inlineStr"/>
      <c r="K1183" s="8" t="inlineStr">
        <is>
          <t>Your ad will appear in the monthly e-newsletter emailed to the installation community.</t>
        </is>
      </c>
      <c r="L1183" s="11" t="n">
        <v>1</v>
      </c>
      <c r="M1183" s="12" t="n">
        <v>350</v>
      </c>
      <c r="N1183" s="12" t="n"/>
      <c r="O1183" s="12" t="n"/>
      <c r="P1183" s="12" t="n"/>
      <c r="Q1183" s="12" t="n"/>
      <c r="R1183" s="13">
        <f>IF(ISNUMBER(M1183),ROUND(M1183/(1-Settings!$B$2)/Settings!$B$3,0)*Settings!$B$3,"")</f>
        <v/>
      </c>
      <c r="S1183" s="13">
        <f>IF(ISNUMBER(N1183),ROUND(N1183/(1-Settings!$B$2)/Settings!$B$3,0)*Settings!$B$3,"")</f>
        <v/>
      </c>
      <c r="T1183" s="13">
        <f>IF(ISNUMBER(O1183),ROUND(O1183/(1-Settings!$B$2)/Settings!$B$3,0)*Settings!$B$3,"")</f>
        <v/>
      </c>
      <c r="U1183" s="13">
        <f>IF(ISNUMBER(P1183),ROUND(P1183/(1-Settings!$B$2)/Settings!$B$3,0)*Settings!$B$3,"")</f>
        <v/>
      </c>
      <c r="V1183" s="13">
        <f>IF(ISNUMBER(Q1183),ROUND(Q1183/(1-Settings!$B$2)/Settings!$B$3,0)*Settings!$B$3,"")</f>
        <v/>
      </c>
      <c r="W1183" s="14" t="n">
        <v>2000</v>
      </c>
      <c r="X1183" s="14" t="n"/>
      <c r="Y1183" s="11" t="inlineStr">
        <is>
          <t>2026</t>
        </is>
      </c>
      <c r="Z1183" s="11" t="inlineStr">
        <is>
          <t>2026-06</t>
        </is>
      </c>
      <c r="AA1183" s="8" t="inlineStr"/>
      <c r="AB1183" s="8" t="inlineStr"/>
      <c r="AC1183" s="11" t="inlineStr">
        <is>
          <t>Military - National Publication Inventory Master_June 2026.xlsx</t>
        </is>
      </c>
      <c r="AD1183" s="11" t="inlineStr">
        <is>
          <t>NWS Earle Advertising Rate Card.pdf</t>
        </is>
      </c>
      <c r="AE1183" s="15" t="inlineStr">
        <is>
          <t>Open in Box</t>
        </is>
      </c>
      <c r="AF1183" s="15" t="inlineStr">
        <is>
          <t>Open in Box</t>
        </is>
      </c>
    </row>
    <row r="1184">
      <c r="A1184" s="11" t="inlineStr">
        <is>
          <t>NJ-EARLENWS-002</t>
        </is>
      </c>
      <c r="B1184" s="8" t="inlineStr">
        <is>
          <t>Earle NWS</t>
        </is>
      </c>
      <c r="C1184" s="11" t="inlineStr"/>
      <c r="D1184" s="11" t="inlineStr">
        <is>
          <t>NJ</t>
        </is>
      </c>
      <c r="E1184" s="11" t="inlineStr">
        <is>
          <t>New York, NY</t>
        </is>
      </c>
      <c r="F1184" s="11" t="inlineStr"/>
      <c r="G1184" s="11" t="inlineStr">
        <is>
          <t>Navy</t>
        </is>
      </c>
      <c r="H1184" s="11" t="inlineStr">
        <is>
          <t>Web &amp; Email</t>
        </is>
      </c>
      <c r="I1184" s="8" t="inlineStr">
        <is>
          <t>Web Ad</t>
        </is>
      </c>
      <c r="J1184" s="11" t="inlineStr"/>
      <c r="K1184" s="8" t="inlineStr">
        <is>
          <t>Your ad will appear on the installation MWR / FSS website.</t>
        </is>
      </c>
      <c r="L1184" s="11" t="n">
        <v>1</v>
      </c>
      <c r="M1184" s="12" t="n">
        <v>200</v>
      </c>
      <c r="N1184" s="12" t="n"/>
      <c r="O1184" s="12" t="n"/>
      <c r="P1184" s="12" t="n"/>
      <c r="Q1184" s="12" t="n"/>
      <c r="R1184" s="13">
        <f>IF(ISNUMBER(M1184),ROUND(M1184/(1-Settings!$B$2)/Settings!$B$3,0)*Settings!$B$3,"")</f>
        <v/>
      </c>
      <c r="S1184" s="13">
        <f>IF(ISNUMBER(N1184),ROUND(N1184/(1-Settings!$B$2)/Settings!$B$3,0)*Settings!$B$3,"")</f>
        <v/>
      </c>
      <c r="T1184" s="13">
        <f>IF(ISNUMBER(O1184),ROUND(O1184/(1-Settings!$B$2)/Settings!$B$3,0)*Settings!$B$3,"")</f>
        <v/>
      </c>
      <c r="U1184" s="13">
        <f>IF(ISNUMBER(P1184),ROUND(P1184/(1-Settings!$B$2)/Settings!$B$3,0)*Settings!$B$3,"")</f>
        <v/>
      </c>
      <c r="V1184" s="13">
        <f>IF(ISNUMBER(Q1184),ROUND(Q1184/(1-Settings!$B$2)/Settings!$B$3,0)*Settings!$B$3,"")</f>
        <v/>
      </c>
      <c r="W1184" s="14" t="n">
        <v>2000</v>
      </c>
      <c r="X1184" s="14" t="n"/>
      <c r="Y1184" s="11" t="inlineStr">
        <is>
          <t>2026</t>
        </is>
      </c>
      <c r="Z1184" s="11" t="inlineStr">
        <is>
          <t>2026-06</t>
        </is>
      </c>
      <c r="AA1184" s="8" t="inlineStr"/>
      <c r="AB1184" s="8" t="inlineStr"/>
      <c r="AC1184" s="11" t="inlineStr">
        <is>
          <t>Military - National Publication Inventory Master_June 2026.xlsx</t>
        </is>
      </c>
      <c r="AD1184" s="11" t="inlineStr">
        <is>
          <t>NWS Earle Advertising Rate Card.pdf</t>
        </is>
      </c>
      <c r="AE1184" s="15" t="inlineStr">
        <is>
          <t>Open in Box</t>
        </is>
      </c>
      <c r="AF1184" s="15" t="inlineStr">
        <is>
          <t>Open in Box</t>
        </is>
      </c>
    </row>
    <row r="1185">
      <c r="A1185" s="11" t="inlineStr">
        <is>
          <t>NJ-JOINTBAS-001</t>
        </is>
      </c>
      <c r="B1185" s="8" t="inlineStr">
        <is>
          <t>Joint Base Lakehurst - McGuire - Dix</t>
        </is>
      </c>
      <c r="C1185" s="11" t="inlineStr"/>
      <c r="D1185" s="11" t="inlineStr">
        <is>
          <t>NJ</t>
        </is>
      </c>
      <c r="E1185" s="11" t="inlineStr">
        <is>
          <t>Trenton, NJ</t>
        </is>
      </c>
      <c r="F1185" s="11" t="inlineStr"/>
      <c r="G1185" s="11" t="inlineStr">
        <is>
          <t>Joint Base</t>
        </is>
      </c>
      <c r="H1185" s="11" t="inlineStr">
        <is>
          <t>Digital</t>
        </is>
      </c>
      <c r="I1185" s="8" t="inlineStr">
        <is>
          <t>Digital Monitor Network</t>
        </is>
      </c>
      <c r="J1185" s="11" t="inlineStr">
        <is>
          <t>65 screens</t>
        </is>
      </c>
      <c r="K1185" s="8" t="inlineStr">
        <is>
          <t>Your ad will appear on the 65-screen digital monitor network in approved installation facilities.</t>
        </is>
      </c>
      <c r="L1185" s="11" t="n">
        <v>1</v>
      </c>
      <c r="M1185" s="12" t="n">
        <v>1000</v>
      </c>
      <c r="N1185" s="12" t="n"/>
      <c r="O1185" s="12" t="n"/>
      <c r="P1185" s="12" t="n"/>
      <c r="Q1185" s="12" t="n"/>
      <c r="R1185" s="13">
        <f>IF(ISNUMBER(M1185),ROUND(M1185/(1-Settings!$B$2)/Settings!$B$3,0)*Settings!$B$3,"")</f>
        <v/>
      </c>
      <c r="S1185" s="13">
        <f>IF(ISNUMBER(N1185),ROUND(N1185/(1-Settings!$B$2)/Settings!$B$3,0)*Settings!$B$3,"")</f>
        <v/>
      </c>
      <c r="T1185" s="13">
        <f>IF(ISNUMBER(O1185),ROUND(O1185/(1-Settings!$B$2)/Settings!$B$3,0)*Settings!$B$3,"")</f>
        <v/>
      </c>
      <c r="U1185" s="13">
        <f>IF(ISNUMBER(P1185),ROUND(P1185/(1-Settings!$B$2)/Settings!$B$3,0)*Settings!$B$3,"")</f>
        <v/>
      </c>
      <c r="V1185" s="13">
        <f>IF(ISNUMBER(Q1185),ROUND(Q1185/(1-Settings!$B$2)/Settings!$B$3,0)*Settings!$B$3,"")</f>
        <v/>
      </c>
      <c r="W1185" s="14" t="n">
        <v>5701</v>
      </c>
      <c r="X1185" s="14" t="n">
        <v>7607</v>
      </c>
      <c r="Y1185" s="11" t="inlineStr">
        <is>
          <t>2026</t>
        </is>
      </c>
      <c r="Z1185" s="11" t="inlineStr">
        <is>
          <t>2026-06</t>
        </is>
      </c>
      <c r="AA1185" s="8" t="inlineStr"/>
      <c r="AB1185" s="8" t="inlineStr"/>
      <c r="AC1185" s="11" t="inlineStr">
        <is>
          <t>Military - National Digital Inventory Master 6.3.26.xlsx</t>
        </is>
      </c>
      <c r="AD1185" s="11" t="inlineStr">
        <is>
          <t>JBMDL Advertising Rates v012026-L.pdf</t>
        </is>
      </c>
      <c r="AE1185" s="15" t="inlineStr">
        <is>
          <t>Open in Box</t>
        </is>
      </c>
      <c r="AF1185" s="15" t="inlineStr">
        <is>
          <t>Open in Box</t>
        </is>
      </c>
    </row>
    <row r="1186">
      <c r="A1186" s="11" t="inlineStr">
        <is>
          <t>NJ-JOINTBAS-004</t>
        </is>
      </c>
      <c r="B1186" s="8" t="inlineStr">
        <is>
          <t>Joint Base Lakehurst - McGuire - Dix</t>
        </is>
      </c>
      <c r="C1186" s="11" t="inlineStr"/>
      <c r="D1186" s="11" t="inlineStr">
        <is>
          <t>NJ</t>
        </is>
      </c>
      <c r="E1186" s="11" t="inlineStr">
        <is>
          <t>Trenton, NJ</t>
        </is>
      </c>
      <c r="F1186" s="11" t="inlineStr"/>
      <c r="G1186" s="11" t="inlineStr">
        <is>
          <t>Joint Base</t>
        </is>
      </c>
      <c r="H1186" s="11" t="inlineStr">
        <is>
          <t>Print &amp; Publications</t>
        </is>
      </c>
      <c r="I1186" s="8" t="inlineStr">
        <is>
          <t>Golf Scorecard Ad</t>
        </is>
      </c>
      <c r="J1186" s="11" t="inlineStr"/>
      <c r="K1186" s="8" t="inlineStr">
        <is>
          <t>Your ad will appear on the golf course scorecard.</t>
        </is>
      </c>
      <c r="L1186" s="11" t="n">
        <v>12</v>
      </c>
      <c r="M1186" s="12" t="n"/>
      <c r="N1186" s="12" t="n"/>
      <c r="O1186" s="12" t="n"/>
      <c r="P1186" s="12" t="n">
        <v>3500</v>
      </c>
      <c r="Q1186" s="12" t="n"/>
      <c r="R1186" s="13">
        <f>IF(ISNUMBER(M1186),ROUND(M1186/(1-Settings!$B$2)/Settings!$B$3,0)*Settings!$B$3,"")</f>
        <v/>
      </c>
      <c r="S1186" s="13">
        <f>IF(ISNUMBER(N1186),ROUND(N1186/(1-Settings!$B$2)/Settings!$B$3,0)*Settings!$B$3,"")</f>
        <v/>
      </c>
      <c r="T1186" s="13">
        <f>IF(ISNUMBER(O1186),ROUND(O1186/(1-Settings!$B$2)/Settings!$B$3,0)*Settings!$B$3,"")</f>
        <v/>
      </c>
      <c r="U1186" s="13">
        <f>IF(ISNUMBER(P1186),ROUND(P1186/(1-Settings!$B$2)/Settings!$B$3,0)*Settings!$B$3,"")</f>
        <v/>
      </c>
      <c r="V1186" s="13">
        <f>IF(ISNUMBER(Q1186),ROUND(Q1186/(1-Settings!$B$2)/Settings!$B$3,0)*Settings!$B$3,"")</f>
        <v/>
      </c>
      <c r="W1186" s="14" t="n">
        <v>5701</v>
      </c>
      <c r="X1186" s="14" t="n">
        <v>7607</v>
      </c>
      <c r="Y1186" s="11" t="inlineStr">
        <is>
          <t>2026</t>
        </is>
      </c>
      <c r="Z1186" s="11" t="inlineStr">
        <is>
          <t>2026-06</t>
        </is>
      </c>
      <c r="AA1186" s="8" t="inlineStr">
        <is>
          <t>Annual</t>
        </is>
      </c>
      <c r="AB1186" s="8" t="inlineStr"/>
      <c r="AC1186" s="11" t="inlineStr">
        <is>
          <t>Military - National Publication Inventory Master_June 2026.xlsx</t>
        </is>
      </c>
      <c r="AD1186" s="11" t="inlineStr">
        <is>
          <t>JBMDL Advertising Rates v012026-L.pdf</t>
        </is>
      </c>
      <c r="AE1186" s="15" t="inlineStr">
        <is>
          <t>Open in Box</t>
        </is>
      </c>
      <c r="AF1186" s="15" t="inlineStr">
        <is>
          <t>Open in Box</t>
        </is>
      </c>
    </row>
    <row r="1187">
      <c r="A1187" s="11" t="inlineStr">
        <is>
          <t>NJ-JOINTBAS-003</t>
        </is>
      </c>
      <c r="B1187" s="8" t="inlineStr">
        <is>
          <t>Joint Base Lakehurst - McGuire - Dix</t>
        </is>
      </c>
      <c r="C1187" s="11" t="inlineStr"/>
      <c r="D1187" s="11" t="inlineStr">
        <is>
          <t>NJ</t>
        </is>
      </c>
      <c r="E1187" s="11" t="inlineStr">
        <is>
          <t>Trenton, NJ</t>
        </is>
      </c>
      <c r="F1187" s="11" t="inlineStr"/>
      <c r="G1187" s="11" t="inlineStr">
        <is>
          <t>Joint Base</t>
        </is>
      </c>
      <c r="H1187" s="11" t="inlineStr">
        <is>
          <t>Print &amp; Publications</t>
        </is>
      </c>
      <c r="I1187" s="8" t="inlineStr">
        <is>
          <t>Guide / Map Ad</t>
        </is>
      </c>
      <c r="J1187" s="11" t="inlineStr"/>
      <c r="K1187" s="8" t="inlineStr">
        <is>
          <t>Your ad will appear in the installation guide or map.</t>
        </is>
      </c>
      <c r="L1187" s="11" t="n">
        <v>12</v>
      </c>
      <c r="M1187" s="12" t="n"/>
      <c r="N1187" s="12" t="n"/>
      <c r="O1187" s="12" t="n"/>
      <c r="P1187" s="12" t="n">
        <v>7500</v>
      </c>
      <c r="Q1187" s="12" t="n"/>
      <c r="R1187" s="13">
        <f>IF(ISNUMBER(M1187),ROUND(M1187/(1-Settings!$B$2)/Settings!$B$3,0)*Settings!$B$3,"")</f>
        <v/>
      </c>
      <c r="S1187" s="13">
        <f>IF(ISNUMBER(N1187),ROUND(N1187/(1-Settings!$B$2)/Settings!$B$3,0)*Settings!$B$3,"")</f>
        <v/>
      </c>
      <c r="T1187" s="13">
        <f>IF(ISNUMBER(O1187),ROUND(O1187/(1-Settings!$B$2)/Settings!$B$3,0)*Settings!$B$3,"")</f>
        <v/>
      </c>
      <c r="U1187" s="13">
        <f>IF(ISNUMBER(P1187),ROUND(P1187/(1-Settings!$B$2)/Settings!$B$3,0)*Settings!$B$3,"")</f>
        <v/>
      </c>
      <c r="V1187" s="13">
        <f>IF(ISNUMBER(Q1187),ROUND(Q1187/(1-Settings!$B$2)/Settings!$B$3,0)*Settings!$B$3,"")</f>
        <v/>
      </c>
      <c r="W1187" s="14" t="n">
        <v>5701</v>
      </c>
      <c r="X1187" s="14" t="n">
        <v>7607</v>
      </c>
      <c r="Y1187" s="11" t="inlineStr">
        <is>
          <t>2026</t>
        </is>
      </c>
      <c r="Z1187" s="11" t="inlineStr">
        <is>
          <t>2026-06</t>
        </is>
      </c>
      <c r="AA1187" s="8" t="inlineStr">
        <is>
          <t>Annual</t>
        </is>
      </c>
      <c r="AB1187" s="8" t="inlineStr"/>
      <c r="AC1187" s="11" t="inlineStr">
        <is>
          <t>Military - National Publication Inventory Master_June 2026.xlsx</t>
        </is>
      </c>
      <c r="AD1187" s="11" t="inlineStr">
        <is>
          <t>JBMDL Advertising Rates v012026-L.pdf</t>
        </is>
      </c>
      <c r="AE1187" s="15" t="inlineStr">
        <is>
          <t>Open in Box</t>
        </is>
      </c>
      <c r="AF1187" s="15" t="inlineStr">
        <is>
          <t>Open in Box</t>
        </is>
      </c>
    </row>
    <row r="1188">
      <c r="A1188" s="11" t="inlineStr">
        <is>
          <t>NJ-JOINTBAS-002</t>
        </is>
      </c>
      <c r="B1188" s="8" t="inlineStr">
        <is>
          <t>Joint Base Lakehurst - McGuire - Dix</t>
        </is>
      </c>
      <c r="C1188" s="11" t="inlineStr"/>
      <c r="D1188" s="11" t="inlineStr">
        <is>
          <t>NJ</t>
        </is>
      </c>
      <c r="E1188" s="11" t="inlineStr">
        <is>
          <t>Trenton, NJ</t>
        </is>
      </c>
      <c r="F1188" s="11" t="inlineStr"/>
      <c r="G1188" s="11" t="inlineStr">
        <is>
          <t>Joint Base</t>
        </is>
      </c>
      <c r="H1188" s="11" t="inlineStr">
        <is>
          <t>Web &amp; Email</t>
        </is>
      </c>
      <c r="I1188" s="8" t="inlineStr">
        <is>
          <t>Web Ad</t>
        </is>
      </c>
      <c r="J1188" s="11" t="inlineStr"/>
      <c r="K1188" s="8" t="inlineStr">
        <is>
          <t>Your ad will appear on the installation MWR / FSS website.</t>
        </is>
      </c>
      <c r="L1188" s="11" t="n">
        <v>12</v>
      </c>
      <c r="M1188" s="12" t="n"/>
      <c r="N1188" s="12" t="n"/>
      <c r="O1188" s="12" t="n"/>
      <c r="P1188" s="12" t="n">
        <v>1500</v>
      </c>
      <c r="Q1188" s="12" t="n"/>
      <c r="R1188" s="13">
        <f>IF(ISNUMBER(M1188),ROUND(M1188/(1-Settings!$B$2)/Settings!$B$3,0)*Settings!$B$3,"")</f>
        <v/>
      </c>
      <c r="S1188" s="13">
        <f>IF(ISNUMBER(N1188),ROUND(N1188/(1-Settings!$B$2)/Settings!$B$3,0)*Settings!$B$3,"")</f>
        <v/>
      </c>
      <c r="T1188" s="13">
        <f>IF(ISNUMBER(O1188),ROUND(O1188/(1-Settings!$B$2)/Settings!$B$3,0)*Settings!$B$3,"")</f>
        <v/>
      </c>
      <c r="U1188" s="13">
        <f>IF(ISNUMBER(P1188),ROUND(P1188/(1-Settings!$B$2)/Settings!$B$3,0)*Settings!$B$3,"")</f>
        <v/>
      </c>
      <c r="V1188" s="13">
        <f>IF(ISNUMBER(Q1188),ROUND(Q1188/(1-Settings!$B$2)/Settings!$B$3,0)*Settings!$B$3,"")</f>
        <v/>
      </c>
      <c r="W1188" s="14" t="n">
        <v>5701</v>
      </c>
      <c r="X1188" s="14" t="n">
        <v>7607</v>
      </c>
      <c r="Y1188" s="11" t="inlineStr">
        <is>
          <t>2026</t>
        </is>
      </c>
      <c r="Z1188" s="11" t="inlineStr">
        <is>
          <t>2026-06</t>
        </is>
      </c>
      <c r="AA1188" s="8" t="inlineStr">
        <is>
          <t>Annual</t>
        </is>
      </c>
      <c r="AB1188" s="8" t="inlineStr"/>
      <c r="AC1188" s="11" t="inlineStr">
        <is>
          <t>Military - National Publication Inventory Master_June 2026.xlsx</t>
        </is>
      </c>
      <c r="AD1188" s="11" t="inlineStr">
        <is>
          <t>JBMDL Advertising Rates v012026-L.pdf</t>
        </is>
      </c>
      <c r="AE1188" s="15" t="inlineStr">
        <is>
          <t>Open in Box</t>
        </is>
      </c>
      <c r="AF1188" s="15" t="inlineStr">
        <is>
          <t>Open in Box</t>
        </is>
      </c>
    </row>
    <row r="1189">
      <c r="A1189" s="11" t="inlineStr">
        <is>
          <t>NJ-PICATINN-002</t>
        </is>
      </c>
      <c r="B1189" s="8" t="inlineStr">
        <is>
          <t>Picatinny Arsenal</t>
        </is>
      </c>
      <c r="C1189" s="11" t="inlineStr"/>
      <c r="D1189" s="11" t="inlineStr">
        <is>
          <t>NJ</t>
        </is>
      </c>
      <c r="E1189" s="11" t="inlineStr">
        <is>
          <t>New York, NY</t>
        </is>
      </c>
      <c r="F1189" s="11" t="inlineStr"/>
      <c r="G1189" s="11" t="inlineStr">
        <is>
          <t>Army</t>
        </is>
      </c>
      <c r="H1189" s="11" t="inlineStr">
        <is>
          <t>Print &amp; Publications</t>
        </is>
      </c>
      <c r="I1189" s="8" t="inlineStr">
        <is>
          <t>Golf Scorecard Ad</t>
        </is>
      </c>
      <c r="J1189" s="11" t="inlineStr"/>
      <c r="K1189" s="8" t="inlineStr">
        <is>
          <t>Your ad will appear on the golf course scorecard.</t>
        </is>
      </c>
      <c r="L1189" s="11" t="n">
        <v>12</v>
      </c>
      <c r="M1189" s="12" t="n"/>
      <c r="N1189" s="12" t="n"/>
      <c r="O1189" s="12" t="n"/>
      <c r="P1189" s="12" t="n">
        <v>650</v>
      </c>
      <c r="Q1189" s="12" t="n"/>
      <c r="R1189" s="13">
        <f>IF(ISNUMBER(M1189),ROUND(M1189/(1-Settings!$B$2)/Settings!$B$3,0)*Settings!$B$3,"")</f>
        <v/>
      </c>
      <c r="S1189" s="13">
        <f>IF(ISNUMBER(N1189),ROUND(N1189/(1-Settings!$B$2)/Settings!$B$3,0)*Settings!$B$3,"")</f>
        <v/>
      </c>
      <c r="T1189" s="13">
        <f>IF(ISNUMBER(O1189),ROUND(O1189/(1-Settings!$B$2)/Settings!$B$3,0)*Settings!$B$3,"")</f>
        <v/>
      </c>
      <c r="U1189" s="13">
        <f>IF(ISNUMBER(P1189),ROUND(P1189/(1-Settings!$B$2)/Settings!$B$3,0)*Settings!$B$3,"")</f>
        <v/>
      </c>
      <c r="V1189" s="13">
        <f>IF(ISNUMBER(Q1189),ROUND(Q1189/(1-Settings!$B$2)/Settings!$B$3,0)*Settings!$B$3,"")</f>
        <v/>
      </c>
      <c r="W1189" s="14" t="n">
        <v>100</v>
      </c>
      <c r="X1189" s="14" t="n">
        <v>350</v>
      </c>
      <c r="Y1189" s="11" t="inlineStr">
        <is>
          <t>2024</t>
        </is>
      </c>
      <c r="Z1189" s="11" t="inlineStr">
        <is>
          <t>2026-06</t>
        </is>
      </c>
      <c r="AA1189" s="8" t="inlineStr">
        <is>
          <t>(Pricing is from 2024) 3-month commitment | Price for one year</t>
        </is>
      </c>
      <c r="AB1189" s="8" t="inlineStr"/>
      <c r="AC1189" s="11" t="inlineStr">
        <is>
          <t>Military - National Publication Inventory Master_June 2026.xlsx</t>
        </is>
      </c>
      <c r="AD1189" s="11" t="inlineStr">
        <is>
          <t>MWR  Picatinny Sponsorships and Advertising (3) 2025.pdf</t>
        </is>
      </c>
      <c r="AE1189" s="15" t="inlineStr">
        <is>
          <t>Open in Box</t>
        </is>
      </c>
      <c r="AF1189" s="15" t="inlineStr">
        <is>
          <t>Open in Box</t>
        </is>
      </c>
    </row>
    <row r="1190">
      <c r="A1190" s="11" t="inlineStr">
        <is>
          <t>NJ-PICATINN-001</t>
        </is>
      </c>
      <c r="B1190" s="8" t="inlineStr">
        <is>
          <t>Picatinny Arsenal</t>
        </is>
      </c>
      <c r="C1190" s="11" t="inlineStr"/>
      <c r="D1190" s="11" t="inlineStr">
        <is>
          <t>NJ</t>
        </is>
      </c>
      <c r="E1190" s="11" t="inlineStr">
        <is>
          <t>New York, NY</t>
        </is>
      </c>
      <c r="F1190" s="11" t="inlineStr"/>
      <c r="G1190" s="11" t="inlineStr">
        <is>
          <t>Army</t>
        </is>
      </c>
      <c r="H1190" s="11" t="inlineStr">
        <is>
          <t>Web &amp; Email</t>
        </is>
      </c>
      <c r="I1190" s="8" t="inlineStr">
        <is>
          <t>Web Ad</t>
        </is>
      </c>
      <c r="J1190" s="11" t="inlineStr"/>
      <c r="K1190" s="8" t="inlineStr">
        <is>
          <t>Your ad will appear on the installation MWR / FSS website.</t>
        </is>
      </c>
      <c r="L1190" s="11" t="n">
        <v>12</v>
      </c>
      <c r="M1190" s="12" t="n"/>
      <c r="N1190" s="12" t="n"/>
      <c r="O1190" s="12" t="n"/>
      <c r="P1190" s="12" t="n">
        <v>750</v>
      </c>
      <c r="Q1190" s="12" t="n"/>
      <c r="R1190" s="13">
        <f>IF(ISNUMBER(M1190),ROUND(M1190/(1-Settings!$B$2)/Settings!$B$3,0)*Settings!$B$3,"")</f>
        <v/>
      </c>
      <c r="S1190" s="13">
        <f>IF(ISNUMBER(N1190),ROUND(N1190/(1-Settings!$B$2)/Settings!$B$3,0)*Settings!$B$3,"")</f>
        <v/>
      </c>
      <c r="T1190" s="13">
        <f>IF(ISNUMBER(O1190),ROUND(O1190/(1-Settings!$B$2)/Settings!$B$3,0)*Settings!$B$3,"")</f>
        <v/>
      </c>
      <c r="U1190" s="13">
        <f>IF(ISNUMBER(P1190),ROUND(P1190/(1-Settings!$B$2)/Settings!$B$3,0)*Settings!$B$3,"")</f>
        <v/>
      </c>
      <c r="V1190" s="13">
        <f>IF(ISNUMBER(Q1190),ROUND(Q1190/(1-Settings!$B$2)/Settings!$B$3,0)*Settings!$B$3,"")</f>
        <v/>
      </c>
      <c r="W1190" s="14" t="n">
        <v>100</v>
      </c>
      <c r="X1190" s="14" t="n">
        <v>350</v>
      </c>
      <c r="Y1190" s="11" t="inlineStr">
        <is>
          <t>2024</t>
        </is>
      </c>
      <c r="Z1190" s="11" t="inlineStr">
        <is>
          <t>2026-06</t>
        </is>
      </c>
      <c r="AA1190" s="8" t="inlineStr">
        <is>
          <t>(Pricing is from 2024) 3-month commitment | Price for one year</t>
        </is>
      </c>
      <c r="AB1190" s="8" t="inlineStr"/>
      <c r="AC1190" s="11" t="inlineStr">
        <is>
          <t>Military - National Publication Inventory Master_June 2026.xlsx</t>
        </is>
      </c>
      <c r="AD1190" s="11" t="inlineStr">
        <is>
          <t>MWR  Picatinny Sponsorships and Advertising (3) 2025.pdf</t>
        </is>
      </c>
      <c r="AE1190" s="15" t="inlineStr">
        <is>
          <t>Open in Box</t>
        </is>
      </c>
      <c r="AF1190" s="15" t="inlineStr">
        <is>
          <t>Open in Box</t>
        </is>
      </c>
    </row>
    <row r="1191">
      <c r="A1191" s="11" t="inlineStr">
        <is>
          <t>NM-CANNONAF-002</t>
        </is>
      </c>
      <c r="B1191" s="8" t="inlineStr">
        <is>
          <t>Cannon AFB</t>
        </is>
      </c>
      <c r="C1191" s="11" t="inlineStr"/>
      <c r="D1191" s="11" t="inlineStr">
        <is>
          <t>NM</t>
        </is>
      </c>
      <c r="E1191" s="11" t="inlineStr">
        <is>
          <t>Roswell, NM</t>
        </is>
      </c>
      <c r="F1191" s="11" t="inlineStr"/>
      <c r="G1191" s="11" t="inlineStr">
        <is>
          <t>Air Force</t>
        </is>
      </c>
      <c r="H1191" s="11" t="inlineStr">
        <is>
          <t>Digital</t>
        </is>
      </c>
      <c r="I1191" s="8" t="inlineStr">
        <is>
          <t>Bowling Scoring Monitors</t>
        </is>
      </c>
      <c r="J1191" s="11" t="inlineStr">
        <is>
          <t>16 screens</t>
        </is>
      </c>
      <c r="K1191" s="8" t="inlineStr">
        <is>
          <t>Your ad will appear on the 16-screen scoring monitors in the installation bowling center.</t>
        </is>
      </c>
      <c r="L1191" s="11" t="n">
        <v>1</v>
      </c>
      <c r="M1191" s="12" t="n">
        <v>200</v>
      </c>
      <c r="N1191" s="12" t="n"/>
      <c r="O1191" s="12" t="n"/>
      <c r="P1191" s="12" t="n"/>
      <c r="Q1191" s="12" t="n"/>
      <c r="R1191" s="13">
        <f>IF(ISNUMBER(M1191),ROUND(M1191/(1-Settings!$B$2)/Settings!$B$3,0)*Settings!$B$3,"")</f>
        <v/>
      </c>
      <c r="S1191" s="13">
        <f>IF(ISNUMBER(N1191),ROUND(N1191/(1-Settings!$B$2)/Settings!$B$3,0)*Settings!$B$3,"")</f>
        <v/>
      </c>
      <c r="T1191" s="13">
        <f>IF(ISNUMBER(O1191),ROUND(O1191/(1-Settings!$B$2)/Settings!$B$3,0)*Settings!$B$3,"")</f>
        <v/>
      </c>
      <c r="U1191" s="13">
        <f>IF(ISNUMBER(P1191),ROUND(P1191/(1-Settings!$B$2)/Settings!$B$3,0)*Settings!$B$3,"")</f>
        <v/>
      </c>
      <c r="V1191" s="13">
        <f>IF(ISNUMBER(Q1191),ROUND(Q1191/(1-Settings!$B$2)/Settings!$B$3,0)*Settings!$B$3,"")</f>
        <v/>
      </c>
      <c r="W1191" s="14" t="n">
        <v>4633</v>
      </c>
      <c r="X1191" s="14" t="n">
        <v>4353</v>
      </c>
      <c r="Y1191" s="11" t="inlineStr">
        <is>
          <t>2026</t>
        </is>
      </c>
      <c r="Z1191" s="11" t="inlineStr">
        <is>
          <t>2026-06</t>
        </is>
      </c>
      <c r="AA1191" s="8" t="inlineStr"/>
      <c r="AB1191" s="8" t="inlineStr"/>
      <c r="AC1191" s="11" t="inlineStr">
        <is>
          <t>Military - National Digital Inventory Master 6.3.26.xlsx</t>
        </is>
      </c>
      <c r="AD1191" s="11" t="inlineStr">
        <is>
          <t>Price sheet from website.docx</t>
        </is>
      </c>
      <c r="AE1191" s="15" t="inlineStr">
        <is>
          <t>Open in Box</t>
        </is>
      </c>
      <c r="AF1191" s="15" t="inlineStr">
        <is>
          <t>Open in Box</t>
        </is>
      </c>
    </row>
    <row r="1192">
      <c r="A1192" s="11" t="inlineStr">
        <is>
          <t>NM-CANNONAF-001</t>
        </is>
      </c>
      <c r="B1192" s="8" t="inlineStr">
        <is>
          <t>Cannon AFB</t>
        </is>
      </c>
      <c r="C1192" s="11" t="inlineStr"/>
      <c r="D1192" s="11" t="inlineStr">
        <is>
          <t>NM</t>
        </is>
      </c>
      <c r="E1192" s="11" t="inlineStr">
        <is>
          <t>Roswell, NM</t>
        </is>
      </c>
      <c r="F1192" s="11" t="inlineStr"/>
      <c r="G1192" s="11" t="inlineStr">
        <is>
          <t>Air Force</t>
        </is>
      </c>
      <c r="H1192" s="11" t="inlineStr">
        <is>
          <t>Digital</t>
        </is>
      </c>
      <c r="I1192" s="8" t="inlineStr">
        <is>
          <t>Digital Monitor Network</t>
        </is>
      </c>
      <c r="J1192" s="11" t="inlineStr">
        <is>
          <t>24 screens</t>
        </is>
      </c>
      <c r="K1192" s="8" t="inlineStr">
        <is>
          <t>Your ad will appear on the 24-screen digital monitor network in approved installation facilities.</t>
        </is>
      </c>
      <c r="L1192" s="11" t="n">
        <v>1</v>
      </c>
      <c r="M1192" s="12" t="n">
        <v>100</v>
      </c>
      <c r="N1192" s="12" t="n"/>
      <c r="O1192" s="12" t="n"/>
      <c r="P1192" s="12" t="n"/>
      <c r="Q1192" s="12" t="n"/>
      <c r="R1192" s="13">
        <f>IF(ISNUMBER(M1192),ROUND(M1192/(1-Settings!$B$2)/Settings!$B$3,0)*Settings!$B$3,"")</f>
        <v/>
      </c>
      <c r="S1192" s="13">
        <f>IF(ISNUMBER(N1192),ROUND(N1192/(1-Settings!$B$2)/Settings!$B$3,0)*Settings!$B$3,"")</f>
        <v/>
      </c>
      <c r="T1192" s="13">
        <f>IF(ISNUMBER(O1192),ROUND(O1192/(1-Settings!$B$2)/Settings!$B$3,0)*Settings!$B$3,"")</f>
        <v/>
      </c>
      <c r="U1192" s="13">
        <f>IF(ISNUMBER(P1192),ROUND(P1192/(1-Settings!$B$2)/Settings!$B$3,0)*Settings!$B$3,"")</f>
        <v/>
      </c>
      <c r="V1192" s="13">
        <f>IF(ISNUMBER(Q1192),ROUND(Q1192/(1-Settings!$B$2)/Settings!$B$3,0)*Settings!$B$3,"")</f>
        <v/>
      </c>
      <c r="W1192" s="14" t="n">
        <v>4633</v>
      </c>
      <c r="X1192" s="14" t="n">
        <v>4353</v>
      </c>
      <c r="Y1192" s="11" t="inlineStr">
        <is>
          <t>2026</t>
        </is>
      </c>
      <c r="Z1192" s="11" t="inlineStr">
        <is>
          <t>2026-06</t>
        </is>
      </c>
      <c r="AA1192" s="8" t="inlineStr"/>
      <c r="AB1192" s="8" t="inlineStr"/>
      <c r="AC1192" s="11" t="inlineStr">
        <is>
          <t>Military - National Digital Inventory Master 6.3.26.xlsx</t>
        </is>
      </c>
      <c r="AD1192" s="11" t="inlineStr">
        <is>
          <t>Price sheet from website.docx</t>
        </is>
      </c>
      <c r="AE1192" s="15" t="inlineStr">
        <is>
          <t>Open in Box</t>
        </is>
      </c>
      <c r="AF1192" s="15" t="inlineStr">
        <is>
          <t>Open in Box</t>
        </is>
      </c>
    </row>
    <row r="1193">
      <c r="A1193" s="11" t="inlineStr">
        <is>
          <t>NM-CANNONAF-004</t>
        </is>
      </c>
      <c r="B1193" s="8" t="inlineStr">
        <is>
          <t>Cannon AFB</t>
        </is>
      </c>
      <c r="C1193" s="11" t="inlineStr"/>
      <c r="D1193" s="11" t="inlineStr">
        <is>
          <t>NM</t>
        </is>
      </c>
      <c r="E1193" s="11" t="inlineStr">
        <is>
          <t>Roswell, NM</t>
        </is>
      </c>
      <c r="F1193" s="11" t="inlineStr"/>
      <c r="G1193" s="11" t="inlineStr">
        <is>
          <t>Air Force</t>
        </is>
      </c>
      <c r="H1193" s="11" t="inlineStr">
        <is>
          <t>Print &amp; Publications</t>
        </is>
      </c>
      <c r="I1193" s="8" t="inlineStr">
        <is>
          <t>Magazine Ad</t>
        </is>
      </c>
      <c r="J1193" s="11" t="inlineStr"/>
      <c r="K1193" s="8" t="inlineStr">
        <is>
          <t>Your ad will appear in the installation magazine.</t>
        </is>
      </c>
      <c r="L1193" s="11" t="n">
        <v>1</v>
      </c>
      <c r="M1193" s="12" t="n">
        <v>550</v>
      </c>
      <c r="N1193" s="12" t="n"/>
      <c r="O1193" s="12" t="n"/>
      <c r="P1193" s="12" t="n"/>
      <c r="Q1193" s="12" t="n"/>
      <c r="R1193" s="13">
        <f>IF(ISNUMBER(M1193),ROUND(M1193/(1-Settings!$B$2)/Settings!$B$3,0)*Settings!$B$3,"")</f>
        <v/>
      </c>
      <c r="S1193" s="13">
        <f>IF(ISNUMBER(N1193),ROUND(N1193/(1-Settings!$B$2)/Settings!$B$3,0)*Settings!$B$3,"")</f>
        <v/>
      </c>
      <c r="T1193" s="13">
        <f>IF(ISNUMBER(O1193),ROUND(O1193/(1-Settings!$B$2)/Settings!$B$3,0)*Settings!$B$3,"")</f>
        <v/>
      </c>
      <c r="U1193" s="13">
        <f>IF(ISNUMBER(P1193),ROUND(P1193/(1-Settings!$B$2)/Settings!$B$3,0)*Settings!$B$3,"")</f>
        <v/>
      </c>
      <c r="V1193" s="13">
        <f>IF(ISNUMBER(Q1193),ROUND(Q1193/(1-Settings!$B$2)/Settings!$B$3,0)*Settings!$B$3,"")</f>
        <v/>
      </c>
      <c r="W1193" s="14" t="n">
        <v>4633</v>
      </c>
      <c r="X1193" s="14" t="n">
        <v>4353</v>
      </c>
      <c r="Y1193" s="11" t="inlineStr">
        <is>
          <t>2026</t>
        </is>
      </c>
      <c r="Z1193" s="11" t="inlineStr">
        <is>
          <t>2026-06</t>
        </is>
      </c>
      <c r="AA1193" s="8" t="inlineStr"/>
      <c r="AB1193" s="8" t="inlineStr"/>
      <c r="AC1193" s="11" t="inlineStr">
        <is>
          <t>Military - National Publication Inventory Master_June 2026.xlsx</t>
        </is>
      </c>
      <c r="AD1193" s="11" t="inlineStr">
        <is>
          <t>Price sheet from website.docx</t>
        </is>
      </c>
      <c r="AE1193" s="15" t="inlineStr">
        <is>
          <t>Open in Box</t>
        </is>
      </c>
      <c r="AF1193" s="15" t="inlineStr">
        <is>
          <t>Open in Box</t>
        </is>
      </c>
    </row>
    <row r="1194">
      <c r="A1194" s="11" t="inlineStr">
        <is>
          <t>NM-CANNONAF-003</t>
        </is>
      </c>
      <c r="B1194" s="8" t="inlineStr">
        <is>
          <t>Cannon AFB</t>
        </is>
      </c>
      <c r="C1194" s="11" t="inlineStr"/>
      <c r="D1194" s="11" t="inlineStr">
        <is>
          <t>NM</t>
        </is>
      </c>
      <c r="E1194" s="11" t="inlineStr">
        <is>
          <t>Roswell, NM</t>
        </is>
      </c>
      <c r="F1194" s="11" t="inlineStr"/>
      <c r="G1194" s="11" t="inlineStr">
        <is>
          <t>Air Force</t>
        </is>
      </c>
      <c r="H1194" s="11" t="inlineStr">
        <is>
          <t>Web &amp; Email</t>
        </is>
      </c>
      <c r="I1194" s="8" t="inlineStr">
        <is>
          <t>Web Ad</t>
        </is>
      </c>
      <c r="J1194" s="11" t="inlineStr"/>
      <c r="K1194" s="8" t="inlineStr">
        <is>
          <t>Your ad will appear on the installation MWR / FSS website.</t>
        </is>
      </c>
      <c r="L1194" s="11" t="n">
        <v>1</v>
      </c>
      <c r="M1194" s="12" t="n">
        <v>150</v>
      </c>
      <c r="N1194" s="12" t="n"/>
      <c r="O1194" s="12" t="n"/>
      <c r="P1194" s="12" t="n"/>
      <c r="Q1194" s="12" t="n"/>
      <c r="R1194" s="13">
        <f>IF(ISNUMBER(M1194),ROUND(M1194/(1-Settings!$B$2)/Settings!$B$3,0)*Settings!$B$3,"")</f>
        <v/>
      </c>
      <c r="S1194" s="13">
        <f>IF(ISNUMBER(N1194),ROUND(N1194/(1-Settings!$B$2)/Settings!$B$3,0)*Settings!$B$3,"")</f>
        <v/>
      </c>
      <c r="T1194" s="13">
        <f>IF(ISNUMBER(O1194),ROUND(O1194/(1-Settings!$B$2)/Settings!$B$3,0)*Settings!$B$3,"")</f>
        <v/>
      </c>
      <c r="U1194" s="13">
        <f>IF(ISNUMBER(P1194),ROUND(P1194/(1-Settings!$B$2)/Settings!$B$3,0)*Settings!$B$3,"")</f>
        <v/>
      </c>
      <c r="V1194" s="13">
        <f>IF(ISNUMBER(Q1194),ROUND(Q1194/(1-Settings!$B$2)/Settings!$B$3,0)*Settings!$B$3,"")</f>
        <v/>
      </c>
      <c r="W1194" s="14" t="n">
        <v>4633</v>
      </c>
      <c r="X1194" s="14" t="n">
        <v>4353</v>
      </c>
      <c r="Y1194" s="11" t="inlineStr">
        <is>
          <t>2026</t>
        </is>
      </c>
      <c r="Z1194" s="11" t="inlineStr">
        <is>
          <t>2026-06</t>
        </is>
      </c>
      <c r="AA1194" s="8" t="inlineStr"/>
      <c r="AB1194" s="8" t="inlineStr"/>
      <c r="AC1194" s="11" t="inlineStr">
        <is>
          <t>Military - National Publication Inventory Master_June 2026.xlsx</t>
        </is>
      </c>
      <c r="AD1194" s="11" t="inlineStr">
        <is>
          <t>Price sheet from website.docx</t>
        </is>
      </c>
      <c r="AE1194" s="15" t="inlineStr">
        <is>
          <t>Open in Box</t>
        </is>
      </c>
      <c r="AF1194" s="15" t="inlineStr">
        <is>
          <t>Open in Box</t>
        </is>
      </c>
    </row>
    <row r="1195">
      <c r="A1195" s="11" t="inlineStr">
        <is>
          <t>NM-HOLLOMAN-002</t>
        </is>
      </c>
      <c r="B1195" s="8" t="inlineStr">
        <is>
          <t>Holloman AFB</t>
        </is>
      </c>
      <c r="C1195" s="11" t="inlineStr"/>
      <c r="D1195" s="11" t="inlineStr">
        <is>
          <t>NM</t>
        </is>
      </c>
      <c r="E1195" s="11" t="inlineStr">
        <is>
          <t>Albuquerque-Santa Fe, NM</t>
        </is>
      </c>
      <c r="F1195" s="11" t="inlineStr"/>
      <c r="G1195" s="11" t="inlineStr">
        <is>
          <t>Air Force</t>
        </is>
      </c>
      <c r="H1195" s="11" t="inlineStr">
        <is>
          <t>Digital</t>
        </is>
      </c>
      <c r="I1195" s="8" t="inlineStr">
        <is>
          <t>Bowling Scoring Monitors</t>
        </is>
      </c>
      <c r="J1195" s="11" t="inlineStr">
        <is>
          <t>48 screens</t>
        </is>
      </c>
      <c r="K1195" s="8" t="inlineStr">
        <is>
          <t>Your ad will appear on the 48-screen scoring monitors in the installation bowling center.</t>
        </is>
      </c>
      <c r="L1195" s="11" t="n">
        <v>1</v>
      </c>
      <c r="M1195" s="12" t="n">
        <v>140</v>
      </c>
      <c r="N1195" s="12" t="n"/>
      <c r="O1195" s="12" t="n"/>
      <c r="P1195" s="12" t="n"/>
      <c r="Q1195" s="12" t="n"/>
      <c r="R1195" s="13">
        <f>IF(ISNUMBER(M1195),ROUND(M1195/(1-Settings!$B$2)/Settings!$B$3,0)*Settings!$B$3,"")</f>
        <v/>
      </c>
      <c r="S1195" s="13">
        <f>IF(ISNUMBER(N1195),ROUND(N1195/(1-Settings!$B$2)/Settings!$B$3,0)*Settings!$B$3,"")</f>
        <v/>
      </c>
      <c r="T1195" s="13">
        <f>IF(ISNUMBER(O1195),ROUND(O1195/(1-Settings!$B$2)/Settings!$B$3,0)*Settings!$B$3,"")</f>
        <v/>
      </c>
      <c r="U1195" s="13">
        <f>IF(ISNUMBER(P1195),ROUND(P1195/(1-Settings!$B$2)/Settings!$B$3,0)*Settings!$B$3,"")</f>
        <v/>
      </c>
      <c r="V1195" s="13">
        <f>IF(ISNUMBER(Q1195),ROUND(Q1195/(1-Settings!$B$2)/Settings!$B$3,0)*Settings!$B$3,"")</f>
        <v/>
      </c>
      <c r="W1195" s="14" t="n">
        <v>4076</v>
      </c>
      <c r="X1195" s="14" t="n">
        <v>4386</v>
      </c>
      <c r="Y1195" s="11" t="inlineStr">
        <is>
          <t>2026</t>
        </is>
      </c>
      <c r="Z1195" s="11" t="inlineStr">
        <is>
          <t>2026-06</t>
        </is>
      </c>
      <c r="AA1195" s="8" t="inlineStr"/>
      <c r="AB1195" s="8" t="inlineStr"/>
      <c r="AC1195" s="11" t="inlineStr">
        <is>
          <t>Military - National Digital Inventory Master 6.3.26.xlsx</t>
        </is>
      </c>
      <c r="AD1195" s="11" t="inlineStr">
        <is>
          <t>HAFB-Sponsorship &amp; Advertising 2025.pdf</t>
        </is>
      </c>
      <c r="AE1195" s="15" t="inlineStr">
        <is>
          <t>Open in Box</t>
        </is>
      </c>
      <c r="AF1195" s="15" t="inlineStr">
        <is>
          <t>Open in Box</t>
        </is>
      </c>
    </row>
    <row r="1196">
      <c r="A1196" s="11" t="inlineStr">
        <is>
          <t>NM-HOLLOMAN-001</t>
        </is>
      </c>
      <c r="B1196" s="8" t="inlineStr">
        <is>
          <t>Holloman AFB</t>
        </is>
      </c>
      <c r="C1196" s="11" t="inlineStr"/>
      <c r="D1196" s="11" t="inlineStr">
        <is>
          <t>NM</t>
        </is>
      </c>
      <c r="E1196" s="11" t="inlineStr">
        <is>
          <t>Albuquerque-Santa Fe, NM</t>
        </is>
      </c>
      <c r="F1196" s="11" t="inlineStr"/>
      <c r="G1196" s="11" t="inlineStr">
        <is>
          <t>Air Force</t>
        </is>
      </c>
      <c r="H1196" s="11" t="inlineStr">
        <is>
          <t>Digital</t>
        </is>
      </c>
      <c r="I1196" s="8" t="inlineStr">
        <is>
          <t>Digital Monitor Network</t>
        </is>
      </c>
      <c r="J1196" s="11" t="inlineStr">
        <is>
          <t>13 screens</t>
        </is>
      </c>
      <c r="K1196" s="8" t="inlineStr">
        <is>
          <t>Your ad will appear on the 13-screen digital monitor network in approved installation facilities.</t>
        </is>
      </c>
      <c r="L1196" s="11" t="n">
        <v>1</v>
      </c>
      <c r="M1196" s="12" t="n">
        <v>160</v>
      </c>
      <c r="N1196" s="12" t="n"/>
      <c r="O1196" s="12" t="n"/>
      <c r="P1196" s="12" t="n"/>
      <c r="Q1196" s="12" t="n"/>
      <c r="R1196" s="13">
        <f>IF(ISNUMBER(M1196),ROUND(M1196/(1-Settings!$B$2)/Settings!$B$3,0)*Settings!$B$3,"")</f>
        <v/>
      </c>
      <c r="S1196" s="13">
        <f>IF(ISNUMBER(N1196),ROUND(N1196/(1-Settings!$B$2)/Settings!$B$3,0)*Settings!$B$3,"")</f>
        <v/>
      </c>
      <c r="T1196" s="13">
        <f>IF(ISNUMBER(O1196),ROUND(O1196/(1-Settings!$B$2)/Settings!$B$3,0)*Settings!$B$3,"")</f>
        <v/>
      </c>
      <c r="U1196" s="13">
        <f>IF(ISNUMBER(P1196),ROUND(P1196/(1-Settings!$B$2)/Settings!$B$3,0)*Settings!$B$3,"")</f>
        <v/>
      </c>
      <c r="V1196" s="13">
        <f>IF(ISNUMBER(Q1196),ROUND(Q1196/(1-Settings!$B$2)/Settings!$B$3,0)*Settings!$B$3,"")</f>
        <v/>
      </c>
      <c r="W1196" s="14" t="n">
        <v>4076</v>
      </c>
      <c r="X1196" s="14" t="n">
        <v>4386</v>
      </c>
      <c r="Y1196" s="11" t="inlineStr">
        <is>
          <t>2026</t>
        </is>
      </c>
      <c r="Z1196" s="11" t="inlineStr">
        <is>
          <t>2026-06</t>
        </is>
      </c>
      <c r="AA1196" s="8" t="inlineStr"/>
      <c r="AB1196" s="8" t="inlineStr"/>
      <c r="AC1196" s="11" t="inlineStr">
        <is>
          <t>Military - National Digital Inventory Master 6.3.26.xlsx</t>
        </is>
      </c>
      <c r="AD1196" s="11" t="inlineStr">
        <is>
          <t>HAFB-Sponsorship &amp; Advertising 2025.pdf</t>
        </is>
      </c>
      <c r="AE1196" s="15" t="inlineStr">
        <is>
          <t>Open in Box</t>
        </is>
      </c>
      <c r="AF1196" s="15" t="inlineStr">
        <is>
          <t>Open in Box</t>
        </is>
      </c>
    </row>
    <row r="1197">
      <c r="A1197" s="11" t="inlineStr">
        <is>
          <t>NM-HOLLOMAN-003</t>
        </is>
      </c>
      <c r="B1197" s="8" t="inlineStr">
        <is>
          <t>Holloman AFB</t>
        </is>
      </c>
      <c r="C1197" s="11" t="inlineStr"/>
      <c r="D1197" s="11" t="inlineStr">
        <is>
          <t>NM</t>
        </is>
      </c>
      <c r="E1197" s="11" t="inlineStr">
        <is>
          <t>Albuquerque-Santa Fe, NM</t>
        </is>
      </c>
      <c r="F1197" s="11" t="inlineStr"/>
      <c r="G1197" s="11" t="inlineStr">
        <is>
          <t>Air Force</t>
        </is>
      </c>
      <c r="H1197" s="11" t="inlineStr">
        <is>
          <t>Digital</t>
        </is>
      </c>
      <c r="I1197" s="8" t="inlineStr">
        <is>
          <t>Movie Theater Ad</t>
        </is>
      </c>
      <c r="J1197" s="11" t="inlineStr">
        <is>
          <t>1 screens</t>
        </is>
      </c>
      <c r="K1197" s="8" t="inlineStr">
        <is>
          <t>Your ad will appear on screen before movies at the installation theater (1-screen screens).</t>
        </is>
      </c>
      <c r="L1197" s="11" t="n">
        <v>1</v>
      </c>
      <c r="M1197" s="12" t="n">
        <v>80</v>
      </c>
      <c r="N1197" s="12" t="n"/>
      <c r="O1197" s="12" t="n"/>
      <c r="P1197" s="12" t="n"/>
      <c r="Q1197" s="12" t="n"/>
      <c r="R1197" s="13">
        <f>IF(ISNUMBER(M1197),ROUND(M1197/(1-Settings!$B$2)/Settings!$B$3,0)*Settings!$B$3,"")</f>
        <v/>
      </c>
      <c r="S1197" s="13">
        <f>IF(ISNUMBER(N1197),ROUND(N1197/(1-Settings!$B$2)/Settings!$B$3,0)*Settings!$B$3,"")</f>
        <v/>
      </c>
      <c r="T1197" s="13">
        <f>IF(ISNUMBER(O1197),ROUND(O1197/(1-Settings!$B$2)/Settings!$B$3,0)*Settings!$B$3,"")</f>
        <v/>
      </c>
      <c r="U1197" s="13">
        <f>IF(ISNUMBER(P1197),ROUND(P1197/(1-Settings!$B$2)/Settings!$B$3,0)*Settings!$B$3,"")</f>
        <v/>
      </c>
      <c r="V1197" s="13">
        <f>IF(ISNUMBER(Q1197),ROUND(Q1197/(1-Settings!$B$2)/Settings!$B$3,0)*Settings!$B$3,"")</f>
        <v/>
      </c>
      <c r="W1197" s="14" t="n">
        <v>4076</v>
      </c>
      <c r="X1197" s="14" t="n">
        <v>4386</v>
      </c>
      <c r="Y1197" s="11" t="inlineStr">
        <is>
          <t>2026</t>
        </is>
      </c>
      <c r="Z1197" s="11" t="inlineStr">
        <is>
          <t>2026-06</t>
        </is>
      </c>
      <c r="AA1197" s="8" t="inlineStr"/>
      <c r="AB1197" s="8" t="inlineStr"/>
      <c r="AC1197" s="11" t="inlineStr">
        <is>
          <t>Military - National Digital Inventory Master 6.3.26.xlsx</t>
        </is>
      </c>
      <c r="AD1197" s="11" t="inlineStr">
        <is>
          <t>HAFB-Sponsorship &amp; Advertising 2025.pdf</t>
        </is>
      </c>
      <c r="AE1197" s="15" t="inlineStr">
        <is>
          <t>Open in Box</t>
        </is>
      </c>
      <c r="AF1197" s="15" t="inlineStr">
        <is>
          <t>Open in Box</t>
        </is>
      </c>
    </row>
    <row r="1198">
      <c r="A1198" s="11" t="inlineStr">
        <is>
          <t>NM-HOLLOMAN-005</t>
        </is>
      </c>
      <c r="B1198" s="8" t="inlineStr">
        <is>
          <t>Holloman AFB</t>
        </is>
      </c>
      <c r="C1198" s="11" t="inlineStr"/>
      <c r="D1198" s="11" t="inlineStr">
        <is>
          <t>NM</t>
        </is>
      </c>
      <c r="E1198" s="11" t="inlineStr">
        <is>
          <t>Albuquerque-Santa Fe, NM</t>
        </is>
      </c>
      <c r="F1198" s="11" t="inlineStr"/>
      <c r="G1198" s="11" t="inlineStr">
        <is>
          <t>Air Force</t>
        </is>
      </c>
      <c r="H1198" s="11" t="inlineStr">
        <is>
          <t>Print &amp; Publications</t>
        </is>
      </c>
      <c r="I1198" s="8" t="inlineStr">
        <is>
          <t>Magazine Ad</t>
        </is>
      </c>
      <c r="J1198" s="11" t="inlineStr"/>
      <c r="K1198" s="8" t="inlineStr">
        <is>
          <t>Your ad will appear in the installation magazine.</t>
        </is>
      </c>
      <c r="L1198" s="11" t="n">
        <v>1</v>
      </c>
      <c r="M1198" s="12" t="n">
        <v>400</v>
      </c>
      <c r="N1198" s="12" t="n"/>
      <c r="O1198" s="12" t="n"/>
      <c r="P1198" s="12" t="n"/>
      <c r="Q1198" s="12" t="n"/>
      <c r="R1198" s="13">
        <f>IF(ISNUMBER(M1198),ROUND(M1198/(1-Settings!$B$2)/Settings!$B$3,0)*Settings!$B$3,"")</f>
        <v/>
      </c>
      <c r="S1198" s="13">
        <f>IF(ISNUMBER(N1198),ROUND(N1198/(1-Settings!$B$2)/Settings!$B$3,0)*Settings!$B$3,"")</f>
        <v/>
      </c>
      <c r="T1198" s="13">
        <f>IF(ISNUMBER(O1198),ROUND(O1198/(1-Settings!$B$2)/Settings!$B$3,0)*Settings!$B$3,"")</f>
        <v/>
      </c>
      <c r="U1198" s="13">
        <f>IF(ISNUMBER(P1198),ROUND(P1198/(1-Settings!$B$2)/Settings!$B$3,0)*Settings!$B$3,"")</f>
        <v/>
      </c>
      <c r="V1198" s="13">
        <f>IF(ISNUMBER(Q1198),ROUND(Q1198/(1-Settings!$B$2)/Settings!$B$3,0)*Settings!$B$3,"")</f>
        <v/>
      </c>
      <c r="W1198" s="14" t="n">
        <v>4076</v>
      </c>
      <c r="X1198" s="14" t="n">
        <v>4386</v>
      </c>
      <c r="Y1198" s="11" t="inlineStr">
        <is>
          <t>2026</t>
        </is>
      </c>
      <c r="Z1198" s="11" t="inlineStr">
        <is>
          <t>2026-06</t>
        </is>
      </c>
      <c r="AA1198" s="8" t="inlineStr"/>
      <c r="AB1198" s="8" t="inlineStr"/>
      <c r="AC1198" s="11" t="inlineStr">
        <is>
          <t>Military - National Publication Inventory Master_June 2026.xlsx</t>
        </is>
      </c>
      <c r="AD1198" s="11" t="inlineStr">
        <is>
          <t>HAFB-Sponsorship &amp; Advertising 2025.pdf</t>
        </is>
      </c>
      <c r="AE1198" s="15" t="inlineStr">
        <is>
          <t>Open in Box</t>
        </is>
      </c>
      <c r="AF1198" s="15" t="inlineStr">
        <is>
          <t>Open in Box</t>
        </is>
      </c>
    </row>
    <row r="1199">
      <c r="A1199" s="11" t="inlineStr">
        <is>
          <t>NM-HOLLOMAN-004</t>
        </is>
      </c>
      <c r="B1199" s="8" t="inlineStr">
        <is>
          <t>Holloman AFB</t>
        </is>
      </c>
      <c r="C1199" s="11" t="inlineStr"/>
      <c r="D1199" s="11" t="inlineStr">
        <is>
          <t>NM</t>
        </is>
      </c>
      <c r="E1199" s="11" t="inlineStr">
        <is>
          <t>Albuquerque-Santa Fe, NM</t>
        </is>
      </c>
      <c r="F1199" s="11" t="inlineStr"/>
      <c r="G1199" s="11" t="inlineStr">
        <is>
          <t>Air Force</t>
        </is>
      </c>
      <c r="H1199" s="11" t="inlineStr">
        <is>
          <t>Web &amp; Email</t>
        </is>
      </c>
      <c r="I1199" s="8" t="inlineStr">
        <is>
          <t>Web Ad</t>
        </is>
      </c>
      <c r="J1199" s="11" t="inlineStr"/>
      <c r="K1199" s="8" t="inlineStr">
        <is>
          <t>Your ad will appear on the installation MWR / FSS website.</t>
        </is>
      </c>
      <c r="L1199" s="11" t="n">
        <v>1</v>
      </c>
      <c r="M1199" s="12" t="n">
        <v>140</v>
      </c>
      <c r="N1199" s="12" t="n"/>
      <c r="O1199" s="12" t="n"/>
      <c r="P1199" s="12" t="n"/>
      <c r="Q1199" s="12" t="n"/>
      <c r="R1199" s="13">
        <f>IF(ISNUMBER(M1199),ROUND(M1199/(1-Settings!$B$2)/Settings!$B$3,0)*Settings!$B$3,"")</f>
        <v/>
      </c>
      <c r="S1199" s="13">
        <f>IF(ISNUMBER(N1199),ROUND(N1199/(1-Settings!$B$2)/Settings!$B$3,0)*Settings!$B$3,"")</f>
        <v/>
      </c>
      <c r="T1199" s="13">
        <f>IF(ISNUMBER(O1199),ROUND(O1199/(1-Settings!$B$2)/Settings!$B$3,0)*Settings!$B$3,"")</f>
        <v/>
      </c>
      <c r="U1199" s="13">
        <f>IF(ISNUMBER(P1199),ROUND(P1199/(1-Settings!$B$2)/Settings!$B$3,0)*Settings!$B$3,"")</f>
        <v/>
      </c>
      <c r="V1199" s="13">
        <f>IF(ISNUMBER(Q1199),ROUND(Q1199/(1-Settings!$B$2)/Settings!$B$3,0)*Settings!$B$3,"")</f>
        <v/>
      </c>
      <c r="W1199" s="14" t="n">
        <v>4076</v>
      </c>
      <c r="X1199" s="14" t="n">
        <v>4386</v>
      </c>
      <c r="Y1199" s="11" t="inlineStr">
        <is>
          <t>2026</t>
        </is>
      </c>
      <c r="Z1199" s="11" t="inlineStr">
        <is>
          <t>2026-06</t>
        </is>
      </c>
      <c r="AA1199" s="8" t="inlineStr"/>
      <c r="AB1199" s="8" t="inlineStr"/>
      <c r="AC1199" s="11" t="inlineStr">
        <is>
          <t>Military - National Publication Inventory Master_June 2026.xlsx</t>
        </is>
      </c>
      <c r="AD1199" s="11" t="inlineStr">
        <is>
          <t>HAFB-Sponsorship &amp; Advertising 2025.pdf</t>
        </is>
      </c>
      <c r="AE1199" s="15" t="inlineStr">
        <is>
          <t>Open in Box</t>
        </is>
      </c>
      <c r="AF1199" s="15" t="inlineStr">
        <is>
          <t>Open in Box</t>
        </is>
      </c>
    </row>
    <row r="1200">
      <c r="A1200" s="11" t="inlineStr">
        <is>
          <t>NM-KIRTLAND-001</t>
        </is>
      </c>
      <c r="B1200" s="8" t="inlineStr">
        <is>
          <t>Kirtland AFB</t>
        </is>
      </c>
      <c r="C1200" s="11" t="inlineStr"/>
      <c r="D1200" s="11" t="inlineStr">
        <is>
          <t>NM</t>
        </is>
      </c>
      <c r="E1200" s="11" t="inlineStr">
        <is>
          <t>Albuquerque-Santa Fe, NM</t>
        </is>
      </c>
      <c r="F1200" s="11" t="inlineStr"/>
      <c r="G1200" s="11" t="inlineStr">
        <is>
          <t>Air Force</t>
        </is>
      </c>
      <c r="H1200" s="11" t="inlineStr">
        <is>
          <t>Digital</t>
        </is>
      </c>
      <c r="I1200" s="8" t="inlineStr">
        <is>
          <t>Digital Monitor Network</t>
        </is>
      </c>
      <c r="J1200" s="11" t="inlineStr">
        <is>
          <t>17 screens</t>
        </is>
      </c>
      <c r="K1200" s="8" t="inlineStr">
        <is>
          <t>Your ad will appear on the 17-screen digital monitor network in approved installation facilities.</t>
        </is>
      </c>
      <c r="L1200" s="11" t="n">
        <v>1</v>
      </c>
      <c r="M1200" s="12" t="n">
        <v>100</v>
      </c>
      <c r="N1200" s="12" t="n"/>
      <c r="O1200" s="12" t="n"/>
      <c r="P1200" s="12" t="n"/>
      <c r="Q1200" s="12" t="n"/>
      <c r="R1200" s="13">
        <f>IF(ISNUMBER(M1200),ROUND(M1200/(1-Settings!$B$2)/Settings!$B$3,0)*Settings!$B$3,"")</f>
        <v/>
      </c>
      <c r="S1200" s="13">
        <f>IF(ISNUMBER(N1200),ROUND(N1200/(1-Settings!$B$2)/Settings!$B$3,0)*Settings!$B$3,"")</f>
        <v/>
      </c>
      <c r="T1200" s="13">
        <f>IF(ISNUMBER(O1200),ROUND(O1200/(1-Settings!$B$2)/Settings!$B$3,0)*Settings!$B$3,"")</f>
        <v/>
      </c>
      <c r="U1200" s="13">
        <f>IF(ISNUMBER(P1200),ROUND(P1200/(1-Settings!$B$2)/Settings!$B$3,0)*Settings!$B$3,"")</f>
        <v/>
      </c>
      <c r="V1200" s="13">
        <f>IF(ISNUMBER(Q1200),ROUND(Q1200/(1-Settings!$B$2)/Settings!$B$3,0)*Settings!$B$3,"")</f>
        <v/>
      </c>
      <c r="W1200" s="14" t="n">
        <v>3386</v>
      </c>
      <c r="X1200" s="14" t="n">
        <v>4316</v>
      </c>
      <c r="Y1200" s="11" t="inlineStr">
        <is>
          <t>2026</t>
        </is>
      </c>
      <c r="Z1200" s="11" t="inlineStr">
        <is>
          <t>2026-06</t>
        </is>
      </c>
      <c r="AA1200" s="8" t="inlineStr"/>
      <c r="AB1200" s="8" t="inlineStr"/>
      <c r="AC1200" s="11" t="inlineStr">
        <is>
          <t>Military - National Digital Inventory Master 6.3.26.xlsx</t>
        </is>
      </c>
      <c r="AD1200" s="11" t="inlineStr">
        <is>
          <t>New Sponsorship booklet.pdf</t>
        </is>
      </c>
      <c r="AE1200" s="15" t="inlineStr">
        <is>
          <t>Open in Box</t>
        </is>
      </c>
      <c r="AF1200" s="15" t="inlineStr">
        <is>
          <t>Open in Box</t>
        </is>
      </c>
    </row>
    <row r="1201">
      <c r="A1201" s="11" t="inlineStr">
        <is>
          <t>NM-KIRTLAND-005</t>
        </is>
      </c>
      <c r="B1201" s="8" t="inlineStr">
        <is>
          <t>Kirtland AFB</t>
        </is>
      </c>
      <c r="C1201" s="11" t="inlineStr"/>
      <c r="D1201" s="11" t="inlineStr">
        <is>
          <t>NM</t>
        </is>
      </c>
      <c r="E1201" s="11" t="inlineStr">
        <is>
          <t>Albuquerque-Santa Fe, NM</t>
        </is>
      </c>
      <c r="F1201" s="11" t="inlineStr"/>
      <c r="G1201" s="11" t="inlineStr">
        <is>
          <t>Air Force</t>
        </is>
      </c>
      <c r="H1201" s="11" t="inlineStr">
        <is>
          <t>Print &amp; Publications</t>
        </is>
      </c>
      <c r="I1201" s="8" t="inlineStr">
        <is>
          <t>Golf Scorecard Ad</t>
        </is>
      </c>
      <c r="J1201" s="11" t="inlineStr"/>
      <c r="K1201" s="8" t="inlineStr">
        <is>
          <t>Your ad will appear on the golf course scorecard.</t>
        </is>
      </c>
      <c r="L1201" s="11" t="n">
        <v>3</v>
      </c>
      <c r="M1201" s="12" t="n"/>
      <c r="N1201" s="12" t="n">
        <v>400</v>
      </c>
      <c r="O1201" s="12" t="n"/>
      <c r="P1201" s="12" t="n"/>
      <c r="Q1201" s="12" t="n"/>
      <c r="R1201" s="13">
        <f>IF(ISNUMBER(M1201),ROUND(M1201/(1-Settings!$B$2)/Settings!$B$3,0)*Settings!$B$3,"")</f>
        <v/>
      </c>
      <c r="S1201" s="13">
        <f>IF(ISNUMBER(N1201),ROUND(N1201/(1-Settings!$B$2)/Settings!$B$3,0)*Settings!$B$3,"")</f>
        <v/>
      </c>
      <c r="T1201" s="13">
        <f>IF(ISNUMBER(O1201),ROUND(O1201/(1-Settings!$B$2)/Settings!$B$3,0)*Settings!$B$3,"")</f>
        <v/>
      </c>
      <c r="U1201" s="13">
        <f>IF(ISNUMBER(P1201),ROUND(P1201/(1-Settings!$B$2)/Settings!$B$3,0)*Settings!$B$3,"")</f>
        <v/>
      </c>
      <c r="V1201" s="13">
        <f>IF(ISNUMBER(Q1201),ROUND(Q1201/(1-Settings!$B$2)/Settings!$B$3,0)*Settings!$B$3,"")</f>
        <v/>
      </c>
      <c r="W1201" s="14" t="n">
        <v>3386</v>
      </c>
      <c r="X1201" s="14" t="n">
        <v>4316</v>
      </c>
      <c r="Y1201" s="11" t="inlineStr">
        <is>
          <t>2026</t>
        </is>
      </c>
      <c r="Z1201" s="11" t="inlineStr">
        <is>
          <t>2026-06</t>
        </is>
      </c>
      <c r="AA1201" s="8" t="inlineStr">
        <is>
          <t>Price is per season</t>
        </is>
      </c>
      <c r="AB1201" s="8" t="inlineStr"/>
      <c r="AC1201" s="11" t="inlineStr">
        <is>
          <t>Military - National Publication Inventory Master_June 2026.xlsx</t>
        </is>
      </c>
      <c r="AD1201" s="11" t="inlineStr">
        <is>
          <t>New Sponsorship booklet.pdf</t>
        </is>
      </c>
      <c r="AE1201" s="15" t="inlineStr">
        <is>
          <t>Open in Box</t>
        </is>
      </c>
      <c r="AF1201" s="15" t="inlineStr">
        <is>
          <t>Open in Box</t>
        </is>
      </c>
    </row>
    <row r="1202">
      <c r="A1202" s="11" t="inlineStr">
        <is>
          <t>NM-KIRTLAND-004</t>
        </is>
      </c>
      <c r="B1202" s="8" t="inlineStr">
        <is>
          <t>Kirtland AFB</t>
        </is>
      </c>
      <c r="C1202" s="11" t="inlineStr"/>
      <c r="D1202" s="11" t="inlineStr">
        <is>
          <t>NM</t>
        </is>
      </c>
      <c r="E1202" s="11" t="inlineStr">
        <is>
          <t>Albuquerque-Santa Fe, NM</t>
        </is>
      </c>
      <c r="F1202" s="11" t="inlineStr"/>
      <c r="G1202" s="11" t="inlineStr">
        <is>
          <t>Air Force</t>
        </is>
      </c>
      <c r="H1202" s="11" t="inlineStr">
        <is>
          <t>Print &amp; Publications</t>
        </is>
      </c>
      <c r="I1202" s="8" t="inlineStr">
        <is>
          <t>Guide / Map Ad</t>
        </is>
      </c>
      <c r="J1202" s="11" t="inlineStr"/>
      <c r="K1202" s="8" t="inlineStr">
        <is>
          <t>Your ad will appear in the installation guide or map.</t>
        </is>
      </c>
      <c r="L1202" s="11" t="n">
        <v>3</v>
      </c>
      <c r="M1202" s="12" t="n"/>
      <c r="N1202" s="12" t="n">
        <v>790</v>
      </c>
      <c r="O1202" s="12" t="n"/>
      <c r="P1202" s="12" t="n"/>
      <c r="Q1202" s="12" t="n"/>
      <c r="R1202" s="13">
        <f>IF(ISNUMBER(M1202),ROUND(M1202/(1-Settings!$B$2)/Settings!$B$3,0)*Settings!$B$3,"")</f>
        <v/>
      </c>
      <c r="S1202" s="13">
        <f>IF(ISNUMBER(N1202),ROUND(N1202/(1-Settings!$B$2)/Settings!$B$3,0)*Settings!$B$3,"")</f>
        <v/>
      </c>
      <c r="T1202" s="13">
        <f>IF(ISNUMBER(O1202),ROUND(O1202/(1-Settings!$B$2)/Settings!$B$3,0)*Settings!$B$3,"")</f>
        <v/>
      </c>
      <c r="U1202" s="13">
        <f>IF(ISNUMBER(P1202),ROUND(P1202/(1-Settings!$B$2)/Settings!$B$3,0)*Settings!$B$3,"")</f>
        <v/>
      </c>
      <c r="V1202" s="13">
        <f>IF(ISNUMBER(Q1202),ROUND(Q1202/(1-Settings!$B$2)/Settings!$B$3,0)*Settings!$B$3,"")</f>
        <v/>
      </c>
      <c r="W1202" s="14" t="n">
        <v>3386</v>
      </c>
      <c r="X1202" s="14" t="n">
        <v>4316</v>
      </c>
      <c r="Y1202" s="11" t="inlineStr">
        <is>
          <t>2026</t>
        </is>
      </c>
      <c r="Z1202" s="11" t="inlineStr">
        <is>
          <t>2026-06</t>
        </is>
      </c>
      <c r="AA1202" s="8" t="inlineStr">
        <is>
          <t>Price is per season</t>
        </is>
      </c>
      <c r="AB1202" s="8" t="inlineStr"/>
      <c r="AC1202" s="11" t="inlineStr">
        <is>
          <t>Military - National Publication Inventory Master_June 2026.xlsx</t>
        </is>
      </c>
      <c r="AD1202" s="11" t="inlineStr">
        <is>
          <t>New Sponsorship booklet.pdf</t>
        </is>
      </c>
      <c r="AE1202" s="15" t="inlineStr">
        <is>
          <t>Open in Box</t>
        </is>
      </c>
      <c r="AF1202" s="15" t="inlineStr">
        <is>
          <t>Open in Box</t>
        </is>
      </c>
    </row>
    <row r="1203">
      <c r="A1203" s="11" t="inlineStr">
        <is>
          <t>NM-KIRTLAND-003</t>
        </is>
      </c>
      <c r="B1203" s="8" t="inlineStr">
        <is>
          <t>Kirtland AFB</t>
        </is>
      </c>
      <c r="C1203" s="11" t="inlineStr"/>
      <c r="D1203" s="11" t="inlineStr">
        <is>
          <t>NM</t>
        </is>
      </c>
      <c r="E1203" s="11" t="inlineStr">
        <is>
          <t>Albuquerque-Santa Fe, NM</t>
        </is>
      </c>
      <c r="F1203" s="11" t="inlineStr"/>
      <c r="G1203" s="11" t="inlineStr">
        <is>
          <t>Air Force</t>
        </is>
      </c>
      <c r="H1203" s="11" t="inlineStr">
        <is>
          <t>Print &amp; Publications</t>
        </is>
      </c>
      <c r="I1203" s="8" t="inlineStr">
        <is>
          <t>Magazine Ad</t>
        </is>
      </c>
      <c r="J1203" s="11" t="inlineStr"/>
      <c r="K1203" s="8" t="inlineStr">
        <is>
          <t>Your ad will appear in the installation magazine.</t>
        </is>
      </c>
      <c r="L1203" s="11" t="n">
        <v>3</v>
      </c>
      <c r="M1203" s="12" t="n"/>
      <c r="N1203" s="12" t="n">
        <v>700</v>
      </c>
      <c r="O1203" s="12" t="n"/>
      <c r="P1203" s="12" t="n"/>
      <c r="Q1203" s="12" t="n"/>
      <c r="R1203" s="13">
        <f>IF(ISNUMBER(M1203),ROUND(M1203/(1-Settings!$B$2)/Settings!$B$3,0)*Settings!$B$3,"")</f>
        <v/>
      </c>
      <c r="S1203" s="13">
        <f>IF(ISNUMBER(N1203),ROUND(N1203/(1-Settings!$B$2)/Settings!$B$3,0)*Settings!$B$3,"")</f>
        <v/>
      </c>
      <c r="T1203" s="13">
        <f>IF(ISNUMBER(O1203),ROUND(O1203/(1-Settings!$B$2)/Settings!$B$3,0)*Settings!$B$3,"")</f>
        <v/>
      </c>
      <c r="U1203" s="13">
        <f>IF(ISNUMBER(P1203),ROUND(P1203/(1-Settings!$B$2)/Settings!$B$3,0)*Settings!$B$3,"")</f>
        <v/>
      </c>
      <c r="V1203" s="13">
        <f>IF(ISNUMBER(Q1203),ROUND(Q1203/(1-Settings!$B$2)/Settings!$B$3,0)*Settings!$B$3,"")</f>
        <v/>
      </c>
      <c r="W1203" s="14" t="n">
        <v>3386</v>
      </c>
      <c r="X1203" s="14" t="n">
        <v>4316</v>
      </c>
      <c r="Y1203" s="11" t="inlineStr">
        <is>
          <t>2026</t>
        </is>
      </c>
      <c r="Z1203" s="11" t="inlineStr">
        <is>
          <t>2026-06</t>
        </is>
      </c>
      <c r="AA1203" s="8" t="inlineStr">
        <is>
          <t>Price is per season</t>
        </is>
      </c>
      <c r="AB1203" s="8" t="inlineStr"/>
      <c r="AC1203" s="11" t="inlineStr">
        <is>
          <t>Military - National Publication Inventory Master_June 2026.xlsx</t>
        </is>
      </c>
      <c r="AD1203" s="11" t="inlineStr">
        <is>
          <t>New Sponsorship booklet.pdf</t>
        </is>
      </c>
      <c r="AE1203" s="15" t="inlineStr">
        <is>
          <t>Open in Box</t>
        </is>
      </c>
      <c r="AF1203" s="15" t="inlineStr">
        <is>
          <t>Open in Box</t>
        </is>
      </c>
    </row>
    <row r="1204">
      <c r="A1204" s="11" t="inlineStr">
        <is>
          <t>NM-KIRTLAND-002</t>
        </is>
      </c>
      <c r="B1204" s="8" t="inlineStr">
        <is>
          <t>Kirtland AFB</t>
        </is>
      </c>
      <c r="C1204" s="11" t="inlineStr"/>
      <c r="D1204" s="11" t="inlineStr">
        <is>
          <t>NM</t>
        </is>
      </c>
      <c r="E1204" s="11" t="inlineStr">
        <is>
          <t>Albuquerque-Santa Fe, NM</t>
        </is>
      </c>
      <c r="F1204" s="11" t="inlineStr"/>
      <c r="G1204" s="11" t="inlineStr">
        <is>
          <t>Air Force</t>
        </is>
      </c>
      <c r="H1204" s="11" t="inlineStr">
        <is>
          <t>Web &amp; Email</t>
        </is>
      </c>
      <c r="I1204" s="8" t="inlineStr">
        <is>
          <t>Web Ad</t>
        </is>
      </c>
      <c r="J1204" s="11" t="inlineStr"/>
      <c r="K1204" s="8" t="inlineStr">
        <is>
          <t>Your ad will appear on the installation MWR / FSS website.</t>
        </is>
      </c>
      <c r="L1204" s="11" t="n">
        <v>3</v>
      </c>
      <c r="M1204" s="12" t="n"/>
      <c r="N1204" s="12" t="n">
        <v>300</v>
      </c>
      <c r="O1204" s="12" t="n"/>
      <c r="P1204" s="12" t="n"/>
      <c r="Q1204" s="12" t="n"/>
      <c r="R1204" s="13">
        <f>IF(ISNUMBER(M1204),ROUND(M1204/(1-Settings!$B$2)/Settings!$B$3,0)*Settings!$B$3,"")</f>
        <v/>
      </c>
      <c r="S1204" s="13">
        <f>IF(ISNUMBER(N1204),ROUND(N1204/(1-Settings!$B$2)/Settings!$B$3,0)*Settings!$B$3,"")</f>
        <v/>
      </c>
      <c r="T1204" s="13">
        <f>IF(ISNUMBER(O1204),ROUND(O1204/(1-Settings!$B$2)/Settings!$B$3,0)*Settings!$B$3,"")</f>
        <v/>
      </c>
      <c r="U1204" s="13">
        <f>IF(ISNUMBER(P1204),ROUND(P1204/(1-Settings!$B$2)/Settings!$B$3,0)*Settings!$B$3,"")</f>
        <v/>
      </c>
      <c r="V1204" s="13">
        <f>IF(ISNUMBER(Q1204),ROUND(Q1204/(1-Settings!$B$2)/Settings!$B$3,0)*Settings!$B$3,"")</f>
        <v/>
      </c>
      <c r="W1204" s="14" t="n">
        <v>3386</v>
      </c>
      <c r="X1204" s="14" t="n">
        <v>4316</v>
      </c>
      <c r="Y1204" s="11" t="inlineStr">
        <is>
          <t>2026</t>
        </is>
      </c>
      <c r="Z1204" s="11" t="inlineStr">
        <is>
          <t>2026-06</t>
        </is>
      </c>
      <c r="AA1204" s="8" t="inlineStr">
        <is>
          <t>Price is per season</t>
        </is>
      </c>
      <c r="AB1204" s="8" t="inlineStr"/>
      <c r="AC1204" s="11" t="inlineStr">
        <is>
          <t>Military - National Publication Inventory Master_June 2026.xlsx</t>
        </is>
      </c>
      <c r="AD1204" s="11" t="inlineStr">
        <is>
          <t>New Sponsorship booklet.pdf</t>
        </is>
      </c>
      <c r="AE1204" s="15" t="inlineStr">
        <is>
          <t>Open in Box</t>
        </is>
      </c>
      <c r="AF1204" s="15" t="inlineStr">
        <is>
          <t>Open in Box</t>
        </is>
      </c>
    </row>
    <row r="1205">
      <c r="A1205" s="11" t="inlineStr">
        <is>
          <t>NV-NELLISAI-001</t>
        </is>
      </c>
      <c r="B1205" s="8" t="inlineStr">
        <is>
          <t>Nellis Air Force Base</t>
        </is>
      </c>
      <c r="C1205" s="11" t="inlineStr"/>
      <c r="D1205" s="11" t="inlineStr">
        <is>
          <t>NV</t>
        </is>
      </c>
      <c r="E1205" s="11" t="inlineStr">
        <is>
          <t>Las Vegas, NV</t>
        </is>
      </c>
      <c r="F1205" s="11" t="inlineStr"/>
      <c r="G1205" s="11" t="inlineStr">
        <is>
          <t>Air Force</t>
        </is>
      </c>
      <c r="H1205" s="11" t="inlineStr">
        <is>
          <t>Digital</t>
        </is>
      </c>
      <c r="I1205" s="8" t="inlineStr">
        <is>
          <t>Digital Monitor Network</t>
        </is>
      </c>
      <c r="J1205" s="11" t="inlineStr">
        <is>
          <t>12 screens</t>
        </is>
      </c>
      <c r="K1205" s="8" t="inlineStr">
        <is>
          <t>Your ad will appear on the 12-screen digital monitor network in approved installation facilities.</t>
        </is>
      </c>
      <c r="L1205" s="11" t="n">
        <v>1</v>
      </c>
      <c r="M1205" s="12" t="n">
        <v>400</v>
      </c>
      <c r="N1205" s="12" t="n"/>
      <c r="O1205" s="12" t="n"/>
      <c r="P1205" s="12" t="n"/>
      <c r="Q1205" s="12" t="n"/>
      <c r="R1205" s="13">
        <f>IF(ISNUMBER(M1205),ROUND(M1205/(1-Settings!$B$2)/Settings!$B$3,0)*Settings!$B$3,"")</f>
        <v/>
      </c>
      <c r="S1205" s="13">
        <f>IF(ISNUMBER(N1205),ROUND(N1205/(1-Settings!$B$2)/Settings!$B$3,0)*Settings!$B$3,"")</f>
        <v/>
      </c>
      <c r="T1205" s="13">
        <f>IF(ISNUMBER(O1205),ROUND(O1205/(1-Settings!$B$2)/Settings!$B$3,0)*Settings!$B$3,"")</f>
        <v/>
      </c>
      <c r="U1205" s="13">
        <f>IF(ISNUMBER(P1205),ROUND(P1205/(1-Settings!$B$2)/Settings!$B$3,0)*Settings!$B$3,"")</f>
        <v/>
      </c>
      <c r="V1205" s="13">
        <f>IF(ISNUMBER(Q1205),ROUND(Q1205/(1-Settings!$B$2)/Settings!$B$3,0)*Settings!$B$3,"")</f>
        <v/>
      </c>
      <c r="W1205" s="14" t="n">
        <v>10168</v>
      </c>
      <c r="X1205" s="14" t="n">
        <v>11769</v>
      </c>
      <c r="Y1205" s="11" t="inlineStr">
        <is>
          <t>2026</t>
        </is>
      </c>
      <c r="Z1205" s="11" t="inlineStr">
        <is>
          <t>2026-06</t>
        </is>
      </c>
      <c r="AA1205" s="8" t="inlineStr"/>
      <c r="AB1205" s="8" t="inlineStr"/>
      <c r="AC1205" s="11" t="inlineStr">
        <is>
          <t>Military - National Digital Inventory Master 6.3.26.xlsx</t>
        </is>
      </c>
      <c r="AD1205" s="11" t="inlineStr">
        <is>
          <t>Pg1_Advertising Rate Sheet 2026.pdf</t>
        </is>
      </c>
      <c r="AE1205" s="15" t="inlineStr">
        <is>
          <t>Open in Box</t>
        </is>
      </c>
      <c r="AF1205" s="15" t="inlineStr">
        <is>
          <t>Open in Box</t>
        </is>
      </c>
    </row>
    <row r="1206">
      <c r="A1206" s="11" t="inlineStr">
        <is>
          <t>NV-NELLISAI-004</t>
        </is>
      </c>
      <c r="B1206" s="8" t="inlineStr">
        <is>
          <t>Nellis Air Force Base</t>
        </is>
      </c>
      <c r="C1206" s="11" t="inlineStr"/>
      <c r="D1206" s="11" t="inlineStr">
        <is>
          <t>NV</t>
        </is>
      </c>
      <c r="E1206" s="11" t="inlineStr">
        <is>
          <t>Las Vegas, NV</t>
        </is>
      </c>
      <c r="F1206" s="11" t="inlineStr"/>
      <c r="G1206" s="11" t="inlineStr">
        <is>
          <t>Air Force</t>
        </is>
      </c>
      <c r="H1206" s="11" t="inlineStr">
        <is>
          <t>Print &amp; Publications</t>
        </is>
      </c>
      <c r="I1206" s="8" t="inlineStr">
        <is>
          <t>Guide / Map Ad</t>
        </is>
      </c>
      <c r="J1206" s="11" t="inlineStr"/>
      <c r="K1206" s="8" t="inlineStr">
        <is>
          <t>Your ad will appear in the installation guide or map.</t>
        </is>
      </c>
      <c r="L1206" s="11" t="n">
        <v>1</v>
      </c>
      <c r="M1206" s="12" t="n">
        <v>150</v>
      </c>
      <c r="N1206" s="12" t="n"/>
      <c r="O1206" s="12" t="n"/>
      <c r="P1206" s="12" t="n"/>
      <c r="Q1206" s="12" t="n"/>
      <c r="R1206" s="13">
        <f>IF(ISNUMBER(M1206),ROUND(M1206/(1-Settings!$B$2)/Settings!$B$3,0)*Settings!$B$3,"")</f>
        <v/>
      </c>
      <c r="S1206" s="13">
        <f>IF(ISNUMBER(N1206),ROUND(N1206/(1-Settings!$B$2)/Settings!$B$3,0)*Settings!$B$3,"")</f>
        <v/>
      </c>
      <c r="T1206" s="13">
        <f>IF(ISNUMBER(O1206),ROUND(O1206/(1-Settings!$B$2)/Settings!$B$3,0)*Settings!$B$3,"")</f>
        <v/>
      </c>
      <c r="U1206" s="13">
        <f>IF(ISNUMBER(P1206),ROUND(P1206/(1-Settings!$B$2)/Settings!$B$3,0)*Settings!$B$3,"")</f>
        <v/>
      </c>
      <c r="V1206" s="13">
        <f>IF(ISNUMBER(Q1206),ROUND(Q1206/(1-Settings!$B$2)/Settings!$B$3,0)*Settings!$B$3,"")</f>
        <v/>
      </c>
      <c r="W1206" s="14" t="n">
        <v>10168</v>
      </c>
      <c r="X1206" s="14" t="n">
        <v>11769</v>
      </c>
      <c r="Y1206" s="11" t="inlineStr">
        <is>
          <t>2026</t>
        </is>
      </c>
      <c r="Z1206" s="11" t="inlineStr">
        <is>
          <t>2026-06</t>
        </is>
      </c>
      <c r="AA1206" s="8" t="inlineStr"/>
      <c r="AB1206" s="8" t="inlineStr"/>
      <c r="AC1206" s="11" t="inlineStr">
        <is>
          <t>Military - National Publication Inventory Master_June 2026.xlsx</t>
        </is>
      </c>
      <c r="AD1206" s="11" t="inlineStr">
        <is>
          <t>Pg1_Advertising Rate Sheet 2026.pdf</t>
        </is>
      </c>
      <c r="AE1206" s="15" t="inlineStr">
        <is>
          <t>Open in Box</t>
        </is>
      </c>
      <c r="AF1206" s="15" t="inlineStr">
        <is>
          <t>Open in Box</t>
        </is>
      </c>
    </row>
    <row r="1207">
      <c r="A1207" s="11" t="inlineStr">
        <is>
          <t>NV-NELLISAI-003</t>
        </is>
      </c>
      <c r="B1207" s="8" t="inlineStr">
        <is>
          <t>Nellis Air Force Base</t>
        </is>
      </c>
      <c r="C1207" s="11" t="inlineStr"/>
      <c r="D1207" s="11" t="inlineStr">
        <is>
          <t>NV</t>
        </is>
      </c>
      <c r="E1207" s="11" t="inlineStr">
        <is>
          <t>Las Vegas, NV</t>
        </is>
      </c>
      <c r="F1207" s="11" t="inlineStr"/>
      <c r="G1207" s="11" t="inlineStr">
        <is>
          <t>Air Force</t>
        </is>
      </c>
      <c r="H1207" s="11" t="inlineStr">
        <is>
          <t>Print &amp; Publications</t>
        </is>
      </c>
      <c r="I1207" s="8" t="inlineStr">
        <is>
          <t>Magazine Ad</t>
        </is>
      </c>
      <c r="J1207" s="11" t="inlineStr"/>
      <c r="K1207" s="8" t="inlineStr">
        <is>
          <t>Your ad will appear in the installation magazine.</t>
        </is>
      </c>
      <c r="L1207" s="11" t="n">
        <v>1</v>
      </c>
      <c r="M1207" s="12" t="n">
        <v>1000</v>
      </c>
      <c r="N1207" s="12" t="n"/>
      <c r="O1207" s="12" t="n"/>
      <c r="P1207" s="12" t="n"/>
      <c r="Q1207" s="12" t="n"/>
      <c r="R1207" s="13">
        <f>IF(ISNUMBER(M1207),ROUND(M1207/(1-Settings!$B$2)/Settings!$B$3,0)*Settings!$B$3,"")</f>
        <v/>
      </c>
      <c r="S1207" s="13">
        <f>IF(ISNUMBER(N1207),ROUND(N1207/(1-Settings!$B$2)/Settings!$B$3,0)*Settings!$B$3,"")</f>
        <v/>
      </c>
      <c r="T1207" s="13">
        <f>IF(ISNUMBER(O1207),ROUND(O1207/(1-Settings!$B$2)/Settings!$B$3,0)*Settings!$B$3,"")</f>
        <v/>
      </c>
      <c r="U1207" s="13">
        <f>IF(ISNUMBER(P1207),ROUND(P1207/(1-Settings!$B$2)/Settings!$B$3,0)*Settings!$B$3,"")</f>
        <v/>
      </c>
      <c r="V1207" s="13">
        <f>IF(ISNUMBER(Q1207),ROUND(Q1207/(1-Settings!$B$2)/Settings!$B$3,0)*Settings!$B$3,"")</f>
        <v/>
      </c>
      <c r="W1207" s="14" t="n">
        <v>10168</v>
      </c>
      <c r="X1207" s="14" t="n">
        <v>11769</v>
      </c>
      <c r="Y1207" s="11" t="inlineStr">
        <is>
          <t>2026</t>
        </is>
      </c>
      <c r="Z1207" s="11" t="inlineStr">
        <is>
          <t>2026-06</t>
        </is>
      </c>
      <c r="AA1207" s="8" t="inlineStr"/>
      <c r="AB1207" s="8" t="inlineStr"/>
      <c r="AC1207" s="11" t="inlineStr">
        <is>
          <t>Military - National Publication Inventory Master_June 2026.xlsx</t>
        </is>
      </c>
      <c r="AD1207" s="11" t="inlineStr">
        <is>
          <t>Pg1_Advertising Rate Sheet 2026.pdf</t>
        </is>
      </c>
      <c r="AE1207" s="15" t="inlineStr">
        <is>
          <t>Open in Box</t>
        </is>
      </c>
      <c r="AF1207" s="15" t="inlineStr">
        <is>
          <t>Open in Box</t>
        </is>
      </c>
    </row>
    <row r="1208">
      <c r="A1208" s="11" t="inlineStr">
        <is>
          <t>NV-NELLISAI-002</t>
        </is>
      </c>
      <c r="B1208" s="8" t="inlineStr">
        <is>
          <t>Nellis Air Force Base</t>
        </is>
      </c>
      <c r="C1208" s="11" t="inlineStr"/>
      <c r="D1208" s="11" t="inlineStr">
        <is>
          <t>NV</t>
        </is>
      </c>
      <c r="E1208" s="11" t="inlineStr">
        <is>
          <t>Las Vegas, NV</t>
        </is>
      </c>
      <c r="F1208" s="11" t="inlineStr"/>
      <c r="G1208" s="11" t="inlineStr">
        <is>
          <t>Air Force</t>
        </is>
      </c>
      <c r="H1208" s="11" t="inlineStr">
        <is>
          <t>Web &amp; Email</t>
        </is>
      </c>
      <c r="I1208" s="8" t="inlineStr">
        <is>
          <t>Web Ad</t>
        </is>
      </c>
      <c r="J1208" s="11" t="inlineStr"/>
      <c r="K1208" s="8" t="inlineStr">
        <is>
          <t>Your ad will appear on the installation MWR / FSS website.</t>
        </is>
      </c>
      <c r="L1208" s="11" t="n">
        <v>1</v>
      </c>
      <c r="M1208" s="12" t="n">
        <v>250</v>
      </c>
      <c r="N1208" s="12" t="n"/>
      <c r="O1208" s="12" t="n"/>
      <c r="P1208" s="12" t="n"/>
      <c r="Q1208" s="12" t="n"/>
      <c r="R1208" s="13">
        <f>IF(ISNUMBER(M1208),ROUND(M1208/(1-Settings!$B$2)/Settings!$B$3,0)*Settings!$B$3,"")</f>
        <v/>
      </c>
      <c r="S1208" s="13">
        <f>IF(ISNUMBER(N1208),ROUND(N1208/(1-Settings!$B$2)/Settings!$B$3,0)*Settings!$B$3,"")</f>
        <v/>
      </c>
      <c r="T1208" s="13">
        <f>IF(ISNUMBER(O1208),ROUND(O1208/(1-Settings!$B$2)/Settings!$B$3,0)*Settings!$B$3,"")</f>
        <v/>
      </c>
      <c r="U1208" s="13">
        <f>IF(ISNUMBER(P1208),ROUND(P1208/(1-Settings!$B$2)/Settings!$B$3,0)*Settings!$B$3,"")</f>
        <v/>
      </c>
      <c r="V1208" s="13">
        <f>IF(ISNUMBER(Q1208),ROUND(Q1208/(1-Settings!$B$2)/Settings!$B$3,0)*Settings!$B$3,"")</f>
        <v/>
      </c>
      <c r="W1208" s="14" t="n">
        <v>10168</v>
      </c>
      <c r="X1208" s="14" t="n">
        <v>11769</v>
      </c>
      <c r="Y1208" s="11" t="inlineStr">
        <is>
          <t>2026</t>
        </is>
      </c>
      <c r="Z1208" s="11" t="inlineStr">
        <is>
          <t>2026-06</t>
        </is>
      </c>
      <c r="AA1208" s="8" t="inlineStr"/>
      <c r="AB1208" s="8" t="inlineStr"/>
      <c r="AC1208" s="11" t="inlineStr">
        <is>
          <t>Military - National Publication Inventory Master_June 2026.xlsx</t>
        </is>
      </c>
      <c r="AD1208" s="11" t="inlineStr">
        <is>
          <t>Pg1_Advertising Rate Sheet 2026.pdf</t>
        </is>
      </c>
      <c r="AE1208" s="15" t="inlineStr">
        <is>
          <t>Open in Box</t>
        </is>
      </c>
      <c r="AF1208" s="15" t="inlineStr">
        <is>
          <t>Open in Box</t>
        </is>
      </c>
    </row>
    <row r="1209">
      <c r="A1209" s="11" t="inlineStr">
        <is>
          <t>NY-FORTDRUM-002</t>
        </is>
      </c>
      <c r="B1209" s="8" t="inlineStr">
        <is>
          <t>Fort Drum</t>
        </is>
      </c>
      <c r="C1209" s="11" t="inlineStr"/>
      <c r="D1209" s="11" t="inlineStr">
        <is>
          <t>NY</t>
        </is>
      </c>
      <c r="E1209" s="11" t="inlineStr">
        <is>
          <t>Watertown, NY</t>
        </is>
      </c>
      <c r="F1209" s="11" t="inlineStr"/>
      <c r="G1209" s="11" t="inlineStr">
        <is>
          <t>Army</t>
        </is>
      </c>
      <c r="H1209" s="11" t="inlineStr">
        <is>
          <t>Digital</t>
        </is>
      </c>
      <c r="I1209" s="8" t="inlineStr">
        <is>
          <t>Bowling Scoring Monitors</t>
        </is>
      </c>
      <c r="J1209" s="11" t="inlineStr">
        <is>
          <t>12 screens</t>
        </is>
      </c>
      <c r="K1209" s="8" t="inlineStr">
        <is>
          <t>Your ad will appear on the 12-screen scoring monitors in the installation bowling center.</t>
        </is>
      </c>
      <c r="L1209" s="11" t="n">
        <v>1</v>
      </c>
      <c r="M1209" s="12" t="n">
        <v>350</v>
      </c>
      <c r="N1209" s="12" t="n"/>
      <c r="O1209" s="12" t="n"/>
      <c r="P1209" s="12" t="n"/>
      <c r="Q1209" s="12" t="n"/>
      <c r="R1209" s="13">
        <f>IF(ISNUMBER(M1209),ROUND(M1209/(1-Settings!$B$2)/Settings!$B$3,0)*Settings!$B$3,"")</f>
        <v/>
      </c>
      <c r="S1209" s="13">
        <f>IF(ISNUMBER(N1209),ROUND(N1209/(1-Settings!$B$2)/Settings!$B$3,0)*Settings!$B$3,"")</f>
        <v/>
      </c>
      <c r="T1209" s="13">
        <f>IF(ISNUMBER(O1209),ROUND(O1209/(1-Settings!$B$2)/Settings!$B$3,0)*Settings!$B$3,"")</f>
        <v/>
      </c>
      <c r="U1209" s="13">
        <f>IF(ISNUMBER(P1209),ROUND(P1209/(1-Settings!$B$2)/Settings!$B$3,0)*Settings!$B$3,"")</f>
        <v/>
      </c>
      <c r="V1209" s="13">
        <f>IF(ISNUMBER(Q1209),ROUND(Q1209/(1-Settings!$B$2)/Settings!$B$3,0)*Settings!$B$3,"")</f>
        <v/>
      </c>
      <c r="W1209" s="14" t="n">
        <v>15195</v>
      </c>
      <c r="X1209" s="14" t="n">
        <v>16816</v>
      </c>
      <c r="Y1209" s="11" t="inlineStr">
        <is>
          <t>2026</t>
        </is>
      </c>
      <c r="Z1209" s="11" t="inlineStr">
        <is>
          <t>2026-06</t>
        </is>
      </c>
      <c r="AA1209" s="8" t="inlineStr"/>
      <c r="AB1209" s="8" t="inlineStr"/>
      <c r="AC1209" s="11" t="inlineStr">
        <is>
          <t>Military - National Digital Inventory Master 6.3.26.xlsx</t>
        </is>
      </c>
      <c r="AD1209" s="11" t="inlineStr">
        <is>
          <t>Drum Specs - Updated XLS.xlsx</t>
        </is>
      </c>
      <c r="AE1209" s="15" t="inlineStr">
        <is>
          <t>Open in Box</t>
        </is>
      </c>
      <c r="AF1209" s="15" t="inlineStr">
        <is>
          <t>Open in Box</t>
        </is>
      </c>
    </row>
    <row r="1210">
      <c r="A1210" s="11" t="inlineStr">
        <is>
          <t>NY-FORTDRUM-003</t>
        </is>
      </c>
      <c r="B1210" s="8" t="inlineStr">
        <is>
          <t>Fort Drum</t>
        </is>
      </c>
      <c r="C1210" s="11" t="inlineStr"/>
      <c r="D1210" s="11" t="inlineStr">
        <is>
          <t>NY</t>
        </is>
      </c>
      <c r="E1210" s="11" t="inlineStr">
        <is>
          <t>Watertown, NY</t>
        </is>
      </c>
      <c r="F1210" s="11" t="inlineStr"/>
      <c r="G1210" s="11" t="inlineStr">
        <is>
          <t>Army</t>
        </is>
      </c>
      <c r="H1210" s="11" t="inlineStr">
        <is>
          <t>Digital</t>
        </is>
      </c>
      <c r="I1210" s="8" t="inlineStr">
        <is>
          <t>Digital Marquee</t>
        </is>
      </c>
      <c r="J1210" s="11" t="inlineStr">
        <is>
          <t>8 screens</t>
        </is>
      </c>
      <c r="K1210" s="8" t="inlineStr">
        <is>
          <t>Your ad will appear on the 8-screen digital marquee(s) on the installation.</t>
        </is>
      </c>
      <c r="L1210" s="11" t="n">
        <v>1</v>
      </c>
      <c r="M1210" s="12" t="n">
        <v>1150</v>
      </c>
      <c r="N1210" s="12" t="n"/>
      <c r="O1210" s="12" t="n"/>
      <c r="P1210" s="12" t="n"/>
      <c r="Q1210" s="12" t="n"/>
      <c r="R1210" s="13">
        <f>IF(ISNUMBER(M1210),ROUND(M1210/(1-Settings!$B$2)/Settings!$B$3,0)*Settings!$B$3,"")</f>
        <v/>
      </c>
      <c r="S1210" s="13">
        <f>IF(ISNUMBER(N1210),ROUND(N1210/(1-Settings!$B$2)/Settings!$B$3,0)*Settings!$B$3,"")</f>
        <v/>
      </c>
      <c r="T1210" s="13">
        <f>IF(ISNUMBER(O1210),ROUND(O1210/(1-Settings!$B$2)/Settings!$B$3,0)*Settings!$B$3,"")</f>
        <v/>
      </c>
      <c r="U1210" s="13">
        <f>IF(ISNUMBER(P1210),ROUND(P1210/(1-Settings!$B$2)/Settings!$B$3,0)*Settings!$B$3,"")</f>
        <v/>
      </c>
      <c r="V1210" s="13">
        <f>IF(ISNUMBER(Q1210),ROUND(Q1210/(1-Settings!$B$2)/Settings!$B$3,0)*Settings!$B$3,"")</f>
        <v/>
      </c>
      <c r="W1210" s="14" t="n">
        <v>15195</v>
      </c>
      <c r="X1210" s="14" t="n">
        <v>16816</v>
      </c>
      <c r="Y1210" s="11" t="inlineStr">
        <is>
          <t>2026</t>
        </is>
      </c>
      <c r="Z1210" s="11" t="inlineStr">
        <is>
          <t>2026-06</t>
        </is>
      </c>
      <c r="AA1210" s="8" t="inlineStr"/>
      <c r="AB1210" s="8" t="inlineStr"/>
      <c r="AC1210" s="11" t="inlineStr">
        <is>
          <t>Military - National Digital Inventory Master 6.3.26.xlsx</t>
        </is>
      </c>
      <c r="AD1210" s="11" t="inlineStr">
        <is>
          <t>Drum Specs - Updated XLS.xlsx</t>
        </is>
      </c>
      <c r="AE1210" s="15" t="inlineStr">
        <is>
          <t>Open in Box</t>
        </is>
      </c>
      <c r="AF1210" s="15" t="inlineStr">
        <is>
          <t>Open in Box</t>
        </is>
      </c>
    </row>
    <row r="1211">
      <c r="A1211" s="11" t="inlineStr">
        <is>
          <t>NY-FORTDRUM-001</t>
        </is>
      </c>
      <c r="B1211" s="8" t="inlineStr">
        <is>
          <t>Fort Drum</t>
        </is>
      </c>
      <c r="C1211" s="11" t="inlineStr"/>
      <c r="D1211" s="11" t="inlineStr">
        <is>
          <t>NY</t>
        </is>
      </c>
      <c r="E1211" s="11" t="inlineStr">
        <is>
          <t>Watertown, NY</t>
        </is>
      </c>
      <c r="F1211" s="11" t="inlineStr"/>
      <c r="G1211" s="11" t="inlineStr">
        <is>
          <t>Army</t>
        </is>
      </c>
      <c r="H1211" s="11" t="inlineStr">
        <is>
          <t>Digital</t>
        </is>
      </c>
      <c r="I1211" s="8" t="inlineStr">
        <is>
          <t>Digital Monitor Network</t>
        </is>
      </c>
      <c r="J1211" s="11" t="inlineStr">
        <is>
          <t>25 screens</t>
        </is>
      </c>
      <c r="K1211" s="8" t="inlineStr">
        <is>
          <t>Your ad will appear on the 25-screen digital monitor network in approved installation facilities.</t>
        </is>
      </c>
      <c r="L1211" s="11" t="n">
        <v>1</v>
      </c>
      <c r="M1211" s="12" t="n">
        <v>450</v>
      </c>
      <c r="N1211" s="12" t="n"/>
      <c r="O1211" s="12" t="n"/>
      <c r="P1211" s="12" t="n"/>
      <c r="Q1211" s="12" t="n"/>
      <c r="R1211" s="13">
        <f>IF(ISNUMBER(M1211),ROUND(M1211/(1-Settings!$B$2)/Settings!$B$3,0)*Settings!$B$3,"")</f>
        <v/>
      </c>
      <c r="S1211" s="13">
        <f>IF(ISNUMBER(N1211),ROUND(N1211/(1-Settings!$B$2)/Settings!$B$3,0)*Settings!$B$3,"")</f>
        <v/>
      </c>
      <c r="T1211" s="13">
        <f>IF(ISNUMBER(O1211),ROUND(O1211/(1-Settings!$B$2)/Settings!$B$3,0)*Settings!$B$3,"")</f>
        <v/>
      </c>
      <c r="U1211" s="13">
        <f>IF(ISNUMBER(P1211),ROUND(P1211/(1-Settings!$B$2)/Settings!$B$3,0)*Settings!$B$3,"")</f>
        <v/>
      </c>
      <c r="V1211" s="13">
        <f>IF(ISNUMBER(Q1211),ROUND(Q1211/(1-Settings!$B$2)/Settings!$B$3,0)*Settings!$B$3,"")</f>
        <v/>
      </c>
      <c r="W1211" s="14" t="n">
        <v>15195</v>
      </c>
      <c r="X1211" s="14" t="n">
        <v>16816</v>
      </c>
      <c r="Y1211" s="11" t="inlineStr">
        <is>
          <t>2026</t>
        </is>
      </c>
      <c r="Z1211" s="11" t="inlineStr">
        <is>
          <t>2026-06</t>
        </is>
      </c>
      <c r="AA1211" s="8" t="inlineStr"/>
      <c r="AB1211" s="8" t="inlineStr"/>
      <c r="AC1211" s="11" t="inlineStr">
        <is>
          <t>Military - National Digital Inventory Master 6.3.26.xlsx</t>
        </is>
      </c>
      <c r="AD1211" s="11" t="inlineStr">
        <is>
          <t>Drum Specs - Updated XLS.xlsx</t>
        </is>
      </c>
      <c r="AE1211" s="15" t="inlineStr">
        <is>
          <t>Open in Box</t>
        </is>
      </c>
      <c r="AF1211" s="15" t="inlineStr">
        <is>
          <t>Open in Box</t>
        </is>
      </c>
    </row>
    <row r="1212">
      <c r="A1212" s="11" t="inlineStr">
        <is>
          <t>NY-FORTDRUM-005</t>
        </is>
      </c>
      <c r="B1212" s="8" t="inlineStr">
        <is>
          <t>Fort Drum</t>
        </is>
      </c>
      <c r="C1212" s="11" t="inlineStr"/>
      <c r="D1212" s="11" t="inlineStr">
        <is>
          <t>NY</t>
        </is>
      </c>
      <c r="E1212" s="11" t="inlineStr">
        <is>
          <t>Watertown, NY</t>
        </is>
      </c>
      <c r="F1212" s="11" t="inlineStr"/>
      <c r="G1212" s="11" t="inlineStr">
        <is>
          <t>Army</t>
        </is>
      </c>
      <c r="H1212" s="11" t="inlineStr">
        <is>
          <t>Web &amp; Email</t>
        </is>
      </c>
      <c r="I1212" s="8" t="inlineStr">
        <is>
          <t>Web Ad</t>
        </is>
      </c>
      <c r="J1212" s="11" t="inlineStr"/>
      <c r="K1212" s="8" t="inlineStr">
        <is>
          <t>Your ad will appear on the installation MWR / FSS website.</t>
        </is>
      </c>
      <c r="L1212" s="11" t="n">
        <v>1</v>
      </c>
      <c r="M1212" s="12" t="n">
        <v>350</v>
      </c>
      <c r="N1212" s="12" t="n"/>
      <c r="O1212" s="12" t="n"/>
      <c r="P1212" s="12" t="n"/>
      <c r="Q1212" s="12" t="n"/>
      <c r="R1212" s="13">
        <f>IF(ISNUMBER(M1212),ROUND(M1212/(1-Settings!$B$2)/Settings!$B$3,0)*Settings!$B$3,"")</f>
        <v/>
      </c>
      <c r="S1212" s="13">
        <f>IF(ISNUMBER(N1212),ROUND(N1212/(1-Settings!$B$2)/Settings!$B$3,0)*Settings!$B$3,"")</f>
        <v/>
      </c>
      <c r="T1212" s="13">
        <f>IF(ISNUMBER(O1212),ROUND(O1212/(1-Settings!$B$2)/Settings!$B$3,0)*Settings!$B$3,"")</f>
        <v/>
      </c>
      <c r="U1212" s="13">
        <f>IF(ISNUMBER(P1212),ROUND(P1212/(1-Settings!$B$2)/Settings!$B$3,0)*Settings!$B$3,"")</f>
        <v/>
      </c>
      <c r="V1212" s="13">
        <f>IF(ISNUMBER(Q1212),ROUND(Q1212/(1-Settings!$B$2)/Settings!$B$3,0)*Settings!$B$3,"")</f>
        <v/>
      </c>
      <c r="W1212" s="14" t="n">
        <v>15195</v>
      </c>
      <c r="X1212" s="14" t="n">
        <v>16816</v>
      </c>
      <c r="Y1212" s="11" t="inlineStr">
        <is>
          <t>2026</t>
        </is>
      </c>
      <c r="Z1212" s="11" t="inlineStr">
        <is>
          <t>2026-06</t>
        </is>
      </c>
      <c r="AA1212" s="8" t="inlineStr"/>
      <c r="AB1212" s="8" t="inlineStr"/>
      <c r="AC1212" s="11" t="inlineStr">
        <is>
          <t>Military - National Publication Inventory Master_June 2026.xlsx</t>
        </is>
      </c>
      <c r="AD1212" s="11" t="inlineStr">
        <is>
          <t>Drum Specs - Updated XLS.xlsx</t>
        </is>
      </c>
      <c r="AE1212" s="15" t="inlineStr">
        <is>
          <t>Open in Box</t>
        </is>
      </c>
      <c r="AF1212" s="15" t="inlineStr">
        <is>
          <t>Open in Box</t>
        </is>
      </c>
    </row>
    <row r="1213">
      <c r="A1213" s="11" t="inlineStr">
        <is>
          <t>NY-FORTDRUM-004</t>
        </is>
      </c>
      <c r="B1213" s="8" t="inlineStr">
        <is>
          <t>Fort Drum</t>
        </is>
      </c>
      <c r="C1213" s="11" t="inlineStr"/>
      <c r="D1213" s="11" t="inlineStr">
        <is>
          <t>NY</t>
        </is>
      </c>
      <c r="E1213" s="11" t="inlineStr">
        <is>
          <t>Watertown, NY</t>
        </is>
      </c>
      <c r="F1213" s="11" t="inlineStr"/>
      <c r="G1213" s="11" t="inlineStr">
        <is>
          <t>Army</t>
        </is>
      </c>
      <c r="H1213" s="11" t="inlineStr">
        <is>
          <t>Web &amp; Email</t>
        </is>
      </c>
      <c r="I1213" s="8" t="inlineStr">
        <is>
          <t>Weekly E-Newsletter Ad</t>
        </is>
      </c>
      <c r="J1213" s="11" t="inlineStr"/>
      <c r="K1213" s="8" t="inlineStr">
        <is>
          <t>Your ad will appear in the weekly e-newsletter emailed to the installation community.</t>
        </is>
      </c>
      <c r="L1213" s="11" t="n">
        <v>1</v>
      </c>
      <c r="M1213" s="12" t="n">
        <v>250</v>
      </c>
      <c r="N1213" s="12" t="n"/>
      <c r="O1213" s="12" t="n"/>
      <c r="P1213" s="12" t="n"/>
      <c r="Q1213" s="12" t="n"/>
      <c r="R1213" s="13">
        <f>IF(ISNUMBER(M1213),ROUND(M1213/(1-Settings!$B$2)/Settings!$B$3,0)*Settings!$B$3,"")</f>
        <v/>
      </c>
      <c r="S1213" s="13">
        <f>IF(ISNUMBER(N1213),ROUND(N1213/(1-Settings!$B$2)/Settings!$B$3,0)*Settings!$B$3,"")</f>
        <v/>
      </c>
      <c r="T1213" s="13">
        <f>IF(ISNUMBER(O1213),ROUND(O1213/(1-Settings!$B$2)/Settings!$B$3,0)*Settings!$B$3,"")</f>
        <v/>
      </c>
      <c r="U1213" s="13">
        <f>IF(ISNUMBER(P1213),ROUND(P1213/(1-Settings!$B$2)/Settings!$B$3,0)*Settings!$B$3,"")</f>
        <v/>
      </c>
      <c r="V1213" s="13">
        <f>IF(ISNUMBER(Q1213),ROUND(Q1213/(1-Settings!$B$2)/Settings!$B$3,0)*Settings!$B$3,"")</f>
        <v/>
      </c>
      <c r="W1213" s="14" t="n">
        <v>15195</v>
      </c>
      <c r="X1213" s="14" t="n">
        <v>16816</v>
      </c>
      <c r="Y1213" s="11" t="inlineStr">
        <is>
          <t>2026</t>
        </is>
      </c>
      <c r="Z1213" s="11" t="inlineStr">
        <is>
          <t>2026-06</t>
        </is>
      </c>
      <c r="AA1213" s="8" t="inlineStr"/>
      <c r="AB1213" s="8" t="inlineStr"/>
      <c r="AC1213" s="11" t="inlineStr">
        <is>
          <t>Military - National Publication Inventory Master_June 2026.xlsx</t>
        </is>
      </c>
      <c r="AD1213" s="11" t="inlineStr">
        <is>
          <t>Drum Specs - Updated XLS.xlsx</t>
        </is>
      </c>
      <c r="AE1213" s="15" t="inlineStr">
        <is>
          <t>Open in Box</t>
        </is>
      </c>
      <c r="AF1213" s="15" t="inlineStr">
        <is>
          <t>Open in Box</t>
        </is>
      </c>
    </row>
    <row r="1214">
      <c r="A1214" s="11" t="inlineStr">
        <is>
          <t>NY-FORTHAMI-002</t>
        </is>
      </c>
      <c r="B1214" s="8" t="inlineStr">
        <is>
          <t>Fort Hamilton</t>
        </is>
      </c>
      <c r="C1214" s="11" t="inlineStr"/>
      <c r="D1214" s="11" t="inlineStr">
        <is>
          <t>NY</t>
        </is>
      </c>
      <c r="E1214" s="11" t="inlineStr">
        <is>
          <t>New York, NY</t>
        </is>
      </c>
      <c r="F1214" s="11" t="inlineStr"/>
      <c r="G1214" s="11" t="inlineStr">
        <is>
          <t>Army</t>
        </is>
      </c>
      <c r="H1214" s="11" t="inlineStr">
        <is>
          <t>Digital</t>
        </is>
      </c>
      <c r="I1214" s="8" t="inlineStr">
        <is>
          <t>Digital Marquee</t>
        </is>
      </c>
      <c r="J1214" s="11" t="inlineStr">
        <is>
          <t>3 screens</t>
        </is>
      </c>
      <c r="K1214" s="8" t="inlineStr">
        <is>
          <t>Your ad will appear on the 3-screen digital marquee(s) on the installation.</t>
        </is>
      </c>
      <c r="L1214" s="11" t="n">
        <v>1</v>
      </c>
      <c r="M1214" s="12" t="n">
        <v>1525</v>
      </c>
      <c r="N1214" s="12" t="n"/>
      <c r="O1214" s="12" t="n"/>
      <c r="P1214" s="12" t="n"/>
      <c r="Q1214" s="12" t="n"/>
      <c r="R1214" s="13">
        <f>IF(ISNUMBER(M1214),ROUND(M1214/(1-Settings!$B$2)/Settings!$B$3,0)*Settings!$B$3,"")</f>
        <v/>
      </c>
      <c r="S1214" s="13">
        <f>IF(ISNUMBER(N1214),ROUND(N1214/(1-Settings!$B$2)/Settings!$B$3,0)*Settings!$B$3,"")</f>
        <v/>
      </c>
      <c r="T1214" s="13">
        <f>IF(ISNUMBER(O1214),ROUND(O1214/(1-Settings!$B$2)/Settings!$B$3,0)*Settings!$B$3,"")</f>
        <v/>
      </c>
      <c r="U1214" s="13">
        <f>IF(ISNUMBER(P1214),ROUND(P1214/(1-Settings!$B$2)/Settings!$B$3,0)*Settings!$B$3,"")</f>
        <v/>
      </c>
      <c r="V1214" s="13">
        <f>IF(ISNUMBER(Q1214),ROUND(Q1214/(1-Settings!$B$2)/Settings!$B$3,0)*Settings!$B$3,"")</f>
        <v/>
      </c>
      <c r="W1214" s="14" t="n">
        <v>211</v>
      </c>
      <c r="X1214" s="14" t="n">
        <v>434</v>
      </c>
      <c r="Y1214" s="11" t="inlineStr">
        <is>
          <t>2026</t>
        </is>
      </c>
      <c r="Z1214" s="11" t="inlineStr">
        <is>
          <t>2026-06</t>
        </is>
      </c>
      <c r="AA1214" s="8" t="inlineStr"/>
      <c r="AB1214" s="8" t="inlineStr"/>
      <c r="AC1214" s="11" t="inlineStr">
        <is>
          <t>Military - National Digital Inventory Master 6.3.26.xlsx</t>
        </is>
      </c>
      <c r="AD1214" s="11" t="inlineStr">
        <is>
          <t>Fort Hamilton Rates.pdf</t>
        </is>
      </c>
      <c r="AE1214" s="15" t="inlineStr">
        <is>
          <t>Open in Box</t>
        </is>
      </c>
      <c r="AF1214" s="15" t="inlineStr">
        <is>
          <t>Open in Box</t>
        </is>
      </c>
    </row>
    <row r="1215">
      <c r="A1215" s="11" t="inlineStr">
        <is>
          <t>NY-FORTHAMI-001</t>
        </is>
      </c>
      <c r="B1215" s="8" t="inlineStr">
        <is>
          <t>Fort Hamilton</t>
        </is>
      </c>
      <c r="C1215" s="11" t="inlineStr"/>
      <c r="D1215" s="11" t="inlineStr">
        <is>
          <t>NY</t>
        </is>
      </c>
      <c r="E1215" s="11" t="inlineStr">
        <is>
          <t>New York, NY</t>
        </is>
      </c>
      <c r="F1215" s="11" t="inlineStr"/>
      <c r="G1215" s="11" t="inlineStr">
        <is>
          <t>Army</t>
        </is>
      </c>
      <c r="H1215" s="11" t="inlineStr">
        <is>
          <t>Digital</t>
        </is>
      </c>
      <c r="I1215" s="8" t="inlineStr">
        <is>
          <t>Digital Monitor Network</t>
        </is>
      </c>
      <c r="J1215" s="11" t="inlineStr">
        <is>
          <t>8 screens</t>
        </is>
      </c>
      <c r="K1215" s="8" t="inlineStr">
        <is>
          <t>Your ad will appear on the 8-screen digital monitor network in approved installation facilities.</t>
        </is>
      </c>
      <c r="L1215" s="11" t="n">
        <v>1</v>
      </c>
      <c r="M1215" s="12" t="n">
        <v>825</v>
      </c>
      <c r="N1215" s="12" t="n"/>
      <c r="O1215" s="12" t="n"/>
      <c r="P1215" s="12" t="n"/>
      <c r="Q1215" s="12" t="n"/>
      <c r="R1215" s="13">
        <f>IF(ISNUMBER(M1215),ROUND(M1215/(1-Settings!$B$2)/Settings!$B$3,0)*Settings!$B$3,"")</f>
        <v/>
      </c>
      <c r="S1215" s="13">
        <f>IF(ISNUMBER(N1215),ROUND(N1215/(1-Settings!$B$2)/Settings!$B$3,0)*Settings!$B$3,"")</f>
        <v/>
      </c>
      <c r="T1215" s="13">
        <f>IF(ISNUMBER(O1215),ROUND(O1215/(1-Settings!$B$2)/Settings!$B$3,0)*Settings!$B$3,"")</f>
        <v/>
      </c>
      <c r="U1215" s="13">
        <f>IF(ISNUMBER(P1215),ROUND(P1215/(1-Settings!$B$2)/Settings!$B$3,0)*Settings!$B$3,"")</f>
        <v/>
      </c>
      <c r="V1215" s="13">
        <f>IF(ISNUMBER(Q1215),ROUND(Q1215/(1-Settings!$B$2)/Settings!$B$3,0)*Settings!$B$3,"")</f>
        <v/>
      </c>
      <c r="W1215" s="14" t="n">
        <v>211</v>
      </c>
      <c r="X1215" s="14" t="n">
        <v>434</v>
      </c>
      <c r="Y1215" s="11" t="inlineStr">
        <is>
          <t>2026</t>
        </is>
      </c>
      <c r="Z1215" s="11" t="inlineStr">
        <is>
          <t>2026-06</t>
        </is>
      </c>
      <c r="AA1215" s="8" t="inlineStr"/>
      <c r="AB1215" s="8" t="inlineStr"/>
      <c r="AC1215" s="11" t="inlineStr">
        <is>
          <t>Military - National Digital Inventory Master 6.3.26.xlsx</t>
        </is>
      </c>
      <c r="AD1215" s="11" t="inlineStr">
        <is>
          <t>Fort Hamilton Rates.pdf</t>
        </is>
      </c>
      <c r="AE1215" s="15" t="inlineStr">
        <is>
          <t>Open in Box</t>
        </is>
      </c>
      <c r="AF1215" s="15" t="inlineStr">
        <is>
          <t>Open in Box</t>
        </is>
      </c>
    </row>
    <row r="1216">
      <c r="A1216" s="11" t="inlineStr">
        <is>
          <t>NY-FORTHAMI-003</t>
        </is>
      </c>
      <c r="B1216" s="8" t="inlineStr">
        <is>
          <t>Fort Hamilton</t>
        </is>
      </c>
      <c r="C1216" s="11" t="inlineStr"/>
      <c r="D1216" s="11" t="inlineStr">
        <is>
          <t>NY</t>
        </is>
      </c>
      <c r="E1216" s="11" t="inlineStr">
        <is>
          <t>New York, NY</t>
        </is>
      </c>
      <c r="F1216" s="11" t="inlineStr"/>
      <c r="G1216" s="11" t="inlineStr">
        <is>
          <t>Army</t>
        </is>
      </c>
      <c r="H1216" s="11" t="inlineStr">
        <is>
          <t>Web &amp; Email</t>
        </is>
      </c>
      <c r="I1216" s="8" t="inlineStr">
        <is>
          <t>Web Ad</t>
        </is>
      </c>
      <c r="J1216" s="11" t="inlineStr"/>
      <c r="K1216" s="8" t="inlineStr">
        <is>
          <t>Your ad will appear on the installation MWR / FSS website.</t>
        </is>
      </c>
      <c r="L1216" s="11" t="n">
        <v>1</v>
      </c>
      <c r="M1216" s="12" t="n">
        <v>825</v>
      </c>
      <c r="N1216" s="12" t="n"/>
      <c r="O1216" s="12" t="n"/>
      <c r="P1216" s="12" t="n"/>
      <c r="Q1216" s="12" t="n"/>
      <c r="R1216" s="13">
        <f>IF(ISNUMBER(M1216),ROUND(M1216/(1-Settings!$B$2)/Settings!$B$3,0)*Settings!$B$3,"")</f>
        <v/>
      </c>
      <c r="S1216" s="13">
        <f>IF(ISNUMBER(N1216),ROUND(N1216/(1-Settings!$B$2)/Settings!$B$3,0)*Settings!$B$3,"")</f>
        <v/>
      </c>
      <c r="T1216" s="13">
        <f>IF(ISNUMBER(O1216),ROUND(O1216/(1-Settings!$B$2)/Settings!$B$3,0)*Settings!$B$3,"")</f>
        <v/>
      </c>
      <c r="U1216" s="13">
        <f>IF(ISNUMBER(P1216),ROUND(P1216/(1-Settings!$B$2)/Settings!$B$3,0)*Settings!$B$3,"")</f>
        <v/>
      </c>
      <c r="V1216" s="13">
        <f>IF(ISNUMBER(Q1216),ROUND(Q1216/(1-Settings!$B$2)/Settings!$B$3,0)*Settings!$B$3,"")</f>
        <v/>
      </c>
      <c r="W1216" s="14" t="n">
        <v>211</v>
      </c>
      <c r="X1216" s="14" t="n">
        <v>434</v>
      </c>
      <c r="Y1216" s="11" t="inlineStr">
        <is>
          <t>2026</t>
        </is>
      </c>
      <c r="Z1216" s="11" t="inlineStr">
        <is>
          <t>2026-06</t>
        </is>
      </c>
      <c r="AA1216" s="8" t="inlineStr">
        <is>
          <t>Listed on check sheet but not in rate card | Leaderboard ($525) &amp; Sideboard ($525)</t>
        </is>
      </c>
      <c r="AB1216" s="8" t="inlineStr"/>
      <c r="AC1216" s="11" t="inlineStr">
        <is>
          <t>Military - National Publication Inventory Master_June 2026.xlsx</t>
        </is>
      </c>
      <c r="AD1216" s="11" t="inlineStr">
        <is>
          <t>Fort Hamilton Rates.pdf</t>
        </is>
      </c>
      <c r="AE1216" s="15" t="inlineStr">
        <is>
          <t>Open in Box</t>
        </is>
      </c>
      <c r="AF1216" s="15" t="inlineStr">
        <is>
          <t>Open in Box</t>
        </is>
      </c>
    </row>
    <row r="1217">
      <c r="A1217" s="11" t="inlineStr">
        <is>
          <t>NY-SARATOGA-002</t>
        </is>
      </c>
      <c r="B1217" s="8" t="inlineStr">
        <is>
          <t>Saratoga Springs Naval Support Unit</t>
        </is>
      </c>
      <c r="C1217" s="11" t="inlineStr"/>
      <c r="D1217" s="11" t="inlineStr">
        <is>
          <t>NY</t>
        </is>
      </c>
      <c r="E1217" s="11" t="inlineStr">
        <is>
          <t>Albany-Schenectady-Troy</t>
        </is>
      </c>
      <c r="F1217" s="11" t="inlineStr"/>
      <c r="G1217" s="11" t="inlineStr">
        <is>
          <t>Navy</t>
        </is>
      </c>
      <c r="H1217" s="11" t="inlineStr">
        <is>
          <t>Digital</t>
        </is>
      </c>
      <c r="I1217" s="8" t="inlineStr">
        <is>
          <t>Digital Marquee</t>
        </is>
      </c>
      <c r="J1217" s="11" t="inlineStr">
        <is>
          <t>3 screens</t>
        </is>
      </c>
      <c r="K1217" s="8" t="inlineStr">
        <is>
          <t>Your ad will appear on the 3-screen digital marquee(s) on the installation.</t>
        </is>
      </c>
      <c r="L1217" s="11" t="n">
        <v>1</v>
      </c>
      <c r="M1217" s="12" t="n">
        <v>1800</v>
      </c>
      <c r="N1217" s="12" t="n"/>
      <c r="O1217" s="12" t="n"/>
      <c r="P1217" s="12" t="n"/>
      <c r="Q1217" s="12" t="n"/>
      <c r="R1217" s="13">
        <f>IF(ISNUMBER(M1217),ROUND(M1217/(1-Settings!$B$2)/Settings!$B$3,0)*Settings!$B$3,"")</f>
        <v/>
      </c>
      <c r="S1217" s="13">
        <f>IF(ISNUMBER(N1217),ROUND(N1217/(1-Settings!$B$2)/Settings!$B$3,0)*Settings!$B$3,"")</f>
        <v/>
      </c>
      <c r="T1217" s="13">
        <f>IF(ISNUMBER(O1217),ROUND(O1217/(1-Settings!$B$2)/Settings!$B$3,0)*Settings!$B$3,"")</f>
        <v/>
      </c>
      <c r="U1217" s="13">
        <f>IF(ISNUMBER(P1217),ROUND(P1217/(1-Settings!$B$2)/Settings!$B$3,0)*Settings!$B$3,"")</f>
        <v/>
      </c>
      <c r="V1217" s="13">
        <f>IF(ISNUMBER(Q1217),ROUND(Q1217/(1-Settings!$B$2)/Settings!$B$3,0)*Settings!$B$3,"")</f>
        <v/>
      </c>
      <c r="W1217" s="14" t="n">
        <v>3196</v>
      </c>
      <c r="X1217" s="14" t="n">
        <v>3752</v>
      </c>
      <c r="Y1217" s="11" t="inlineStr">
        <is>
          <t>2026</t>
        </is>
      </c>
      <c r="Z1217" s="11" t="inlineStr">
        <is>
          <t>2026-06</t>
        </is>
      </c>
      <c r="AA1217" s="8" t="inlineStr"/>
      <c r="AB1217" s="8" t="inlineStr"/>
      <c r="AC1217" s="11" t="inlineStr">
        <is>
          <t>Military - National Digital Inventory Master 6.3.26.xlsx</t>
        </is>
      </c>
      <c r="AD1217" s="11" t="inlineStr">
        <is>
          <t>FY26-27 ADVERTISING ASSETS_NRMA.xlsx</t>
        </is>
      </c>
      <c r="AE1217" s="15" t="inlineStr">
        <is>
          <t>Open in Box</t>
        </is>
      </c>
      <c r="AF1217" s="15" t="inlineStr">
        <is>
          <t>Open in Box</t>
        </is>
      </c>
    </row>
    <row r="1218">
      <c r="A1218" s="11" t="inlineStr">
        <is>
          <t>NY-SARATOGA-001</t>
        </is>
      </c>
      <c r="B1218" s="8" t="inlineStr">
        <is>
          <t>Saratoga Springs Naval Support Unit</t>
        </is>
      </c>
      <c r="C1218" s="11" t="inlineStr"/>
      <c r="D1218" s="11" t="inlineStr">
        <is>
          <t>NY</t>
        </is>
      </c>
      <c r="E1218" s="11" t="inlineStr">
        <is>
          <t>Albany-Schenectady-Troy</t>
        </is>
      </c>
      <c r="F1218" s="11" t="inlineStr"/>
      <c r="G1218" s="11" t="inlineStr">
        <is>
          <t>Navy</t>
        </is>
      </c>
      <c r="H1218" s="11" t="inlineStr">
        <is>
          <t>Digital</t>
        </is>
      </c>
      <c r="I1218" s="8" t="inlineStr">
        <is>
          <t>Digital Monitor Network</t>
        </is>
      </c>
      <c r="J1218" s="11" t="inlineStr">
        <is>
          <t>2 screens</t>
        </is>
      </c>
      <c r="K1218" s="8" t="inlineStr">
        <is>
          <t>Your ad will appear on the 2-screen digital monitor network in approved installation facilities.</t>
        </is>
      </c>
      <c r="L1218" s="11" t="n">
        <v>1</v>
      </c>
      <c r="M1218" s="12" t="n">
        <v>50</v>
      </c>
      <c r="N1218" s="12" t="n"/>
      <c r="O1218" s="12" t="n"/>
      <c r="P1218" s="12" t="n"/>
      <c r="Q1218" s="12" t="n"/>
      <c r="R1218" s="13">
        <f>IF(ISNUMBER(M1218),ROUND(M1218/(1-Settings!$B$2)/Settings!$B$3,0)*Settings!$B$3,"")</f>
        <v/>
      </c>
      <c r="S1218" s="13">
        <f>IF(ISNUMBER(N1218),ROUND(N1218/(1-Settings!$B$2)/Settings!$B$3,0)*Settings!$B$3,"")</f>
        <v/>
      </c>
      <c r="T1218" s="13">
        <f>IF(ISNUMBER(O1218),ROUND(O1218/(1-Settings!$B$2)/Settings!$B$3,0)*Settings!$B$3,"")</f>
        <v/>
      </c>
      <c r="U1218" s="13">
        <f>IF(ISNUMBER(P1218),ROUND(P1218/(1-Settings!$B$2)/Settings!$B$3,0)*Settings!$B$3,"")</f>
        <v/>
      </c>
      <c r="V1218" s="13">
        <f>IF(ISNUMBER(Q1218),ROUND(Q1218/(1-Settings!$B$2)/Settings!$B$3,0)*Settings!$B$3,"")</f>
        <v/>
      </c>
      <c r="W1218" s="14" t="n">
        <v>3196</v>
      </c>
      <c r="X1218" s="14" t="n">
        <v>3752</v>
      </c>
      <c r="Y1218" s="11" t="inlineStr">
        <is>
          <t>2026</t>
        </is>
      </c>
      <c r="Z1218" s="11" t="inlineStr">
        <is>
          <t>2026-06</t>
        </is>
      </c>
      <c r="AA1218" s="8" t="inlineStr"/>
      <c r="AB1218" s="8" t="inlineStr"/>
      <c r="AC1218" s="11" t="inlineStr">
        <is>
          <t>Military - National Digital Inventory Master 6.3.26.xlsx</t>
        </is>
      </c>
      <c r="AD1218" s="11" t="inlineStr">
        <is>
          <t>FY26-27 ADVERTISING ASSETS_NRMA.xlsx</t>
        </is>
      </c>
      <c r="AE1218" s="15" t="inlineStr">
        <is>
          <t>Open in Box</t>
        </is>
      </c>
      <c r="AF1218" s="15" t="inlineStr">
        <is>
          <t>Open in Box</t>
        </is>
      </c>
    </row>
    <row r="1219">
      <c r="A1219" s="11" t="inlineStr">
        <is>
          <t>NY-SARATOGA-003</t>
        </is>
      </c>
      <c r="B1219" s="8" t="inlineStr">
        <is>
          <t>Saratoga Springs Naval Support Unit</t>
        </is>
      </c>
      <c r="C1219" s="11" t="inlineStr"/>
      <c r="D1219" s="11" t="inlineStr">
        <is>
          <t>NY</t>
        </is>
      </c>
      <c r="E1219" s="11" t="inlineStr">
        <is>
          <t>Albany-Schenectady-Troy</t>
        </is>
      </c>
      <c r="F1219" s="11" t="inlineStr"/>
      <c r="G1219" s="11" t="inlineStr">
        <is>
          <t>Navy</t>
        </is>
      </c>
      <c r="H1219" s="11" t="inlineStr">
        <is>
          <t>Web &amp; Email</t>
        </is>
      </c>
      <c r="I1219" s="8" t="inlineStr">
        <is>
          <t>Monthly E-Newsletter Ad</t>
        </is>
      </c>
      <c r="J1219" s="11" t="inlineStr"/>
      <c r="K1219" s="8" t="inlineStr">
        <is>
          <t>Your ad will appear in the monthly e-newsletter emailed to the installation community.</t>
        </is>
      </c>
      <c r="L1219" s="11" t="n">
        <v>1</v>
      </c>
      <c r="M1219" s="12" t="n">
        <v>350</v>
      </c>
      <c r="N1219" s="12" t="n"/>
      <c r="O1219" s="12" t="n"/>
      <c r="P1219" s="12" t="n"/>
      <c r="Q1219" s="12" t="n"/>
      <c r="R1219" s="13">
        <f>IF(ISNUMBER(M1219),ROUND(M1219/(1-Settings!$B$2)/Settings!$B$3,0)*Settings!$B$3,"")</f>
        <v/>
      </c>
      <c r="S1219" s="13">
        <f>IF(ISNUMBER(N1219),ROUND(N1219/(1-Settings!$B$2)/Settings!$B$3,0)*Settings!$B$3,"")</f>
        <v/>
      </c>
      <c r="T1219" s="13">
        <f>IF(ISNUMBER(O1219),ROUND(O1219/(1-Settings!$B$2)/Settings!$B$3,0)*Settings!$B$3,"")</f>
        <v/>
      </c>
      <c r="U1219" s="13">
        <f>IF(ISNUMBER(P1219),ROUND(P1219/(1-Settings!$B$2)/Settings!$B$3,0)*Settings!$B$3,"")</f>
        <v/>
      </c>
      <c r="V1219" s="13">
        <f>IF(ISNUMBER(Q1219),ROUND(Q1219/(1-Settings!$B$2)/Settings!$B$3,0)*Settings!$B$3,"")</f>
        <v/>
      </c>
      <c r="W1219" s="14" t="n">
        <v>3196</v>
      </c>
      <c r="X1219" s="14" t="n">
        <v>3752</v>
      </c>
      <c r="Y1219" s="11" t="inlineStr">
        <is>
          <t>2026</t>
        </is>
      </c>
      <c r="Z1219" s="11" t="inlineStr">
        <is>
          <t>2026-06</t>
        </is>
      </c>
      <c r="AA1219" s="8" t="inlineStr"/>
      <c r="AB1219" s="8" t="inlineStr"/>
      <c r="AC1219" s="11" t="inlineStr">
        <is>
          <t>Military - National Publication Inventory Master_June 2026.xlsx</t>
        </is>
      </c>
      <c r="AD1219" s="11" t="inlineStr">
        <is>
          <t>FY26-27 ADVERTISING ASSETS_NRMA.xlsx</t>
        </is>
      </c>
      <c r="AE1219" s="15" t="inlineStr">
        <is>
          <t>Open in Box</t>
        </is>
      </c>
      <c r="AF1219" s="15" t="inlineStr">
        <is>
          <t>Open in Box</t>
        </is>
      </c>
    </row>
    <row r="1220">
      <c r="A1220" s="11" t="inlineStr">
        <is>
          <t>NY-SARATOGA-004</t>
        </is>
      </c>
      <c r="B1220" s="8" t="inlineStr">
        <is>
          <t>Saratoga Springs Naval Support Unit</t>
        </is>
      </c>
      <c r="C1220" s="11" t="inlineStr"/>
      <c r="D1220" s="11" t="inlineStr">
        <is>
          <t>NY</t>
        </is>
      </c>
      <c r="E1220" s="11" t="inlineStr">
        <is>
          <t>Albany-Schenectady-Troy</t>
        </is>
      </c>
      <c r="F1220" s="11" t="inlineStr"/>
      <c r="G1220" s="11" t="inlineStr">
        <is>
          <t>Navy</t>
        </is>
      </c>
      <c r="H1220" s="11" t="inlineStr">
        <is>
          <t>Web &amp; Email</t>
        </is>
      </c>
      <c r="I1220" s="8" t="inlineStr">
        <is>
          <t>Web Ad</t>
        </is>
      </c>
      <c r="J1220" s="11" t="inlineStr"/>
      <c r="K1220" s="8" t="inlineStr">
        <is>
          <t>Your ad will appear on the installation MWR / FSS website.</t>
        </is>
      </c>
      <c r="L1220" s="11" t="n">
        <v>1</v>
      </c>
      <c r="M1220" s="12" t="n">
        <v>200</v>
      </c>
      <c r="N1220" s="12" t="n"/>
      <c r="O1220" s="12" t="n"/>
      <c r="P1220" s="12" t="n"/>
      <c r="Q1220" s="12" t="n"/>
      <c r="R1220" s="13">
        <f>IF(ISNUMBER(M1220),ROUND(M1220/(1-Settings!$B$2)/Settings!$B$3,0)*Settings!$B$3,"")</f>
        <v/>
      </c>
      <c r="S1220" s="13">
        <f>IF(ISNUMBER(N1220),ROUND(N1220/(1-Settings!$B$2)/Settings!$B$3,0)*Settings!$B$3,"")</f>
        <v/>
      </c>
      <c r="T1220" s="13">
        <f>IF(ISNUMBER(O1220),ROUND(O1220/(1-Settings!$B$2)/Settings!$B$3,0)*Settings!$B$3,"")</f>
        <v/>
      </c>
      <c r="U1220" s="13">
        <f>IF(ISNUMBER(P1220),ROUND(P1220/(1-Settings!$B$2)/Settings!$B$3,0)*Settings!$B$3,"")</f>
        <v/>
      </c>
      <c r="V1220" s="13">
        <f>IF(ISNUMBER(Q1220),ROUND(Q1220/(1-Settings!$B$2)/Settings!$B$3,0)*Settings!$B$3,"")</f>
        <v/>
      </c>
      <c r="W1220" s="14" t="n">
        <v>3196</v>
      </c>
      <c r="X1220" s="14" t="n">
        <v>3752</v>
      </c>
      <c r="Y1220" s="11" t="inlineStr">
        <is>
          <t>2026</t>
        </is>
      </c>
      <c r="Z1220" s="11" t="inlineStr">
        <is>
          <t>2026-06</t>
        </is>
      </c>
      <c r="AA1220" s="8" t="inlineStr"/>
      <c r="AB1220" s="8" t="inlineStr"/>
      <c r="AC1220" s="11" t="inlineStr">
        <is>
          <t>Military - National Publication Inventory Master_June 2026.xlsx</t>
        </is>
      </c>
      <c r="AD1220" s="11" t="inlineStr">
        <is>
          <t>FY26-27 ADVERTISING ASSETS_NRMA.xlsx</t>
        </is>
      </c>
      <c r="AE1220" s="15" t="inlineStr">
        <is>
          <t>Open in Box</t>
        </is>
      </c>
      <c r="AF1220" s="15" t="inlineStr">
        <is>
          <t>Open in Box</t>
        </is>
      </c>
    </row>
    <row r="1221">
      <c r="A1221" s="11" t="inlineStr">
        <is>
          <t>NY-WESTPOIN-001</t>
        </is>
      </c>
      <c r="B1221" s="8" t="inlineStr">
        <is>
          <t>West Point U.S. Military Academy</t>
        </is>
      </c>
      <c r="C1221" s="11" t="inlineStr"/>
      <c r="D1221" s="11" t="inlineStr">
        <is>
          <t>NY</t>
        </is>
      </c>
      <c r="E1221" s="11" t="inlineStr">
        <is>
          <t>New York, NY</t>
        </is>
      </c>
      <c r="F1221" s="11" t="inlineStr"/>
      <c r="G1221" s="11" t="inlineStr">
        <is>
          <t>Army</t>
        </is>
      </c>
      <c r="H1221" s="11" t="inlineStr">
        <is>
          <t>Digital</t>
        </is>
      </c>
      <c r="I1221" s="8" t="inlineStr">
        <is>
          <t>Digital Monitor Network</t>
        </is>
      </c>
      <c r="J1221" s="11" t="inlineStr">
        <is>
          <t>16 screens</t>
        </is>
      </c>
      <c r="K1221" s="8" t="inlineStr">
        <is>
          <t>Your ad will appear on the 16-screen digital monitor network in approved installation facilities.</t>
        </is>
      </c>
      <c r="L1221" s="11" t="n">
        <v>1</v>
      </c>
      <c r="M1221" s="12" t="n">
        <v>1000</v>
      </c>
      <c r="N1221" s="12" t="n"/>
      <c r="O1221" s="12" t="n"/>
      <c r="P1221" s="12" t="n"/>
      <c r="Q1221" s="12" t="n"/>
      <c r="R1221" s="13">
        <f>IF(ISNUMBER(M1221),ROUND(M1221/(1-Settings!$B$2)/Settings!$B$3,0)*Settings!$B$3,"")</f>
        <v/>
      </c>
      <c r="S1221" s="13">
        <f>IF(ISNUMBER(N1221),ROUND(N1221/(1-Settings!$B$2)/Settings!$B$3,0)*Settings!$B$3,"")</f>
        <v/>
      </c>
      <c r="T1221" s="13">
        <f>IF(ISNUMBER(O1221),ROUND(O1221/(1-Settings!$B$2)/Settings!$B$3,0)*Settings!$B$3,"")</f>
        <v/>
      </c>
      <c r="U1221" s="13">
        <f>IF(ISNUMBER(P1221),ROUND(P1221/(1-Settings!$B$2)/Settings!$B$3,0)*Settings!$B$3,"")</f>
        <v/>
      </c>
      <c r="V1221" s="13">
        <f>IF(ISNUMBER(Q1221),ROUND(Q1221/(1-Settings!$B$2)/Settings!$B$3,0)*Settings!$B$3,"")</f>
        <v/>
      </c>
      <c r="W1221" s="14" t="n">
        <v>1527</v>
      </c>
      <c r="X1221" s="14" t="n">
        <v>2890</v>
      </c>
      <c r="Y1221" s="11" t="inlineStr">
        <is>
          <t>2026</t>
        </is>
      </c>
      <c r="Z1221" s="11" t="inlineStr">
        <is>
          <t>2026-06</t>
        </is>
      </c>
      <c r="AA1221" s="8" t="inlineStr"/>
      <c r="AB1221" s="8" t="inlineStr"/>
      <c r="AC1221" s="11" t="inlineStr">
        <is>
          <t>Military - National Digital Inventory Master 6.3.26.xlsx</t>
        </is>
      </c>
      <c r="AD1221" s="11" t="inlineStr">
        <is>
          <t>SponsorshipGuide_1PgInsert 2024.pdf</t>
        </is>
      </c>
      <c r="AE1221" s="15" t="inlineStr">
        <is>
          <t>Open in Box</t>
        </is>
      </c>
      <c r="AF1221" s="15" t="inlineStr">
        <is>
          <t>Open in Box</t>
        </is>
      </c>
    </row>
    <row r="1222">
      <c r="A1222" s="11" t="inlineStr">
        <is>
          <t>NY-WESTPOIN-004</t>
        </is>
      </c>
      <c r="B1222" s="8" t="inlineStr">
        <is>
          <t>West Point U.S. Military Academy</t>
        </is>
      </c>
      <c r="C1222" s="11" t="inlineStr"/>
      <c r="D1222" s="11" t="inlineStr">
        <is>
          <t>NY</t>
        </is>
      </c>
      <c r="E1222" s="11" t="inlineStr">
        <is>
          <t>New York, NY</t>
        </is>
      </c>
      <c r="F1222" s="11" t="inlineStr"/>
      <c r="G1222" s="11" t="inlineStr">
        <is>
          <t>Army</t>
        </is>
      </c>
      <c r="H1222" s="11" t="inlineStr">
        <is>
          <t>Print &amp; Publications</t>
        </is>
      </c>
      <c r="I1222" s="8" t="inlineStr">
        <is>
          <t>Golf Scorecard Ad</t>
        </is>
      </c>
      <c r="J1222" s="11" t="inlineStr"/>
      <c r="K1222" s="8" t="inlineStr">
        <is>
          <t>Your ad will appear on the golf course scorecard.</t>
        </is>
      </c>
      <c r="L1222" s="11" t="n">
        <v>12</v>
      </c>
      <c r="M1222" s="12" t="n"/>
      <c r="N1222" s="12" t="n"/>
      <c r="O1222" s="12" t="n"/>
      <c r="P1222" s="12" t="n">
        <v>1500</v>
      </c>
      <c r="Q1222" s="12" t="n"/>
      <c r="R1222" s="13">
        <f>IF(ISNUMBER(M1222),ROUND(M1222/(1-Settings!$B$2)/Settings!$B$3,0)*Settings!$B$3,"")</f>
        <v/>
      </c>
      <c r="S1222" s="13">
        <f>IF(ISNUMBER(N1222),ROUND(N1222/(1-Settings!$B$2)/Settings!$B$3,0)*Settings!$B$3,"")</f>
        <v/>
      </c>
      <c r="T1222" s="13">
        <f>IF(ISNUMBER(O1222),ROUND(O1222/(1-Settings!$B$2)/Settings!$B$3,0)*Settings!$B$3,"")</f>
        <v/>
      </c>
      <c r="U1222" s="13">
        <f>IF(ISNUMBER(P1222),ROUND(P1222/(1-Settings!$B$2)/Settings!$B$3,0)*Settings!$B$3,"")</f>
        <v/>
      </c>
      <c r="V1222" s="13">
        <f>IF(ISNUMBER(Q1222),ROUND(Q1222/(1-Settings!$B$2)/Settings!$B$3,0)*Settings!$B$3,"")</f>
        <v/>
      </c>
      <c r="W1222" s="14" t="n">
        <v>1527</v>
      </c>
      <c r="X1222" s="14" t="n">
        <v>2890</v>
      </c>
      <c r="Y1222" s="11" t="inlineStr">
        <is>
          <t>2026</t>
        </is>
      </c>
      <c r="Z1222" s="11" t="inlineStr">
        <is>
          <t>2026-06</t>
        </is>
      </c>
      <c r="AA1222" s="8" t="inlineStr">
        <is>
          <t>Annual Print 2x/year</t>
        </is>
      </c>
      <c r="AB1222" s="8" t="inlineStr"/>
      <c r="AC1222" s="11" t="inlineStr">
        <is>
          <t>Military - National Publication Inventory Master_June 2026.xlsx</t>
        </is>
      </c>
      <c r="AD1222" s="11" t="inlineStr">
        <is>
          <t>SponsorshipGuide_1PgInsert 2024.pdf</t>
        </is>
      </c>
      <c r="AE1222" s="15" t="inlineStr">
        <is>
          <t>Open in Box</t>
        </is>
      </c>
      <c r="AF1222" s="15" t="inlineStr">
        <is>
          <t>Open in Box</t>
        </is>
      </c>
    </row>
    <row r="1223">
      <c r="A1223" s="11" t="inlineStr">
        <is>
          <t>NY-WESTPOIN-002</t>
        </is>
      </c>
      <c r="B1223" s="8" t="inlineStr">
        <is>
          <t>West Point U.S. Military Academy</t>
        </is>
      </c>
      <c r="C1223" s="11" t="inlineStr"/>
      <c r="D1223" s="11" t="inlineStr">
        <is>
          <t>NY</t>
        </is>
      </c>
      <c r="E1223" s="11" t="inlineStr">
        <is>
          <t>New York, NY</t>
        </is>
      </c>
      <c r="F1223" s="11" t="inlineStr"/>
      <c r="G1223" s="11" t="inlineStr">
        <is>
          <t>Army</t>
        </is>
      </c>
      <c r="H1223" s="11" t="inlineStr">
        <is>
          <t>Web &amp; Email</t>
        </is>
      </c>
      <c r="I1223" s="8" t="inlineStr">
        <is>
          <t>Monthly E-Newsletter Ad</t>
        </is>
      </c>
      <c r="J1223" s="11" t="inlineStr"/>
      <c r="K1223" s="8" t="inlineStr">
        <is>
          <t>Your ad will appear in the monthly e-newsletter emailed to the installation community.</t>
        </is>
      </c>
      <c r="L1223" s="11" t="n">
        <v>12</v>
      </c>
      <c r="M1223" s="12" t="n"/>
      <c r="N1223" s="12" t="n"/>
      <c r="O1223" s="12" t="n"/>
      <c r="P1223" s="12" t="n">
        <v>200</v>
      </c>
      <c r="Q1223" s="12" t="n"/>
      <c r="R1223" s="13">
        <f>IF(ISNUMBER(M1223),ROUND(M1223/(1-Settings!$B$2)/Settings!$B$3,0)*Settings!$B$3,"")</f>
        <v/>
      </c>
      <c r="S1223" s="13">
        <f>IF(ISNUMBER(N1223),ROUND(N1223/(1-Settings!$B$2)/Settings!$B$3,0)*Settings!$B$3,"")</f>
        <v/>
      </c>
      <c r="T1223" s="13">
        <f>IF(ISNUMBER(O1223),ROUND(O1223/(1-Settings!$B$2)/Settings!$B$3,0)*Settings!$B$3,"")</f>
        <v/>
      </c>
      <c r="U1223" s="13">
        <f>IF(ISNUMBER(P1223),ROUND(P1223/(1-Settings!$B$2)/Settings!$B$3,0)*Settings!$B$3,"")</f>
        <v/>
      </c>
      <c r="V1223" s="13">
        <f>IF(ISNUMBER(Q1223),ROUND(Q1223/(1-Settings!$B$2)/Settings!$B$3,0)*Settings!$B$3,"")</f>
        <v/>
      </c>
      <c r="W1223" s="14" t="n">
        <v>1527</v>
      </c>
      <c r="X1223" s="14" t="n">
        <v>2890</v>
      </c>
      <c r="Y1223" s="11" t="inlineStr">
        <is>
          <t>2026</t>
        </is>
      </c>
      <c r="Z1223" s="11" t="inlineStr">
        <is>
          <t>2026-06</t>
        </is>
      </c>
      <c r="AA1223" s="8" t="inlineStr">
        <is>
          <t>Annual Print 2x/year</t>
        </is>
      </c>
      <c r="AB1223" s="8" t="inlineStr"/>
      <c r="AC1223" s="11" t="inlineStr">
        <is>
          <t>Military - National Publication Inventory Master_June 2026.xlsx</t>
        </is>
      </c>
      <c r="AD1223" s="11" t="inlineStr">
        <is>
          <t>SponsorshipGuide_1PgInsert 2024.pdf</t>
        </is>
      </c>
      <c r="AE1223" s="15" t="inlineStr">
        <is>
          <t>Open in Box</t>
        </is>
      </c>
      <c r="AF1223" s="15" t="inlineStr">
        <is>
          <t>Open in Box</t>
        </is>
      </c>
    </row>
    <row r="1224">
      <c r="A1224" s="11" t="inlineStr">
        <is>
          <t>NY-WESTPOIN-003</t>
        </is>
      </c>
      <c r="B1224" s="8" t="inlineStr">
        <is>
          <t>West Point U.S. Military Academy</t>
        </is>
      </c>
      <c r="C1224" s="11" t="inlineStr"/>
      <c r="D1224" s="11" t="inlineStr">
        <is>
          <t>NY</t>
        </is>
      </c>
      <c r="E1224" s="11" t="inlineStr">
        <is>
          <t>New York, NY</t>
        </is>
      </c>
      <c r="F1224" s="11" t="inlineStr"/>
      <c r="G1224" s="11" t="inlineStr">
        <is>
          <t>Army</t>
        </is>
      </c>
      <c r="H1224" s="11" t="inlineStr">
        <is>
          <t>Web &amp; Email</t>
        </is>
      </c>
      <c r="I1224" s="8" t="inlineStr">
        <is>
          <t>Web Ad</t>
        </is>
      </c>
      <c r="J1224" s="11" t="inlineStr"/>
      <c r="K1224" s="8" t="inlineStr">
        <is>
          <t>Your ad will appear on the installation MWR / FSS website.</t>
        </is>
      </c>
      <c r="L1224" s="11" t="n">
        <v>12</v>
      </c>
      <c r="M1224" s="12" t="n"/>
      <c r="N1224" s="12" t="n"/>
      <c r="O1224" s="12" t="n"/>
      <c r="P1224" s="12" t="n">
        <v>1000</v>
      </c>
      <c r="Q1224" s="12" t="n"/>
      <c r="R1224" s="13">
        <f>IF(ISNUMBER(M1224),ROUND(M1224/(1-Settings!$B$2)/Settings!$B$3,0)*Settings!$B$3,"")</f>
        <v/>
      </c>
      <c r="S1224" s="13">
        <f>IF(ISNUMBER(N1224),ROUND(N1224/(1-Settings!$B$2)/Settings!$B$3,0)*Settings!$B$3,"")</f>
        <v/>
      </c>
      <c r="T1224" s="13">
        <f>IF(ISNUMBER(O1224),ROUND(O1224/(1-Settings!$B$2)/Settings!$B$3,0)*Settings!$B$3,"")</f>
        <v/>
      </c>
      <c r="U1224" s="13">
        <f>IF(ISNUMBER(P1224),ROUND(P1224/(1-Settings!$B$2)/Settings!$B$3,0)*Settings!$B$3,"")</f>
        <v/>
      </c>
      <c r="V1224" s="13">
        <f>IF(ISNUMBER(Q1224),ROUND(Q1224/(1-Settings!$B$2)/Settings!$B$3,0)*Settings!$B$3,"")</f>
        <v/>
      </c>
      <c r="W1224" s="14" t="n">
        <v>1527</v>
      </c>
      <c r="X1224" s="14" t="n">
        <v>2890</v>
      </c>
      <c r="Y1224" s="11" t="inlineStr">
        <is>
          <t>2026</t>
        </is>
      </c>
      <c r="Z1224" s="11" t="inlineStr">
        <is>
          <t>2026-06</t>
        </is>
      </c>
      <c r="AA1224" s="8" t="inlineStr">
        <is>
          <t>Annual Print 2x/year</t>
        </is>
      </c>
      <c r="AB1224" s="8" t="inlineStr"/>
      <c r="AC1224" s="11" t="inlineStr">
        <is>
          <t>Military - National Publication Inventory Master_June 2026.xlsx</t>
        </is>
      </c>
      <c r="AD1224" s="11" t="inlineStr">
        <is>
          <t>SponsorshipGuide_1PgInsert 2024.pdf</t>
        </is>
      </c>
      <c r="AE1224" s="15" t="inlineStr">
        <is>
          <t>Open in Box</t>
        </is>
      </c>
      <c r="AF1224" s="15" t="inlineStr">
        <is>
          <t>Open in Box</t>
        </is>
      </c>
    </row>
    <row r="1225">
      <c r="A1225" s="11" t="inlineStr">
        <is>
          <t>OH-COLUMBUS-001</t>
        </is>
      </c>
      <c r="B1225" s="8" t="inlineStr">
        <is>
          <t>Columbus Def Depot</t>
        </is>
      </c>
      <c r="C1225" s="11" t="inlineStr"/>
      <c r="D1225" s="11" t="inlineStr">
        <is>
          <t>OH</t>
        </is>
      </c>
      <c r="E1225" s="11" t="inlineStr">
        <is>
          <t>Columbus, OH</t>
        </is>
      </c>
      <c r="F1225" s="11" t="inlineStr"/>
      <c r="G1225" s="11" t="inlineStr">
        <is>
          <t>Army</t>
        </is>
      </c>
      <c r="H1225" s="11" t="inlineStr">
        <is>
          <t>Digital</t>
        </is>
      </c>
      <c r="I1225" s="8" t="inlineStr">
        <is>
          <t>Digital Monitor Network</t>
        </is>
      </c>
      <c r="J1225" s="11" t="inlineStr">
        <is>
          <t>3 screens</t>
        </is>
      </c>
      <c r="K1225" s="8" t="inlineStr">
        <is>
          <t>Your ad will appear on the 3-screen digital monitor network in approved installation facilities.</t>
        </is>
      </c>
      <c r="L1225" s="11" t="n">
        <v>1</v>
      </c>
      <c r="M1225" s="12" t="n">
        <v>300</v>
      </c>
      <c r="N1225" s="12" t="n"/>
      <c r="O1225" s="12" t="n"/>
      <c r="P1225" s="12" t="n"/>
      <c r="Q1225" s="12" t="n"/>
      <c r="R1225" s="13">
        <f>IF(ISNUMBER(M1225),ROUND(M1225/(1-Settings!$B$2)/Settings!$B$3,0)*Settings!$B$3,"")</f>
        <v/>
      </c>
      <c r="S1225" s="13">
        <f>IF(ISNUMBER(N1225),ROUND(N1225/(1-Settings!$B$2)/Settings!$B$3,0)*Settings!$B$3,"")</f>
        <v/>
      </c>
      <c r="T1225" s="13">
        <f>IF(ISNUMBER(O1225),ROUND(O1225/(1-Settings!$B$2)/Settings!$B$3,0)*Settings!$B$3,"")</f>
        <v/>
      </c>
      <c r="U1225" s="13">
        <f>IF(ISNUMBER(P1225),ROUND(P1225/(1-Settings!$B$2)/Settings!$B$3,0)*Settings!$B$3,"")</f>
        <v/>
      </c>
      <c r="V1225" s="13">
        <f>IF(ISNUMBER(Q1225),ROUND(Q1225/(1-Settings!$B$2)/Settings!$B$3,0)*Settings!$B$3,"")</f>
        <v/>
      </c>
      <c r="W1225" s="14" t="n"/>
      <c r="X1225" s="14" t="n"/>
      <c r="Y1225" s="11" t="inlineStr">
        <is>
          <t>2026</t>
        </is>
      </c>
      <c r="Z1225" s="11" t="inlineStr">
        <is>
          <t>2026-06</t>
        </is>
      </c>
      <c r="AA1225" s="8" t="inlineStr"/>
      <c r="AB1225" s="8" t="inlineStr"/>
      <c r="AC1225" s="11" t="inlineStr">
        <is>
          <t>Military - National Digital Inventory Master 6.3.26.xlsx</t>
        </is>
      </c>
      <c r="AD1225" s="11" t="inlineStr">
        <is>
          <t>Columbus AFB Media Kit_2026.pdf</t>
        </is>
      </c>
      <c r="AE1225" s="15" t="inlineStr">
        <is>
          <t>Open in Box</t>
        </is>
      </c>
      <c r="AF1225" s="15" t="inlineStr">
        <is>
          <t>Open in Box</t>
        </is>
      </c>
    </row>
    <row r="1226">
      <c r="A1226" s="11" t="inlineStr">
        <is>
          <t>OH-COLUMBUS-005</t>
        </is>
      </c>
      <c r="B1226" s="8" t="inlineStr">
        <is>
          <t>Columbus Def Depot</t>
        </is>
      </c>
      <c r="C1226" s="11" t="inlineStr"/>
      <c r="D1226" s="11" t="inlineStr">
        <is>
          <t>OH</t>
        </is>
      </c>
      <c r="E1226" s="11" t="inlineStr">
        <is>
          <t>Columbus, OH</t>
        </is>
      </c>
      <c r="F1226" s="11" t="inlineStr"/>
      <c r="G1226" s="11" t="inlineStr">
        <is>
          <t>Army</t>
        </is>
      </c>
      <c r="H1226" s="11" t="inlineStr">
        <is>
          <t>Print &amp; Publications</t>
        </is>
      </c>
      <c r="I1226" s="8" t="inlineStr">
        <is>
          <t>Golf Scorecard Ad</t>
        </is>
      </c>
      <c r="J1226" s="11" t="inlineStr"/>
      <c r="K1226" s="8" t="inlineStr">
        <is>
          <t>Your ad will appear on the golf course scorecard.</t>
        </is>
      </c>
      <c r="L1226" s="11" t="n">
        <v>12</v>
      </c>
      <c r="M1226" s="12" t="n"/>
      <c r="N1226" s="12" t="n"/>
      <c r="O1226" s="12" t="n"/>
      <c r="P1226" s="12" t="n">
        <v>1500</v>
      </c>
      <c r="Q1226" s="12" t="n"/>
      <c r="R1226" s="13">
        <f>IF(ISNUMBER(M1226),ROUND(M1226/(1-Settings!$B$2)/Settings!$B$3,0)*Settings!$B$3,"")</f>
        <v/>
      </c>
      <c r="S1226" s="13">
        <f>IF(ISNUMBER(N1226),ROUND(N1226/(1-Settings!$B$2)/Settings!$B$3,0)*Settings!$B$3,"")</f>
        <v/>
      </c>
      <c r="T1226" s="13">
        <f>IF(ISNUMBER(O1226),ROUND(O1226/(1-Settings!$B$2)/Settings!$B$3,0)*Settings!$B$3,"")</f>
        <v/>
      </c>
      <c r="U1226" s="13">
        <f>IF(ISNUMBER(P1226),ROUND(P1226/(1-Settings!$B$2)/Settings!$B$3,0)*Settings!$B$3,"")</f>
        <v/>
      </c>
      <c r="V1226" s="13">
        <f>IF(ISNUMBER(Q1226),ROUND(Q1226/(1-Settings!$B$2)/Settings!$B$3,0)*Settings!$B$3,"")</f>
        <v/>
      </c>
      <c r="W1226" s="14" t="n">
        <v>9000</v>
      </c>
      <c r="X1226" s="14" t="n"/>
      <c r="Y1226" s="11" t="inlineStr">
        <is>
          <t>2026</t>
        </is>
      </c>
      <c r="Z1226" s="11" t="inlineStr">
        <is>
          <t>2026-06</t>
        </is>
      </c>
      <c r="AA1226" s="8" t="inlineStr">
        <is>
          <t>Annual</t>
        </is>
      </c>
      <c r="AB1226" s="8" t="inlineStr"/>
      <c r="AC1226" s="11" t="inlineStr">
        <is>
          <t>Military - National Publication Inventory Master_June 2026.xlsx</t>
        </is>
      </c>
      <c r="AD1226" s="11" t="inlineStr">
        <is>
          <t>Columbus AFB Media Kit_2026.pdf</t>
        </is>
      </c>
      <c r="AE1226" s="15" t="inlineStr">
        <is>
          <t>Open in Box</t>
        </is>
      </c>
      <c r="AF1226" s="15" t="inlineStr">
        <is>
          <t>Open in Box</t>
        </is>
      </c>
    </row>
    <row r="1227">
      <c r="A1227" s="11" t="inlineStr">
        <is>
          <t>OH-COLUMBUS-003</t>
        </is>
      </c>
      <c r="B1227" s="8" t="inlineStr">
        <is>
          <t>Columbus Def Depot</t>
        </is>
      </c>
      <c r="C1227" s="11" t="inlineStr"/>
      <c r="D1227" s="11" t="inlineStr">
        <is>
          <t>OH</t>
        </is>
      </c>
      <c r="E1227" s="11" t="inlineStr">
        <is>
          <t>Columbus, OH</t>
        </is>
      </c>
      <c r="F1227" s="11" t="inlineStr"/>
      <c r="G1227" s="11" t="inlineStr">
        <is>
          <t>Army</t>
        </is>
      </c>
      <c r="H1227" s="11" t="inlineStr">
        <is>
          <t>Print &amp; Publications</t>
        </is>
      </c>
      <c r="I1227" s="8" t="inlineStr">
        <is>
          <t>Magazine Ad</t>
        </is>
      </c>
      <c r="J1227" s="11" t="inlineStr"/>
      <c r="K1227" s="8" t="inlineStr">
        <is>
          <t>Your ad will appear in the installation magazine.</t>
        </is>
      </c>
      <c r="L1227" s="11" t="n">
        <v>1</v>
      </c>
      <c r="M1227" s="12" t="n">
        <v>100</v>
      </c>
      <c r="N1227" s="12" t="n"/>
      <c r="O1227" s="12" t="n"/>
      <c r="P1227" s="12" t="n"/>
      <c r="Q1227" s="12" t="n"/>
      <c r="R1227" s="13">
        <f>IF(ISNUMBER(M1227),ROUND(M1227/(1-Settings!$B$2)/Settings!$B$3,0)*Settings!$B$3,"")</f>
        <v/>
      </c>
      <c r="S1227" s="13">
        <f>IF(ISNUMBER(N1227),ROUND(N1227/(1-Settings!$B$2)/Settings!$B$3,0)*Settings!$B$3,"")</f>
        <v/>
      </c>
      <c r="T1227" s="13">
        <f>IF(ISNUMBER(O1227),ROUND(O1227/(1-Settings!$B$2)/Settings!$B$3,0)*Settings!$B$3,"")</f>
        <v/>
      </c>
      <c r="U1227" s="13">
        <f>IF(ISNUMBER(P1227),ROUND(P1227/(1-Settings!$B$2)/Settings!$B$3,0)*Settings!$B$3,"")</f>
        <v/>
      </c>
      <c r="V1227" s="13">
        <f>IF(ISNUMBER(Q1227),ROUND(Q1227/(1-Settings!$B$2)/Settings!$B$3,0)*Settings!$B$3,"")</f>
        <v/>
      </c>
      <c r="W1227" s="14" t="n">
        <v>1520</v>
      </c>
      <c r="X1227" s="14" t="n">
        <v>1404</v>
      </c>
      <c r="Y1227" s="11" t="inlineStr">
        <is>
          <t>2026</t>
        </is>
      </c>
      <c r="Z1227" s="11" t="inlineStr">
        <is>
          <t>2026-06</t>
        </is>
      </c>
      <c r="AA1227" s="8" t="inlineStr"/>
      <c r="AB1227" s="8" t="inlineStr"/>
      <c r="AC1227" s="11" t="inlineStr">
        <is>
          <t>Military - National Publication Inventory Master_June 2026.xlsx</t>
        </is>
      </c>
      <c r="AD1227" s="11" t="inlineStr">
        <is>
          <t>Columbus AFB Media Kit_2026.pdf</t>
        </is>
      </c>
      <c r="AE1227" s="15" t="inlineStr">
        <is>
          <t>Open in Box</t>
        </is>
      </c>
      <c r="AF1227" s="15" t="inlineStr">
        <is>
          <t>Open in Box</t>
        </is>
      </c>
    </row>
    <row r="1228">
      <c r="A1228" s="11" t="inlineStr">
        <is>
          <t>OH-COLUMBUS-004</t>
        </is>
      </c>
      <c r="B1228" s="8" t="inlineStr">
        <is>
          <t>Columbus Def Depot</t>
        </is>
      </c>
      <c r="C1228" s="11" t="inlineStr"/>
      <c r="D1228" s="11" t="inlineStr">
        <is>
          <t>OH</t>
        </is>
      </c>
      <c r="E1228" s="11" t="inlineStr">
        <is>
          <t>Columbus, OH</t>
        </is>
      </c>
      <c r="F1228" s="11" t="inlineStr"/>
      <c r="G1228" s="11" t="inlineStr">
        <is>
          <t>Army</t>
        </is>
      </c>
      <c r="H1228" s="11" t="inlineStr">
        <is>
          <t>Web &amp; Email</t>
        </is>
      </c>
      <c r="I1228" s="8" t="inlineStr">
        <is>
          <t>Monthly E-Newsletter Ad</t>
        </is>
      </c>
      <c r="J1228" s="11" t="inlineStr"/>
      <c r="K1228" s="8" t="inlineStr">
        <is>
          <t>Your ad will appear in the monthly e-newsletter emailed to the installation community.</t>
        </is>
      </c>
      <c r="L1228" s="11" t="n">
        <v>12</v>
      </c>
      <c r="M1228" s="12" t="n"/>
      <c r="N1228" s="12" t="n"/>
      <c r="O1228" s="12" t="n"/>
      <c r="P1228" s="12" t="n">
        <v>200</v>
      </c>
      <c r="Q1228" s="12" t="n"/>
      <c r="R1228" s="13">
        <f>IF(ISNUMBER(M1228),ROUND(M1228/(1-Settings!$B$2)/Settings!$B$3,0)*Settings!$B$3,"")</f>
        <v/>
      </c>
      <c r="S1228" s="13">
        <f>IF(ISNUMBER(N1228),ROUND(N1228/(1-Settings!$B$2)/Settings!$B$3,0)*Settings!$B$3,"")</f>
        <v/>
      </c>
      <c r="T1228" s="13">
        <f>IF(ISNUMBER(O1228),ROUND(O1228/(1-Settings!$B$2)/Settings!$B$3,0)*Settings!$B$3,"")</f>
        <v/>
      </c>
      <c r="U1228" s="13">
        <f>IF(ISNUMBER(P1228),ROUND(P1228/(1-Settings!$B$2)/Settings!$B$3,0)*Settings!$B$3,"")</f>
        <v/>
      </c>
      <c r="V1228" s="13">
        <f>IF(ISNUMBER(Q1228),ROUND(Q1228/(1-Settings!$B$2)/Settings!$B$3,0)*Settings!$B$3,"")</f>
        <v/>
      </c>
      <c r="W1228" s="14" t="n">
        <v>9000</v>
      </c>
      <c r="X1228" s="14" t="n"/>
      <c r="Y1228" s="11" t="inlineStr">
        <is>
          <t>2026</t>
        </is>
      </c>
      <c r="Z1228" s="11" t="inlineStr">
        <is>
          <t>2026-06</t>
        </is>
      </c>
      <c r="AA1228" s="8" t="inlineStr">
        <is>
          <t>Annual</t>
        </is>
      </c>
      <c r="AB1228" s="8" t="inlineStr"/>
      <c r="AC1228" s="11" t="inlineStr">
        <is>
          <t>Military - National Publication Inventory Master_June 2026.xlsx</t>
        </is>
      </c>
      <c r="AD1228" s="11" t="inlineStr">
        <is>
          <t>Columbus AFB Media Kit_2026.pdf</t>
        </is>
      </c>
      <c r="AE1228" s="15" t="inlineStr">
        <is>
          <t>Open in Box</t>
        </is>
      </c>
      <c r="AF1228" s="15" t="inlineStr">
        <is>
          <t>Open in Box</t>
        </is>
      </c>
    </row>
    <row r="1229">
      <c r="A1229" s="11" t="inlineStr">
        <is>
          <t>OH-COLUMBUS-002</t>
        </is>
      </c>
      <c r="B1229" s="8" t="inlineStr">
        <is>
          <t>Columbus Def Depot</t>
        </is>
      </c>
      <c r="C1229" s="11" t="inlineStr"/>
      <c r="D1229" s="11" t="inlineStr">
        <is>
          <t>OH</t>
        </is>
      </c>
      <c r="E1229" s="11" t="inlineStr">
        <is>
          <t>Columbus, OH</t>
        </is>
      </c>
      <c r="F1229" s="11" t="inlineStr"/>
      <c r="G1229" s="11" t="inlineStr">
        <is>
          <t>Army</t>
        </is>
      </c>
      <c r="H1229" s="11" t="inlineStr">
        <is>
          <t>Web &amp; Email</t>
        </is>
      </c>
      <c r="I1229" s="8" t="inlineStr">
        <is>
          <t>Web Ad</t>
        </is>
      </c>
      <c r="J1229" s="11" t="inlineStr"/>
      <c r="K1229" s="8" t="inlineStr">
        <is>
          <t>Your ad will appear on the installation MWR / FSS website.</t>
        </is>
      </c>
      <c r="L1229" s="11" t="n">
        <v>1</v>
      </c>
      <c r="M1229" s="12" t="n">
        <v>250</v>
      </c>
      <c r="N1229" s="12" t="n"/>
      <c r="O1229" s="12" t="n"/>
      <c r="P1229" s="12" t="n"/>
      <c r="Q1229" s="12" t="n"/>
      <c r="R1229" s="13">
        <f>IF(ISNUMBER(M1229),ROUND(M1229/(1-Settings!$B$2)/Settings!$B$3,0)*Settings!$B$3,"")</f>
        <v/>
      </c>
      <c r="S1229" s="13">
        <f>IF(ISNUMBER(N1229),ROUND(N1229/(1-Settings!$B$2)/Settings!$B$3,0)*Settings!$B$3,"")</f>
        <v/>
      </c>
      <c r="T1229" s="13">
        <f>IF(ISNUMBER(O1229),ROUND(O1229/(1-Settings!$B$2)/Settings!$B$3,0)*Settings!$B$3,"")</f>
        <v/>
      </c>
      <c r="U1229" s="13">
        <f>IF(ISNUMBER(P1229),ROUND(P1229/(1-Settings!$B$2)/Settings!$B$3,0)*Settings!$B$3,"")</f>
        <v/>
      </c>
      <c r="V1229" s="13">
        <f>IF(ISNUMBER(Q1229),ROUND(Q1229/(1-Settings!$B$2)/Settings!$B$3,0)*Settings!$B$3,"")</f>
        <v/>
      </c>
      <c r="W1229" s="14" t="n">
        <v>1520</v>
      </c>
      <c r="X1229" s="14" t="n">
        <v>1404</v>
      </c>
      <c r="Y1229" s="11" t="inlineStr">
        <is>
          <t>2026</t>
        </is>
      </c>
      <c r="Z1229" s="11" t="inlineStr">
        <is>
          <t>2026-06</t>
        </is>
      </c>
      <c r="AA1229" s="8" t="inlineStr">
        <is>
          <t>Inventory master 6/2026 lists Web Ad at $200 (12 mo)</t>
        </is>
      </c>
      <c r="AB1229" s="8" t="inlineStr"/>
      <c r="AC1229" s="11" t="inlineStr">
        <is>
          <t>Military - National Publication Inventory Master_June 2026.xlsx</t>
        </is>
      </c>
      <c r="AD1229" s="11" t="inlineStr">
        <is>
          <t>Columbus AFB Media Kit_2026.pdf</t>
        </is>
      </c>
      <c r="AE1229" s="15" t="inlineStr">
        <is>
          <t>Open in Box</t>
        </is>
      </c>
      <c r="AF1229" s="15" t="inlineStr">
        <is>
          <t>Open in Box</t>
        </is>
      </c>
    </row>
    <row r="1230">
      <c r="A1230" s="11" t="inlineStr">
        <is>
          <t>OH-WRIGHTPA-001</t>
        </is>
      </c>
      <c r="B1230" s="8" t="inlineStr">
        <is>
          <t>Wright Patterson Air Force Base</t>
        </is>
      </c>
      <c r="C1230" s="11" t="inlineStr"/>
      <c r="D1230" s="11" t="inlineStr">
        <is>
          <t>OH</t>
        </is>
      </c>
      <c r="E1230" s="11" t="inlineStr">
        <is>
          <t>Dayton, OH</t>
        </is>
      </c>
      <c r="F1230" s="11" t="inlineStr"/>
      <c r="G1230" s="11" t="inlineStr">
        <is>
          <t>Air Force</t>
        </is>
      </c>
      <c r="H1230" s="11" t="inlineStr">
        <is>
          <t>Digital</t>
        </is>
      </c>
      <c r="I1230" s="8" t="inlineStr">
        <is>
          <t>Digital Monitor Network</t>
        </is>
      </c>
      <c r="J1230" s="11" t="inlineStr">
        <is>
          <t>30 screens</t>
        </is>
      </c>
      <c r="K1230" s="8" t="inlineStr">
        <is>
          <t>Your ad will appear on the 30-screen digital monitor network in approved installation facilities.</t>
        </is>
      </c>
      <c r="L1230" s="11" t="n">
        <v>1</v>
      </c>
      <c r="M1230" s="12" t="n">
        <v>900</v>
      </c>
      <c r="N1230" s="12" t="n"/>
      <c r="O1230" s="12" t="n"/>
      <c r="P1230" s="12" t="n"/>
      <c r="Q1230" s="12" t="n"/>
      <c r="R1230" s="13">
        <f>IF(ISNUMBER(M1230),ROUND(M1230/(1-Settings!$B$2)/Settings!$B$3,0)*Settings!$B$3,"")</f>
        <v/>
      </c>
      <c r="S1230" s="13">
        <f>IF(ISNUMBER(N1230),ROUND(N1230/(1-Settings!$B$2)/Settings!$B$3,0)*Settings!$B$3,"")</f>
        <v/>
      </c>
      <c r="T1230" s="13">
        <f>IF(ISNUMBER(O1230),ROUND(O1230/(1-Settings!$B$2)/Settings!$B$3,0)*Settings!$B$3,"")</f>
        <v/>
      </c>
      <c r="U1230" s="13">
        <f>IF(ISNUMBER(P1230),ROUND(P1230/(1-Settings!$B$2)/Settings!$B$3,0)*Settings!$B$3,"")</f>
        <v/>
      </c>
      <c r="V1230" s="13">
        <f>IF(ISNUMBER(Q1230),ROUND(Q1230/(1-Settings!$B$2)/Settings!$B$3,0)*Settings!$B$3,"")</f>
        <v/>
      </c>
      <c r="W1230" s="14" t="n"/>
      <c r="X1230" s="14" t="n"/>
      <c r="Y1230" s="11" t="inlineStr">
        <is>
          <t>2026</t>
        </is>
      </c>
      <c r="Z1230" s="11" t="inlineStr">
        <is>
          <t>2026-06</t>
        </is>
      </c>
      <c r="AA1230" s="8" t="inlineStr"/>
      <c r="AB1230" s="8" t="inlineStr"/>
      <c r="AC1230" s="11" t="inlineStr">
        <is>
          <t>Military - National Digital Inventory Master 6.3.26.xlsx</t>
        </is>
      </c>
      <c r="AD1230" s="11" t="inlineStr">
        <is>
          <t>Wright Patterson Media Kit 2026.pdf</t>
        </is>
      </c>
      <c r="AE1230" s="15" t="inlineStr">
        <is>
          <t>Open in Box</t>
        </is>
      </c>
      <c r="AF1230" s="15" t="inlineStr">
        <is>
          <t>Open in Box</t>
        </is>
      </c>
    </row>
    <row r="1231">
      <c r="A1231" s="11" t="inlineStr">
        <is>
          <t>OH-WRIGHTPA-003</t>
        </is>
      </c>
      <c r="B1231" s="8" t="inlineStr">
        <is>
          <t>Wright Patterson Air Force Base</t>
        </is>
      </c>
      <c r="C1231" s="11" t="inlineStr"/>
      <c r="D1231" s="11" t="inlineStr">
        <is>
          <t>OH</t>
        </is>
      </c>
      <c r="E1231" s="11" t="inlineStr">
        <is>
          <t>Dayton, OH</t>
        </is>
      </c>
      <c r="F1231" s="11" t="inlineStr"/>
      <c r="G1231" s="11" t="inlineStr">
        <is>
          <t>Air Force</t>
        </is>
      </c>
      <c r="H1231" s="11" t="inlineStr">
        <is>
          <t>Web &amp; Email</t>
        </is>
      </c>
      <c r="I1231" s="8" t="inlineStr">
        <is>
          <t>Web Ad</t>
        </is>
      </c>
      <c r="J1231" s="11" t="inlineStr"/>
      <c r="K1231" s="8" t="inlineStr">
        <is>
          <t>Your ad will appear on the installation MWR / FSS website.</t>
        </is>
      </c>
      <c r="L1231" s="11" t="n">
        <v>1</v>
      </c>
      <c r="M1231" s="12" t="n">
        <v>150</v>
      </c>
      <c r="N1231" s="12" t="n"/>
      <c r="O1231" s="12" t="n"/>
      <c r="P1231" s="12" t="n"/>
      <c r="Q1231" s="12" t="n"/>
      <c r="R1231" s="13">
        <f>IF(ISNUMBER(M1231),ROUND(M1231/(1-Settings!$B$2)/Settings!$B$3,0)*Settings!$B$3,"")</f>
        <v/>
      </c>
      <c r="S1231" s="13">
        <f>IF(ISNUMBER(N1231),ROUND(N1231/(1-Settings!$B$2)/Settings!$B$3,0)*Settings!$B$3,"")</f>
        <v/>
      </c>
      <c r="T1231" s="13">
        <f>IF(ISNUMBER(O1231),ROUND(O1231/(1-Settings!$B$2)/Settings!$B$3,0)*Settings!$B$3,"")</f>
        <v/>
      </c>
      <c r="U1231" s="13">
        <f>IF(ISNUMBER(P1231),ROUND(P1231/(1-Settings!$B$2)/Settings!$B$3,0)*Settings!$B$3,"")</f>
        <v/>
      </c>
      <c r="V1231" s="13">
        <f>IF(ISNUMBER(Q1231),ROUND(Q1231/(1-Settings!$B$2)/Settings!$B$3,0)*Settings!$B$3,"")</f>
        <v/>
      </c>
      <c r="W1231" s="14" t="n">
        <v>38000</v>
      </c>
      <c r="X1231" s="14" t="n"/>
      <c r="Y1231" s="11" t="inlineStr">
        <is>
          <t>2026</t>
        </is>
      </c>
      <c r="Z1231" s="11" t="inlineStr">
        <is>
          <t>2026-06</t>
        </is>
      </c>
      <c r="AA1231" s="8" t="inlineStr"/>
      <c r="AB1231" s="8" t="inlineStr"/>
      <c r="AC1231" s="11" t="inlineStr">
        <is>
          <t>Military - National Publication Inventory Master_June 2026.xlsx</t>
        </is>
      </c>
      <c r="AD1231" s="11" t="inlineStr">
        <is>
          <t>Wright Patterson Media Kit 2026.pdf</t>
        </is>
      </c>
      <c r="AE1231" s="15" t="inlineStr">
        <is>
          <t>Open in Box</t>
        </is>
      </c>
      <c r="AF1231" s="15" t="inlineStr">
        <is>
          <t>Open in Box</t>
        </is>
      </c>
    </row>
    <row r="1232">
      <c r="A1232" s="11" t="inlineStr">
        <is>
          <t>OH-WRIGHTPA-002</t>
        </is>
      </c>
      <c r="B1232" s="8" t="inlineStr">
        <is>
          <t>Wright Patterson Air Force Base</t>
        </is>
      </c>
      <c r="C1232" s="11" t="inlineStr"/>
      <c r="D1232" s="11" t="inlineStr">
        <is>
          <t>OH</t>
        </is>
      </c>
      <c r="E1232" s="11" t="inlineStr">
        <is>
          <t>Dayton, OH</t>
        </is>
      </c>
      <c r="F1232" s="11" t="inlineStr"/>
      <c r="G1232" s="11" t="inlineStr">
        <is>
          <t>Air Force</t>
        </is>
      </c>
      <c r="H1232" s="11" t="inlineStr">
        <is>
          <t>Web &amp; Email</t>
        </is>
      </c>
      <c r="I1232" s="8" t="inlineStr">
        <is>
          <t>Weekly E-Newsletter Ad</t>
        </is>
      </c>
      <c r="J1232" s="11" t="inlineStr"/>
      <c r="K1232" s="8" t="inlineStr">
        <is>
          <t>Your ad will appear in the weekly e-newsletter emailed to the installation community.</t>
        </is>
      </c>
      <c r="L1232" s="11" t="n">
        <v>1</v>
      </c>
      <c r="M1232" s="12" t="n">
        <v>50</v>
      </c>
      <c r="N1232" s="12" t="n"/>
      <c r="O1232" s="12" t="n"/>
      <c r="P1232" s="12" t="n"/>
      <c r="Q1232" s="12" t="n"/>
      <c r="R1232" s="13">
        <f>IF(ISNUMBER(M1232),ROUND(M1232/(1-Settings!$B$2)/Settings!$B$3,0)*Settings!$B$3,"")</f>
        <v/>
      </c>
      <c r="S1232" s="13">
        <f>IF(ISNUMBER(N1232),ROUND(N1232/(1-Settings!$B$2)/Settings!$B$3,0)*Settings!$B$3,"")</f>
        <v/>
      </c>
      <c r="T1232" s="13">
        <f>IF(ISNUMBER(O1232),ROUND(O1232/(1-Settings!$B$2)/Settings!$B$3,0)*Settings!$B$3,"")</f>
        <v/>
      </c>
      <c r="U1232" s="13">
        <f>IF(ISNUMBER(P1232),ROUND(P1232/(1-Settings!$B$2)/Settings!$B$3,0)*Settings!$B$3,"")</f>
        <v/>
      </c>
      <c r="V1232" s="13">
        <f>IF(ISNUMBER(Q1232),ROUND(Q1232/(1-Settings!$B$2)/Settings!$B$3,0)*Settings!$B$3,"")</f>
        <v/>
      </c>
      <c r="W1232" s="14" t="n">
        <v>38000</v>
      </c>
      <c r="X1232" s="14" t="n"/>
      <c r="Y1232" s="11" t="inlineStr">
        <is>
          <t>2026</t>
        </is>
      </c>
      <c r="Z1232" s="11" t="inlineStr">
        <is>
          <t>2026-06</t>
        </is>
      </c>
      <c r="AA1232" s="8" t="inlineStr">
        <is>
          <t>Inventory master 6/2026 lists Monthly E-Newsletter Ad at $300 (1 mo)</t>
        </is>
      </c>
      <c r="AB1232" s="8" t="inlineStr"/>
      <c r="AC1232" s="11" t="inlineStr">
        <is>
          <t>Military - National Publication Inventory Master_June 2026.xlsx</t>
        </is>
      </c>
      <c r="AD1232" s="11" t="inlineStr">
        <is>
          <t>Wright Patterson Media Kit 2026.pdf</t>
        </is>
      </c>
      <c r="AE1232" s="15" t="inlineStr">
        <is>
          <t>Open in Box</t>
        </is>
      </c>
      <c r="AF1232" s="15" t="inlineStr">
        <is>
          <t>Open in Box</t>
        </is>
      </c>
    </row>
    <row r="1233">
      <c r="A1233" s="11" t="inlineStr">
        <is>
          <t>OK-ALTUSAFB-001</t>
        </is>
      </c>
      <c r="B1233" s="8" t="inlineStr">
        <is>
          <t>Altus AFB</t>
        </is>
      </c>
      <c r="C1233" s="11" t="inlineStr"/>
      <c r="D1233" s="11" t="inlineStr">
        <is>
          <t>OK</t>
        </is>
      </c>
      <c r="E1233" s="11" t="inlineStr">
        <is>
          <t>Wichita Falls &amp; Lawton</t>
        </is>
      </c>
      <c r="F1233" s="11" t="inlineStr">
        <is>
          <t>73523</t>
        </is>
      </c>
      <c r="G1233" s="11" t="inlineStr">
        <is>
          <t>Air Force</t>
        </is>
      </c>
      <c r="H1233" s="11" t="inlineStr">
        <is>
          <t>Digital</t>
        </is>
      </c>
      <c r="I1233" s="8" t="inlineStr">
        <is>
          <t>Digital Monitor Network</t>
        </is>
      </c>
      <c r="J1233" s="11" t="inlineStr">
        <is>
          <t>1920pxw x 1080pxh</t>
        </is>
      </c>
      <c r="K1233" s="8" t="inlineStr">
        <is>
          <t>Your ad will appear on 17 digital monitors in approved installation facilities.</t>
        </is>
      </c>
      <c r="L1233" s="11" t="n">
        <v>1</v>
      </c>
      <c r="M1233" s="12" t="n">
        <v>100</v>
      </c>
      <c r="N1233" s="12" t="n">
        <v>300</v>
      </c>
      <c r="O1233" s="12" t="n">
        <v>600</v>
      </c>
      <c r="P1233" s="12" t="n">
        <v>1200</v>
      </c>
      <c r="Q1233" s="12" t="n"/>
      <c r="R1233" s="13">
        <f>IF(ISNUMBER(M1233),ROUND(M1233/(1-Settings!$B$2)/Settings!$B$3,0)*Settings!$B$3,"")</f>
        <v/>
      </c>
      <c r="S1233" s="13">
        <f>IF(ISNUMBER(N1233),ROUND(N1233/(1-Settings!$B$2)/Settings!$B$3,0)*Settings!$B$3,"")</f>
        <v/>
      </c>
      <c r="T1233" s="13">
        <f>IF(ISNUMBER(O1233),ROUND(O1233/(1-Settings!$B$2)/Settings!$B$3,0)*Settings!$B$3,"")</f>
        <v/>
      </c>
      <c r="U1233" s="13">
        <f>IF(ISNUMBER(P1233),ROUND(P1233/(1-Settings!$B$2)/Settings!$B$3,0)*Settings!$B$3,"")</f>
        <v/>
      </c>
      <c r="V1233" s="13">
        <f>IF(ISNUMBER(Q1233),ROUND(Q1233/(1-Settings!$B$2)/Settings!$B$3,0)*Settings!$B$3,"")</f>
        <v/>
      </c>
      <c r="W1233" s="14" t="n"/>
      <c r="X1233" s="14" t="n"/>
      <c r="Y1233" s="11" t="inlineStr">
        <is>
          <t>2024</t>
        </is>
      </c>
      <c r="Z1233" s="11" t="inlineStr"/>
      <c r="AA1233" s="8" t="inlineStr"/>
      <c r="AB1233" s="16" t="inlineStr">
        <is>
          <t>Rate card older than 2025 - reconfirm</t>
        </is>
      </c>
      <c r="AC1233" s="11" t="inlineStr">
        <is>
          <t>MasterMilitaryOnBaseList 12.2.25 NS.xlsx</t>
        </is>
      </c>
      <c r="AD1233" s="11" t="inlineStr">
        <is>
          <t>Altus Monitor Locations_Info on Posters and Website Advertising.pdf</t>
        </is>
      </c>
      <c r="AE1233" s="15" t="inlineStr">
        <is>
          <t>Open in Box</t>
        </is>
      </c>
      <c r="AF1233" s="15" t="inlineStr">
        <is>
          <t>Open in Box</t>
        </is>
      </c>
    </row>
    <row r="1234">
      <c r="A1234" s="11" t="inlineStr">
        <is>
          <t>OK-ALTUSAFB-002</t>
        </is>
      </c>
      <c r="B1234" s="8" t="inlineStr">
        <is>
          <t>Altus AFB</t>
        </is>
      </c>
      <c r="C1234" s="11" t="inlineStr"/>
      <c r="D1234" s="11" t="inlineStr">
        <is>
          <t>OK</t>
        </is>
      </c>
      <c r="E1234" s="11" t="inlineStr">
        <is>
          <t>Wichita Falls &amp; Lawton</t>
        </is>
      </c>
      <c r="F1234" s="11" t="inlineStr">
        <is>
          <t>73523</t>
        </is>
      </c>
      <c r="G1234" s="11" t="inlineStr">
        <is>
          <t>Air Force</t>
        </is>
      </c>
      <c r="H1234" s="11" t="inlineStr">
        <is>
          <t>Standard Media</t>
        </is>
      </c>
      <c r="I1234" s="8" t="inlineStr">
        <is>
          <t>Indoor Banner</t>
        </is>
      </c>
      <c r="J1234" s="11" t="inlineStr">
        <is>
          <t>TBD</t>
        </is>
      </c>
      <c r="K1234" s="8" t="inlineStr">
        <is>
          <t>Your ad will appear in an approved installation facility.</t>
        </is>
      </c>
      <c r="L1234" s="11" t="n">
        <v>1</v>
      </c>
      <c r="M1234" s="12" t="n">
        <v>130</v>
      </c>
      <c r="N1234" s="12" t="n">
        <v>390</v>
      </c>
      <c r="O1234" s="12" t="n">
        <v>780</v>
      </c>
      <c r="P1234" s="12" t="n">
        <v>1560</v>
      </c>
      <c r="Q1234" s="12" t="n"/>
      <c r="R1234" s="13">
        <f>IF(ISNUMBER(M1234),ROUND(M1234/(1-Settings!$B$2)/Settings!$B$3,0)*Settings!$B$3,"")</f>
        <v/>
      </c>
      <c r="S1234" s="13">
        <f>IF(ISNUMBER(N1234),ROUND(N1234/(1-Settings!$B$2)/Settings!$B$3,0)*Settings!$B$3,"")</f>
        <v/>
      </c>
      <c r="T1234" s="13">
        <f>IF(ISNUMBER(O1234),ROUND(O1234/(1-Settings!$B$2)/Settings!$B$3,0)*Settings!$B$3,"")</f>
        <v/>
      </c>
      <c r="U1234" s="13">
        <f>IF(ISNUMBER(P1234),ROUND(P1234/(1-Settings!$B$2)/Settings!$B$3,0)*Settings!$B$3,"")</f>
        <v/>
      </c>
      <c r="V1234" s="13">
        <f>IF(ISNUMBER(Q1234),ROUND(Q1234/(1-Settings!$B$2)/Settings!$B$3,0)*Settings!$B$3,"")</f>
        <v/>
      </c>
      <c r="W1234" s="14" t="n"/>
      <c r="X1234" s="14" t="n"/>
      <c r="Y1234" s="11" t="inlineStr">
        <is>
          <t>2024</t>
        </is>
      </c>
      <c r="Z1234" s="11" t="inlineStr"/>
      <c r="AA1234" s="8" t="inlineStr"/>
      <c r="AB1234" s="16" t="inlineStr">
        <is>
          <t>Rate card older than 2025 - reconfirm</t>
        </is>
      </c>
      <c r="AC1234" s="11" t="inlineStr">
        <is>
          <t>MasterMilitaryOnBaseList 12.2.25 NS.xlsx</t>
        </is>
      </c>
      <c r="AD1234" s="11" t="inlineStr">
        <is>
          <t>Altus Monitor Locations_Info on Posters and Website Advertising.pdf</t>
        </is>
      </c>
      <c r="AE1234" s="15" t="inlineStr">
        <is>
          <t>Open in Box</t>
        </is>
      </c>
      <c r="AF1234" s="15" t="inlineStr">
        <is>
          <t>Open in Box</t>
        </is>
      </c>
    </row>
    <row r="1235">
      <c r="A1235" s="11" t="inlineStr">
        <is>
          <t>OK-FORTSILL-001</t>
        </is>
      </c>
      <c r="B1235" s="8" t="inlineStr">
        <is>
          <t>Fort Sill</t>
        </is>
      </c>
      <c r="C1235" s="11" t="inlineStr"/>
      <c r="D1235" s="11" t="inlineStr">
        <is>
          <t>OK</t>
        </is>
      </c>
      <c r="E1235" s="11" t="inlineStr">
        <is>
          <t>Wichita Falls, TX</t>
        </is>
      </c>
      <c r="F1235" s="11" t="inlineStr"/>
      <c r="G1235" s="11" t="inlineStr">
        <is>
          <t>Army</t>
        </is>
      </c>
      <c r="H1235" s="11" t="inlineStr">
        <is>
          <t>Digital</t>
        </is>
      </c>
      <c r="I1235" s="8" t="inlineStr">
        <is>
          <t>Digital Monitor Network</t>
        </is>
      </c>
      <c r="J1235" s="11" t="inlineStr">
        <is>
          <t>16 screens</t>
        </is>
      </c>
      <c r="K1235" s="8" t="inlineStr">
        <is>
          <t>Your ad will appear on the 16-screen digital monitor network in approved installation facilities.</t>
        </is>
      </c>
      <c r="L1235" s="11" t="n">
        <v>1</v>
      </c>
      <c r="M1235" s="12" t="n">
        <v>650</v>
      </c>
      <c r="N1235" s="12" t="n"/>
      <c r="O1235" s="12" t="n"/>
      <c r="P1235" s="12" t="n"/>
      <c r="Q1235" s="12" t="n"/>
      <c r="R1235" s="13">
        <f>IF(ISNUMBER(M1235),ROUND(M1235/(1-Settings!$B$2)/Settings!$B$3,0)*Settings!$B$3,"")</f>
        <v/>
      </c>
      <c r="S1235" s="13">
        <f>IF(ISNUMBER(N1235),ROUND(N1235/(1-Settings!$B$2)/Settings!$B$3,0)*Settings!$B$3,"")</f>
        <v/>
      </c>
      <c r="T1235" s="13">
        <f>IF(ISNUMBER(O1235),ROUND(O1235/(1-Settings!$B$2)/Settings!$B$3,0)*Settings!$B$3,"")</f>
        <v/>
      </c>
      <c r="U1235" s="13">
        <f>IF(ISNUMBER(P1235),ROUND(P1235/(1-Settings!$B$2)/Settings!$B$3,0)*Settings!$B$3,"")</f>
        <v/>
      </c>
      <c r="V1235" s="13">
        <f>IF(ISNUMBER(Q1235),ROUND(Q1235/(1-Settings!$B$2)/Settings!$B$3,0)*Settings!$B$3,"")</f>
        <v/>
      </c>
      <c r="W1235" s="14" t="n"/>
      <c r="X1235" s="14" t="n"/>
      <c r="Y1235" s="11" t="inlineStr">
        <is>
          <t>2026</t>
        </is>
      </c>
      <c r="Z1235" s="11" t="inlineStr">
        <is>
          <t>2026-06</t>
        </is>
      </c>
      <c r="AA1235" s="8" t="inlineStr"/>
      <c r="AB1235" s="8" t="inlineStr"/>
      <c r="AC1235" s="11" t="inlineStr">
        <is>
          <t>Military - National Digital Inventory Master 6.3.26.xlsx</t>
        </is>
      </c>
      <c r="AD1235" s="11" t="inlineStr">
        <is>
          <t>MWR Advertising Rate Card.pdf</t>
        </is>
      </c>
      <c r="AE1235" s="15" t="inlineStr">
        <is>
          <t>Open in Box</t>
        </is>
      </c>
      <c r="AF1235" s="15" t="inlineStr">
        <is>
          <t>Open in Box</t>
        </is>
      </c>
    </row>
    <row r="1236">
      <c r="A1236" s="11" t="inlineStr">
        <is>
          <t>OK-FORTSILL-003</t>
        </is>
      </c>
      <c r="B1236" s="8" t="inlineStr">
        <is>
          <t>Fort Sill</t>
        </is>
      </c>
      <c r="C1236" s="11" t="inlineStr"/>
      <c r="D1236" s="11" t="inlineStr">
        <is>
          <t>OK</t>
        </is>
      </c>
      <c r="E1236" s="11" t="inlineStr">
        <is>
          <t>Wichita Falls, TX</t>
        </is>
      </c>
      <c r="F1236" s="11" t="inlineStr"/>
      <c r="G1236" s="11" t="inlineStr">
        <is>
          <t>Army</t>
        </is>
      </c>
      <c r="H1236" s="11" t="inlineStr">
        <is>
          <t>Print &amp; Publications</t>
        </is>
      </c>
      <c r="I1236" s="8" t="inlineStr">
        <is>
          <t>Guide / Map Ad</t>
        </is>
      </c>
      <c r="J1236" s="11" t="inlineStr"/>
      <c r="K1236" s="8" t="inlineStr">
        <is>
          <t>Your ad will appear in the installation guide or map.</t>
        </is>
      </c>
      <c r="L1236" s="11" t="n">
        <v>1</v>
      </c>
      <c r="M1236" s="12" t="n">
        <v>5000</v>
      </c>
      <c r="N1236" s="12" t="n"/>
      <c r="O1236" s="12" t="n"/>
      <c r="P1236" s="12" t="n"/>
      <c r="Q1236" s="12" t="n"/>
      <c r="R1236" s="13">
        <f>IF(ISNUMBER(M1236),ROUND(M1236/(1-Settings!$B$2)/Settings!$B$3,0)*Settings!$B$3,"")</f>
        <v/>
      </c>
      <c r="S1236" s="13">
        <f>IF(ISNUMBER(N1236),ROUND(N1236/(1-Settings!$B$2)/Settings!$B$3,0)*Settings!$B$3,"")</f>
        <v/>
      </c>
      <c r="T1236" s="13">
        <f>IF(ISNUMBER(O1236),ROUND(O1236/(1-Settings!$B$2)/Settings!$B$3,0)*Settings!$B$3,"")</f>
        <v/>
      </c>
      <c r="U1236" s="13">
        <f>IF(ISNUMBER(P1236),ROUND(P1236/(1-Settings!$B$2)/Settings!$B$3,0)*Settings!$B$3,"")</f>
        <v/>
      </c>
      <c r="V1236" s="13">
        <f>IF(ISNUMBER(Q1236),ROUND(Q1236/(1-Settings!$B$2)/Settings!$B$3,0)*Settings!$B$3,"")</f>
        <v/>
      </c>
      <c r="W1236" s="14" t="n">
        <v>20000</v>
      </c>
      <c r="X1236" s="14" t="n">
        <v>33000</v>
      </c>
      <c r="Y1236" s="11" t="inlineStr">
        <is>
          <t>2026</t>
        </is>
      </c>
      <c r="Z1236" s="11" t="inlineStr">
        <is>
          <t>2026-06</t>
        </is>
      </c>
      <c r="AA1236" s="8" t="inlineStr"/>
      <c r="AB1236" s="8" t="inlineStr"/>
      <c r="AC1236" s="11" t="inlineStr">
        <is>
          <t>Military - National Publication Inventory Master_June 2026.xlsx</t>
        </is>
      </c>
      <c r="AD1236" s="11" t="inlineStr">
        <is>
          <t>MWR Advertising Rate Card.pdf</t>
        </is>
      </c>
      <c r="AE1236" s="15" t="inlineStr">
        <is>
          <t>Open in Box</t>
        </is>
      </c>
      <c r="AF1236" s="15" t="inlineStr">
        <is>
          <t>Open in Box</t>
        </is>
      </c>
    </row>
    <row r="1237">
      <c r="A1237" s="11" t="inlineStr">
        <is>
          <t>OK-FORTSILL-002</t>
        </is>
      </c>
      <c r="B1237" s="8" t="inlineStr">
        <is>
          <t>Fort Sill</t>
        </is>
      </c>
      <c r="C1237" s="11" t="inlineStr"/>
      <c r="D1237" s="11" t="inlineStr">
        <is>
          <t>OK</t>
        </is>
      </c>
      <c r="E1237" s="11" t="inlineStr">
        <is>
          <t>Wichita Falls, TX</t>
        </is>
      </c>
      <c r="F1237" s="11" t="inlineStr"/>
      <c r="G1237" s="11" t="inlineStr">
        <is>
          <t>Army</t>
        </is>
      </c>
      <c r="H1237" s="11" t="inlineStr">
        <is>
          <t>Web &amp; Email</t>
        </is>
      </c>
      <c r="I1237" s="8" t="inlineStr">
        <is>
          <t>Web Ad</t>
        </is>
      </c>
      <c r="J1237" s="11" t="inlineStr"/>
      <c r="K1237" s="8" t="inlineStr">
        <is>
          <t>Your ad will appear on the installation MWR / FSS website.</t>
        </is>
      </c>
      <c r="L1237" s="11" t="n">
        <v>1</v>
      </c>
      <c r="M1237" s="12" t="n">
        <v>750</v>
      </c>
      <c r="N1237" s="12" t="n"/>
      <c r="O1237" s="12" t="n"/>
      <c r="P1237" s="12" t="n"/>
      <c r="Q1237" s="12" t="n"/>
      <c r="R1237" s="13">
        <f>IF(ISNUMBER(M1237),ROUND(M1237/(1-Settings!$B$2)/Settings!$B$3,0)*Settings!$B$3,"")</f>
        <v/>
      </c>
      <c r="S1237" s="13">
        <f>IF(ISNUMBER(N1237),ROUND(N1237/(1-Settings!$B$2)/Settings!$B$3,0)*Settings!$B$3,"")</f>
        <v/>
      </c>
      <c r="T1237" s="13">
        <f>IF(ISNUMBER(O1237),ROUND(O1237/(1-Settings!$B$2)/Settings!$B$3,0)*Settings!$B$3,"")</f>
        <v/>
      </c>
      <c r="U1237" s="13">
        <f>IF(ISNUMBER(P1237),ROUND(P1237/(1-Settings!$B$2)/Settings!$B$3,0)*Settings!$B$3,"")</f>
        <v/>
      </c>
      <c r="V1237" s="13">
        <f>IF(ISNUMBER(Q1237),ROUND(Q1237/(1-Settings!$B$2)/Settings!$B$3,0)*Settings!$B$3,"")</f>
        <v/>
      </c>
      <c r="W1237" s="14" t="n">
        <v>20000</v>
      </c>
      <c r="X1237" s="14" t="n">
        <v>33000</v>
      </c>
      <c r="Y1237" s="11" t="inlineStr">
        <is>
          <t>2026</t>
        </is>
      </c>
      <c r="Z1237" s="11" t="inlineStr">
        <is>
          <t>2026-06</t>
        </is>
      </c>
      <c r="AA1237" s="8" t="inlineStr"/>
      <c r="AB1237" s="8" t="inlineStr"/>
      <c r="AC1237" s="11" t="inlineStr">
        <is>
          <t>Military - National Publication Inventory Master_June 2026.xlsx</t>
        </is>
      </c>
      <c r="AD1237" s="11" t="inlineStr">
        <is>
          <t>MWR Advertising Rate Card.pdf</t>
        </is>
      </c>
      <c r="AE1237" s="15" t="inlineStr">
        <is>
          <t>Open in Box</t>
        </is>
      </c>
      <c r="AF1237" s="15" t="inlineStr">
        <is>
          <t>Open in Box</t>
        </is>
      </c>
    </row>
    <row r="1238">
      <c r="A1238" s="11" t="inlineStr">
        <is>
          <t>OK-TINKERAF-001</t>
        </is>
      </c>
      <c r="B1238" s="8" t="inlineStr">
        <is>
          <t>Tinker AFB</t>
        </is>
      </c>
      <c r="C1238" s="11" t="inlineStr"/>
      <c r="D1238" s="11" t="inlineStr">
        <is>
          <t>OK</t>
        </is>
      </c>
      <c r="E1238" s="11" t="inlineStr">
        <is>
          <t>Oklahoma City</t>
        </is>
      </c>
      <c r="F1238" s="11" t="inlineStr">
        <is>
          <t>73145</t>
        </is>
      </c>
      <c r="G1238" s="11" t="inlineStr">
        <is>
          <t>Air Force</t>
        </is>
      </c>
      <c r="H1238" s="11" t="inlineStr">
        <is>
          <t>Digital</t>
        </is>
      </c>
      <c r="I1238" s="8" t="inlineStr">
        <is>
          <t>Bowling Scoring Monitors</t>
        </is>
      </c>
      <c r="J1238" s="11" t="inlineStr">
        <is>
          <t>512pxW x 286pxH</t>
        </is>
      </c>
      <c r="K1238" s="8" t="inlineStr">
        <is>
          <t>Your ad will appear on 22 digital bowling scoring monitors.</t>
        </is>
      </c>
      <c r="L1238" s="11" t="n">
        <v>1</v>
      </c>
      <c r="M1238" s="12" t="n">
        <v>200</v>
      </c>
      <c r="N1238" s="12" t="n">
        <v>550</v>
      </c>
      <c r="O1238" s="12" t="n">
        <v>1100</v>
      </c>
      <c r="P1238" s="12" t="n">
        <v>2000</v>
      </c>
      <c r="Q1238" s="12" t="n">
        <v>0</v>
      </c>
      <c r="R1238" s="13">
        <f>IF(ISNUMBER(M1238),ROUND(M1238/(1-Settings!$B$2)/Settings!$B$3,0)*Settings!$B$3,"")</f>
        <v/>
      </c>
      <c r="S1238" s="13">
        <f>IF(ISNUMBER(N1238),ROUND(N1238/(1-Settings!$B$2)/Settings!$B$3,0)*Settings!$B$3,"")</f>
        <v/>
      </c>
      <c r="T1238" s="13">
        <f>IF(ISNUMBER(O1238),ROUND(O1238/(1-Settings!$B$2)/Settings!$B$3,0)*Settings!$B$3,"")</f>
        <v/>
      </c>
      <c r="U1238" s="13">
        <f>IF(ISNUMBER(P1238),ROUND(P1238/(1-Settings!$B$2)/Settings!$B$3,0)*Settings!$B$3,"")</f>
        <v/>
      </c>
      <c r="V1238" s="13">
        <f>IF(ISNUMBER(Q1238),ROUND(Q1238/(1-Settings!$B$2)/Settings!$B$3,0)*Settings!$B$3,"")</f>
        <v/>
      </c>
      <c r="W1238" s="14" t="n">
        <v>30000</v>
      </c>
      <c r="X1238" s="14" t="n"/>
      <c r="Y1238" s="11" t="inlineStr"/>
      <c r="Z1238" s="11" t="inlineStr"/>
      <c r="AA1238" s="8" t="inlineStr"/>
      <c r="AB1238" s="8" t="inlineStr"/>
      <c r="AC1238" s="11" t="inlineStr">
        <is>
          <t>MasterMilitaryOnBaseList 12.2.25 NS.xlsx</t>
        </is>
      </c>
      <c r="AD1238" s="11" t="inlineStr">
        <is>
          <t>Tinker AFB Digital Specs_Aug 2026.docx</t>
        </is>
      </c>
      <c r="AE1238" s="15" t="inlineStr">
        <is>
          <t>Open in Box</t>
        </is>
      </c>
      <c r="AF1238" s="15" t="inlineStr">
        <is>
          <t>Open in Box</t>
        </is>
      </c>
    </row>
    <row r="1239">
      <c r="A1239" s="11" t="inlineStr">
        <is>
          <t>OK-TINKERAF-012</t>
        </is>
      </c>
      <c r="B1239" s="8" t="inlineStr">
        <is>
          <t>Tinker AFB</t>
        </is>
      </c>
      <c r="C1239" s="11" t="inlineStr"/>
      <c r="D1239" s="11" t="inlineStr">
        <is>
          <t>OK</t>
        </is>
      </c>
      <c r="E1239" s="11" t="inlineStr">
        <is>
          <t>Oklahoma City</t>
        </is>
      </c>
      <c r="F1239" s="11" t="inlineStr"/>
      <c r="G1239" s="11" t="inlineStr">
        <is>
          <t>Air Force</t>
        </is>
      </c>
      <c r="H1239" s="11" t="inlineStr">
        <is>
          <t>Digital</t>
        </is>
      </c>
      <c r="I1239" s="8" t="inlineStr">
        <is>
          <t>Digital Monitor Network</t>
        </is>
      </c>
      <c r="J1239" s="11" t="inlineStr">
        <is>
          <t>6 screens</t>
        </is>
      </c>
      <c r="K1239" s="8" t="inlineStr">
        <is>
          <t>Your ad will appear on the 6-screen digital monitor network in approved installation facilities.</t>
        </is>
      </c>
      <c r="L1239" s="11" t="n">
        <v>1</v>
      </c>
      <c r="M1239" s="12" t="n">
        <v>700</v>
      </c>
      <c r="N1239" s="12" t="n"/>
      <c r="O1239" s="12" t="n"/>
      <c r="P1239" s="12" t="n"/>
      <c r="Q1239" s="12" t="n"/>
      <c r="R1239" s="13">
        <f>IF(ISNUMBER(M1239),ROUND(M1239/(1-Settings!$B$2)/Settings!$B$3,0)*Settings!$B$3,"")</f>
        <v/>
      </c>
      <c r="S1239" s="13">
        <f>IF(ISNUMBER(N1239),ROUND(N1239/(1-Settings!$B$2)/Settings!$B$3,0)*Settings!$B$3,"")</f>
        <v/>
      </c>
      <c r="T1239" s="13">
        <f>IF(ISNUMBER(O1239),ROUND(O1239/(1-Settings!$B$2)/Settings!$B$3,0)*Settings!$B$3,"")</f>
        <v/>
      </c>
      <c r="U1239" s="13">
        <f>IF(ISNUMBER(P1239),ROUND(P1239/(1-Settings!$B$2)/Settings!$B$3,0)*Settings!$B$3,"")</f>
        <v/>
      </c>
      <c r="V1239" s="13">
        <f>IF(ISNUMBER(Q1239),ROUND(Q1239/(1-Settings!$B$2)/Settings!$B$3,0)*Settings!$B$3,"")</f>
        <v/>
      </c>
      <c r="W1239" s="14" t="n"/>
      <c r="X1239" s="14" t="n"/>
      <c r="Y1239" s="11" t="inlineStr">
        <is>
          <t>2026</t>
        </is>
      </c>
      <c r="Z1239" s="11" t="inlineStr">
        <is>
          <t>2026-06</t>
        </is>
      </c>
      <c r="AA1239" s="8" t="inlineStr"/>
      <c r="AB1239" s="8" t="inlineStr"/>
      <c r="AC1239" s="11" t="inlineStr">
        <is>
          <t>Military - National Digital Inventory Master 6.3.26.xlsx</t>
        </is>
      </c>
      <c r="AD1239" s="11" t="inlineStr">
        <is>
          <t>Tinker AFB Digital Specs_Aug 2026.docx</t>
        </is>
      </c>
      <c r="AE1239" s="15" t="inlineStr">
        <is>
          <t>Open in Box</t>
        </is>
      </c>
      <c r="AF1239" s="15" t="inlineStr">
        <is>
          <t>Open in Box</t>
        </is>
      </c>
    </row>
    <row r="1240">
      <c r="A1240" s="11" t="inlineStr">
        <is>
          <t>OK-TINKERAF-007</t>
        </is>
      </c>
      <c r="B1240" s="8" t="inlineStr">
        <is>
          <t>Tinker AFB</t>
        </is>
      </c>
      <c r="C1240" s="11" t="inlineStr"/>
      <c r="D1240" s="11" t="inlineStr">
        <is>
          <t>OK</t>
        </is>
      </c>
      <c r="E1240" s="11" t="inlineStr">
        <is>
          <t>Oklahoma City</t>
        </is>
      </c>
      <c r="F1240" s="11" t="inlineStr">
        <is>
          <t>73145</t>
        </is>
      </c>
      <c r="G1240" s="11" t="inlineStr">
        <is>
          <t>Air Force</t>
        </is>
      </c>
      <c r="H1240" s="11" t="inlineStr">
        <is>
          <t>Print &amp; Publications</t>
        </is>
      </c>
      <c r="I1240" s="8" t="inlineStr">
        <is>
          <t>Flyers</t>
        </is>
      </c>
      <c r="J1240" s="11" t="inlineStr">
        <is>
          <t>TBD</t>
        </is>
      </c>
      <c r="K1240" s="8" t="inlineStr">
        <is>
          <t>Your ad will appear at 6 approved installation facilities.</t>
        </is>
      </c>
      <c r="L1240" s="11" t="n">
        <v>1</v>
      </c>
      <c r="M1240" s="12" t="n">
        <v>700</v>
      </c>
      <c r="N1240" s="12" t="n">
        <v>2000</v>
      </c>
      <c r="O1240" s="12" t="n">
        <v>4000</v>
      </c>
      <c r="P1240" s="12" t="n">
        <v>6500</v>
      </c>
      <c r="Q1240" s="12" t="n"/>
      <c r="R1240" s="13">
        <f>IF(ISNUMBER(M1240),ROUND(M1240/(1-Settings!$B$2)/Settings!$B$3,0)*Settings!$B$3,"")</f>
        <v/>
      </c>
      <c r="S1240" s="13">
        <f>IF(ISNUMBER(N1240),ROUND(N1240/(1-Settings!$B$2)/Settings!$B$3,0)*Settings!$B$3,"")</f>
        <v/>
      </c>
      <c r="T1240" s="13">
        <f>IF(ISNUMBER(O1240),ROUND(O1240/(1-Settings!$B$2)/Settings!$B$3,0)*Settings!$B$3,"")</f>
        <v/>
      </c>
      <c r="U1240" s="13">
        <f>IF(ISNUMBER(P1240),ROUND(P1240/(1-Settings!$B$2)/Settings!$B$3,0)*Settings!$B$3,"")</f>
        <v/>
      </c>
      <c r="V1240" s="13">
        <f>IF(ISNUMBER(Q1240),ROUND(Q1240/(1-Settings!$B$2)/Settings!$B$3,0)*Settings!$B$3,"")</f>
        <v/>
      </c>
      <c r="W1240" s="14" t="n">
        <v>30000</v>
      </c>
      <c r="X1240" s="14" t="n"/>
      <c r="Y1240" s="11" t="inlineStr"/>
      <c r="Z1240" s="11" t="inlineStr"/>
      <c r="AA1240" s="8" t="inlineStr"/>
      <c r="AB1240" s="8" t="inlineStr"/>
      <c r="AC1240" s="11" t="inlineStr">
        <is>
          <t>MasterMilitaryOnBaseList 12.2.25 NS.xlsx</t>
        </is>
      </c>
      <c r="AD1240" s="11" t="inlineStr">
        <is>
          <t>Tinker AFB Digital Specs_Aug 2026.docx</t>
        </is>
      </c>
      <c r="AE1240" s="15" t="inlineStr">
        <is>
          <t>Open in Box</t>
        </is>
      </c>
      <c r="AF1240" s="15" t="inlineStr">
        <is>
          <t>Open in Box</t>
        </is>
      </c>
    </row>
    <row r="1241">
      <c r="A1241" s="11" t="inlineStr">
        <is>
          <t>OK-TINKERAF-008</t>
        </is>
      </c>
      <c r="B1241" s="8" t="inlineStr">
        <is>
          <t>Tinker AFB</t>
        </is>
      </c>
      <c r="C1241" s="11" t="inlineStr"/>
      <c r="D1241" s="11" t="inlineStr">
        <is>
          <t>OK</t>
        </is>
      </c>
      <c r="E1241" s="11" t="inlineStr">
        <is>
          <t>Oklahoma City</t>
        </is>
      </c>
      <c r="F1241" s="11" t="inlineStr">
        <is>
          <t>73145</t>
        </is>
      </c>
      <c r="G1241" s="11" t="inlineStr">
        <is>
          <t>Air Force</t>
        </is>
      </c>
      <c r="H1241" s="11" t="inlineStr">
        <is>
          <t>Print &amp; Publications</t>
        </is>
      </c>
      <c r="I1241" s="8" t="inlineStr">
        <is>
          <t>Golf Score Cards</t>
        </is>
      </c>
      <c r="J1241" s="11" t="inlineStr">
        <is>
          <t>TBD</t>
        </is>
      </c>
      <c r="K1241" s="8" t="inlineStr">
        <is>
          <t>Your ad will appear on the golf course score card.</t>
        </is>
      </c>
      <c r="L1241" s="11" t="n">
        <v>12</v>
      </c>
      <c r="M1241" s="12" t="n"/>
      <c r="N1241" s="12" t="n"/>
      <c r="O1241" s="12" t="n"/>
      <c r="P1241" s="12" t="n">
        <v>1500</v>
      </c>
      <c r="Q1241" s="12" t="n">
        <v>0</v>
      </c>
      <c r="R1241" s="13">
        <f>IF(ISNUMBER(M1241),ROUND(M1241/(1-Settings!$B$2)/Settings!$B$3,0)*Settings!$B$3,"")</f>
        <v/>
      </c>
      <c r="S1241" s="13">
        <f>IF(ISNUMBER(N1241),ROUND(N1241/(1-Settings!$B$2)/Settings!$B$3,0)*Settings!$B$3,"")</f>
        <v/>
      </c>
      <c r="T1241" s="13">
        <f>IF(ISNUMBER(O1241),ROUND(O1241/(1-Settings!$B$2)/Settings!$B$3,0)*Settings!$B$3,"")</f>
        <v/>
      </c>
      <c r="U1241" s="13">
        <f>IF(ISNUMBER(P1241),ROUND(P1241/(1-Settings!$B$2)/Settings!$B$3,0)*Settings!$B$3,"")</f>
        <v/>
      </c>
      <c r="V1241" s="13">
        <f>IF(ISNUMBER(Q1241),ROUND(Q1241/(1-Settings!$B$2)/Settings!$B$3,0)*Settings!$B$3,"")</f>
        <v/>
      </c>
      <c r="W1241" s="14" t="n">
        <v>30000</v>
      </c>
      <c r="X1241" s="14" t="n"/>
      <c r="Y1241" s="11" t="inlineStr"/>
      <c r="Z1241" s="11" t="inlineStr"/>
      <c r="AA1241" s="8" t="inlineStr">
        <is>
          <t>Inventory master 6/2026 lists Golf Scorecard Ad at $1,500 (12 mo)</t>
        </is>
      </c>
      <c r="AB1241" s="16" t="inlineStr">
        <is>
          <t>Source formula errors</t>
        </is>
      </c>
      <c r="AC1241" s="11" t="inlineStr">
        <is>
          <t>MasterMilitaryOnBaseList 12.2.25 NS.xlsx</t>
        </is>
      </c>
      <c r="AD1241" s="11" t="inlineStr">
        <is>
          <t>Tinker AFB Digital Specs_Aug 2026.docx</t>
        </is>
      </c>
      <c r="AE1241" s="15" t="inlineStr">
        <is>
          <t>Open in Box</t>
        </is>
      </c>
      <c r="AF1241" s="15" t="inlineStr">
        <is>
          <t>Open in Box</t>
        </is>
      </c>
    </row>
    <row r="1242">
      <c r="A1242" s="11" t="inlineStr">
        <is>
          <t>OK-TINKERAF-009</t>
        </is>
      </c>
      <c r="B1242" s="8" t="inlineStr">
        <is>
          <t>Tinker AFB</t>
        </is>
      </c>
      <c r="C1242" s="11" t="inlineStr"/>
      <c r="D1242" s="11" t="inlineStr">
        <is>
          <t>OK</t>
        </is>
      </c>
      <c r="E1242" s="11" t="inlineStr">
        <is>
          <t>Oklahoma City</t>
        </is>
      </c>
      <c r="F1242" s="11" t="inlineStr">
        <is>
          <t>73145</t>
        </is>
      </c>
      <c r="G1242" s="11" t="inlineStr">
        <is>
          <t>Air Force</t>
        </is>
      </c>
      <c r="H1242" s="11" t="inlineStr">
        <is>
          <t>Print &amp; Publications</t>
        </is>
      </c>
      <c r="I1242" s="8" t="inlineStr">
        <is>
          <t>Magazine</t>
        </is>
      </c>
      <c r="J1242" s="11" t="inlineStr">
        <is>
          <t>TBD</t>
        </is>
      </c>
      <c r="K1242" s="8" t="inlineStr">
        <is>
          <t>Your full page ad will appear in the monthly magazine.</t>
        </is>
      </c>
      <c r="L1242" s="11" t="n">
        <v>1</v>
      </c>
      <c r="M1242" s="12" t="n">
        <v>350</v>
      </c>
      <c r="N1242" s="12" t="n">
        <v>450</v>
      </c>
      <c r="O1242" s="12" t="n">
        <v>900</v>
      </c>
      <c r="P1242" s="12" t="n">
        <v>1600</v>
      </c>
      <c r="Q1242" s="12" t="n">
        <v>0</v>
      </c>
      <c r="R1242" s="13">
        <f>IF(ISNUMBER(M1242),ROUND(M1242/(1-Settings!$B$2)/Settings!$B$3,0)*Settings!$B$3,"")</f>
        <v/>
      </c>
      <c r="S1242" s="13">
        <f>IF(ISNUMBER(N1242),ROUND(N1242/(1-Settings!$B$2)/Settings!$B$3,0)*Settings!$B$3,"")</f>
        <v/>
      </c>
      <c r="T1242" s="13">
        <f>IF(ISNUMBER(O1242),ROUND(O1242/(1-Settings!$B$2)/Settings!$B$3,0)*Settings!$B$3,"")</f>
        <v/>
      </c>
      <c r="U1242" s="13">
        <f>IF(ISNUMBER(P1242),ROUND(P1242/(1-Settings!$B$2)/Settings!$B$3,0)*Settings!$B$3,"")</f>
        <v/>
      </c>
      <c r="V1242" s="13">
        <f>IF(ISNUMBER(Q1242),ROUND(Q1242/(1-Settings!$B$2)/Settings!$B$3,0)*Settings!$B$3,"")</f>
        <v/>
      </c>
      <c r="W1242" s="14" t="n">
        <v>30000</v>
      </c>
      <c r="X1242" s="14" t="n"/>
      <c r="Y1242" s="11" t="inlineStr"/>
      <c r="Z1242" s="11" t="inlineStr"/>
      <c r="AA1242" s="8" t="inlineStr">
        <is>
          <t>Inventory master 6/2026 lists Magazine Ad at $250 (12 mo)</t>
        </is>
      </c>
      <c r="AB1242" s="8" t="inlineStr"/>
      <c r="AC1242" s="11" t="inlineStr">
        <is>
          <t>MasterMilitaryOnBaseList 12.2.25 NS.xlsx</t>
        </is>
      </c>
      <c r="AD1242" s="11" t="inlineStr">
        <is>
          <t>Tinker AFB Digital Specs_Aug 2026.docx</t>
        </is>
      </c>
      <c r="AE1242" s="15" t="inlineStr">
        <is>
          <t>Open in Box</t>
        </is>
      </c>
      <c r="AF1242" s="15" t="inlineStr">
        <is>
          <t>Open in Box</t>
        </is>
      </c>
    </row>
    <row r="1243">
      <c r="A1243" s="11" t="inlineStr">
        <is>
          <t>OK-TINKERAF-010</t>
        </is>
      </c>
      <c r="B1243" s="8" t="inlineStr">
        <is>
          <t>Tinker AFB</t>
        </is>
      </c>
      <c r="C1243" s="11" t="inlineStr"/>
      <c r="D1243" s="11" t="inlineStr">
        <is>
          <t>OK</t>
        </is>
      </c>
      <c r="E1243" s="11" t="inlineStr">
        <is>
          <t>Oklahoma City</t>
        </is>
      </c>
      <c r="F1243" s="11" t="inlineStr">
        <is>
          <t>73145</t>
        </is>
      </c>
      <c r="G1243" s="11" t="inlineStr">
        <is>
          <t>Air Force</t>
        </is>
      </c>
      <c r="H1243" s="11" t="inlineStr">
        <is>
          <t>Sponsorship &amp; Other</t>
        </is>
      </c>
      <c r="I1243" s="8" t="inlineStr">
        <is>
          <t>Golf Cart Magnet</t>
        </is>
      </c>
      <c r="J1243" s="11" t="inlineStr">
        <is>
          <t>TBD</t>
        </is>
      </c>
      <c r="K1243" s="8" t="inlineStr">
        <is>
          <t>Your ad will appear on approved golf carts.</t>
        </is>
      </c>
      <c r="L1243" s="11" t="n">
        <v>6</v>
      </c>
      <c r="M1243" s="12" t="n"/>
      <c r="N1243" s="12" t="n"/>
      <c r="O1243" s="12" t="n">
        <v>500</v>
      </c>
      <c r="P1243" s="12" t="n"/>
      <c r="Q1243" s="12" t="n"/>
      <c r="R1243" s="13">
        <f>IF(ISNUMBER(M1243),ROUND(M1243/(1-Settings!$B$2)/Settings!$B$3,0)*Settings!$B$3,"")</f>
        <v/>
      </c>
      <c r="S1243" s="13">
        <f>IF(ISNUMBER(N1243),ROUND(N1243/(1-Settings!$B$2)/Settings!$B$3,0)*Settings!$B$3,"")</f>
        <v/>
      </c>
      <c r="T1243" s="13">
        <f>IF(ISNUMBER(O1243),ROUND(O1243/(1-Settings!$B$2)/Settings!$B$3,0)*Settings!$B$3,"")</f>
        <v/>
      </c>
      <c r="U1243" s="13">
        <f>IF(ISNUMBER(P1243),ROUND(P1243/(1-Settings!$B$2)/Settings!$B$3,0)*Settings!$B$3,"")</f>
        <v/>
      </c>
      <c r="V1243" s="13">
        <f>IF(ISNUMBER(Q1243),ROUND(Q1243/(1-Settings!$B$2)/Settings!$B$3,0)*Settings!$B$3,"")</f>
        <v/>
      </c>
      <c r="W1243" s="14" t="n">
        <v>30000</v>
      </c>
      <c r="X1243" s="14" t="n"/>
      <c r="Y1243" s="11" t="inlineStr"/>
      <c r="Z1243" s="11" t="inlineStr"/>
      <c r="AA1243" s="8" t="inlineStr"/>
      <c r="AB1243" s="16" t="inlineStr">
        <is>
          <t>Source formula errors</t>
        </is>
      </c>
      <c r="AC1243" s="11" t="inlineStr">
        <is>
          <t>MasterMilitaryOnBaseList 12.2.25 NS.xlsx</t>
        </is>
      </c>
      <c r="AD1243" s="11" t="inlineStr">
        <is>
          <t>Tinker AFB Digital Specs_Aug 2026.docx</t>
        </is>
      </c>
      <c r="AE1243" s="15" t="inlineStr">
        <is>
          <t>Open in Box</t>
        </is>
      </c>
      <c r="AF1243" s="15" t="inlineStr">
        <is>
          <t>Open in Box</t>
        </is>
      </c>
    </row>
    <row r="1244">
      <c r="A1244" s="11" t="inlineStr">
        <is>
          <t>OK-TINKERAF-011</t>
        </is>
      </c>
      <c r="B1244" s="8" t="inlineStr">
        <is>
          <t>Tinker AFB</t>
        </is>
      </c>
      <c r="C1244" s="11" t="inlineStr"/>
      <c r="D1244" s="11" t="inlineStr">
        <is>
          <t>OK</t>
        </is>
      </c>
      <c r="E1244" s="11" t="inlineStr">
        <is>
          <t>Oklahoma City</t>
        </is>
      </c>
      <c r="F1244" s="11" t="inlineStr">
        <is>
          <t>73145</t>
        </is>
      </c>
      <c r="G1244" s="11" t="inlineStr">
        <is>
          <t>Air Force</t>
        </is>
      </c>
      <c r="H1244" s="11" t="inlineStr">
        <is>
          <t>Sponsorship &amp; Other</t>
        </is>
      </c>
      <c r="I1244" s="8" t="inlineStr">
        <is>
          <t>Golf Course Range Ball</t>
        </is>
      </c>
      <c r="J1244" s="11" t="inlineStr">
        <is>
          <t>TBD</t>
        </is>
      </c>
      <c r="K1244" s="8" t="inlineStr">
        <is>
          <t>Your ad will appear on 24,000 range balls.</t>
        </is>
      </c>
      <c r="L1244" s="11" t="n">
        <v>12</v>
      </c>
      <c r="M1244" s="12" t="n"/>
      <c r="N1244" s="12" t="n"/>
      <c r="O1244" s="12" t="n"/>
      <c r="P1244" s="12" t="n">
        <v>13000</v>
      </c>
      <c r="Q1244" s="12" t="n">
        <v>0</v>
      </c>
      <c r="R1244" s="13">
        <f>IF(ISNUMBER(M1244),ROUND(M1244/(1-Settings!$B$2)/Settings!$B$3,0)*Settings!$B$3,"")</f>
        <v/>
      </c>
      <c r="S1244" s="13">
        <f>IF(ISNUMBER(N1244),ROUND(N1244/(1-Settings!$B$2)/Settings!$B$3,0)*Settings!$B$3,"")</f>
        <v/>
      </c>
      <c r="T1244" s="13">
        <f>IF(ISNUMBER(O1244),ROUND(O1244/(1-Settings!$B$2)/Settings!$B$3,0)*Settings!$B$3,"")</f>
        <v/>
      </c>
      <c r="U1244" s="13">
        <f>IF(ISNUMBER(P1244),ROUND(P1244/(1-Settings!$B$2)/Settings!$B$3,0)*Settings!$B$3,"")</f>
        <v/>
      </c>
      <c r="V1244" s="13">
        <f>IF(ISNUMBER(Q1244),ROUND(Q1244/(1-Settings!$B$2)/Settings!$B$3,0)*Settings!$B$3,"")</f>
        <v/>
      </c>
      <c r="W1244" s="14" t="n">
        <v>30000</v>
      </c>
      <c r="X1244" s="14" t="n"/>
      <c r="Y1244" s="11" t="inlineStr"/>
      <c r="Z1244" s="11" t="inlineStr"/>
      <c r="AA1244" s="8" t="inlineStr"/>
      <c r="AB1244" s="16" t="inlineStr">
        <is>
          <t>Source formula errors</t>
        </is>
      </c>
      <c r="AC1244" s="11" t="inlineStr">
        <is>
          <t>MasterMilitaryOnBaseList 12.2.25 NS.xlsx</t>
        </is>
      </c>
      <c r="AD1244" s="11" t="inlineStr">
        <is>
          <t>Tinker AFB Digital Specs_Aug 2026.docx</t>
        </is>
      </c>
      <c r="AE1244" s="15" t="inlineStr">
        <is>
          <t>Open in Box</t>
        </is>
      </c>
      <c r="AF1244" s="15" t="inlineStr">
        <is>
          <t>Open in Box</t>
        </is>
      </c>
    </row>
    <row r="1245">
      <c r="A1245" s="11" t="inlineStr">
        <is>
          <t>OK-TINKERAF-002</t>
        </is>
      </c>
      <c r="B1245" s="8" t="inlineStr">
        <is>
          <t>Tinker AFB</t>
        </is>
      </c>
      <c r="C1245" s="11" t="inlineStr"/>
      <c r="D1245" s="11" t="inlineStr">
        <is>
          <t>OK</t>
        </is>
      </c>
      <c r="E1245" s="11" t="inlineStr">
        <is>
          <t>Oklahoma City</t>
        </is>
      </c>
      <c r="F1245" s="11" t="inlineStr">
        <is>
          <t>73145</t>
        </is>
      </c>
      <c r="G1245" s="11" t="inlineStr">
        <is>
          <t>Air Force</t>
        </is>
      </c>
      <c r="H1245" s="11" t="inlineStr">
        <is>
          <t>Standard Media</t>
        </is>
      </c>
      <c r="I1245" s="8" t="inlineStr">
        <is>
          <t>Banner</t>
        </is>
      </c>
      <c r="J1245" s="11" t="inlineStr">
        <is>
          <t>6'W x 3'H</t>
        </is>
      </c>
      <c r="K1245" s="8" t="inlineStr">
        <is>
          <t>Your ad will appear at an approved installation facility.</t>
        </is>
      </c>
      <c r="L1245" s="11" t="n">
        <v>1</v>
      </c>
      <c r="M1245" s="12" t="n">
        <v>300</v>
      </c>
      <c r="N1245" s="12" t="n">
        <v>825</v>
      </c>
      <c r="O1245" s="12" t="n">
        <v>1650</v>
      </c>
      <c r="P1245" s="12" t="n">
        <v>3000</v>
      </c>
      <c r="Q1245" s="12" t="n">
        <v>200</v>
      </c>
      <c r="R1245" s="13">
        <f>IF(ISNUMBER(M1245),ROUND(M1245/(1-Settings!$B$2)/Settings!$B$3,0)*Settings!$B$3,"")</f>
        <v/>
      </c>
      <c r="S1245" s="13">
        <f>IF(ISNUMBER(N1245),ROUND(N1245/(1-Settings!$B$2)/Settings!$B$3,0)*Settings!$B$3,"")</f>
        <v/>
      </c>
      <c r="T1245" s="13">
        <f>IF(ISNUMBER(O1245),ROUND(O1245/(1-Settings!$B$2)/Settings!$B$3,0)*Settings!$B$3,"")</f>
        <v/>
      </c>
      <c r="U1245" s="13">
        <f>IF(ISNUMBER(P1245),ROUND(P1245/(1-Settings!$B$2)/Settings!$B$3,0)*Settings!$B$3,"")</f>
        <v/>
      </c>
      <c r="V1245" s="13">
        <f>IF(ISNUMBER(Q1245),ROUND(Q1245/(1-Settings!$B$2)/Settings!$B$3,0)*Settings!$B$3,"")</f>
        <v/>
      </c>
      <c r="W1245" s="14" t="n">
        <v>30000</v>
      </c>
      <c r="X1245" s="14" t="n"/>
      <c r="Y1245" s="11" t="inlineStr"/>
      <c r="Z1245" s="11" t="inlineStr"/>
      <c r="AA1245" s="8" t="inlineStr"/>
      <c r="AB1245" s="8" t="inlineStr"/>
      <c r="AC1245" s="11" t="inlineStr">
        <is>
          <t>MasterMilitaryOnBaseList 12.2.25 NS.xlsx</t>
        </is>
      </c>
      <c r="AD1245" s="11" t="inlineStr">
        <is>
          <t>Tinker AFB Digital Specs_Aug 2026.docx</t>
        </is>
      </c>
      <c r="AE1245" s="15" t="inlineStr">
        <is>
          <t>Open in Box</t>
        </is>
      </c>
      <c r="AF1245" s="15" t="inlineStr">
        <is>
          <t>Open in Box</t>
        </is>
      </c>
    </row>
    <row r="1246">
      <c r="A1246" s="11" t="inlineStr">
        <is>
          <t>OK-TINKERAF-003</t>
        </is>
      </c>
      <c r="B1246" s="8" t="inlineStr">
        <is>
          <t>Tinker AFB</t>
        </is>
      </c>
      <c r="C1246" s="11" t="inlineStr"/>
      <c r="D1246" s="11" t="inlineStr">
        <is>
          <t>OK</t>
        </is>
      </c>
      <c r="E1246" s="11" t="inlineStr">
        <is>
          <t>Oklahoma City</t>
        </is>
      </c>
      <c r="F1246" s="11" t="inlineStr">
        <is>
          <t>73145</t>
        </is>
      </c>
      <c r="G1246" s="11" t="inlineStr">
        <is>
          <t>Air Force</t>
        </is>
      </c>
      <c r="H1246" s="11" t="inlineStr">
        <is>
          <t>Standard Media</t>
        </is>
      </c>
      <c r="I1246" s="8" t="inlineStr">
        <is>
          <t>Golf Banner</t>
        </is>
      </c>
      <c r="J1246" s="11" t="inlineStr">
        <is>
          <t>6'W x 3'H</t>
        </is>
      </c>
      <c r="K1246" s="8" t="inlineStr">
        <is>
          <t>Your ad will appear at the golf course.</t>
        </is>
      </c>
      <c r="L1246" s="11" t="n">
        <v>6</v>
      </c>
      <c r="M1246" s="12" t="n"/>
      <c r="N1246" s="12" t="n"/>
      <c r="O1246" s="12" t="n">
        <v>1500</v>
      </c>
      <c r="P1246" s="12" t="n"/>
      <c r="Q1246" s="12" t="n">
        <v>200</v>
      </c>
      <c r="R1246" s="13">
        <f>IF(ISNUMBER(M1246),ROUND(M1246/(1-Settings!$B$2)/Settings!$B$3,0)*Settings!$B$3,"")</f>
        <v/>
      </c>
      <c r="S1246" s="13">
        <f>IF(ISNUMBER(N1246),ROUND(N1246/(1-Settings!$B$2)/Settings!$B$3,0)*Settings!$B$3,"")</f>
        <v/>
      </c>
      <c r="T1246" s="13">
        <f>IF(ISNUMBER(O1246),ROUND(O1246/(1-Settings!$B$2)/Settings!$B$3,0)*Settings!$B$3,"")</f>
        <v/>
      </c>
      <c r="U1246" s="13">
        <f>IF(ISNUMBER(P1246),ROUND(P1246/(1-Settings!$B$2)/Settings!$B$3,0)*Settings!$B$3,"")</f>
        <v/>
      </c>
      <c r="V1246" s="13">
        <f>IF(ISNUMBER(Q1246),ROUND(Q1246/(1-Settings!$B$2)/Settings!$B$3,0)*Settings!$B$3,"")</f>
        <v/>
      </c>
      <c r="W1246" s="14" t="n">
        <v>30000</v>
      </c>
      <c r="X1246" s="14" t="n"/>
      <c r="Y1246" s="11" t="inlineStr"/>
      <c r="Z1246" s="11" t="inlineStr"/>
      <c r="AA1246" s="8" t="inlineStr"/>
      <c r="AB1246" s="16" t="inlineStr">
        <is>
          <t>Source formula errors</t>
        </is>
      </c>
      <c r="AC1246" s="11" t="inlineStr">
        <is>
          <t>MasterMilitaryOnBaseList 12.2.25 NS.xlsx</t>
        </is>
      </c>
      <c r="AD1246" s="11" t="inlineStr">
        <is>
          <t>Tinker AFB Digital Specs_Aug 2026.docx</t>
        </is>
      </c>
      <c r="AE1246" s="15" t="inlineStr">
        <is>
          <t>Open in Box</t>
        </is>
      </c>
      <c r="AF1246" s="15" t="inlineStr">
        <is>
          <t>Open in Box</t>
        </is>
      </c>
    </row>
    <row r="1247">
      <c r="A1247" s="11" t="inlineStr">
        <is>
          <t>OK-TINKERAF-004</t>
        </is>
      </c>
      <c r="B1247" s="8" t="inlineStr">
        <is>
          <t>Tinker AFB</t>
        </is>
      </c>
      <c r="C1247" s="11" t="inlineStr"/>
      <c r="D1247" s="11" t="inlineStr">
        <is>
          <t>OK</t>
        </is>
      </c>
      <c r="E1247" s="11" t="inlineStr">
        <is>
          <t>Oklahoma City</t>
        </is>
      </c>
      <c r="F1247" s="11" t="inlineStr">
        <is>
          <t>73145</t>
        </is>
      </c>
      <c r="G1247" s="11" t="inlineStr">
        <is>
          <t>Air Force</t>
        </is>
      </c>
      <c r="H1247" s="11" t="inlineStr">
        <is>
          <t>Standard Media</t>
        </is>
      </c>
      <c r="I1247" s="8" t="inlineStr">
        <is>
          <t>Golf Course Hole Marker</t>
        </is>
      </c>
      <c r="J1247" s="11" t="inlineStr">
        <is>
          <t>14"W x 7"H</t>
        </is>
      </c>
      <c r="K1247" s="8" t="inlineStr">
        <is>
          <t>Your ad will appear at one golf tee box.</t>
        </is>
      </c>
      <c r="L1247" s="11" t="n">
        <v>6</v>
      </c>
      <c r="M1247" s="12" t="n"/>
      <c r="N1247" s="12" t="n"/>
      <c r="O1247" s="12" t="n">
        <v>900</v>
      </c>
      <c r="P1247" s="12" t="n">
        <v>1800</v>
      </c>
      <c r="Q1247" s="12" t="n"/>
      <c r="R1247" s="13">
        <f>IF(ISNUMBER(M1247),ROUND(M1247/(1-Settings!$B$2)/Settings!$B$3,0)*Settings!$B$3,"")</f>
        <v/>
      </c>
      <c r="S1247" s="13">
        <f>IF(ISNUMBER(N1247),ROUND(N1247/(1-Settings!$B$2)/Settings!$B$3,0)*Settings!$B$3,"")</f>
        <v/>
      </c>
      <c r="T1247" s="13">
        <f>IF(ISNUMBER(O1247),ROUND(O1247/(1-Settings!$B$2)/Settings!$B$3,0)*Settings!$B$3,"")</f>
        <v/>
      </c>
      <c r="U1247" s="13">
        <f>IF(ISNUMBER(P1247),ROUND(P1247/(1-Settings!$B$2)/Settings!$B$3,0)*Settings!$B$3,"")</f>
        <v/>
      </c>
      <c r="V1247" s="13">
        <f>IF(ISNUMBER(Q1247),ROUND(Q1247/(1-Settings!$B$2)/Settings!$B$3,0)*Settings!$B$3,"")</f>
        <v/>
      </c>
      <c r="W1247" s="14" t="n">
        <v>30000</v>
      </c>
      <c r="X1247" s="14" t="n"/>
      <c r="Y1247" s="11" t="inlineStr"/>
      <c r="Z1247" s="11" t="inlineStr"/>
      <c r="AA1247" s="8" t="inlineStr"/>
      <c r="AB1247" s="16" t="inlineStr">
        <is>
          <t>Source formula errors</t>
        </is>
      </c>
      <c r="AC1247" s="11" t="inlineStr">
        <is>
          <t>MasterMilitaryOnBaseList 12.2.25 NS.xlsx</t>
        </is>
      </c>
      <c r="AD1247" s="11" t="inlineStr">
        <is>
          <t>Tinker AFB Digital Specs_Aug 2026.docx</t>
        </is>
      </c>
      <c r="AE1247" s="15" t="inlineStr">
        <is>
          <t>Open in Box</t>
        </is>
      </c>
      <c r="AF1247" s="15" t="inlineStr">
        <is>
          <t>Open in Box</t>
        </is>
      </c>
    </row>
    <row r="1248">
      <c r="A1248" s="11" t="inlineStr">
        <is>
          <t>OK-TINKERAF-005</t>
        </is>
      </c>
      <c r="B1248" s="8" t="inlineStr">
        <is>
          <t>Tinker AFB</t>
        </is>
      </c>
      <c r="C1248" s="11" t="inlineStr"/>
      <c r="D1248" s="11" t="inlineStr">
        <is>
          <t>OK</t>
        </is>
      </c>
      <c r="E1248" s="11" t="inlineStr">
        <is>
          <t>Oklahoma City</t>
        </is>
      </c>
      <c r="F1248" s="11" t="inlineStr">
        <is>
          <t>73145</t>
        </is>
      </c>
      <c r="G1248" s="11" t="inlineStr">
        <is>
          <t>Air Force</t>
        </is>
      </c>
      <c r="H1248" s="11" t="inlineStr">
        <is>
          <t>Standard Media</t>
        </is>
      </c>
      <c r="I1248" s="8" t="inlineStr">
        <is>
          <t>Poster</t>
        </is>
      </c>
      <c r="J1248" s="11" t="inlineStr">
        <is>
          <t>22"W x 28"H</t>
        </is>
      </c>
      <c r="K1248" s="8" t="inlineStr">
        <is>
          <t>Your ad will appear at an approved installation facility.</t>
        </is>
      </c>
      <c r="L1248" s="11" t="n">
        <v>1</v>
      </c>
      <c r="M1248" s="12" t="n">
        <v>200</v>
      </c>
      <c r="N1248" s="12" t="n">
        <v>600</v>
      </c>
      <c r="O1248" s="12" t="n">
        <v>1200</v>
      </c>
      <c r="P1248" s="12" t="n">
        <v>2000</v>
      </c>
      <c r="Q1248" s="12" t="n">
        <v>100</v>
      </c>
      <c r="R1248" s="13">
        <f>IF(ISNUMBER(M1248),ROUND(M1248/(1-Settings!$B$2)/Settings!$B$3,0)*Settings!$B$3,"")</f>
        <v/>
      </c>
      <c r="S1248" s="13">
        <f>IF(ISNUMBER(N1248),ROUND(N1248/(1-Settings!$B$2)/Settings!$B$3,0)*Settings!$B$3,"")</f>
        <v/>
      </c>
      <c r="T1248" s="13">
        <f>IF(ISNUMBER(O1248),ROUND(O1248/(1-Settings!$B$2)/Settings!$B$3,0)*Settings!$B$3,"")</f>
        <v/>
      </c>
      <c r="U1248" s="13">
        <f>IF(ISNUMBER(P1248),ROUND(P1248/(1-Settings!$B$2)/Settings!$B$3,0)*Settings!$B$3,"")</f>
        <v/>
      </c>
      <c r="V1248" s="13">
        <f>IF(ISNUMBER(Q1248),ROUND(Q1248/(1-Settings!$B$2)/Settings!$B$3,0)*Settings!$B$3,"")</f>
        <v/>
      </c>
      <c r="W1248" s="14" t="n">
        <v>30000</v>
      </c>
      <c r="X1248" s="14" t="n"/>
      <c r="Y1248" s="11" t="inlineStr"/>
      <c r="Z1248" s="11" t="inlineStr"/>
      <c r="AA1248" s="8" t="inlineStr"/>
      <c r="AB1248" s="8" t="inlineStr"/>
      <c r="AC1248" s="11" t="inlineStr">
        <is>
          <t>MasterMilitaryOnBaseList 12.2.25 NS.xlsx</t>
        </is>
      </c>
      <c r="AD1248" s="11" t="inlineStr">
        <is>
          <t>Tinker AFB Digital Specs_Aug 2026.docx</t>
        </is>
      </c>
      <c r="AE1248" s="15" t="inlineStr">
        <is>
          <t>Open in Box</t>
        </is>
      </c>
      <c r="AF1248" s="15" t="inlineStr">
        <is>
          <t>Open in Box</t>
        </is>
      </c>
    </row>
    <row r="1249">
      <c r="A1249" s="11" t="inlineStr">
        <is>
          <t>OK-TINKERAF-006</t>
        </is>
      </c>
      <c r="B1249" s="8" t="inlineStr">
        <is>
          <t>Tinker AFB</t>
        </is>
      </c>
      <c r="C1249" s="11" t="inlineStr"/>
      <c r="D1249" s="11" t="inlineStr">
        <is>
          <t>OK</t>
        </is>
      </c>
      <c r="E1249" s="11" t="inlineStr">
        <is>
          <t>Oklahoma City</t>
        </is>
      </c>
      <c r="F1249" s="11" t="inlineStr">
        <is>
          <t>73145</t>
        </is>
      </c>
      <c r="G1249" s="11" t="inlineStr">
        <is>
          <t>Air Force</t>
        </is>
      </c>
      <c r="H1249" s="11" t="inlineStr">
        <is>
          <t>Standard Media</t>
        </is>
      </c>
      <c r="I1249" s="8" t="inlineStr">
        <is>
          <t>Road Banner</t>
        </is>
      </c>
      <c r="J1249" s="11" t="inlineStr">
        <is>
          <t>6'W x 3'H</t>
        </is>
      </c>
      <c r="K1249" s="8" t="inlineStr">
        <is>
          <t>Your ad will appear at the perimeter road.</t>
        </is>
      </c>
      <c r="L1249" s="11" t="n">
        <v>6</v>
      </c>
      <c r="M1249" s="12" t="n"/>
      <c r="N1249" s="12" t="n"/>
      <c r="O1249" s="12" t="n">
        <v>500</v>
      </c>
      <c r="P1249" s="12" t="n">
        <v>1000</v>
      </c>
      <c r="Q1249" s="12" t="n">
        <v>200</v>
      </c>
      <c r="R1249" s="13">
        <f>IF(ISNUMBER(M1249),ROUND(M1249/(1-Settings!$B$2)/Settings!$B$3,0)*Settings!$B$3,"")</f>
        <v/>
      </c>
      <c r="S1249" s="13">
        <f>IF(ISNUMBER(N1249),ROUND(N1249/(1-Settings!$B$2)/Settings!$B$3,0)*Settings!$B$3,"")</f>
        <v/>
      </c>
      <c r="T1249" s="13">
        <f>IF(ISNUMBER(O1249),ROUND(O1249/(1-Settings!$B$2)/Settings!$B$3,0)*Settings!$B$3,"")</f>
        <v/>
      </c>
      <c r="U1249" s="13">
        <f>IF(ISNUMBER(P1249),ROUND(P1249/(1-Settings!$B$2)/Settings!$B$3,0)*Settings!$B$3,"")</f>
        <v/>
      </c>
      <c r="V1249" s="13">
        <f>IF(ISNUMBER(Q1249),ROUND(Q1249/(1-Settings!$B$2)/Settings!$B$3,0)*Settings!$B$3,"")</f>
        <v/>
      </c>
      <c r="W1249" s="14" t="n">
        <v>30000</v>
      </c>
      <c r="X1249" s="14" t="n"/>
      <c r="Y1249" s="11" t="inlineStr"/>
      <c r="Z1249" s="11" t="inlineStr"/>
      <c r="AA1249" s="8" t="inlineStr"/>
      <c r="AB1249" s="16" t="inlineStr">
        <is>
          <t>Source formula errors</t>
        </is>
      </c>
      <c r="AC1249" s="11" t="inlineStr">
        <is>
          <t>MasterMilitaryOnBaseList 12.2.25 NS.xlsx</t>
        </is>
      </c>
      <c r="AD1249" s="11" t="inlineStr">
        <is>
          <t>Tinker AFB Digital Specs_Aug 2026.docx</t>
        </is>
      </c>
      <c r="AE1249" s="15" t="inlineStr">
        <is>
          <t>Open in Box</t>
        </is>
      </c>
      <c r="AF1249" s="15" t="inlineStr">
        <is>
          <t>Open in Box</t>
        </is>
      </c>
    </row>
    <row r="1250">
      <c r="A1250" s="11" t="inlineStr">
        <is>
          <t>OK-TINKERAF-013</t>
        </is>
      </c>
      <c r="B1250" s="8" t="inlineStr">
        <is>
          <t>Tinker AFB</t>
        </is>
      </c>
      <c r="C1250" s="11" t="inlineStr"/>
      <c r="D1250" s="11" t="inlineStr">
        <is>
          <t>OK</t>
        </is>
      </c>
      <c r="E1250" s="11" t="inlineStr">
        <is>
          <t>Oklahoma City</t>
        </is>
      </c>
      <c r="F1250" s="11" t="inlineStr"/>
      <c r="G1250" s="11" t="inlineStr">
        <is>
          <t>Air Force</t>
        </is>
      </c>
      <c r="H1250" s="11" t="inlineStr">
        <is>
          <t>Web &amp; Email</t>
        </is>
      </c>
      <c r="I1250" s="8" t="inlineStr">
        <is>
          <t>Web Ad</t>
        </is>
      </c>
      <c r="J1250" s="11" t="inlineStr"/>
      <c r="K1250" s="8" t="inlineStr">
        <is>
          <t>Your ad will appear on the installation MWR / FSS website.</t>
        </is>
      </c>
      <c r="L1250" s="11" t="n">
        <v>12</v>
      </c>
      <c r="M1250" s="12" t="n"/>
      <c r="N1250" s="12" t="n"/>
      <c r="O1250" s="12" t="n"/>
      <c r="P1250" s="12" t="n">
        <v>200</v>
      </c>
      <c r="Q1250" s="12" t="n"/>
      <c r="R1250" s="13">
        <f>IF(ISNUMBER(M1250),ROUND(M1250/(1-Settings!$B$2)/Settings!$B$3,0)*Settings!$B$3,"")</f>
        <v/>
      </c>
      <c r="S1250" s="13">
        <f>IF(ISNUMBER(N1250),ROUND(N1250/(1-Settings!$B$2)/Settings!$B$3,0)*Settings!$B$3,"")</f>
        <v/>
      </c>
      <c r="T1250" s="13">
        <f>IF(ISNUMBER(O1250),ROUND(O1250/(1-Settings!$B$2)/Settings!$B$3,0)*Settings!$B$3,"")</f>
        <v/>
      </c>
      <c r="U1250" s="13">
        <f>IF(ISNUMBER(P1250),ROUND(P1250/(1-Settings!$B$2)/Settings!$B$3,0)*Settings!$B$3,"")</f>
        <v/>
      </c>
      <c r="V1250" s="13">
        <f>IF(ISNUMBER(Q1250),ROUND(Q1250/(1-Settings!$B$2)/Settings!$B$3,0)*Settings!$B$3,"")</f>
        <v/>
      </c>
      <c r="W1250" s="14" t="n">
        <v>30000</v>
      </c>
      <c r="X1250" s="14" t="n"/>
      <c r="Y1250" s="11" t="inlineStr">
        <is>
          <t>2026</t>
        </is>
      </c>
      <c r="Z1250" s="11" t="inlineStr">
        <is>
          <t>2026-06</t>
        </is>
      </c>
      <c r="AA1250" s="8" t="inlineStr">
        <is>
          <t>Annual</t>
        </is>
      </c>
      <c r="AB1250" s="8" t="inlineStr"/>
      <c r="AC1250" s="11" t="inlineStr">
        <is>
          <t>Military - National Publication Inventory Master_June 2026.xlsx</t>
        </is>
      </c>
      <c r="AD1250" s="11" t="inlineStr">
        <is>
          <t>Tinker AFB Digital Specs_Aug 2026.docx</t>
        </is>
      </c>
      <c r="AE1250" s="15" t="inlineStr">
        <is>
          <t>Open in Box</t>
        </is>
      </c>
      <c r="AF1250" s="15" t="inlineStr">
        <is>
          <t>Open in Box</t>
        </is>
      </c>
    </row>
    <row r="1251">
      <c r="A1251" s="11" t="inlineStr">
        <is>
          <t>PA-CARLISLE-001</t>
        </is>
      </c>
      <c r="B1251" s="8" t="inlineStr">
        <is>
          <t>Carlisle Barracks</t>
        </is>
      </c>
      <c r="C1251" s="11" t="inlineStr"/>
      <c r="D1251" s="11" t="inlineStr">
        <is>
          <t>PA</t>
        </is>
      </c>
      <c r="E1251" s="11" t="inlineStr">
        <is>
          <t>Harrisburg-Lancaster-Lebanon-York, PA</t>
        </is>
      </c>
      <c r="F1251" s="11" t="inlineStr"/>
      <c r="G1251" s="11" t="inlineStr">
        <is>
          <t>Army</t>
        </is>
      </c>
      <c r="H1251" s="11" t="inlineStr">
        <is>
          <t>Digital</t>
        </is>
      </c>
      <c r="I1251" s="8" t="inlineStr">
        <is>
          <t>Digital Monitor Network</t>
        </is>
      </c>
      <c r="J1251" s="11" t="inlineStr">
        <is>
          <t>3 screens</t>
        </is>
      </c>
      <c r="K1251" s="8" t="inlineStr">
        <is>
          <t>Your ad will appear on the 3-screen digital monitor network in approved installation facilities.</t>
        </is>
      </c>
      <c r="L1251" s="11" t="n">
        <v>1</v>
      </c>
      <c r="M1251" s="12" t="n">
        <v>200</v>
      </c>
      <c r="N1251" s="12" t="n"/>
      <c r="O1251" s="12" t="n"/>
      <c r="P1251" s="12" t="n"/>
      <c r="Q1251" s="12" t="n"/>
      <c r="R1251" s="13">
        <f>IF(ISNUMBER(M1251),ROUND(M1251/(1-Settings!$B$2)/Settings!$B$3,0)*Settings!$B$3,"")</f>
        <v/>
      </c>
      <c r="S1251" s="13">
        <f>IF(ISNUMBER(N1251),ROUND(N1251/(1-Settings!$B$2)/Settings!$B$3,0)*Settings!$B$3,"")</f>
        <v/>
      </c>
      <c r="T1251" s="13">
        <f>IF(ISNUMBER(O1251),ROUND(O1251/(1-Settings!$B$2)/Settings!$B$3,0)*Settings!$B$3,"")</f>
        <v/>
      </c>
      <c r="U1251" s="13">
        <f>IF(ISNUMBER(P1251),ROUND(P1251/(1-Settings!$B$2)/Settings!$B$3,0)*Settings!$B$3,"")</f>
        <v/>
      </c>
      <c r="V1251" s="13">
        <f>IF(ISNUMBER(Q1251),ROUND(Q1251/(1-Settings!$B$2)/Settings!$B$3,0)*Settings!$B$3,"")</f>
        <v/>
      </c>
      <c r="W1251" s="14" t="n"/>
      <c r="X1251" s="14" t="n"/>
      <c r="Y1251" s="11" t="inlineStr">
        <is>
          <t>2026</t>
        </is>
      </c>
      <c r="Z1251" s="11" t="inlineStr">
        <is>
          <t>2026-06</t>
        </is>
      </c>
      <c r="AA1251" s="8" t="inlineStr"/>
      <c r="AB1251" s="8" t="inlineStr"/>
      <c r="AC1251" s="11" t="inlineStr">
        <is>
          <t>Military - National Digital Inventory Master 6.3.26.xlsx</t>
        </is>
      </c>
      <c r="AD1251" s="11" t="inlineStr">
        <is>
          <t>Options at Fort Indiantown Gap.docx</t>
        </is>
      </c>
      <c r="AE1251" s="15" t="inlineStr">
        <is>
          <t>Open in Box</t>
        </is>
      </c>
      <c r="AF1251" s="15" t="inlineStr">
        <is>
          <t>Open in Box</t>
        </is>
      </c>
    </row>
    <row r="1252">
      <c r="A1252" s="11" t="inlineStr">
        <is>
          <t>PA-CARLISLE-004</t>
        </is>
      </c>
      <c r="B1252" s="8" t="inlineStr">
        <is>
          <t>Carlisle Barracks</t>
        </is>
      </c>
      <c r="C1252" s="11" t="inlineStr"/>
      <c r="D1252" s="11" t="inlineStr">
        <is>
          <t>PA</t>
        </is>
      </c>
      <c r="E1252" s="11" t="inlineStr">
        <is>
          <t>Harrisburg-Lancaster-Lebanon-York, PA</t>
        </is>
      </c>
      <c r="F1252" s="11" t="inlineStr"/>
      <c r="G1252" s="11" t="inlineStr">
        <is>
          <t>Army</t>
        </is>
      </c>
      <c r="H1252" s="11" t="inlineStr">
        <is>
          <t>Print &amp; Publications</t>
        </is>
      </c>
      <c r="I1252" s="8" t="inlineStr">
        <is>
          <t>Magazine Ad</t>
        </is>
      </c>
      <c r="J1252" s="11" t="inlineStr"/>
      <c r="K1252" s="8" t="inlineStr">
        <is>
          <t>Your ad will appear in the installation magazine.</t>
        </is>
      </c>
      <c r="L1252" s="11" t="n">
        <v>1</v>
      </c>
      <c r="M1252" s="12" t="n">
        <v>700</v>
      </c>
      <c r="N1252" s="12" t="n"/>
      <c r="O1252" s="12" t="n"/>
      <c r="P1252" s="12" t="n"/>
      <c r="Q1252" s="12" t="n"/>
      <c r="R1252" s="13">
        <f>IF(ISNUMBER(M1252),ROUND(M1252/(1-Settings!$B$2)/Settings!$B$3,0)*Settings!$B$3,"")</f>
        <v/>
      </c>
      <c r="S1252" s="13">
        <f>IF(ISNUMBER(N1252),ROUND(N1252/(1-Settings!$B$2)/Settings!$B$3,0)*Settings!$B$3,"")</f>
        <v/>
      </c>
      <c r="T1252" s="13">
        <f>IF(ISNUMBER(O1252),ROUND(O1252/(1-Settings!$B$2)/Settings!$B$3,0)*Settings!$B$3,"")</f>
        <v/>
      </c>
      <c r="U1252" s="13">
        <f>IF(ISNUMBER(P1252),ROUND(P1252/(1-Settings!$B$2)/Settings!$B$3,0)*Settings!$B$3,"")</f>
        <v/>
      </c>
      <c r="V1252" s="13">
        <f>IF(ISNUMBER(Q1252),ROUND(Q1252/(1-Settings!$B$2)/Settings!$B$3,0)*Settings!$B$3,"")</f>
        <v/>
      </c>
      <c r="W1252" s="14" t="n">
        <v>744</v>
      </c>
      <c r="X1252" s="14" t="n">
        <v>1172</v>
      </c>
      <c r="Y1252" s="11" t="inlineStr">
        <is>
          <t>2026</t>
        </is>
      </c>
      <c r="Z1252" s="11" t="inlineStr">
        <is>
          <t>2026-06</t>
        </is>
      </c>
      <c r="AA1252" s="8" t="inlineStr">
        <is>
          <t>Cost gets you (4) emails</t>
        </is>
      </c>
      <c r="AB1252" s="8" t="inlineStr"/>
      <c r="AC1252" s="11" t="inlineStr">
        <is>
          <t>Military - National Publication Inventory Master_June 2026.xlsx</t>
        </is>
      </c>
      <c r="AD1252" s="11" t="inlineStr">
        <is>
          <t>Options at Fort Indiantown Gap.docx</t>
        </is>
      </c>
      <c r="AE1252" s="15" t="inlineStr">
        <is>
          <t>Open in Box</t>
        </is>
      </c>
      <c r="AF1252" s="15" t="inlineStr">
        <is>
          <t>Open in Box</t>
        </is>
      </c>
    </row>
    <row r="1253">
      <c r="A1253" s="11" t="inlineStr">
        <is>
          <t>PA-CARLISLE-003</t>
        </is>
      </c>
      <c r="B1253" s="8" t="inlineStr">
        <is>
          <t>Carlisle Barracks</t>
        </is>
      </c>
      <c r="C1253" s="11" t="inlineStr"/>
      <c r="D1253" s="11" t="inlineStr">
        <is>
          <t>PA</t>
        </is>
      </c>
      <c r="E1253" s="11" t="inlineStr">
        <is>
          <t>Harrisburg-Lancaster-Lebanon-York, PA</t>
        </is>
      </c>
      <c r="F1253" s="11" t="inlineStr"/>
      <c r="G1253" s="11" t="inlineStr">
        <is>
          <t>Army</t>
        </is>
      </c>
      <c r="H1253" s="11" t="inlineStr">
        <is>
          <t>Web &amp; Email</t>
        </is>
      </c>
      <c r="I1253" s="8" t="inlineStr">
        <is>
          <t>Web Ad</t>
        </is>
      </c>
      <c r="J1253" s="11" t="inlineStr"/>
      <c r="K1253" s="8" t="inlineStr">
        <is>
          <t>Your ad will appear on the installation MWR / FSS website.</t>
        </is>
      </c>
      <c r="L1253" s="11" t="n">
        <v>1</v>
      </c>
      <c r="M1253" s="12" t="n">
        <v>450</v>
      </c>
      <c r="N1253" s="12" t="n"/>
      <c r="O1253" s="12" t="n"/>
      <c r="P1253" s="12" t="n"/>
      <c r="Q1253" s="12" t="n"/>
      <c r="R1253" s="13">
        <f>IF(ISNUMBER(M1253),ROUND(M1253/(1-Settings!$B$2)/Settings!$B$3,0)*Settings!$B$3,"")</f>
        <v/>
      </c>
      <c r="S1253" s="13">
        <f>IF(ISNUMBER(N1253),ROUND(N1253/(1-Settings!$B$2)/Settings!$B$3,0)*Settings!$B$3,"")</f>
        <v/>
      </c>
      <c r="T1253" s="13">
        <f>IF(ISNUMBER(O1253),ROUND(O1253/(1-Settings!$B$2)/Settings!$B$3,0)*Settings!$B$3,"")</f>
        <v/>
      </c>
      <c r="U1253" s="13">
        <f>IF(ISNUMBER(P1253),ROUND(P1253/(1-Settings!$B$2)/Settings!$B$3,0)*Settings!$B$3,"")</f>
        <v/>
      </c>
      <c r="V1253" s="13">
        <f>IF(ISNUMBER(Q1253),ROUND(Q1253/(1-Settings!$B$2)/Settings!$B$3,0)*Settings!$B$3,"")</f>
        <v/>
      </c>
      <c r="W1253" s="14" t="n">
        <v>744</v>
      </c>
      <c r="X1253" s="14" t="n">
        <v>1172</v>
      </c>
      <c r="Y1253" s="11" t="inlineStr">
        <is>
          <t>2026</t>
        </is>
      </c>
      <c r="Z1253" s="11" t="inlineStr">
        <is>
          <t>2026-06</t>
        </is>
      </c>
      <c r="AA1253" s="8" t="inlineStr">
        <is>
          <t>Cost gets you (4) emails</t>
        </is>
      </c>
      <c r="AB1253" s="8" t="inlineStr"/>
      <c r="AC1253" s="11" t="inlineStr">
        <is>
          <t>Military - National Publication Inventory Master_June 2026.xlsx</t>
        </is>
      </c>
      <c r="AD1253" s="11" t="inlineStr">
        <is>
          <t>Options at Fort Indiantown Gap.docx</t>
        </is>
      </c>
      <c r="AE1253" s="15" t="inlineStr">
        <is>
          <t>Open in Box</t>
        </is>
      </c>
      <c r="AF1253" s="15" t="inlineStr">
        <is>
          <t>Open in Box</t>
        </is>
      </c>
    </row>
    <row r="1254">
      <c r="A1254" s="11" t="inlineStr">
        <is>
          <t>PA-CARLISLE-002</t>
        </is>
      </c>
      <c r="B1254" s="8" t="inlineStr">
        <is>
          <t>Carlisle Barracks</t>
        </is>
      </c>
      <c r="C1254" s="11" t="inlineStr"/>
      <c r="D1254" s="11" t="inlineStr">
        <is>
          <t>PA</t>
        </is>
      </c>
      <c r="E1254" s="11" t="inlineStr">
        <is>
          <t>Harrisburg-Lancaster-Lebanon-York, PA</t>
        </is>
      </c>
      <c r="F1254" s="11" t="inlineStr"/>
      <c r="G1254" s="11" t="inlineStr">
        <is>
          <t>Army</t>
        </is>
      </c>
      <c r="H1254" s="11" t="inlineStr">
        <is>
          <t>Web &amp; Email</t>
        </is>
      </c>
      <c r="I1254" s="8" t="inlineStr">
        <is>
          <t>Weekly E-Newsletter Ad</t>
        </is>
      </c>
      <c r="J1254" s="11" t="inlineStr"/>
      <c r="K1254" s="8" t="inlineStr">
        <is>
          <t>Your ad will appear in the weekly e-newsletter emailed to the installation community.</t>
        </is>
      </c>
      <c r="L1254" s="11" t="n">
        <v>1</v>
      </c>
      <c r="M1254" s="12" t="n">
        <v>150</v>
      </c>
      <c r="N1254" s="12" t="n"/>
      <c r="O1254" s="12" t="n"/>
      <c r="P1254" s="12" t="n"/>
      <c r="Q1254" s="12" t="n"/>
      <c r="R1254" s="13">
        <f>IF(ISNUMBER(M1254),ROUND(M1254/(1-Settings!$B$2)/Settings!$B$3,0)*Settings!$B$3,"")</f>
        <v/>
      </c>
      <c r="S1254" s="13">
        <f>IF(ISNUMBER(N1254),ROUND(N1254/(1-Settings!$B$2)/Settings!$B$3,0)*Settings!$B$3,"")</f>
        <v/>
      </c>
      <c r="T1254" s="13">
        <f>IF(ISNUMBER(O1254),ROUND(O1254/(1-Settings!$B$2)/Settings!$B$3,0)*Settings!$B$3,"")</f>
        <v/>
      </c>
      <c r="U1254" s="13">
        <f>IF(ISNUMBER(P1254),ROUND(P1254/(1-Settings!$B$2)/Settings!$B$3,0)*Settings!$B$3,"")</f>
        <v/>
      </c>
      <c r="V1254" s="13">
        <f>IF(ISNUMBER(Q1254),ROUND(Q1254/(1-Settings!$B$2)/Settings!$B$3,0)*Settings!$B$3,"")</f>
        <v/>
      </c>
      <c r="W1254" s="14" t="n">
        <v>744</v>
      </c>
      <c r="X1254" s="14" t="n">
        <v>1172</v>
      </c>
      <c r="Y1254" s="11" t="inlineStr">
        <is>
          <t>2026</t>
        </is>
      </c>
      <c r="Z1254" s="11" t="inlineStr">
        <is>
          <t>2026-06</t>
        </is>
      </c>
      <c r="AA1254" s="8" t="inlineStr">
        <is>
          <t>Cost gets you (4) emails</t>
        </is>
      </c>
      <c r="AB1254" s="8" t="inlineStr"/>
      <c r="AC1254" s="11" t="inlineStr">
        <is>
          <t>Military - National Publication Inventory Master_June 2026.xlsx</t>
        </is>
      </c>
      <c r="AD1254" s="11" t="inlineStr">
        <is>
          <t>Options at Fort Indiantown Gap.docx</t>
        </is>
      </c>
      <c r="AE1254" s="15" t="inlineStr">
        <is>
          <t>Open in Box</t>
        </is>
      </c>
      <c r="AF1254" s="15" t="inlineStr">
        <is>
          <t>Open in Box</t>
        </is>
      </c>
    </row>
    <row r="1255">
      <c r="A1255" s="11" t="inlineStr">
        <is>
          <t>PA-DEFENSED-001</t>
        </is>
      </c>
      <c r="B1255" s="8" t="inlineStr">
        <is>
          <t>Defense Distribution Depot Susquehanna</t>
        </is>
      </c>
      <c r="C1255" s="11" t="inlineStr"/>
      <c r="D1255" s="11" t="inlineStr">
        <is>
          <t>PA</t>
        </is>
      </c>
      <c r="E1255" s="11" t="inlineStr">
        <is>
          <t>Harrisburg-Lancaster-Lebanon-York, PA</t>
        </is>
      </c>
      <c r="F1255" s="11" t="inlineStr"/>
      <c r="G1255" s="11" t="inlineStr">
        <is>
          <t>Army</t>
        </is>
      </c>
      <c r="H1255" s="11" t="inlineStr">
        <is>
          <t>Digital</t>
        </is>
      </c>
      <c r="I1255" s="8" t="inlineStr">
        <is>
          <t>Digital Monitor Network</t>
        </is>
      </c>
      <c r="J1255" s="11" t="inlineStr">
        <is>
          <t>15 screens</t>
        </is>
      </c>
      <c r="K1255" s="8" t="inlineStr">
        <is>
          <t>Your ad will appear on the 15-screen digital monitor network in approved installation facilities.</t>
        </is>
      </c>
      <c r="L1255" s="11" t="n">
        <v>1</v>
      </c>
      <c r="M1255" s="12" t="n">
        <v>425</v>
      </c>
      <c r="N1255" s="12" t="n"/>
      <c r="O1255" s="12" t="n"/>
      <c r="P1255" s="12" t="n"/>
      <c r="Q1255" s="12" t="n"/>
      <c r="R1255" s="13">
        <f>IF(ISNUMBER(M1255),ROUND(M1255/(1-Settings!$B$2)/Settings!$B$3,0)*Settings!$B$3,"")</f>
        <v/>
      </c>
      <c r="S1255" s="13">
        <f>IF(ISNUMBER(N1255),ROUND(N1255/(1-Settings!$B$2)/Settings!$B$3,0)*Settings!$B$3,"")</f>
        <v/>
      </c>
      <c r="T1255" s="13">
        <f>IF(ISNUMBER(O1255),ROUND(O1255/(1-Settings!$B$2)/Settings!$B$3,0)*Settings!$B$3,"")</f>
        <v/>
      </c>
      <c r="U1255" s="13">
        <f>IF(ISNUMBER(P1255),ROUND(P1255/(1-Settings!$B$2)/Settings!$B$3,0)*Settings!$B$3,"")</f>
        <v/>
      </c>
      <c r="V1255" s="13">
        <f>IF(ISNUMBER(Q1255),ROUND(Q1255/(1-Settings!$B$2)/Settings!$B$3,0)*Settings!$B$3,"")</f>
        <v/>
      </c>
      <c r="W1255" s="14" t="n"/>
      <c r="X1255" s="14" t="n"/>
      <c r="Y1255" s="11" t="inlineStr">
        <is>
          <t>2026</t>
        </is>
      </c>
      <c r="Z1255" s="11" t="inlineStr">
        <is>
          <t>2026-06</t>
        </is>
      </c>
      <c r="AA1255" s="8" t="inlineStr"/>
      <c r="AB1255" s="8" t="inlineStr"/>
      <c r="AC1255" s="11" t="inlineStr">
        <is>
          <t>Military - National Digital Inventory Master 6.3.26.xlsx</t>
        </is>
      </c>
      <c r="AD1255" s="11" t="inlineStr">
        <is>
          <t>2026 Fall Events Sponsorship Opportunities.pdf</t>
        </is>
      </c>
      <c r="AE1255" s="15" t="inlineStr">
        <is>
          <t>Open in Box</t>
        </is>
      </c>
      <c r="AF1255" s="15" t="inlineStr">
        <is>
          <t>Open in Box</t>
        </is>
      </c>
    </row>
    <row r="1256">
      <c r="A1256" s="11" t="inlineStr">
        <is>
          <t>PA-DEFENSED-003</t>
        </is>
      </c>
      <c r="B1256" s="8" t="inlineStr">
        <is>
          <t>Defense Distribution Depot Susquehanna</t>
        </is>
      </c>
      <c r="C1256" s="11" t="inlineStr"/>
      <c r="D1256" s="11" t="inlineStr">
        <is>
          <t>PA</t>
        </is>
      </c>
      <c r="E1256" s="11" t="inlineStr">
        <is>
          <t>Harrisburg-Lancaster-Lebanon-York, PA</t>
        </is>
      </c>
      <c r="F1256" s="11" t="inlineStr"/>
      <c r="G1256" s="11" t="inlineStr">
        <is>
          <t>Army</t>
        </is>
      </c>
      <c r="H1256" s="11" t="inlineStr">
        <is>
          <t>Print &amp; Publications</t>
        </is>
      </c>
      <c r="I1256" s="8" t="inlineStr">
        <is>
          <t>Golf Scorecard Ad</t>
        </is>
      </c>
      <c r="J1256" s="11" t="inlineStr"/>
      <c r="K1256" s="8" t="inlineStr">
        <is>
          <t>Your ad will appear on the golf course scorecard.</t>
        </is>
      </c>
      <c r="L1256" s="11" t="n">
        <v>1</v>
      </c>
      <c r="M1256" s="12" t="n">
        <v>1000</v>
      </c>
      <c r="N1256" s="12" t="n"/>
      <c r="O1256" s="12" t="n"/>
      <c r="P1256" s="12" t="n"/>
      <c r="Q1256" s="12" t="n"/>
      <c r="R1256" s="13">
        <f>IF(ISNUMBER(M1256),ROUND(M1256/(1-Settings!$B$2)/Settings!$B$3,0)*Settings!$B$3,"")</f>
        <v/>
      </c>
      <c r="S1256" s="13">
        <f>IF(ISNUMBER(N1256),ROUND(N1256/(1-Settings!$B$2)/Settings!$B$3,0)*Settings!$B$3,"")</f>
        <v/>
      </c>
      <c r="T1256" s="13">
        <f>IF(ISNUMBER(O1256),ROUND(O1256/(1-Settings!$B$2)/Settings!$B$3,0)*Settings!$B$3,"")</f>
        <v/>
      </c>
      <c r="U1256" s="13">
        <f>IF(ISNUMBER(P1256),ROUND(P1256/(1-Settings!$B$2)/Settings!$B$3,0)*Settings!$B$3,"")</f>
        <v/>
      </c>
      <c r="V1256" s="13">
        <f>IF(ISNUMBER(Q1256),ROUND(Q1256/(1-Settings!$B$2)/Settings!$B$3,0)*Settings!$B$3,"")</f>
        <v/>
      </c>
      <c r="W1256" s="14" t="n">
        <v>5632</v>
      </c>
      <c r="X1256" s="14" t="n"/>
      <c r="Y1256" s="11" t="inlineStr">
        <is>
          <t>2026</t>
        </is>
      </c>
      <c r="Z1256" s="11" t="inlineStr">
        <is>
          <t>2026-06</t>
        </is>
      </c>
      <c r="AA1256" s="8" t="inlineStr"/>
      <c r="AB1256" s="8" t="inlineStr"/>
      <c r="AC1256" s="11" t="inlineStr">
        <is>
          <t>Military - National Publication Inventory Master_June 2026.xlsx</t>
        </is>
      </c>
      <c r="AD1256" s="11" t="inlineStr">
        <is>
          <t>2026 Fall Events Sponsorship Opportunities.pdf</t>
        </is>
      </c>
      <c r="AE1256" s="15" t="inlineStr">
        <is>
          <t>Open in Box</t>
        </is>
      </c>
      <c r="AF1256" s="15" t="inlineStr">
        <is>
          <t>Open in Box</t>
        </is>
      </c>
    </row>
    <row r="1257">
      <c r="A1257" s="11" t="inlineStr">
        <is>
          <t>PA-DEFENSED-002</t>
        </is>
      </c>
      <c r="B1257" s="8" t="inlineStr">
        <is>
          <t>Defense Distribution Depot Susquehanna</t>
        </is>
      </c>
      <c r="C1257" s="11" t="inlineStr"/>
      <c r="D1257" s="11" t="inlineStr">
        <is>
          <t>PA</t>
        </is>
      </c>
      <c r="E1257" s="11" t="inlineStr">
        <is>
          <t>Harrisburg-Lancaster-Lebanon-York, PA</t>
        </is>
      </c>
      <c r="F1257" s="11" t="inlineStr"/>
      <c r="G1257" s="11" t="inlineStr">
        <is>
          <t>Army</t>
        </is>
      </c>
      <c r="H1257" s="11" t="inlineStr">
        <is>
          <t>Web &amp; Email</t>
        </is>
      </c>
      <c r="I1257" s="8" t="inlineStr">
        <is>
          <t>Web Ad</t>
        </is>
      </c>
      <c r="J1257" s="11" t="inlineStr"/>
      <c r="K1257" s="8" t="inlineStr">
        <is>
          <t>Your ad will appear on the installation MWR / FSS website.</t>
        </is>
      </c>
      <c r="L1257" s="11" t="n">
        <v>1</v>
      </c>
      <c r="M1257" s="12" t="n">
        <v>325</v>
      </c>
      <c r="N1257" s="12" t="n"/>
      <c r="O1257" s="12" t="n"/>
      <c r="P1257" s="12" t="n"/>
      <c r="Q1257" s="12" t="n"/>
      <c r="R1257" s="13">
        <f>IF(ISNUMBER(M1257),ROUND(M1257/(1-Settings!$B$2)/Settings!$B$3,0)*Settings!$B$3,"")</f>
        <v/>
      </c>
      <c r="S1257" s="13">
        <f>IF(ISNUMBER(N1257),ROUND(N1257/(1-Settings!$B$2)/Settings!$B$3,0)*Settings!$B$3,"")</f>
        <v/>
      </c>
      <c r="T1257" s="13">
        <f>IF(ISNUMBER(O1257),ROUND(O1257/(1-Settings!$B$2)/Settings!$B$3,0)*Settings!$B$3,"")</f>
        <v/>
      </c>
      <c r="U1257" s="13">
        <f>IF(ISNUMBER(P1257),ROUND(P1257/(1-Settings!$B$2)/Settings!$B$3,0)*Settings!$B$3,"")</f>
        <v/>
      </c>
      <c r="V1257" s="13">
        <f>IF(ISNUMBER(Q1257),ROUND(Q1257/(1-Settings!$B$2)/Settings!$B$3,0)*Settings!$B$3,"")</f>
        <v/>
      </c>
      <c r="W1257" s="14" t="n">
        <v>5632</v>
      </c>
      <c r="X1257" s="14" t="n"/>
      <c r="Y1257" s="11" t="inlineStr">
        <is>
          <t>2026</t>
        </is>
      </c>
      <c r="Z1257" s="11" t="inlineStr">
        <is>
          <t>2026-06</t>
        </is>
      </c>
      <c r="AA1257" s="8" t="inlineStr"/>
      <c r="AB1257" s="8" t="inlineStr"/>
      <c r="AC1257" s="11" t="inlineStr">
        <is>
          <t>Military - National Publication Inventory Master_June 2026.xlsx</t>
        </is>
      </c>
      <c r="AD1257" s="11" t="inlineStr">
        <is>
          <t>2026 Fall Events Sponsorship Opportunities.pdf</t>
        </is>
      </c>
      <c r="AE1257" s="15" t="inlineStr">
        <is>
          <t>Open in Box</t>
        </is>
      </c>
      <c r="AF1257" s="15" t="inlineStr">
        <is>
          <t>Open in Box</t>
        </is>
      </c>
    </row>
    <row r="1258">
      <c r="A1258" s="11" t="inlineStr">
        <is>
          <t>PA-NSAMECHA-001</t>
        </is>
      </c>
      <c r="B1258" s="8" t="inlineStr">
        <is>
          <t>NSA Mechanicsburg</t>
        </is>
      </c>
      <c r="C1258" s="11" t="inlineStr"/>
      <c r="D1258" s="11" t="inlineStr">
        <is>
          <t>PA</t>
        </is>
      </c>
      <c r="E1258" s="11" t="inlineStr">
        <is>
          <t>Harrisburg-Lancaster-Lebanon-York, PA</t>
        </is>
      </c>
      <c r="F1258" s="11" t="inlineStr"/>
      <c r="G1258" s="11" t="inlineStr">
        <is>
          <t>Navy</t>
        </is>
      </c>
      <c r="H1258" s="11" t="inlineStr">
        <is>
          <t>Web &amp; Email</t>
        </is>
      </c>
      <c r="I1258" s="8" t="inlineStr">
        <is>
          <t>Web Ad</t>
        </is>
      </c>
      <c r="J1258" s="11" t="inlineStr"/>
      <c r="K1258" s="8" t="inlineStr">
        <is>
          <t>Your ad will appear on the installation MWR / FSS website.</t>
        </is>
      </c>
      <c r="L1258" s="11" t="n">
        <v>1</v>
      </c>
      <c r="M1258" s="12" t="n">
        <v>200</v>
      </c>
      <c r="N1258" s="12" t="n"/>
      <c r="O1258" s="12" t="n"/>
      <c r="P1258" s="12" t="n"/>
      <c r="Q1258" s="12" t="n"/>
      <c r="R1258" s="13">
        <f>IF(ISNUMBER(M1258),ROUND(M1258/(1-Settings!$B$2)/Settings!$B$3,0)*Settings!$B$3,"")</f>
        <v/>
      </c>
      <c r="S1258" s="13">
        <f>IF(ISNUMBER(N1258),ROUND(N1258/(1-Settings!$B$2)/Settings!$B$3,0)*Settings!$B$3,"")</f>
        <v/>
      </c>
      <c r="T1258" s="13">
        <f>IF(ISNUMBER(O1258),ROUND(O1258/(1-Settings!$B$2)/Settings!$B$3,0)*Settings!$B$3,"")</f>
        <v/>
      </c>
      <c r="U1258" s="13">
        <f>IF(ISNUMBER(P1258),ROUND(P1258/(1-Settings!$B$2)/Settings!$B$3,0)*Settings!$B$3,"")</f>
        <v/>
      </c>
      <c r="V1258" s="13">
        <f>IF(ISNUMBER(Q1258),ROUND(Q1258/(1-Settings!$B$2)/Settings!$B$3,0)*Settings!$B$3,"")</f>
        <v/>
      </c>
      <c r="W1258" s="14" t="n">
        <v>4300</v>
      </c>
      <c r="X1258" s="14" t="n"/>
      <c r="Y1258" s="11" t="inlineStr">
        <is>
          <t>2026</t>
        </is>
      </c>
      <c r="Z1258" s="11" t="inlineStr">
        <is>
          <t>2026-06</t>
        </is>
      </c>
      <c r="AA1258" s="8" t="inlineStr"/>
      <c r="AB1258" s="8" t="inlineStr"/>
      <c r="AC1258" s="11" t="inlineStr">
        <is>
          <t>Military - National Publication Inventory Master_June 2026.xlsx</t>
        </is>
      </c>
      <c r="AD1258" s="11" t="inlineStr">
        <is>
          <t>NSA Mechanicsburg Advertising Rate Card.pdf</t>
        </is>
      </c>
      <c r="AE1258" s="15" t="inlineStr">
        <is>
          <t>Open in Box</t>
        </is>
      </c>
      <c r="AF1258" s="15" t="inlineStr">
        <is>
          <t>Open in Box</t>
        </is>
      </c>
    </row>
    <row r="1259">
      <c r="A1259" s="11" t="inlineStr">
        <is>
          <t>PR-FORTBUCH-002</t>
        </is>
      </c>
      <c r="B1259" s="8" t="inlineStr">
        <is>
          <t>Fort Buchanan</t>
        </is>
      </c>
      <c r="C1259" s="11" t="inlineStr"/>
      <c r="D1259" s="11" t="inlineStr">
        <is>
          <t>PR</t>
        </is>
      </c>
      <c r="E1259" s="11" t="inlineStr">
        <is>
          <t>Puerto Rico</t>
        </is>
      </c>
      <c r="F1259" s="11" t="inlineStr"/>
      <c r="G1259" s="11" t="inlineStr">
        <is>
          <t>Army</t>
        </is>
      </c>
      <c r="H1259" s="11" t="inlineStr">
        <is>
          <t>Digital</t>
        </is>
      </c>
      <c r="I1259" s="8" t="inlineStr">
        <is>
          <t>Bowling Scoring Monitors</t>
        </is>
      </c>
      <c r="J1259" s="11" t="inlineStr">
        <is>
          <t>36 screens</t>
        </is>
      </c>
      <c r="K1259" s="8" t="inlineStr">
        <is>
          <t>Your ad will appear on the 36-screen scoring monitors in the installation bowling center.</t>
        </is>
      </c>
      <c r="L1259" s="11" t="n">
        <v>1</v>
      </c>
      <c r="M1259" s="12" t="n">
        <v>425</v>
      </c>
      <c r="N1259" s="12" t="n"/>
      <c r="O1259" s="12" t="n"/>
      <c r="P1259" s="12" t="n"/>
      <c r="Q1259" s="12" t="n"/>
      <c r="R1259" s="13">
        <f>IF(ISNUMBER(M1259),ROUND(M1259/(1-Settings!$B$2)/Settings!$B$3,0)*Settings!$B$3,"")</f>
        <v/>
      </c>
      <c r="S1259" s="13">
        <f>IF(ISNUMBER(N1259),ROUND(N1259/(1-Settings!$B$2)/Settings!$B$3,0)*Settings!$B$3,"")</f>
        <v/>
      </c>
      <c r="T1259" s="13">
        <f>IF(ISNUMBER(O1259),ROUND(O1259/(1-Settings!$B$2)/Settings!$B$3,0)*Settings!$B$3,"")</f>
        <v/>
      </c>
      <c r="U1259" s="13">
        <f>IF(ISNUMBER(P1259),ROUND(P1259/(1-Settings!$B$2)/Settings!$B$3,0)*Settings!$B$3,"")</f>
        <v/>
      </c>
      <c r="V1259" s="13">
        <f>IF(ISNUMBER(Q1259),ROUND(Q1259/(1-Settings!$B$2)/Settings!$B$3,0)*Settings!$B$3,"")</f>
        <v/>
      </c>
      <c r="W1259" s="14" t="n"/>
      <c r="X1259" s="14" t="n"/>
      <c r="Y1259" s="11" t="inlineStr">
        <is>
          <t>2026</t>
        </is>
      </c>
      <c r="Z1259" s="11" t="inlineStr">
        <is>
          <t>2026-06</t>
        </is>
      </c>
      <c r="AA1259" s="8" t="inlineStr"/>
      <c r="AB1259" s="8" t="inlineStr"/>
      <c r="AC1259" s="11" t="inlineStr">
        <is>
          <t>Military - National Digital Inventory Master 6.3.26.xlsx</t>
        </is>
      </c>
      <c r="AD1259" s="11" t="inlineStr">
        <is>
          <t>ADV-Proposal-FortBuchanan2026-.pdf</t>
        </is>
      </c>
      <c r="AE1259" s="15" t="inlineStr">
        <is>
          <t>Open in Box</t>
        </is>
      </c>
      <c r="AF1259" s="15" t="inlineStr">
        <is>
          <t>Open in Box</t>
        </is>
      </c>
    </row>
    <row r="1260">
      <c r="A1260" s="11" t="inlineStr">
        <is>
          <t>PR-FORTBUCH-003</t>
        </is>
      </c>
      <c r="B1260" s="8" t="inlineStr">
        <is>
          <t>Fort Buchanan</t>
        </is>
      </c>
      <c r="C1260" s="11" t="inlineStr"/>
      <c r="D1260" s="11" t="inlineStr">
        <is>
          <t>PR</t>
        </is>
      </c>
      <c r="E1260" s="11" t="inlineStr">
        <is>
          <t>Puerto Rico</t>
        </is>
      </c>
      <c r="F1260" s="11" t="inlineStr"/>
      <c r="G1260" s="11" t="inlineStr">
        <is>
          <t>Army</t>
        </is>
      </c>
      <c r="H1260" s="11" t="inlineStr">
        <is>
          <t>Digital</t>
        </is>
      </c>
      <c r="I1260" s="8" t="inlineStr">
        <is>
          <t>Digital Marquee</t>
        </is>
      </c>
      <c r="J1260" s="11" t="inlineStr">
        <is>
          <t>1 screens</t>
        </is>
      </c>
      <c r="K1260" s="8" t="inlineStr">
        <is>
          <t>Your ad will appear on the 1-screen digital marquee(s) on the installation.</t>
        </is>
      </c>
      <c r="L1260" s="11" t="n">
        <v>1</v>
      </c>
      <c r="M1260" s="12" t="n">
        <v>1350</v>
      </c>
      <c r="N1260" s="12" t="n"/>
      <c r="O1260" s="12" t="n"/>
      <c r="P1260" s="12" t="n"/>
      <c r="Q1260" s="12" t="n"/>
      <c r="R1260" s="13">
        <f>IF(ISNUMBER(M1260),ROUND(M1260/(1-Settings!$B$2)/Settings!$B$3,0)*Settings!$B$3,"")</f>
        <v/>
      </c>
      <c r="S1260" s="13">
        <f>IF(ISNUMBER(N1260),ROUND(N1260/(1-Settings!$B$2)/Settings!$B$3,0)*Settings!$B$3,"")</f>
        <v/>
      </c>
      <c r="T1260" s="13">
        <f>IF(ISNUMBER(O1260),ROUND(O1260/(1-Settings!$B$2)/Settings!$B$3,0)*Settings!$B$3,"")</f>
        <v/>
      </c>
      <c r="U1260" s="13">
        <f>IF(ISNUMBER(P1260),ROUND(P1260/(1-Settings!$B$2)/Settings!$B$3,0)*Settings!$B$3,"")</f>
        <v/>
      </c>
      <c r="V1260" s="13">
        <f>IF(ISNUMBER(Q1260),ROUND(Q1260/(1-Settings!$B$2)/Settings!$B$3,0)*Settings!$B$3,"")</f>
        <v/>
      </c>
      <c r="W1260" s="14" t="n"/>
      <c r="X1260" s="14" t="n"/>
      <c r="Y1260" s="11" t="inlineStr">
        <is>
          <t>2026</t>
        </is>
      </c>
      <c r="Z1260" s="11" t="inlineStr">
        <is>
          <t>2026-06</t>
        </is>
      </c>
      <c r="AA1260" s="8" t="inlineStr"/>
      <c r="AB1260" s="8" t="inlineStr"/>
      <c r="AC1260" s="11" t="inlineStr">
        <is>
          <t>Military - National Digital Inventory Master 6.3.26.xlsx</t>
        </is>
      </c>
      <c r="AD1260" s="11" t="inlineStr">
        <is>
          <t>ADV-Proposal-FortBuchanan2026-.pdf</t>
        </is>
      </c>
      <c r="AE1260" s="15" t="inlineStr">
        <is>
          <t>Open in Box</t>
        </is>
      </c>
      <c r="AF1260" s="15" t="inlineStr">
        <is>
          <t>Open in Box</t>
        </is>
      </c>
    </row>
    <row r="1261">
      <c r="A1261" s="11" t="inlineStr">
        <is>
          <t>PR-FORTBUCH-001</t>
        </is>
      </c>
      <c r="B1261" s="8" t="inlineStr">
        <is>
          <t>Fort Buchanan</t>
        </is>
      </c>
      <c r="C1261" s="11" t="inlineStr"/>
      <c r="D1261" s="11" t="inlineStr">
        <is>
          <t>PR</t>
        </is>
      </c>
      <c r="E1261" s="11" t="inlineStr">
        <is>
          <t>Puerto Rico</t>
        </is>
      </c>
      <c r="F1261" s="11" t="inlineStr"/>
      <c r="G1261" s="11" t="inlineStr">
        <is>
          <t>Army</t>
        </is>
      </c>
      <c r="H1261" s="11" t="inlineStr">
        <is>
          <t>Digital</t>
        </is>
      </c>
      <c r="I1261" s="8" t="inlineStr">
        <is>
          <t>Digital Monitor Network</t>
        </is>
      </c>
      <c r="J1261" s="11" t="inlineStr">
        <is>
          <t>2 screens</t>
        </is>
      </c>
      <c r="K1261" s="8" t="inlineStr">
        <is>
          <t>Your ad will appear on the 2-screen digital monitor network in approved installation facilities.</t>
        </is>
      </c>
      <c r="L1261" s="11" t="n">
        <v>1</v>
      </c>
      <c r="M1261" s="12" t="n">
        <v>300</v>
      </c>
      <c r="N1261" s="12" t="n"/>
      <c r="O1261" s="12" t="n"/>
      <c r="P1261" s="12" t="n"/>
      <c r="Q1261" s="12" t="n"/>
      <c r="R1261" s="13">
        <f>IF(ISNUMBER(M1261),ROUND(M1261/(1-Settings!$B$2)/Settings!$B$3,0)*Settings!$B$3,"")</f>
        <v/>
      </c>
      <c r="S1261" s="13">
        <f>IF(ISNUMBER(N1261),ROUND(N1261/(1-Settings!$B$2)/Settings!$B$3,0)*Settings!$B$3,"")</f>
        <v/>
      </c>
      <c r="T1261" s="13">
        <f>IF(ISNUMBER(O1261),ROUND(O1261/(1-Settings!$B$2)/Settings!$B$3,0)*Settings!$B$3,"")</f>
        <v/>
      </c>
      <c r="U1261" s="13">
        <f>IF(ISNUMBER(P1261),ROUND(P1261/(1-Settings!$B$2)/Settings!$B$3,0)*Settings!$B$3,"")</f>
        <v/>
      </c>
      <c r="V1261" s="13">
        <f>IF(ISNUMBER(Q1261),ROUND(Q1261/(1-Settings!$B$2)/Settings!$B$3,0)*Settings!$B$3,"")</f>
        <v/>
      </c>
      <c r="W1261" s="14" t="n"/>
      <c r="X1261" s="14" t="n"/>
      <c r="Y1261" s="11" t="inlineStr">
        <is>
          <t>2026</t>
        </is>
      </c>
      <c r="Z1261" s="11" t="inlineStr">
        <is>
          <t>2026-06</t>
        </is>
      </c>
      <c r="AA1261" s="8" t="inlineStr"/>
      <c r="AB1261" s="8" t="inlineStr"/>
      <c r="AC1261" s="11" t="inlineStr">
        <is>
          <t>Military - National Digital Inventory Master 6.3.26.xlsx</t>
        </is>
      </c>
      <c r="AD1261" s="11" t="inlineStr">
        <is>
          <t>ADV-Proposal-FortBuchanan2026-.pdf</t>
        </is>
      </c>
      <c r="AE1261" s="15" t="inlineStr">
        <is>
          <t>Open in Box</t>
        </is>
      </c>
      <c r="AF1261" s="15" t="inlineStr">
        <is>
          <t>Open in Box</t>
        </is>
      </c>
    </row>
    <row r="1262">
      <c r="A1262" s="11" t="inlineStr">
        <is>
          <t>PR-FORTBUCH-005</t>
        </is>
      </c>
      <c r="B1262" s="8" t="inlineStr">
        <is>
          <t>Fort Buchanan</t>
        </is>
      </c>
      <c r="C1262" s="11" t="inlineStr"/>
      <c r="D1262" s="11" t="inlineStr">
        <is>
          <t>PR</t>
        </is>
      </c>
      <c r="E1262" s="11" t="inlineStr">
        <is>
          <t>Puerto Rico</t>
        </is>
      </c>
      <c r="F1262" s="11" t="inlineStr"/>
      <c r="G1262" s="11" t="inlineStr">
        <is>
          <t>Army</t>
        </is>
      </c>
      <c r="H1262" s="11" t="inlineStr">
        <is>
          <t>Print &amp; Publications</t>
        </is>
      </c>
      <c r="I1262" s="8" t="inlineStr">
        <is>
          <t>Magazine Ad</t>
        </is>
      </c>
      <c r="J1262" s="11" t="inlineStr"/>
      <c r="K1262" s="8" t="inlineStr">
        <is>
          <t>Your ad will appear in the installation magazine.</t>
        </is>
      </c>
      <c r="L1262" s="11" t="n">
        <v>1</v>
      </c>
      <c r="M1262" s="12" t="n">
        <v>700</v>
      </c>
      <c r="N1262" s="12" t="n"/>
      <c r="O1262" s="12" t="n"/>
      <c r="P1262" s="12" t="n"/>
      <c r="Q1262" s="12" t="n"/>
      <c r="R1262" s="13">
        <f>IF(ISNUMBER(M1262),ROUND(M1262/(1-Settings!$B$2)/Settings!$B$3,0)*Settings!$B$3,"")</f>
        <v/>
      </c>
      <c r="S1262" s="13">
        <f>IF(ISNUMBER(N1262),ROUND(N1262/(1-Settings!$B$2)/Settings!$B$3,0)*Settings!$B$3,"")</f>
        <v/>
      </c>
      <c r="T1262" s="13">
        <f>IF(ISNUMBER(O1262),ROUND(O1262/(1-Settings!$B$2)/Settings!$B$3,0)*Settings!$B$3,"")</f>
        <v/>
      </c>
      <c r="U1262" s="13">
        <f>IF(ISNUMBER(P1262),ROUND(P1262/(1-Settings!$B$2)/Settings!$B$3,0)*Settings!$B$3,"")</f>
        <v/>
      </c>
      <c r="V1262" s="13">
        <f>IF(ISNUMBER(Q1262),ROUND(Q1262/(1-Settings!$B$2)/Settings!$B$3,0)*Settings!$B$3,"")</f>
        <v/>
      </c>
      <c r="W1262" s="14" t="n">
        <v>130000</v>
      </c>
      <c r="X1262" s="14" t="n"/>
      <c r="Y1262" s="11" t="inlineStr">
        <is>
          <t>2026</t>
        </is>
      </c>
      <c r="Z1262" s="11" t="inlineStr">
        <is>
          <t>2026-06</t>
        </is>
      </c>
      <c r="AA1262" s="8" t="inlineStr"/>
      <c r="AB1262" s="8" t="inlineStr"/>
      <c r="AC1262" s="11" t="inlineStr">
        <is>
          <t>Military - National Publication Inventory Master_June 2026.xlsx</t>
        </is>
      </c>
      <c r="AD1262" s="11" t="inlineStr">
        <is>
          <t>ADV-Proposal-FortBuchanan2026-.pdf</t>
        </is>
      </c>
      <c r="AE1262" s="15" t="inlineStr">
        <is>
          <t>Open in Box</t>
        </is>
      </c>
      <c r="AF1262" s="15" t="inlineStr">
        <is>
          <t>Open in Box</t>
        </is>
      </c>
    </row>
    <row r="1263">
      <c r="A1263" s="11" t="inlineStr">
        <is>
          <t>PR-FORTBUCH-004</t>
        </is>
      </c>
      <c r="B1263" s="8" t="inlineStr">
        <is>
          <t>Fort Buchanan</t>
        </is>
      </c>
      <c r="C1263" s="11" t="inlineStr"/>
      <c r="D1263" s="11" t="inlineStr">
        <is>
          <t>PR</t>
        </is>
      </c>
      <c r="E1263" s="11" t="inlineStr">
        <is>
          <t>Puerto Rico</t>
        </is>
      </c>
      <c r="F1263" s="11" t="inlineStr"/>
      <c r="G1263" s="11" t="inlineStr">
        <is>
          <t>Army</t>
        </is>
      </c>
      <c r="H1263" s="11" t="inlineStr">
        <is>
          <t>Web &amp; Email</t>
        </is>
      </c>
      <c r="I1263" s="8" t="inlineStr">
        <is>
          <t>Web Ad</t>
        </is>
      </c>
      <c r="J1263" s="11" t="inlineStr"/>
      <c r="K1263" s="8" t="inlineStr">
        <is>
          <t>Your ad will appear on the installation MWR / FSS website.</t>
        </is>
      </c>
      <c r="L1263" s="11" t="n">
        <v>1</v>
      </c>
      <c r="M1263" s="12" t="n">
        <v>225</v>
      </c>
      <c r="N1263" s="12" t="n"/>
      <c r="O1263" s="12" t="n"/>
      <c r="P1263" s="12" t="n"/>
      <c r="Q1263" s="12" t="n"/>
      <c r="R1263" s="13">
        <f>IF(ISNUMBER(M1263),ROUND(M1263/(1-Settings!$B$2)/Settings!$B$3,0)*Settings!$B$3,"")</f>
        <v/>
      </c>
      <c r="S1263" s="13">
        <f>IF(ISNUMBER(N1263),ROUND(N1263/(1-Settings!$B$2)/Settings!$B$3,0)*Settings!$B$3,"")</f>
        <v/>
      </c>
      <c r="T1263" s="13">
        <f>IF(ISNUMBER(O1263),ROUND(O1263/(1-Settings!$B$2)/Settings!$B$3,0)*Settings!$B$3,"")</f>
        <v/>
      </c>
      <c r="U1263" s="13">
        <f>IF(ISNUMBER(P1263),ROUND(P1263/(1-Settings!$B$2)/Settings!$B$3,0)*Settings!$B$3,"")</f>
        <v/>
      </c>
      <c r="V1263" s="13">
        <f>IF(ISNUMBER(Q1263),ROUND(Q1263/(1-Settings!$B$2)/Settings!$B$3,0)*Settings!$B$3,"")</f>
        <v/>
      </c>
      <c r="W1263" s="14" t="n">
        <v>130000</v>
      </c>
      <c r="X1263" s="14" t="n"/>
      <c r="Y1263" s="11" t="inlineStr">
        <is>
          <t>2026</t>
        </is>
      </c>
      <c r="Z1263" s="11" t="inlineStr">
        <is>
          <t>2026-06</t>
        </is>
      </c>
      <c r="AA1263" s="8" t="inlineStr"/>
      <c r="AB1263" s="8" t="inlineStr"/>
      <c r="AC1263" s="11" t="inlineStr">
        <is>
          <t>Military - National Publication Inventory Master_June 2026.xlsx</t>
        </is>
      </c>
      <c r="AD1263" s="11" t="inlineStr">
        <is>
          <t>ADV-Proposal-FortBuchanan2026-.pdf</t>
        </is>
      </c>
      <c r="AE1263" s="15" t="inlineStr">
        <is>
          <t>Open in Box</t>
        </is>
      </c>
      <c r="AF1263" s="15" t="inlineStr">
        <is>
          <t>Open in Box</t>
        </is>
      </c>
    </row>
    <row r="1264">
      <c r="A1264" s="11" t="inlineStr">
        <is>
          <t>RI-NAVALSTA-002</t>
        </is>
      </c>
      <c r="B1264" s="8" t="inlineStr">
        <is>
          <t>Naval Station Newport</t>
        </is>
      </c>
      <c r="C1264" s="11" t="inlineStr"/>
      <c r="D1264" s="11" t="inlineStr">
        <is>
          <t>RI</t>
        </is>
      </c>
      <c r="E1264" s="11" t="inlineStr">
        <is>
          <t>Providence-New Bedford, RI</t>
        </is>
      </c>
      <c r="F1264" s="11" t="inlineStr"/>
      <c r="G1264" s="11" t="inlineStr">
        <is>
          <t>Navy</t>
        </is>
      </c>
      <c r="H1264" s="11" t="inlineStr">
        <is>
          <t>Digital</t>
        </is>
      </c>
      <c r="I1264" s="8" t="inlineStr">
        <is>
          <t>Bowling Scoring Monitors</t>
        </is>
      </c>
      <c r="J1264" s="11" t="inlineStr">
        <is>
          <t>12 screens</t>
        </is>
      </c>
      <c r="K1264" s="8" t="inlineStr">
        <is>
          <t>Your ad will appear on the 12-screen scoring monitors in the installation bowling center.</t>
        </is>
      </c>
      <c r="L1264" s="11" t="n">
        <v>1</v>
      </c>
      <c r="M1264" s="12" t="n">
        <v>350</v>
      </c>
      <c r="N1264" s="12" t="n"/>
      <c r="O1264" s="12" t="n"/>
      <c r="P1264" s="12" t="n"/>
      <c r="Q1264" s="12" t="n"/>
      <c r="R1264" s="13">
        <f>IF(ISNUMBER(M1264),ROUND(M1264/(1-Settings!$B$2)/Settings!$B$3,0)*Settings!$B$3,"")</f>
        <v/>
      </c>
      <c r="S1264" s="13">
        <f>IF(ISNUMBER(N1264),ROUND(N1264/(1-Settings!$B$2)/Settings!$B$3,0)*Settings!$B$3,"")</f>
        <v/>
      </c>
      <c r="T1264" s="13">
        <f>IF(ISNUMBER(O1264),ROUND(O1264/(1-Settings!$B$2)/Settings!$B$3,0)*Settings!$B$3,"")</f>
        <v/>
      </c>
      <c r="U1264" s="13">
        <f>IF(ISNUMBER(P1264),ROUND(P1264/(1-Settings!$B$2)/Settings!$B$3,0)*Settings!$B$3,"")</f>
        <v/>
      </c>
      <c r="V1264" s="13">
        <f>IF(ISNUMBER(Q1264),ROUND(Q1264/(1-Settings!$B$2)/Settings!$B$3,0)*Settings!$B$3,"")</f>
        <v/>
      </c>
      <c r="W1264" s="14" t="n">
        <v>3269</v>
      </c>
      <c r="X1264" s="14" t="n">
        <v>3922</v>
      </c>
      <c r="Y1264" s="11" t="inlineStr">
        <is>
          <t>2026</t>
        </is>
      </c>
      <c r="Z1264" s="11" t="inlineStr">
        <is>
          <t>2026-06</t>
        </is>
      </c>
      <c r="AA1264" s="8" t="inlineStr"/>
      <c r="AB1264" s="8" t="inlineStr"/>
      <c r="AC1264" s="11" t="inlineStr">
        <is>
          <t>Military - National Digital Inventory Master 6.3.26.xlsx</t>
        </is>
      </c>
      <c r="AD1264" s="11" t="inlineStr">
        <is>
          <t>NAVSTA Newport Advertising Rate Card_2026.pdf</t>
        </is>
      </c>
      <c r="AE1264" s="15" t="inlineStr">
        <is>
          <t>Open in Box</t>
        </is>
      </c>
      <c r="AF1264" s="15" t="inlineStr">
        <is>
          <t>Open in Box</t>
        </is>
      </c>
    </row>
    <row r="1265">
      <c r="A1265" s="11" t="inlineStr">
        <is>
          <t>RI-NAVALSTA-001</t>
        </is>
      </c>
      <c r="B1265" s="8" t="inlineStr">
        <is>
          <t>Naval Station Newport</t>
        </is>
      </c>
      <c r="C1265" s="11" t="inlineStr"/>
      <c r="D1265" s="11" t="inlineStr">
        <is>
          <t>RI</t>
        </is>
      </c>
      <c r="E1265" s="11" t="inlineStr">
        <is>
          <t>Providence-New Bedford, RI</t>
        </is>
      </c>
      <c r="F1265" s="11" t="inlineStr"/>
      <c r="G1265" s="11" t="inlineStr">
        <is>
          <t>Navy</t>
        </is>
      </c>
      <c r="H1265" s="11" t="inlineStr">
        <is>
          <t>Digital</t>
        </is>
      </c>
      <c r="I1265" s="8" t="inlineStr">
        <is>
          <t>Digital Monitor Network</t>
        </is>
      </c>
      <c r="J1265" s="11" t="inlineStr">
        <is>
          <t>9 screens</t>
        </is>
      </c>
      <c r="K1265" s="8" t="inlineStr">
        <is>
          <t>Your ad will appear on the 9-screen digital monitor network in approved installation facilities.</t>
        </is>
      </c>
      <c r="L1265" s="11" t="n">
        <v>1</v>
      </c>
      <c r="M1265" s="12" t="n">
        <v>450</v>
      </c>
      <c r="N1265" s="12" t="n"/>
      <c r="O1265" s="12" t="n"/>
      <c r="P1265" s="12" t="n"/>
      <c r="Q1265" s="12" t="n"/>
      <c r="R1265" s="13">
        <f>IF(ISNUMBER(M1265),ROUND(M1265/(1-Settings!$B$2)/Settings!$B$3,0)*Settings!$B$3,"")</f>
        <v/>
      </c>
      <c r="S1265" s="13">
        <f>IF(ISNUMBER(N1265),ROUND(N1265/(1-Settings!$B$2)/Settings!$B$3,0)*Settings!$B$3,"")</f>
        <v/>
      </c>
      <c r="T1265" s="13">
        <f>IF(ISNUMBER(O1265),ROUND(O1265/(1-Settings!$B$2)/Settings!$B$3,0)*Settings!$B$3,"")</f>
        <v/>
      </c>
      <c r="U1265" s="13">
        <f>IF(ISNUMBER(P1265),ROUND(P1265/(1-Settings!$B$2)/Settings!$B$3,0)*Settings!$B$3,"")</f>
        <v/>
      </c>
      <c r="V1265" s="13">
        <f>IF(ISNUMBER(Q1265),ROUND(Q1265/(1-Settings!$B$2)/Settings!$B$3,0)*Settings!$B$3,"")</f>
        <v/>
      </c>
      <c r="W1265" s="14" t="n">
        <v>3269</v>
      </c>
      <c r="X1265" s="14" t="n">
        <v>3922</v>
      </c>
      <c r="Y1265" s="11" t="inlineStr">
        <is>
          <t>2026</t>
        </is>
      </c>
      <c r="Z1265" s="11" t="inlineStr">
        <is>
          <t>2026-06</t>
        </is>
      </c>
      <c r="AA1265" s="8" t="inlineStr"/>
      <c r="AB1265" s="8" t="inlineStr"/>
      <c r="AC1265" s="11" t="inlineStr">
        <is>
          <t>Military - National Digital Inventory Master 6.3.26.xlsx</t>
        </is>
      </c>
      <c r="AD1265" s="11" t="inlineStr">
        <is>
          <t>NAVSTA Newport Advertising Rate Card_2026.pdf</t>
        </is>
      </c>
      <c r="AE1265" s="15" t="inlineStr">
        <is>
          <t>Open in Box</t>
        </is>
      </c>
      <c r="AF1265" s="15" t="inlineStr">
        <is>
          <t>Open in Box</t>
        </is>
      </c>
    </row>
    <row r="1266">
      <c r="A1266" s="11" t="inlineStr">
        <is>
          <t>RI-NAVALSTA-003</t>
        </is>
      </c>
      <c r="B1266" s="8" t="inlineStr">
        <is>
          <t>Naval Station Newport</t>
        </is>
      </c>
      <c r="C1266" s="11" t="inlineStr"/>
      <c r="D1266" s="11" t="inlineStr">
        <is>
          <t>RI</t>
        </is>
      </c>
      <c r="E1266" s="11" t="inlineStr">
        <is>
          <t>Providence-New Bedford, RI</t>
        </is>
      </c>
      <c r="F1266" s="11" t="inlineStr"/>
      <c r="G1266" s="11" t="inlineStr">
        <is>
          <t>Navy</t>
        </is>
      </c>
      <c r="H1266" s="11" t="inlineStr">
        <is>
          <t>Web &amp; Email</t>
        </is>
      </c>
      <c r="I1266" s="8" t="inlineStr">
        <is>
          <t>Monthly E-Newsletter Ad</t>
        </is>
      </c>
      <c r="J1266" s="11" t="inlineStr"/>
      <c r="K1266" s="8" t="inlineStr">
        <is>
          <t>Your ad will appear in the monthly e-newsletter emailed to the installation community.</t>
        </is>
      </c>
      <c r="L1266" s="11" t="n">
        <v>1</v>
      </c>
      <c r="M1266" s="12" t="n">
        <v>350</v>
      </c>
      <c r="N1266" s="12" t="n"/>
      <c r="O1266" s="12" t="n"/>
      <c r="P1266" s="12" t="n"/>
      <c r="Q1266" s="12" t="n"/>
      <c r="R1266" s="13">
        <f>IF(ISNUMBER(M1266),ROUND(M1266/(1-Settings!$B$2)/Settings!$B$3,0)*Settings!$B$3,"")</f>
        <v/>
      </c>
      <c r="S1266" s="13">
        <f>IF(ISNUMBER(N1266),ROUND(N1266/(1-Settings!$B$2)/Settings!$B$3,0)*Settings!$B$3,"")</f>
        <v/>
      </c>
      <c r="T1266" s="13">
        <f>IF(ISNUMBER(O1266),ROUND(O1266/(1-Settings!$B$2)/Settings!$B$3,0)*Settings!$B$3,"")</f>
        <v/>
      </c>
      <c r="U1266" s="13">
        <f>IF(ISNUMBER(P1266),ROUND(P1266/(1-Settings!$B$2)/Settings!$B$3,0)*Settings!$B$3,"")</f>
        <v/>
      </c>
      <c r="V1266" s="13">
        <f>IF(ISNUMBER(Q1266),ROUND(Q1266/(1-Settings!$B$2)/Settings!$B$3,0)*Settings!$B$3,"")</f>
        <v/>
      </c>
      <c r="W1266" s="14" t="n">
        <v>3269</v>
      </c>
      <c r="X1266" s="14" t="n">
        <v>3922</v>
      </c>
      <c r="Y1266" s="11" t="inlineStr">
        <is>
          <t>2026</t>
        </is>
      </c>
      <c r="Z1266" s="11" t="inlineStr">
        <is>
          <t>2026-06</t>
        </is>
      </c>
      <c r="AA1266" s="8" t="inlineStr"/>
      <c r="AB1266" s="8" t="inlineStr"/>
      <c r="AC1266" s="11" t="inlineStr">
        <is>
          <t>Military - National Publication Inventory Master_June 2026.xlsx</t>
        </is>
      </c>
      <c r="AD1266" s="11" t="inlineStr">
        <is>
          <t>NAVSTA Newport Advertising Rate Card_2026.pdf</t>
        </is>
      </c>
      <c r="AE1266" s="15" t="inlineStr">
        <is>
          <t>Open in Box</t>
        </is>
      </c>
      <c r="AF1266" s="15" t="inlineStr">
        <is>
          <t>Open in Box</t>
        </is>
      </c>
    </row>
    <row r="1267">
      <c r="A1267" s="11" t="inlineStr">
        <is>
          <t>SC-BEAUFORT-002</t>
        </is>
      </c>
      <c r="B1267" s="8" t="inlineStr">
        <is>
          <t>Beaufort MCAS</t>
        </is>
      </c>
      <c r="C1267" s="11" t="inlineStr"/>
      <c r="D1267" s="11" t="inlineStr">
        <is>
          <t>SC</t>
        </is>
      </c>
      <c r="E1267" s="11" t="inlineStr">
        <is>
          <t>Savannah, GA</t>
        </is>
      </c>
      <c r="F1267" s="11" t="inlineStr"/>
      <c r="G1267" s="11" t="inlineStr">
        <is>
          <t>Marine Corps</t>
        </is>
      </c>
      <c r="H1267" s="11" t="inlineStr">
        <is>
          <t>Digital</t>
        </is>
      </c>
      <c r="I1267" s="8" t="inlineStr">
        <is>
          <t>Digital Kiosk Network</t>
        </is>
      </c>
      <c r="J1267" s="11" t="inlineStr">
        <is>
          <t>1 screens</t>
        </is>
      </c>
      <c r="K1267" s="8" t="inlineStr">
        <is>
          <t>Your ad will appear on the 1-screen digital kiosk network in approved installation facilities.</t>
        </is>
      </c>
      <c r="L1267" s="11" t="n">
        <v>1</v>
      </c>
      <c r="M1267" s="12" t="n">
        <v>200</v>
      </c>
      <c r="N1267" s="12" t="n"/>
      <c r="O1267" s="12" t="n"/>
      <c r="P1267" s="12" t="n"/>
      <c r="Q1267" s="12" t="n"/>
      <c r="R1267" s="13">
        <f>IF(ISNUMBER(M1267),ROUND(M1267/(1-Settings!$B$2)/Settings!$B$3,0)*Settings!$B$3,"")</f>
        <v/>
      </c>
      <c r="S1267" s="13">
        <f>IF(ISNUMBER(N1267),ROUND(N1267/(1-Settings!$B$2)/Settings!$B$3,0)*Settings!$B$3,"")</f>
        <v/>
      </c>
      <c r="T1267" s="13">
        <f>IF(ISNUMBER(O1267),ROUND(O1267/(1-Settings!$B$2)/Settings!$B$3,0)*Settings!$B$3,"")</f>
        <v/>
      </c>
      <c r="U1267" s="13">
        <f>IF(ISNUMBER(P1267),ROUND(P1267/(1-Settings!$B$2)/Settings!$B$3,0)*Settings!$B$3,"")</f>
        <v/>
      </c>
      <c r="V1267" s="13">
        <f>IF(ISNUMBER(Q1267),ROUND(Q1267/(1-Settings!$B$2)/Settings!$B$3,0)*Settings!$B$3,"")</f>
        <v/>
      </c>
      <c r="W1267" s="14" t="n"/>
      <c r="X1267" s="14" t="n"/>
      <c r="Y1267" s="11" t="inlineStr">
        <is>
          <t>2026</t>
        </is>
      </c>
      <c r="Z1267" s="11" t="inlineStr">
        <is>
          <t>2026-06</t>
        </is>
      </c>
      <c r="AA1267" s="8" t="inlineStr"/>
      <c r="AB1267" s="8" t="inlineStr"/>
      <c r="AC1267" s="11" t="inlineStr">
        <is>
          <t>Military - National Digital Inventory Master 6.3.26.xlsx</t>
        </is>
      </c>
      <c r="AD1267" s="11" t="inlineStr">
        <is>
          <t>MCCS Events and Advertising 2026.pdf</t>
        </is>
      </c>
      <c r="AE1267" s="15" t="inlineStr">
        <is>
          <t>Open in Box</t>
        </is>
      </c>
      <c r="AF1267" s="15" t="inlineStr">
        <is>
          <t>Open in Box</t>
        </is>
      </c>
    </row>
    <row r="1268">
      <c r="A1268" s="11" t="inlineStr">
        <is>
          <t>SC-BEAUFORT-003</t>
        </is>
      </c>
      <c r="B1268" s="8" t="inlineStr">
        <is>
          <t>Beaufort MCAS</t>
        </is>
      </c>
      <c r="C1268" s="11" t="inlineStr"/>
      <c r="D1268" s="11" t="inlineStr">
        <is>
          <t>SC</t>
        </is>
      </c>
      <c r="E1268" s="11" t="inlineStr">
        <is>
          <t>Savannah, GA</t>
        </is>
      </c>
      <c r="F1268" s="11" t="inlineStr"/>
      <c r="G1268" s="11" t="inlineStr">
        <is>
          <t>Marine Corps</t>
        </is>
      </c>
      <c r="H1268" s="11" t="inlineStr">
        <is>
          <t>Digital</t>
        </is>
      </c>
      <c r="I1268" s="8" t="inlineStr">
        <is>
          <t>Digital Marquee</t>
        </is>
      </c>
      <c r="J1268" s="11" t="inlineStr">
        <is>
          <t>3 screens</t>
        </is>
      </c>
      <c r="K1268" s="8" t="inlineStr">
        <is>
          <t>Your ad will appear on the 3-screen digital marquee(s) on the installation.</t>
        </is>
      </c>
      <c r="L1268" s="11" t="n">
        <v>1</v>
      </c>
      <c r="M1268" s="12" t="n">
        <v>1050</v>
      </c>
      <c r="N1268" s="12" t="n"/>
      <c r="O1268" s="12" t="n"/>
      <c r="P1268" s="12" t="n"/>
      <c r="Q1268" s="12" t="n"/>
      <c r="R1268" s="13">
        <f>IF(ISNUMBER(M1268),ROUND(M1268/(1-Settings!$B$2)/Settings!$B$3,0)*Settings!$B$3,"")</f>
        <v/>
      </c>
      <c r="S1268" s="13">
        <f>IF(ISNUMBER(N1268),ROUND(N1268/(1-Settings!$B$2)/Settings!$B$3,0)*Settings!$B$3,"")</f>
        <v/>
      </c>
      <c r="T1268" s="13">
        <f>IF(ISNUMBER(O1268),ROUND(O1268/(1-Settings!$B$2)/Settings!$B$3,0)*Settings!$B$3,"")</f>
        <v/>
      </c>
      <c r="U1268" s="13">
        <f>IF(ISNUMBER(P1268),ROUND(P1268/(1-Settings!$B$2)/Settings!$B$3,0)*Settings!$B$3,"")</f>
        <v/>
      </c>
      <c r="V1268" s="13">
        <f>IF(ISNUMBER(Q1268),ROUND(Q1268/(1-Settings!$B$2)/Settings!$B$3,0)*Settings!$B$3,"")</f>
        <v/>
      </c>
      <c r="W1268" s="14" t="n"/>
      <c r="X1268" s="14" t="n"/>
      <c r="Y1268" s="11" t="inlineStr">
        <is>
          <t>2026</t>
        </is>
      </c>
      <c r="Z1268" s="11" t="inlineStr">
        <is>
          <t>2026-06</t>
        </is>
      </c>
      <c r="AA1268" s="8" t="inlineStr"/>
      <c r="AB1268" s="8" t="inlineStr"/>
      <c r="AC1268" s="11" t="inlineStr">
        <is>
          <t>Military - National Digital Inventory Master 6.3.26.xlsx</t>
        </is>
      </c>
      <c r="AD1268" s="11" t="inlineStr">
        <is>
          <t>MCCS Events and Advertising 2026.pdf</t>
        </is>
      </c>
      <c r="AE1268" s="15" t="inlineStr">
        <is>
          <t>Open in Box</t>
        </is>
      </c>
      <c r="AF1268" s="15" t="inlineStr">
        <is>
          <t>Open in Box</t>
        </is>
      </c>
    </row>
    <row r="1269">
      <c r="A1269" s="11" t="inlineStr">
        <is>
          <t>SC-BEAUFORT-001</t>
        </is>
      </c>
      <c r="B1269" s="8" t="inlineStr">
        <is>
          <t>Beaufort MCAS</t>
        </is>
      </c>
      <c r="C1269" s="11" t="inlineStr"/>
      <c r="D1269" s="11" t="inlineStr">
        <is>
          <t>SC</t>
        </is>
      </c>
      <c r="E1269" s="11" t="inlineStr">
        <is>
          <t>Savannah, GA</t>
        </is>
      </c>
      <c r="F1269" s="11" t="inlineStr"/>
      <c r="G1269" s="11" t="inlineStr">
        <is>
          <t>Marine Corps</t>
        </is>
      </c>
      <c r="H1269" s="11" t="inlineStr">
        <is>
          <t>Digital</t>
        </is>
      </c>
      <c r="I1269" s="8" t="inlineStr">
        <is>
          <t>Digital Monitor Network</t>
        </is>
      </c>
      <c r="J1269" s="11" t="inlineStr">
        <is>
          <t>4 screens</t>
        </is>
      </c>
      <c r="K1269" s="8" t="inlineStr">
        <is>
          <t>Your ad will appear on the 4-screen digital monitor network in approved installation facilities.</t>
        </is>
      </c>
      <c r="L1269" s="11" t="n">
        <v>1</v>
      </c>
      <c r="M1269" s="12" t="n">
        <v>300</v>
      </c>
      <c r="N1269" s="12" t="n"/>
      <c r="O1269" s="12" t="n"/>
      <c r="P1269" s="12" t="n"/>
      <c r="Q1269" s="12" t="n"/>
      <c r="R1269" s="13">
        <f>IF(ISNUMBER(M1269),ROUND(M1269/(1-Settings!$B$2)/Settings!$B$3,0)*Settings!$B$3,"")</f>
        <v/>
      </c>
      <c r="S1269" s="13">
        <f>IF(ISNUMBER(N1269),ROUND(N1269/(1-Settings!$B$2)/Settings!$B$3,0)*Settings!$B$3,"")</f>
        <v/>
      </c>
      <c r="T1269" s="13">
        <f>IF(ISNUMBER(O1269),ROUND(O1269/(1-Settings!$B$2)/Settings!$B$3,0)*Settings!$B$3,"")</f>
        <v/>
      </c>
      <c r="U1269" s="13">
        <f>IF(ISNUMBER(P1269),ROUND(P1269/(1-Settings!$B$2)/Settings!$B$3,0)*Settings!$B$3,"")</f>
        <v/>
      </c>
      <c r="V1269" s="13">
        <f>IF(ISNUMBER(Q1269),ROUND(Q1269/(1-Settings!$B$2)/Settings!$B$3,0)*Settings!$B$3,"")</f>
        <v/>
      </c>
      <c r="W1269" s="14" t="n"/>
      <c r="X1269" s="14" t="n"/>
      <c r="Y1269" s="11" t="inlineStr">
        <is>
          <t>2026</t>
        </is>
      </c>
      <c r="Z1269" s="11" t="inlineStr">
        <is>
          <t>2026-06</t>
        </is>
      </c>
      <c r="AA1269" s="8" t="inlineStr"/>
      <c r="AB1269" s="8" t="inlineStr"/>
      <c r="AC1269" s="11" t="inlineStr">
        <is>
          <t>Military - National Digital Inventory Master 6.3.26.xlsx</t>
        </is>
      </c>
      <c r="AD1269" s="11" t="inlineStr">
        <is>
          <t>MCCS Events and Advertising 2026.pdf</t>
        </is>
      </c>
      <c r="AE1269" s="15" t="inlineStr">
        <is>
          <t>Open in Box</t>
        </is>
      </c>
      <c r="AF1269" s="15" t="inlineStr">
        <is>
          <t>Open in Box</t>
        </is>
      </c>
    </row>
    <row r="1270">
      <c r="A1270" s="11" t="inlineStr">
        <is>
          <t>SC-BEAUFORT-004</t>
        </is>
      </c>
      <c r="B1270" s="8" t="inlineStr">
        <is>
          <t>Beaufort MCAS</t>
        </is>
      </c>
      <c r="C1270" s="11" t="inlineStr"/>
      <c r="D1270" s="11" t="inlineStr">
        <is>
          <t>SC</t>
        </is>
      </c>
      <c r="E1270" s="11" t="inlineStr">
        <is>
          <t>Savannah, GA</t>
        </is>
      </c>
      <c r="F1270" s="11" t="inlineStr"/>
      <c r="G1270" s="11" t="inlineStr">
        <is>
          <t>Marine Corps</t>
        </is>
      </c>
      <c r="H1270" s="11" t="inlineStr">
        <is>
          <t>Web &amp; Email</t>
        </is>
      </c>
      <c r="I1270" s="8" t="inlineStr">
        <is>
          <t>Web Ad</t>
        </is>
      </c>
      <c r="J1270" s="11" t="inlineStr"/>
      <c r="K1270" s="8" t="inlineStr">
        <is>
          <t>Your ad will appear on the installation MWR / FSS website.</t>
        </is>
      </c>
      <c r="L1270" s="11" t="n">
        <v>1</v>
      </c>
      <c r="M1270" s="12" t="n">
        <v>3000</v>
      </c>
      <c r="N1270" s="12" t="n"/>
      <c r="O1270" s="12" t="n"/>
      <c r="P1270" s="12" t="n"/>
      <c r="Q1270" s="12" t="n"/>
      <c r="R1270" s="13">
        <f>IF(ISNUMBER(M1270),ROUND(M1270/(1-Settings!$B$2)/Settings!$B$3,0)*Settings!$B$3,"")</f>
        <v/>
      </c>
      <c r="S1270" s="13">
        <f>IF(ISNUMBER(N1270),ROUND(N1270/(1-Settings!$B$2)/Settings!$B$3,0)*Settings!$B$3,"")</f>
        <v/>
      </c>
      <c r="T1270" s="13">
        <f>IF(ISNUMBER(O1270),ROUND(O1270/(1-Settings!$B$2)/Settings!$B$3,0)*Settings!$B$3,"")</f>
        <v/>
      </c>
      <c r="U1270" s="13">
        <f>IF(ISNUMBER(P1270),ROUND(P1270/(1-Settings!$B$2)/Settings!$B$3,0)*Settings!$B$3,"")</f>
        <v/>
      </c>
      <c r="V1270" s="13">
        <f>IF(ISNUMBER(Q1270),ROUND(Q1270/(1-Settings!$B$2)/Settings!$B$3,0)*Settings!$B$3,"")</f>
        <v/>
      </c>
      <c r="W1270" s="14" t="n">
        <v>4100</v>
      </c>
      <c r="X1270" s="14" t="n">
        <v>1600</v>
      </c>
      <c r="Y1270" s="11" t="inlineStr">
        <is>
          <t>2026</t>
        </is>
      </c>
      <c r="Z1270" s="11" t="inlineStr">
        <is>
          <t>2026-06</t>
        </is>
      </c>
      <c r="AA1270" s="8" t="inlineStr"/>
      <c r="AB1270" s="8" t="inlineStr"/>
      <c r="AC1270" s="11" t="inlineStr">
        <is>
          <t>Military - National Publication Inventory Master_June 2026.xlsx</t>
        </is>
      </c>
      <c r="AD1270" s="11" t="inlineStr">
        <is>
          <t>MCCS Events and Advertising 2026.pdf</t>
        </is>
      </c>
      <c r="AE1270" s="15" t="inlineStr">
        <is>
          <t>Open in Box</t>
        </is>
      </c>
      <c r="AF1270" s="15" t="inlineStr">
        <is>
          <t>Open in Box</t>
        </is>
      </c>
    </row>
    <row r="1271">
      <c r="A1271" s="11" t="inlineStr">
        <is>
          <t>SC-FORTJACK-001</t>
        </is>
      </c>
      <c r="B1271" s="8" t="inlineStr">
        <is>
          <t>Fort Jackson</t>
        </is>
      </c>
      <c r="C1271" s="11" t="inlineStr"/>
      <c r="D1271" s="11" t="inlineStr">
        <is>
          <t>SC</t>
        </is>
      </c>
      <c r="E1271" s="11" t="inlineStr">
        <is>
          <t>Columbia, Sc</t>
        </is>
      </c>
      <c r="F1271" s="11" t="inlineStr">
        <is>
          <t>29207</t>
        </is>
      </c>
      <c r="G1271" s="11" t="inlineStr">
        <is>
          <t>Army</t>
        </is>
      </c>
      <c r="H1271" s="11" t="inlineStr">
        <is>
          <t>Digital</t>
        </is>
      </c>
      <c r="I1271" s="8" t="inlineStr">
        <is>
          <t>Bowling Scoring Monitors - Century Lanes</t>
        </is>
      </c>
      <c r="J1271" s="11" t="inlineStr">
        <is>
          <t>1366pxW x 768pxH</t>
        </is>
      </c>
      <c r="K1271" s="8" t="inlineStr">
        <is>
          <t>Your ad will appear on digital scoring monitors</t>
        </is>
      </c>
      <c r="L1271" s="11" t="n">
        <v>12</v>
      </c>
      <c r="M1271" s="12" t="n"/>
      <c r="N1271" s="12" t="n"/>
      <c r="O1271" s="12" t="n"/>
      <c r="P1271" s="12" t="n">
        <v>7200</v>
      </c>
      <c r="Q1271" s="12" t="n">
        <v>0</v>
      </c>
      <c r="R1271" s="13">
        <f>IF(ISNUMBER(M1271),ROUND(M1271/(1-Settings!$B$2)/Settings!$B$3,0)*Settings!$B$3,"")</f>
        <v/>
      </c>
      <c r="S1271" s="13">
        <f>IF(ISNUMBER(N1271),ROUND(N1271/(1-Settings!$B$2)/Settings!$B$3,0)*Settings!$B$3,"")</f>
        <v/>
      </c>
      <c r="T1271" s="13">
        <f>IF(ISNUMBER(O1271),ROUND(O1271/(1-Settings!$B$2)/Settings!$B$3,0)*Settings!$B$3,"")</f>
        <v/>
      </c>
      <c r="U1271" s="13">
        <f>IF(ISNUMBER(P1271),ROUND(P1271/(1-Settings!$B$2)/Settings!$B$3,0)*Settings!$B$3,"")</f>
        <v/>
      </c>
      <c r="V1271" s="13">
        <f>IF(ISNUMBER(Q1271),ROUND(Q1271/(1-Settings!$B$2)/Settings!$B$3,0)*Settings!$B$3,"")</f>
        <v/>
      </c>
      <c r="W1271" s="14" t="n">
        <v>3500</v>
      </c>
      <c r="X1271" s="14" t="n">
        <v>12000</v>
      </c>
      <c r="Y1271" s="11" t="inlineStr"/>
      <c r="Z1271" s="11" t="inlineStr"/>
      <c r="AA1271" s="8" t="inlineStr">
        <is>
          <t>Inventory master 6/2026 lists Bowling Scoring Monitors at $500 (1 mo)</t>
        </is>
      </c>
      <c r="AB1271" s="16" t="inlineStr">
        <is>
          <t>Source formula errors</t>
        </is>
      </c>
      <c r="AC1271" s="11" t="inlineStr">
        <is>
          <t>MasterMilitaryOnBaseList 12.2.25 NS.xlsx</t>
        </is>
      </c>
      <c r="AD1271" s="11" t="inlineStr">
        <is>
          <t>Commercial Sponsorship Kit 2026.pdf</t>
        </is>
      </c>
      <c r="AE1271" s="15" t="inlineStr">
        <is>
          <t>Open in Box</t>
        </is>
      </c>
      <c r="AF1271" s="15" t="inlineStr">
        <is>
          <t>Open in Box</t>
        </is>
      </c>
    </row>
    <row r="1272">
      <c r="A1272" s="11" t="inlineStr">
        <is>
          <t>SC-FORTJACK-002</t>
        </is>
      </c>
      <c r="B1272" s="8" t="inlineStr">
        <is>
          <t>Fort Jackson</t>
        </is>
      </c>
      <c r="C1272" s="11" t="inlineStr"/>
      <c r="D1272" s="11" t="inlineStr">
        <is>
          <t>SC</t>
        </is>
      </c>
      <c r="E1272" s="11" t="inlineStr">
        <is>
          <t>Columbia, Sc</t>
        </is>
      </c>
      <c r="F1272" s="11" t="inlineStr">
        <is>
          <t>29207</t>
        </is>
      </c>
      <c r="G1272" s="11" t="inlineStr">
        <is>
          <t>Army</t>
        </is>
      </c>
      <c r="H1272" s="11" t="inlineStr">
        <is>
          <t>Digital</t>
        </is>
      </c>
      <c r="I1272" s="8" t="inlineStr">
        <is>
          <t>Bowling Scoring Monitors - Ivy Lanes</t>
        </is>
      </c>
      <c r="J1272" s="11" t="inlineStr">
        <is>
          <t>1366pxW x 768pxH</t>
        </is>
      </c>
      <c r="K1272" s="8" t="inlineStr">
        <is>
          <t>Your ad will appear on digital scoring monitors</t>
        </is>
      </c>
      <c r="L1272" s="11" t="n">
        <v>12</v>
      </c>
      <c r="M1272" s="12" t="n"/>
      <c r="N1272" s="12" t="n"/>
      <c r="O1272" s="12" t="n"/>
      <c r="P1272" s="12" t="n">
        <v>4200</v>
      </c>
      <c r="Q1272" s="12" t="n">
        <v>0</v>
      </c>
      <c r="R1272" s="13">
        <f>IF(ISNUMBER(M1272),ROUND(M1272/(1-Settings!$B$2)/Settings!$B$3,0)*Settings!$B$3,"")</f>
        <v/>
      </c>
      <c r="S1272" s="13">
        <f>IF(ISNUMBER(N1272),ROUND(N1272/(1-Settings!$B$2)/Settings!$B$3,0)*Settings!$B$3,"")</f>
        <v/>
      </c>
      <c r="T1272" s="13">
        <f>IF(ISNUMBER(O1272),ROUND(O1272/(1-Settings!$B$2)/Settings!$B$3,0)*Settings!$B$3,"")</f>
        <v/>
      </c>
      <c r="U1272" s="13">
        <f>IF(ISNUMBER(P1272),ROUND(P1272/(1-Settings!$B$2)/Settings!$B$3,0)*Settings!$B$3,"")</f>
        <v/>
      </c>
      <c r="V1272" s="13">
        <f>IF(ISNUMBER(Q1272),ROUND(Q1272/(1-Settings!$B$2)/Settings!$B$3,0)*Settings!$B$3,"")</f>
        <v/>
      </c>
      <c r="W1272" s="14" t="n">
        <v>3500</v>
      </c>
      <c r="X1272" s="14" t="n">
        <v>12000</v>
      </c>
      <c r="Y1272" s="11" t="inlineStr"/>
      <c r="Z1272" s="11" t="inlineStr"/>
      <c r="AA1272" s="8" t="inlineStr">
        <is>
          <t>Inventory master 6/2026 lists Bowling Scoring Monitors at $500 (1 mo)</t>
        </is>
      </c>
      <c r="AB1272" s="16" t="inlineStr">
        <is>
          <t>Source formula errors</t>
        </is>
      </c>
      <c r="AC1272" s="11" t="inlineStr">
        <is>
          <t>MasterMilitaryOnBaseList 12.2.25 NS.xlsx</t>
        </is>
      </c>
      <c r="AD1272" s="11" t="inlineStr">
        <is>
          <t>Commercial Sponsorship Kit 2026.pdf</t>
        </is>
      </c>
      <c r="AE1272" s="15" t="inlineStr">
        <is>
          <t>Open in Box</t>
        </is>
      </c>
      <c r="AF1272" s="15" t="inlineStr">
        <is>
          <t>Open in Box</t>
        </is>
      </c>
    </row>
    <row r="1273">
      <c r="A1273" s="11" t="inlineStr">
        <is>
          <t>SC-FORTJACK-012</t>
        </is>
      </c>
      <c r="B1273" s="8" t="inlineStr">
        <is>
          <t>Fort Jackson</t>
        </is>
      </c>
      <c r="C1273" s="11" t="inlineStr"/>
      <c r="D1273" s="11" t="inlineStr">
        <is>
          <t>SC</t>
        </is>
      </c>
      <c r="E1273" s="11" t="inlineStr">
        <is>
          <t>Columbia, Sc</t>
        </is>
      </c>
      <c r="F1273" s="11" t="inlineStr"/>
      <c r="G1273" s="11" t="inlineStr">
        <is>
          <t>Army</t>
        </is>
      </c>
      <c r="H1273" s="11" t="inlineStr">
        <is>
          <t>Digital</t>
        </is>
      </c>
      <c r="I1273" s="8" t="inlineStr">
        <is>
          <t>Digital Marquee</t>
        </is>
      </c>
      <c r="J1273" s="11" t="inlineStr">
        <is>
          <t>1 screens</t>
        </is>
      </c>
      <c r="K1273" s="8" t="inlineStr">
        <is>
          <t>Your ad will appear on the 1-screen digital marquee(s) on the installation.</t>
        </is>
      </c>
      <c r="L1273" s="11" t="n">
        <v>1</v>
      </c>
      <c r="M1273" s="12" t="n">
        <v>200</v>
      </c>
      <c r="N1273" s="12" t="n"/>
      <c r="O1273" s="12" t="n"/>
      <c r="P1273" s="12" t="n"/>
      <c r="Q1273" s="12" t="n"/>
      <c r="R1273" s="13">
        <f>IF(ISNUMBER(M1273),ROUND(M1273/(1-Settings!$B$2)/Settings!$B$3,0)*Settings!$B$3,"")</f>
        <v/>
      </c>
      <c r="S1273" s="13">
        <f>IF(ISNUMBER(N1273),ROUND(N1273/(1-Settings!$B$2)/Settings!$B$3,0)*Settings!$B$3,"")</f>
        <v/>
      </c>
      <c r="T1273" s="13">
        <f>IF(ISNUMBER(O1273),ROUND(O1273/(1-Settings!$B$2)/Settings!$B$3,0)*Settings!$B$3,"")</f>
        <v/>
      </c>
      <c r="U1273" s="13">
        <f>IF(ISNUMBER(P1273),ROUND(P1273/(1-Settings!$B$2)/Settings!$B$3,0)*Settings!$B$3,"")</f>
        <v/>
      </c>
      <c r="V1273" s="13">
        <f>IF(ISNUMBER(Q1273),ROUND(Q1273/(1-Settings!$B$2)/Settings!$B$3,0)*Settings!$B$3,"")</f>
        <v/>
      </c>
      <c r="W1273" s="14" t="n"/>
      <c r="X1273" s="14" t="n"/>
      <c r="Y1273" s="11" t="inlineStr">
        <is>
          <t>2026</t>
        </is>
      </c>
      <c r="Z1273" s="11" t="inlineStr">
        <is>
          <t>2026-06</t>
        </is>
      </c>
      <c r="AA1273" s="8" t="inlineStr"/>
      <c r="AB1273" s="8" t="inlineStr"/>
      <c r="AC1273" s="11" t="inlineStr">
        <is>
          <t>Military - National Digital Inventory Master 6.3.26.xlsx</t>
        </is>
      </c>
      <c r="AD1273" s="11" t="inlineStr">
        <is>
          <t>Commercial Sponsorship Kit 2026.pdf</t>
        </is>
      </c>
      <c r="AE1273" s="15" t="inlineStr">
        <is>
          <t>Open in Box</t>
        </is>
      </c>
      <c r="AF1273" s="15" t="inlineStr">
        <is>
          <t>Open in Box</t>
        </is>
      </c>
    </row>
    <row r="1274">
      <c r="A1274" s="11" t="inlineStr">
        <is>
          <t>SC-FORTJACK-008</t>
        </is>
      </c>
      <c r="B1274" s="8" t="inlineStr">
        <is>
          <t>Fort Jackson</t>
        </is>
      </c>
      <c r="C1274" s="11" t="inlineStr"/>
      <c r="D1274" s="11" t="inlineStr">
        <is>
          <t>SC</t>
        </is>
      </c>
      <c r="E1274" s="11" t="inlineStr">
        <is>
          <t>Columbia, Sc</t>
        </is>
      </c>
      <c r="F1274" s="11" t="inlineStr">
        <is>
          <t>29207</t>
        </is>
      </c>
      <c r="G1274" s="11" t="inlineStr">
        <is>
          <t>Army</t>
        </is>
      </c>
      <c r="H1274" s="11" t="inlineStr">
        <is>
          <t>Large Format</t>
        </is>
      </c>
      <c r="I1274" s="8" t="inlineStr">
        <is>
          <t>Bathroom Cling</t>
        </is>
      </c>
      <c r="J1274" s="11" t="inlineStr">
        <is>
          <t>6"W x 4"H</t>
        </is>
      </c>
      <c r="K1274" s="8" t="inlineStr">
        <is>
          <t>Your ad will appear on all bathroom mirrors.</t>
        </is>
      </c>
      <c r="L1274" s="11" t="n">
        <v>12</v>
      </c>
      <c r="M1274" s="12" t="n"/>
      <c r="N1274" s="12" t="n"/>
      <c r="O1274" s="12" t="n"/>
      <c r="P1274" s="12" t="n">
        <v>5000</v>
      </c>
      <c r="Q1274" s="12" t="n"/>
      <c r="R1274" s="13">
        <f>IF(ISNUMBER(M1274),ROUND(M1274/(1-Settings!$B$2)/Settings!$B$3,0)*Settings!$B$3,"")</f>
        <v/>
      </c>
      <c r="S1274" s="13">
        <f>IF(ISNUMBER(N1274),ROUND(N1274/(1-Settings!$B$2)/Settings!$B$3,0)*Settings!$B$3,"")</f>
        <v/>
      </c>
      <c r="T1274" s="13">
        <f>IF(ISNUMBER(O1274),ROUND(O1274/(1-Settings!$B$2)/Settings!$B$3,0)*Settings!$B$3,"")</f>
        <v/>
      </c>
      <c r="U1274" s="13">
        <f>IF(ISNUMBER(P1274),ROUND(P1274/(1-Settings!$B$2)/Settings!$B$3,0)*Settings!$B$3,"")</f>
        <v/>
      </c>
      <c r="V1274" s="13">
        <f>IF(ISNUMBER(Q1274),ROUND(Q1274/(1-Settings!$B$2)/Settings!$B$3,0)*Settings!$B$3,"")</f>
        <v/>
      </c>
      <c r="W1274" s="14" t="n">
        <v>3500</v>
      </c>
      <c r="X1274" s="14" t="n">
        <v>12000</v>
      </c>
      <c r="Y1274" s="11" t="inlineStr"/>
      <c r="Z1274" s="11" t="inlineStr"/>
      <c r="AA1274" s="8" t="inlineStr"/>
      <c r="AB1274" s="16" t="inlineStr">
        <is>
          <t>Source formula errors</t>
        </is>
      </c>
      <c r="AC1274" s="11" t="inlineStr">
        <is>
          <t>MasterMilitaryOnBaseList 12.2.25 NS.xlsx</t>
        </is>
      </c>
      <c r="AD1274" s="11" t="inlineStr">
        <is>
          <t>Commercial Sponsorship Kit 2026.pdf</t>
        </is>
      </c>
      <c r="AE1274" s="15" t="inlineStr">
        <is>
          <t>Open in Box</t>
        </is>
      </c>
      <c r="AF1274" s="15" t="inlineStr">
        <is>
          <t>Open in Box</t>
        </is>
      </c>
    </row>
    <row r="1275">
      <c r="A1275" s="11" t="inlineStr">
        <is>
          <t>SC-FORTJACK-009</t>
        </is>
      </c>
      <c r="B1275" s="8" t="inlineStr">
        <is>
          <t>Fort Jackson</t>
        </is>
      </c>
      <c r="C1275" s="11" t="inlineStr"/>
      <c r="D1275" s="11" t="inlineStr">
        <is>
          <t>SC</t>
        </is>
      </c>
      <c r="E1275" s="11" t="inlineStr">
        <is>
          <t>Columbia, Sc</t>
        </is>
      </c>
      <c r="F1275" s="11" t="inlineStr">
        <is>
          <t>29207</t>
        </is>
      </c>
      <c r="G1275" s="11" t="inlineStr">
        <is>
          <t>Army</t>
        </is>
      </c>
      <c r="H1275" s="11" t="inlineStr">
        <is>
          <t>Large Format</t>
        </is>
      </c>
      <c r="I1275" s="8" t="inlineStr">
        <is>
          <t>Wallscape</t>
        </is>
      </c>
      <c r="J1275" s="11" t="inlineStr">
        <is>
          <t>200 SQFT</t>
        </is>
      </c>
      <c r="K1275" s="8" t="inlineStr">
        <is>
          <t>Your ad will appear at an approved installation facility.</t>
        </is>
      </c>
      <c r="L1275" s="11" t="n">
        <v>6</v>
      </c>
      <c r="M1275" s="12" t="n"/>
      <c r="N1275" s="12" t="n"/>
      <c r="O1275" s="12" t="n">
        <v>6000</v>
      </c>
      <c r="P1275" s="12" t="n">
        <v>1200</v>
      </c>
      <c r="Q1275" s="12" t="n"/>
      <c r="R1275" s="13">
        <f>IF(ISNUMBER(M1275),ROUND(M1275/(1-Settings!$B$2)/Settings!$B$3,0)*Settings!$B$3,"")</f>
        <v/>
      </c>
      <c r="S1275" s="13">
        <f>IF(ISNUMBER(N1275),ROUND(N1275/(1-Settings!$B$2)/Settings!$B$3,0)*Settings!$B$3,"")</f>
        <v/>
      </c>
      <c r="T1275" s="13">
        <f>IF(ISNUMBER(O1275),ROUND(O1275/(1-Settings!$B$2)/Settings!$B$3,0)*Settings!$B$3,"")</f>
        <v/>
      </c>
      <c r="U1275" s="13">
        <f>IF(ISNUMBER(P1275),ROUND(P1275/(1-Settings!$B$2)/Settings!$B$3,0)*Settings!$B$3,"")</f>
        <v/>
      </c>
      <c r="V1275" s="13">
        <f>IF(ISNUMBER(Q1275),ROUND(Q1275/(1-Settings!$B$2)/Settings!$B$3,0)*Settings!$B$3,"")</f>
        <v/>
      </c>
      <c r="W1275" s="14" t="n">
        <v>3500</v>
      </c>
      <c r="X1275" s="14" t="n">
        <v>12000</v>
      </c>
      <c r="Y1275" s="11" t="inlineStr"/>
      <c r="Z1275" s="11" t="inlineStr"/>
      <c r="AA1275" s="8" t="inlineStr"/>
      <c r="AB1275" s="16" t="inlineStr">
        <is>
          <t>Source formula errors</t>
        </is>
      </c>
      <c r="AC1275" s="11" t="inlineStr">
        <is>
          <t>MasterMilitaryOnBaseList 12.2.25 NS.xlsx</t>
        </is>
      </c>
      <c r="AD1275" s="11" t="inlineStr">
        <is>
          <t>Commercial Sponsorship Kit 2026.pdf</t>
        </is>
      </c>
      <c r="AE1275" s="15" t="inlineStr">
        <is>
          <t>Open in Box</t>
        </is>
      </c>
      <c r="AF1275" s="15" t="inlineStr">
        <is>
          <t>Open in Box</t>
        </is>
      </c>
    </row>
    <row r="1276">
      <c r="A1276" s="11" t="inlineStr">
        <is>
          <t>SC-FORTJACK-010</t>
        </is>
      </c>
      <c r="B1276" s="8" t="inlineStr">
        <is>
          <t>Fort Jackson</t>
        </is>
      </c>
      <c r="C1276" s="11" t="inlineStr"/>
      <c r="D1276" s="11" t="inlineStr">
        <is>
          <t>SC</t>
        </is>
      </c>
      <c r="E1276" s="11" t="inlineStr">
        <is>
          <t>Columbia, Sc</t>
        </is>
      </c>
      <c r="F1276" s="11" t="inlineStr">
        <is>
          <t>29207</t>
        </is>
      </c>
      <c r="G1276" s="11" t="inlineStr">
        <is>
          <t>Army</t>
        </is>
      </c>
      <c r="H1276" s="11" t="inlineStr">
        <is>
          <t>Large Format</t>
        </is>
      </c>
      <c r="I1276" s="8" t="inlineStr">
        <is>
          <t>Windor Cling</t>
        </is>
      </c>
      <c r="J1276" s="11" t="inlineStr">
        <is>
          <t>26"W x 30"H</t>
        </is>
      </c>
      <c r="K1276" s="8" t="inlineStr">
        <is>
          <t>Your ad will appear at an approved installation facility.</t>
        </is>
      </c>
      <c r="L1276" s="11" t="n">
        <v>6</v>
      </c>
      <c r="M1276" s="12" t="n"/>
      <c r="N1276" s="12" t="n"/>
      <c r="O1276" s="12" t="n">
        <v>3600</v>
      </c>
      <c r="P1276" s="12" t="n">
        <v>7200</v>
      </c>
      <c r="Q1276" s="12" t="n"/>
      <c r="R1276" s="13">
        <f>IF(ISNUMBER(M1276),ROUND(M1276/(1-Settings!$B$2)/Settings!$B$3,0)*Settings!$B$3,"")</f>
        <v/>
      </c>
      <c r="S1276" s="13">
        <f>IF(ISNUMBER(N1276),ROUND(N1276/(1-Settings!$B$2)/Settings!$B$3,0)*Settings!$B$3,"")</f>
        <v/>
      </c>
      <c r="T1276" s="13">
        <f>IF(ISNUMBER(O1276),ROUND(O1276/(1-Settings!$B$2)/Settings!$B$3,0)*Settings!$B$3,"")</f>
        <v/>
      </c>
      <c r="U1276" s="13">
        <f>IF(ISNUMBER(P1276),ROUND(P1276/(1-Settings!$B$2)/Settings!$B$3,0)*Settings!$B$3,"")</f>
        <v/>
      </c>
      <c r="V1276" s="13">
        <f>IF(ISNUMBER(Q1276),ROUND(Q1276/(1-Settings!$B$2)/Settings!$B$3,0)*Settings!$B$3,"")</f>
        <v/>
      </c>
      <c r="W1276" s="14" t="n">
        <v>3500</v>
      </c>
      <c r="X1276" s="14" t="n">
        <v>12000</v>
      </c>
      <c r="Y1276" s="11" t="inlineStr"/>
      <c r="Z1276" s="11" t="inlineStr"/>
      <c r="AA1276" s="8" t="inlineStr"/>
      <c r="AB1276" s="16" t="inlineStr">
        <is>
          <t>Source formula errors</t>
        </is>
      </c>
      <c r="AC1276" s="11" t="inlineStr">
        <is>
          <t>MasterMilitaryOnBaseList 12.2.25 NS.xlsx</t>
        </is>
      </c>
      <c r="AD1276" s="11" t="inlineStr">
        <is>
          <t>Commercial Sponsorship Kit 2026.pdf</t>
        </is>
      </c>
      <c r="AE1276" s="15" t="inlineStr">
        <is>
          <t>Open in Box</t>
        </is>
      </c>
      <c r="AF1276" s="15" t="inlineStr">
        <is>
          <t>Open in Box</t>
        </is>
      </c>
    </row>
    <row r="1277">
      <c r="A1277" s="11" t="inlineStr">
        <is>
          <t>SC-FORTJACK-011</t>
        </is>
      </c>
      <c r="B1277" s="8" t="inlineStr">
        <is>
          <t>Fort Jackson</t>
        </is>
      </c>
      <c r="C1277" s="11" t="inlineStr"/>
      <c r="D1277" s="11" t="inlineStr">
        <is>
          <t>SC</t>
        </is>
      </c>
      <c r="E1277" s="11" t="inlineStr">
        <is>
          <t>Columbia, Sc</t>
        </is>
      </c>
      <c r="F1277" s="11" t="inlineStr">
        <is>
          <t>29207</t>
        </is>
      </c>
      <c r="G1277" s="11" t="inlineStr">
        <is>
          <t>Army</t>
        </is>
      </c>
      <c r="H1277" s="11" t="inlineStr">
        <is>
          <t>Print &amp; Publications</t>
        </is>
      </c>
      <c r="I1277" s="8" t="inlineStr">
        <is>
          <t>Flyers and Brochures</t>
        </is>
      </c>
      <c r="J1277" s="11" t="inlineStr">
        <is>
          <t>Varies</t>
        </is>
      </c>
      <c r="K1277" s="8" t="inlineStr">
        <is>
          <t>Your ad will appear at an approved installation facility.</t>
        </is>
      </c>
      <c r="L1277" s="11" t="n">
        <v>1</v>
      </c>
      <c r="M1277" s="12" t="n">
        <v>100</v>
      </c>
      <c r="N1277" s="12" t="n">
        <v>300</v>
      </c>
      <c r="O1277" s="12" t="n">
        <v>600</v>
      </c>
      <c r="P1277" s="12" t="n">
        <v>1200</v>
      </c>
      <c r="Q1277" s="12" t="n"/>
      <c r="R1277" s="13">
        <f>IF(ISNUMBER(M1277),ROUND(M1277/(1-Settings!$B$2)/Settings!$B$3,0)*Settings!$B$3,"")</f>
        <v/>
      </c>
      <c r="S1277" s="13">
        <f>IF(ISNUMBER(N1277),ROUND(N1277/(1-Settings!$B$2)/Settings!$B$3,0)*Settings!$B$3,"")</f>
        <v/>
      </c>
      <c r="T1277" s="13">
        <f>IF(ISNUMBER(O1277),ROUND(O1277/(1-Settings!$B$2)/Settings!$B$3,0)*Settings!$B$3,"")</f>
        <v/>
      </c>
      <c r="U1277" s="13">
        <f>IF(ISNUMBER(P1277),ROUND(P1277/(1-Settings!$B$2)/Settings!$B$3,0)*Settings!$B$3,"")</f>
        <v/>
      </c>
      <c r="V1277" s="13">
        <f>IF(ISNUMBER(Q1277),ROUND(Q1277/(1-Settings!$B$2)/Settings!$B$3,0)*Settings!$B$3,"")</f>
        <v/>
      </c>
      <c r="W1277" s="14" t="n">
        <v>3500</v>
      </c>
      <c r="X1277" s="14" t="n">
        <v>12000</v>
      </c>
      <c r="Y1277" s="11" t="inlineStr"/>
      <c r="Z1277" s="11" t="inlineStr"/>
      <c r="AA1277" s="8" t="inlineStr"/>
      <c r="AB1277" s="8" t="inlineStr"/>
      <c r="AC1277" s="11" t="inlineStr">
        <is>
          <t>MasterMilitaryOnBaseList 12.2.25 NS.xlsx</t>
        </is>
      </c>
      <c r="AD1277" s="11" t="inlineStr">
        <is>
          <t>Commercial Sponsorship Kit 2026.pdf</t>
        </is>
      </c>
      <c r="AE1277" s="15" t="inlineStr">
        <is>
          <t>Open in Box</t>
        </is>
      </c>
      <c r="AF1277" s="15" t="inlineStr">
        <is>
          <t>Open in Box</t>
        </is>
      </c>
    </row>
    <row r="1278">
      <c r="A1278" s="11" t="inlineStr">
        <is>
          <t>SC-FORTJACK-014</t>
        </is>
      </c>
      <c r="B1278" s="8" t="inlineStr">
        <is>
          <t>Fort Jackson</t>
        </is>
      </c>
      <c r="C1278" s="11" t="inlineStr"/>
      <c r="D1278" s="11" t="inlineStr">
        <is>
          <t>SC</t>
        </is>
      </c>
      <c r="E1278" s="11" t="inlineStr">
        <is>
          <t>Columbia, Sc</t>
        </is>
      </c>
      <c r="F1278" s="11" t="inlineStr"/>
      <c r="G1278" s="11" t="inlineStr">
        <is>
          <t>Army</t>
        </is>
      </c>
      <c r="H1278" s="11" t="inlineStr">
        <is>
          <t>Print &amp; Publications</t>
        </is>
      </c>
      <c r="I1278" s="8" t="inlineStr">
        <is>
          <t>Guide / Map Ad</t>
        </is>
      </c>
      <c r="J1278" s="11" t="inlineStr"/>
      <c r="K1278" s="8" t="inlineStr">
        <is>
          <t>Your ad will appear in the installation guide or map.</t>
        </is>
      </c>
      <c r="L1278" s="11" t="n">
        <v>3</v>
      </c>
      <c r="M1278" s="12" t="n"/>
      <c r="N1278" s="12" t="n">
        <v>200</v>
      </c>
      <c r="O1278" s="12" t="n"/>
      <c r="P1278" s="12" t="n"/>
      <c r="Q1278" s="12" t="n"/>
      <c r="R1278" s="13">
        <f>IF(ISNUMBER(M1278),ROUND(M1278/(1-Settings!$B$2)/Settings!$B$3,0)*Settings!$B$3,"")</f>
        <v/>
      </c>
      <c r="S1278" s="13">
        <f>IF(ISNUMBER(N1278),ROUND(N1278/(1-Settings!$B$2)/Settings!$B$3,0)*Settings!$B$3,"")</f>
        <v/>
      </c>
      <c r="T1278" s="13">
        <f>IF(ISNUMBER(O1278),ROUND(O1278/(1-Settings!$B$2)/Settings!$B$3,0)*Settings!$B$3,"")</f>
        <v/>
      </c>
      <c r="U1278" s="13">
        <f>IF(ISNUMBER(P1278),ROUND(P1278/(1-Settings!$B$2)/Settings!$B$3,0)*Settings!$B$3,"")</f>
        <v/>
      </c>
      <c r="V1278" s="13">
        <f>IF(ISNUMBER(Q1278),ROUND(Q1278/(1-Settings!$B$2)/Settings!$B$3,0)*Settings!$B$3,"")</f>
        <v/>
      </c>
      <c r="W1278" s="14" t="n">
        <v>3500</v>
      </c>
      <c r="X1278" s="14" t="n">
        <v>12000</v>
      </c>
      <c r="Y1278" s="11" t="inlineStr">
        <is>
          <t>2026</t>
        </is>
      </c>
      <c r="Z1278" s="11" t="inlineStr">
        <is>
          <t>2026-06</t>
        </is>
      </c>
      <c r="AA1278" s="8" t="inlineStr">
        <is>
          <t>Per season price Printed 3x/year</t>
        </is>
      </c>
      <c r="AB1278" s="8" t="inlineStr"/>
      <c r="AC1278" s="11" t="inlineStr">
        <is>
          <t>Military - National Publication Inventory Master_June 2026.xlsx</t>
        </is>
      </c>
      <c r="AD1278" s="11" t="inlineStr">
        <is>
          <t>Commercial Sponsorship Kit 2026.pdf</t>
        </is>
      </c>
      <c r="AE1278" s="15" t="inlineStr">
        <is>
          <t>Open in Box</t>
        </is>
      </c>
      <c r="AF1278" s="15" t="inlineStr">
        <is>
          <t>Open in Box</t>
        </is>
      </c>
    </row>
    <row r="1279">
      <c r="A1279" s="11" t="inlineStr">
        <is>
          <t>SC-FORTJACK-003</t>
        </is>
      </c>
      <c r="B1279" s="8" t="inlineStr">
        <is>
          <t>Fort Jackson</t>
        </is>
      </c>
      <c r="C1279" s="11" t="inlineStr"/>
      <c r="D1279" s="11" t="inlineStr">
        <is>
          <t>SC</t>
        </is>
      </c>
      <c r="E1279" s="11" t="inlineStr">
        <is>
          <t>Columbia, Sc</t>
        </is>
      </c>
      <c r="F1279" s="11" t="inlineStr">
        <is>
          <t>29207</t>
        </is>
      </c>
      <c r="G1279" s="11" t="inlineStr">
        <is>
          <t>Army</t>
        </is>
      </c>
      <c r="H1279" s="11" t="inlineStr">
        <is>
          <t>Standard Media</t>
        </is>
      </c>
      <c r="I1279" s="8" t="inlineStr">
        <is>
          <t>Banner</t>
        </is>
      </c>
      <c r="J1279" s="11" t="inlineStr">
        <is>
          <t>6'W x 3'H</t>
        </is>
      </c>
      <c r="K1279" s="8" t="inlineStr">
        <is>
          <t>Your ad will appear at an approved installation facility.</t>
        </is>
      </c>
      <c r="L1279" s="11" t="n">
        <v>1</v>
      </c>
      <c r="M1279" s="12" t="n">
        <v>250</v>
      </c>
      <c r="N1279" s="12" t="n">
        <v>750</v>
      </c>
      <c r="O1279" s="12" t="n">
        <v>1500</v>
      </c>
      <c r="P1279" s="12" t="n">
        <v>3000</v>
      </c>
      <c r="Q1279" s="12" t="n">
        <v>200</v>
      </c>
      <c r="R1279" s="13">
        <f>IF(ISNUMBER(M1279),ROUND(M1279/(1-Settings!$B$2)/Settings!$B$3,0)*Settings!$B$3,"")</f>
        <v/>
      </c>
      <c r="S1279" s="13">
        <f>IF(ISNUMBER(N1279),ROUND(N1279/(1-Settings!$B$2)/Settings!$B$3,0)*Settings!$B$3,"")</f>
        <v/>
      </c>
      <c r="T1279" s="13">
        <f>IF(ISNUMBER(O1279),ROUND(O1279/(1-Settings!$B$2)/Settings!$B$3,0)*Settings!$B$3,"")</f>
        <v/>
      </c>
      <c r="U1279" s="13">
        <f>IF(ISNUMBER(P1279),ROUND(P1279/(1-Settings!$B$2)/Settings!$B$3,0)*Settings!$B$3,"")</f>
        <v/>
      </c>
      <c r="V1279" s="13">
        <f>IF(ISNUMBER(Q1279),ROUND(Q1279/(1-Settings!$B$2)/Settings!$B$3,0)*Settings!$B$3,"")</f>
        <v/>
      </c>
      <c r="W1279" s="14" t="n">
        <v>3500</v>
      </c>
      <c r="X1279" s="14" t="n">
        <v>12000</v>
      </c>
      <c r="Y1279" s="11" t="inlineStr"/>
      <c r="Z1279" s="11" t="inlineStr"/>
      <c r="AA1279" s="8" t="inlineStr"/>
      <c r="AB1279" s="8" t="inlineStr"/>
      <c r="AC1279" s="11" t="inlineStr">
        <is>
          <t>MasterMilitaryOnBaseList 12.2.25 NS.xlsx</t>
        </is>
      </c>
      <c r="AD1279" s="11" t="inlineStr">
        <is>
          <t>Commercial Sponsorship Kit 2026.pdf</t>
        </is>
      </c>
      <c r="AE1279" s="15" t="inlineStr">
        <is>
          <t>Open in Box</t>
        </is>
      </c>
      <c r="AF1279" s="15" t="inlineStr">
        <is>
          <t>Open in Box</t>
        </is>
      </c>
    </row>
    <row r="1280">
      <c r="A1280" s="11" t="inlineStr">
        <is>
          <t>SC-FORTJACK-004</t>
        </is>
      </c>
      <c r="B1280" s="8" t="inlineStr">
        <is>
          <t>Fort Jackson</t>
        </is>
      </c>
      <c r="C1280" s="11" t="inlineStr"/>
      <c r="D1280" s="11" t="inlineStr">
        <is>
          <t>SC</t>
        </is>
      </c>
      <c r="E1280" s="11" t="inlineStr">
        <is>
          <t>Columbia, Sc</t>
        </is>
      </c>
      <c r="F1280" s="11" t="inlineStr">
        <is>
          <t>29207</t>
        </is>
      </c>
      <c r="G1280" s="11" t="inlineStr">
        <is>
          <t>Army</t>
        </is>
      </c>
      <c r="H1280" s="11" t="inlineStr">
        <is>
          <t>Standard Media</t>
        </is>
      </c>
      <c r="I1280" s="8" t="inlineStr">
        <is>
          <t>Golf Course Tee Markers</t>
        </is>
      </c>
      <c r="J1280" s="11" t="inlineStr">
        <is>
          <t>11"w x 11.5"H</t>
        </is>
      </c>
      <c r="K1280" s="8" t="inlineStr">
        <is>
          <t>Your ad will appear at one golf course tee box.</t>
        </is>
      </c>
      <c r="L1280" s="11" t="n">
        <v>1</v>
      </c>
      <c r="M1280" s="12" t="n">
        <v>650</v>
      </c>
      <c r="N1280" s="12" t="n">
        <v>1950</v>
      </c>
      <c r="O1280" s="12" t="n">
        <v>3900</v>
      </c>
      <c r="P1280" s="12" t="n">
        <v>7800</v>
      </c>
      <c r="Q1280" s="12" t="n"/>
      <c r="R1280" s="13">
        <f>IF(ISNUMBER(M1280),ROUND(M1280/(1-Settings!$B$2)/Settings!$B$3,0)*Settings!$B$3,"")</f>
        <v/>
      </c>
      <c r="S1280" s="13">
        <f>IF(ISNUMBER(N1280),ROUND(N1280/(1-Settings!$B$2)/Settings!$B$3,0)*Settings!$B$3,"")</f>
        <v/>
      </c>
      <c r="T1280" s="13">
        <f>IF(ISNUMBER(O1280),ROUND(O1280/(1-Settings!$B$2)/Settings!$B$3,0)*Settings!$B$3,"")</f>
        <v/>
      </c>
      <c r="U1280" s="13">
        <f>IF(ISNUMBER(P1280),ROUND(P1280/(1-Settings!$B$2)/Settings!$B$3,0)*Settings!$B$3,"")</f>
        <v/>
      </c>
      <c r="V1280" s="13">
        <f>IF(ISNUMBER(Q1280),ROUND(Q1280/(1-Settings!$B$2)/Settings!$B$3,0)*Settings!$B$3,"")</f>
        <v/>
      </c>
      <c r="W1280" s="14" t="n">
        <v>3500</v>
      </c>
      <c r="X1280" s="14" t="n">
        <v>12000</v>
      </c>
      <c r="Y1280" s="11" t="inlineStr"/>
      <c r="Z1280" s="11" t="inlineStr"/>
      <c r="AA1280" s="8" t="inlineStr"/>
      <c r="AB1280" s="8" t="inlineStr"/>
      <c r="AC1280" s="11" t="inlineStr">
        <is>
          <t>MasterMilitaryOnBaseList 12.2.25 NS.xlsx</t>
        </is>
      </c>
      <c r="AD1280" s="11" t="inlineStr">
        <is>
          <t>Commercial Sponsorship Kit 2026.pdf</t>
        </is>
      </c>
      <c r="AE1280" s="15" t="inlineStr">
        <is>
          <t>Open in Box</t>
        </is>
      </c>
      <c r="AF1280" s="15" t="inlineStr">
        <is>
          <t>Open in Box</t>
        </is>
      </c>
    </row>
    <row r="1281">
      <c r="A1281" s="11" t="inlineStr">
        <is>
          <t>SC-FORTJACK-005</t>
        </is>
      </c>
      <c r="B1281" s="8" t="inlineStr">
        <is>
          <t>Fort Jackson</t>
        </is>
      </c>
      <c r="C1281" s="11" t="inlineStr"/>
      <c r="D1281" s="11" t="inlineStr">
        <is>
          <t>SC</t>
        </is>
      </c>
      <c r="E1281" s="11" t="inlineStr">
        <is>
          <t>Columbia, Sc</t>
        </is>
      </c>
      <c r="F1281" s="11" t="inlineStr">
        <is>
          <t>29207</t>
        </is>
      </c>
      <c r="G1281" s="11" t="inlineStr">
        <is>
          <t>Army</t>
        </is>
      </c>
      <c r="H1281" s="11" t="inlineStr">
        <is>
          <t>Standard Media</t>
        </is>
      </c>
      <c r="I1281" s="8" t="inlineStr">
        <is>
          <t>Mouse Pads</t>
        </is>
      </c>
      <c r="J1281" s="11" t="inlineStr">
        <is>
          <t>8"W x 9"H</t>
        </is>
      </c>
      <c r="K1281" s="8" t="inlineStr">
        <is>
          <t>Your ad will appear at an approved installation facility.</t>
        </is>
      </c>
      <c r="L1281" s="11" t="n">
        <v>6</v>
      </c>
      <c r="M1281" s="12" t="n"/>
      <c r="N1281" s="12" t="n"/>
      <c r="O1281" s="12" t="n">
        <v>600</v>
      </c>
      <c r="P1281" s="12" t="n">
        <v>1200</v>
      </c>
      <c r="Q1281" s="12" t="n"/>
      <c r="R1281" s="13">
        <f>IF(ISNUMBER(M1281),ROUND(M1281/(1-Settings!$B$2)/Settings!$B$3,0)*Settings!$B$3,"")</f>
        <v/>
      </c>
      <c r="S1281" s="13">
        <f>IF(ISNUMBER(N1281),ROUND(N1281/(1-Settings!$B$2)/Settings!$B$3,0)*Settings!$B$3,"")</f>
        <v/>
      </c>
      <c r="T1281" s="13">
        <f>IF(ISNUMBER(O1281),ROUND(O1281/(1-Settings!$B$2)/Settings!$B$3,0)*Settings!$B$3,"")</f>
        <v/>
      </c>
      <c r="U1281" s="13">
        <f>IF(ISNUMBER(P1281),ROUND(P1281/(1-Settings!$B$2)/Settings!$B$3,0)*Settings!$B$3,"")</f>
        <v/>
      </c>
      <c r="V1281" s="13">
        <f>IF(ISNUMBER(Q1281),ROUND(Q1281/(1-Settings!$B$2)/Settings!$B$3,0)*Settings!$B$3,"")</f>
        <v/>
      </c>
      <c r="W1281" s="14" t="n">
        <v>3500</v>
      </c>
      <c r="X1281" s="14" t="n">
        <v>12000</v>
      </c>
      <c r="Y1281" s="11" t="inlineStr"/>
      <c r="Z1281" s="11" t="inlineStr"/>
      <c r="AA1281" s="8" t="inlineStr"/>
      <c r="AB1281" s="16" t="inlineStr">
        <is>
          <t>Source formula errors</t>
        </is>
      </c>
      <c r="AC1281" s="11" t="inlineStr">
        <is>
          <t>MasterMilitaryOnBaseList 12.2.25 NS.xlsx</t>
        </is>
      </c>
      <c r="AD1281" s="11" t="inlineStr">
        <is>
          <t>Commercial Sponsorship Kit 2026.pdf</t>
        </is>
      </c>
      <c r="AE1281" s="15" t="inlineStr">
        <is>
          <t>Open in Box</t>
        </is>
      </c>
      <c r="AF1281" s="15" t="inlineStr">
        <is>
          <t>Open in Box</t>
        </is>
      </c>
    </row>
    <row r="1282">
      <c r="A1282" s="11" t="inlineStr">
        <is>
          <t>SC-FORTJACK-006</t>
        </is>
      </c>
      <c r="B1282" s="8" t="inlineStr">
        <is>
          <t>Fort Jackson</t>
        </is>
      </c>
      <c r="C1282" s="11" t="inlineStr"/>
      <c r="D1282" s="11" t="inlineStr">
        <is>
          <t>SC</t>
        </is>
      </c>
      <c r="E1282" s="11" t="inlineStr">
        <is>
          <t>Columbia, Sc</t>
        </is>
      </c>
      <c r="F1282" s="11" t="inlineStr">
        <is>
          <t>29207</t>
        </is>
      </c>
      <c r="G1282" s="11" t="inlineStr">
        <is>
          <t>Army</t>
        </is>
      </c>
      <c r="H1282" s="11" t="inlineStr">
        <is>
          <t>Standard Media</t>
        </is>
      </c>
      <c r="I1282" s="8" t="inlineStr">
        <is>
          <t>Poster</t>
        </is>
      </c>
      <c r="J1282" s="11" t="inlineStr">
        <is>
          <t>22"W x 28"H</t>
        </is>
      </c>
      <c r="K1282" s="8" t="inlineStr">
        <is>
          <t>Your ad will appear at an approved installation facility.</t>
        </is>
      </c>
      <c r="L1282" s="11" t="n">
        <v>1</v>
      </c>
      <c r="M1282" s="12" t="n">
        <v>184</v>
      </c>
      <c r="N1282" s="12" t="n">
        <v>552</v>
      </c>
      <c r="O1282" s="12" t="n">
        <v>1104</v>
      </c>
      <c r="P1282" s="12" t="n">
        <v>2208</v>
      </c>
      <c r="Q1282" s="12" t="n">
        <v>100</v>
      </c>
      <c r="R1282" s="13">
        <f>IF(ISNUMBER(M1282),ROUND(M1282/(1-Settings!$B$2)/Settings!$B$3,0)*Settings!$B$3,"")</f>
        <v/>
      </c>
      <c r="S1282" s="13">
        <f>IF(ISNUMBER(N1282),ROUND(N1282/(1-Settings!$B$2)/Settings!$B$3,0)*Settings!$B$3,"")</f>
        <v/>
      </c>
      <c r="T1282" s="13">
        <f>IF(ISNUMBER(O1282),ROUND(O1282/(1-Settings!$B$2)/Settings!$B$3,0)*Settings!$B$3,"")</f>
        <v/>
      </c>
      <c r="U1282" s="13">
        <f>IF(ISNUMBER(P1282),ROUND(P1282/(1-Settings!$B$2)/Settings!$B$3,0)*Settings!$B$3,"")</f>
        <v/>
      </c>
      <c r="V1282" s="13">
        <f>IF(ISNUMBER(Q1282),ROUND(Q1282/(1-Settings!$B$2)/Settings!$B$3,0)*Settings!$B$3,"")</f>
        <v/>
      </c>
      <c r="W1282" s="14" t="n">
        <v>3500</v>
      </c>
      <c r="X1282" s="14" t="n">
        <v>12000</v>
      </c>
      <c r="Y1282" s="11" t="inlineStr"/>
      <c r="Z1282" s="11" t="inlineStr"/>
      <c r="AA1282" s="8" t="inlineStr"/>
      <c r="AB1282" s="8" t="inlineStr"/>
      <c r="AC1282" s="11" t="inlineStr">
        <is>
          <t>MasterMilitaryOnBaseList 12.2.25 NS.xlsx</t>
        </is>
      </c>
      <c r="AD1282" s="11" t="inlineStr">
        <is>
          <t>Commercial Sponsorship Kit 2026.pdf</t>
        </is>
      </c>
      <c r="AE1282" s="15" t="inlineStr">
        <is>
          <t>Open in Box</t>
        </is>
      </c>
      <c r="AF1282" s="15" t="inlineStr">
        <is>
          <t>Open in Box</t>
        </is>
      </c>
    </row>
    <row r="1283">
      <c r="A1283" s="11" t="inlineStr">
        <is>
          <t>SC-FORTJACK-007</t>
        </is>
      </c>
      <c r="B1283" s="8" t="inlineStr">
        <is>
          <t>Fort Jackson</t>
        </is>
      </c>
      <c r="C1283" s="11" t="inlineStr"/>
      <c r="D1283" s="11" t="inlineStr">
        <is>
          <t>SC</t>
        </is>
      </c>
      <c r="E1283" s="11" t="inlineStr">
        <is>
          <t>Columbia, Sc</t>
        </is>
      </c>
      <c r="F1283" s="11" t="inlineStr">
        <is>
          <t>29207</t>
        </is>
      </c>
      <c r="G1283" s="11" t="inlineStr">
        <is>
          <t>Army</t>
        </is>
      </c>
      <c r="H1283" s="11" t="inlineStr">
        <is>
          <t>Standard Media</t>
        </is>
      </c>
      <c r="I1283" s="8" t="inlineStr">
        <is>
          <t>Table Tents</t>
        </is>
      </c>
      <c r="J1283" s="11" t="inlineStr">
        <is>
          <t>Varies</t>
        </is>
      </c>
      <c r="K1283" s="8" t="inlineStr">
        <is>
          <t>Your ad will appear at the NCO Club Dining Room.</t>
        </is>
      </c>
      <c r="L1283" s="11" t="n">
        <v>1</v>
      </c>
      <c r="M1283" s="12" t="n">
        <v>200</v>
      </c>
      <c r="N1283" s="12" t="n">
        <v>600</v>
      </c>
      <c r="O1283" s="12" t="n">
        <v>1200</v>
      </c>
      <c r="P1283" s="12" t="n">
        <v>2400</v>
      </c>
      <c r="Q1283" s="12" t="n"/>
      <c r="R1283" s="13">
        <f>IF(ISNUMBER(M1283),ROUND(M1283/(1-Settings!$B$2)/Settings!$B$3,0)*Settings!$B$3,"")</f>
        <v/>
      </c>
      <c r="S1283" s="13">
        <f>IF(ISNUMBER(N1283),ROUND(N1283/(1-Settings!$B$2)/Settings!$B$3,0)*Settings!$B$3,"")</f>
        <v/>
      </c>
      <c r="T1283" s="13">
        <f>IF(ISNUMBER(O1283),ROUND(O1283/(1-Settings!$B$2)/Settings!$B$3,0)*Settings!$B$3,"")</f>
        <v/>
      </c>
      <c r="U1283" s="13">
        <f>IF(ISNUMBER(P1283),ROUND(P1283/(1-Settings!$B$2)/Settings!$B$3,0)*Settings!$B$3,"")</f>
        <v/>
      </c>
      <c r="V1283" s="13">
        <f>IF(ISNUMBER(Q1283),ROUND(Q1283/(1-Settings!$B$2)/Settings!$B$3,0)*Settings!$B$3,"")</f>
        <v/>
      </c>
      <c r="W1283" s="14" t="n">
        <v>3500</v>
      </c>
      <c r="X1283" s="14" t="n">
        <v>12000</v>
      </c>
      <c r="Y1283" s="11" t="inlineStr"/>
      <c r="Z1283" s="11" t="inlineStr"/>
      <c r="AA1283" s="8" t="inlineStr"/>
      <c r="AB1283" s="8" t="inlineStr"/>
      <c r="AC1283" s="11" t="inlineStr">
        <is>
          <t>MasterMilitaryOnBaseList 12.2.25 NS.xlsx</t>
        </is>
      </c>
      <c r="AD1283" s="11" t="inlineStr">
        <is>
          <t>Commercial Sponsorship Kit 2026.pdf</t>
        </is>
      </c>
      <c r="AE1283" s="15" t="inlineStr">
        <is>
          <t>Open in Box</t>
        </is>
      </c>
      <c r="AF1283" s="15" t="inlineStr">
        <is>
          <t>Open in Box</t>
        </is>
      </c>
    </row>
    <row r="1284">
      <c r="A1284" s="11" t="inlineStr">
        <is>
          <t>SC-FORTJACK-013</t>
        </is>
      </c>
      <c r="B1284" s="8" t="inlineStr">
        <is>
          <t>Fort Jackson</t>
        </is>
      </c>
      <c r="C1284" s="11" t="inlineStr"/>
      <c r="D1284" s="11" t="inlineStr">
        <is>
          <t>SC</t>
        </is>
      </c>
      <c r="E1284" s="11" t="inlineStr">
        <is>
          <t>Columbia, Sc</t>
        </is>
      </c>
      <c r="F1284" s="11" t="inlineStr"/>
      <c r="G1284" s="11" t="inlineStr">
        <is>
          <t>Army</t>
        </is>
      </c>
      <c r="H1284" s="11" t="inlineStr">
        <is>
          <t>Web &amp; Email</t>
        </is>
      </c>
      <c r="I1284" s="8" t="inlineStr">
        <is>
          <t>Web Ad</t>
        </is>
      </c>
      <c r="J1284" s="11" t="inlineStr"/>
      <c r="K1284" s="8" t="inlineStr">
        <is>
          <t>Your ad will appear on the installation MWR / FSS website.</t>
        </is>
      </c>
      <c r="L1284" s="11" t="n">
        <v>3</v>
      </c>
      <c r="M1284" s="12" t="n"/>
      <c r="N1284" s="12" t="n">
        <v>200</v>
      </c>
      <c r="O1284" s="12" t="n"/>
      <c r="P1284" s="12" t="n"/>
      <c r="Q1284" s="12" t="n"/>
      <c r="R1284" s="13">
        <f>IF(ISNUMBER(M1284),ROUND(M1284/(1-Settings!$B$2)/Settings!$B$3,0)*Settings!$B$3,"")</f>
        <v/>
      </c>
      <c r="S1284" s="13">
        <f>IF(ISNUMBER(N1284),ROUND(N1284/(1-Settings!$B$2)/Settings!$B$3,0)*Settings!$B$3,"")</f>
        <v/>
      </c>
      <c r="T1284" s="13">
        <f>IF(ISNUMBER(O1284),ROUND(O1284/(1-Settings!$B$2)/Settings!$B$3,0)*Settings!$B$3,"")</f>
        <v/>
      </c>
      <c r="U1284" s="13">
        <f>IF(ISNUMBER(P1284),ROUND(P1284/(1-Settings!$B$2)/Settings!$B$3,0)*Settings!$B$3,"")</f>
        <v/>
      </c>
      <c r="V1284" s="13">
        <f>IF(ISNUMBER(Q1284),ROUND(Q1284/(1-Settings!$B$2)/Settings!$B$3,0)*Settings!$B$3,"")</f>
        <v/>
      </c>
      <c r="W1284" s="14" t="n">
        <v>3500</v>
      </c>
      <c r="X1284" s="14" t="n">
        <v>12000</v>
      </c>
      <c r="Y1284" s="11" t="inlineStr">
        <is>
          <t>2026</t>
        </is>
      </c>
      <c r="Z1284" s="11" t="inlineStr">
        <is>
          <t>2026-06</t>
        </is>
      </c>
      <c r="AA1284" s="8" t="inlineStr">
        <is>
          <t>Per season price Printed 3x/year</t>
        </is>
      </c>
      <c r="AB1284" s="8" t="inlineStr"/>
      <c r="AC1284" s="11" t="inlineStr">
        <is>
          <t>Military - National Publication Inventory Master_June 2026.xlsx</t>
        </is>
      </c>
      <c r="AD1284" s="11" t="inlineStr">
        <is>
          <t>Commercial Sponsorship Kit 2026.pdf</t>
        </is>
      </c>
      <c r="AE1284" s="15" t="inlineStr">
        <is>
          <t>Open in Box</t>
        </is>
      </c>
      <c r="AF1284" s="15" t="inlineStr">
        <is>
          <t>Open in Box</t>
        </is>
      </c>
    </row>
    <row r="1285">
      <c r="A1285" s="11" t="inlineStr">
        <is>
          <t>SC-JOINTBAS-005</t>
        </is>
      </c>
      <c r="B1285" s="8" t="inlineStr">
        <is>
          <t>Joint Base Charleston</t>
        </is>
      </c>
      <c r="C1285" s="11" t="inlineStr"/>
      <c r="D1285" s="11" t="inlineStr">
        <is>
          <t>SC</t>
        </is>
      </c>
      <c r="E1285" s="11" t="inlineStr">
        <is>
          <t>Charleston, Sc</t>
        </is>
      </c>
      <c r="F1285" s="11" t="inlineStr"/>
      <c r="G1285" s="11" t="inlineStr">
        <is>
          <t>Air Force/Navy</t>
        </is>
      </c>
      <c r="H1285" s="11" t="inlineStr">
        <is>
          <t>Digital</t>
        </is>
      </c>
      <c r="I1285" s="8" t="inlineStr">
        <is>
          <t>Bowling Scoring Monitors</t>
        </is>
      </c>
      <c r="J1285" s="11" t="inlineStr">
        <is>
          <t>32 screens</t>
        </is>
      </c>
      <c r="K1285" s="8" t="inlineStr">
        <is>
          <t>Your ad will appear on the 32-screen scoring monitors in the installation bowling center.</t>
        </is>
      </c>
      <c r="L1285" s="11" t="n">
        <v>1</v>
      </c>
      <c r="M1285" s="12" t="n">
        <v>200</v>
      </c>
      <c r="N1285" s="12" t="n"/>
      <c r="O1285" s="12" t="n"/>
      <c r="P1285" s="12" t="n"/>
      <c r="Q1285" s="12" t="n"/>
      <c r="R1285" s="13">
        <f>IF(ISNUMBER(M1285),ROUND(M1285/(1-Settings!$B$2)/Settings!$B$3,0)*Settings!$B$3,"")</f>
        <v/>
      </c>
      <c r="S1285" s="13">
        <f>IF(ISNUMBER(N1285),ROUND(N1285/(1-Settings!$B$2)/Settings!$B$3,0)*Settings!$B$3,"")</f>
        <v/>
      </c>
      <c r="T1285" s="13">
        <f>IF(ISNUMBER(O1285),ROUND(O1285/(1-Settings!$B$2)/Settings!$B$3,0)*Settings!$B$3,"")</f>
        <v/>
      </c>
      <c r="U1285" s="13">
        <f>IF(ISNUMBER(P1285),ROUND(P1285/(1-Settings!$B$2)/Settings!$B$3,0)*Settings!$B$3,"")</f>
        <v/>
      </c>
      <c r="V1285" s="13">
        <f>IF(ISNUMBER(Q1285),ROUND(Q1285/(1-Settings!$B$2)/Settings!$B$3,0)*Settings!$B$3,"")</f>
        <v/>
      </c>
      <c r="W1285" s="14" t="n"/>
      <c r="X1285" s="14" t="n"/>
      <c r="Y1285" s="11" t="inlineStr">
        <is>
          <t>2026</t>
        </is>
      </c>
      <c r="Z1285" s="11" t="inlineStr">
        <is>
          <t>2026-06</t>
        </is>
      </c>
      <c r="AA1285" s="8" t="inlineStr"/>
      <c r="AB1285" s="8" t="inlineStr"/>
      <c r="AC1285" s="11" t="inlineStr">
        <is>
          <t>Military - National Digital Inventory Master 6.3.26.xlsx</t>
        </is>
      </c>
      <c r="AD1285" s="11" t="inlineStr">
        <is>
          <t>Commercial_Sponsorship_2026_medium.pdf</t>
        </is>
      </c>
      <c r="AE1285" s="15" t="inlineStr">
        <is>
          <t>Open in Box</t>
        </is>
      </c>
      <c r="AF1285" s="15" t="inlineStr">
        <is>
          <t>Open in Box</t>
        </is>
      </c>
    </row>
    <row r="1286">
      <c r="A1286" s="11" t="inlineStr">
        <is>
          <t>SC-JOINTBAS-001</t>
        </is>
      </c>
      <c r="B1286" s="8" t="inlineStr">
        <is>
          <t>Joint Base Charleston</t>
        </is>
      </c>
      <c r="C1286" s="11" t="inlineStr"/>
      <c r="D1286" s="11" t="inlineStr">
        <is>
          <t>SC</t>
        </is>
      </c>
      <c r="E1286" s="11" t="inlineStr">
        <is>
          <t>Charleston, Sc</t>
        </is>
      </c>
      <c r="F1286" s="11" t="inlineStr">
        <is>
          <t>29445, 29404, 29408</t>
        </is>
      </c>
      <c r="G1286" s="11" t="inlineStr">
        <is>
          <t>Air Force/Navy</t>
        </is>
      </c>
      <c r="H1286" s="11" t="inlineStr">
        <is>
          <t>Digital</t>
        </is>
      </c>
      <c r="I1286" s="8" t="inlineStr">
        <is>
          <t>Digital Monitor Network</t>
        </is>
      </c>
      <c r="J1286" s="11" t="inlineStr">
        <is>
          <t>1920pxw x 1080pxh; 336pxw x 816pxh</t>
        </is>
      </c>
      <c r="K1286" s="8" t="inlineStr">
        <is>
          <t>Your ad will appear on 32 digital monitors/score pads in the Air Base Starlifter Lanes and Weapons Station Marrington Lanes bowling facilities.</t>
        </is>
      </c>
      <c r="L1286" s="11" t="n">
        <v>1</v>
      </c>
      <c r="M1286" s="12" t="n">
        <v>200</v>
      </c>
      <c r="N1286" s="12" t="n">
        <v>600</v>
      </c>
      <c r="O1286" s="12" t="n">
        <v>1200</v>
      </c>
      <c r="P1286" s="12" t="n">
        <v>2400</v>
      </c>
      <c r="Q1286" s="12" t="n">
        <v>0</v>
      </c>
      <c r="R1286" s="13">
        <f>IF(ISNUMBER(M1286),ROUND(M1286/(1-Settings!$B$2)/Settings!$B$3,0)*Settings!$B$3,"")</f>
        <v/>
      </c>
      <c r="S1286" s="13">
        <f>IF(ISNUMBER(N1286),ROUND(N1286/(1-Settings!$B$2)/Settings!$B$3,0)*Settings!$B$3,"")</f>
        <v/>
      </c>
      <c r="T1286" s="13">
        <f>IF(ISNUMBER(O1286),ROUND(O1286/(1-Settings!$B$2)/Settings!$B$3,0)*Settings!$B$3,"")</f>
        <v/>
      </c>
      <c r="U1286" s="13">
        <f>IF(ISNUMBER(P1286),ROUND(P1286/(1-Settings!$B$2)/Settings!$B$3,0)*Settings!$B$3,"")</f>
        <v/>
      </c>
      <c r="V1286" s="13">
        <f>IF(ISNUMBER(Q1286),ROUND(Q1286/(1-Settings!$B$2)/Settings!$B$3,0)*Settings!$B$3,"")</f>
        <v/>
      </c>
      <c r="W1286" s="14" t="n"/>
      <c r="X1286" s="14" t="n"/>
      <c r="Y1286" s="11" t="inlineStr">
        <is>
          <t>2024</t>
        </is>
      </c>
      <c r="Z1286" s="11" t="inlineStr"/>
      <c r="AA1286" s="8" t="inlineStr"/>
      <c r="AB1286" s="16" t="inlineStr">
        <is>
          <t>Rate card older than 2025 - reconfirm</t>
        </is>
      </c>
      <c r="AC1286" s="11" t="inlineStr">
        <is>
          <t>MasterMilitaryOnBaseList 12.2.25 NS.xlsx</t>
        </is>
      </c>
      <c r="AD1286" s="11" t="inlineStr">
        <is>
          <t>Commercial_Sponsorship_2026_medium.pdf</t>
        </is>
      </c>
      <c r="AE1286" s="15" t="inlineStr">
        <is>
          <t>Open in Box</t>
        </is>
      </c>
      <c r="AF1286" s="15" t="inlineStr">
        <is>
          <t>Open in Box</t>
        </is>
      </c>
    </row>
    <row r="1287">
      <c r="A1287" s="11" t="inlineStr">
        <is>
          <t>SC-JOINTBAS-002</t>
        </is>
      </c>
      <c r="B1287" s="8" t="inlineStr">
        <is>
          <t>Joint Base Charleston</t>
        </is>
      </c>
      <c r="C1287" s="11" t="inlineStr"/>
      <c r="D1287" s="11" t="inlineStr">
        <is>
          <t>SC</t>
        </is>
      </c>
      <c r="E1287" s="11" t="inlineStr">
        <is>
          <t>Charleston, Sc</t>
        </is>
      </c>
      <c r="F1287" s="11" t="inlineStr">
        <is>
          <t>29445, 29404, 29408</t>
        </is>
      </c>
      <c r="G1287" s="11" t="inlineStr">
        <is>
          <t>Air Force/Navy</t>
        </is>
      </c>
      <c r="H1287" s="11" t="inlineStr">
        <is>
          <t>Standard Media</t>
        </is>
      </c>
      <c r="I1287" s="8" t="inlineStr">
        <is>
          <t>Banners</t>
        </is>
      </c>
      <c r="J1287" s="11" t="inlineStr">
        <is>
          <t>6'w x 3'h</t>
        </is>
      </c>
      <c r="K1287" s="8" t="inlineStr">
        <is>
          <t>Your ad will appear at an approved installation facility.</t>
        </is>
      </c>
      <c r="L1287" s="11" t="n">
        <v>1</v>
      </c>
      <c r="M1287" s="12" t="n">
        <v>180</v>
      </c>
      <c r="N1287" s="12" t="n">
        <v>540</v>
      </c>
      <c r="O1287" s="12" t="n">
        <v>1080</v>
      </c>
      <c r="P1287" s="12" t="n">
        <v>2160</v>
      </c>
      <c r="Q1287" s="12" t="n">
        <v>0</v>
      </c>
      <c r="R1287" s="13">
        <f>IF(ISNUMBER(M1287),ROUND(M1287/(1-Settings!$B$2)/Settings!$B$3,0)*Settings!$B$3,"")</f>
        <v/>
      </c>
      <c r="S1287" s="13">
        <f>IF(ISNUMBER(N1287),ROUND(N1287/(1-Settings!$B$2)/Settings!$B$3,0)*Settings!$B$3,"")</f>
        <v/>
      </c>
      <c r="T1287" s="13">
        <f>IF(ISNUMBER(O1287),ROUND(O1287/(1-Settings!$B$2)/Settings!$B$3,0)*Settings!$B$3,"")</f>
        <v/>
      </c>
      <c r="U1287" s="13">
        <f>IF(ISNUMBER(P1287),ROUND(P1287/(1-Settings!$B$2)/Settings!$B$3,0)*Settings!$B$3,"")</f>
        <v/>
      </c>
      <c r="V1287" s="13">
        <f>IF(ISNUMBER(Q1287),ROUND(Q1287/(1-Settings!$B$2)/Settings!$B$3,0)*Settings!$B$3,"")</f>
        <v/>
      </c>
      <c r="W1287" s="14" t="n"/>
      <c r="X1287" s="14" t="n"/>
      <c r="Y1287" s="11" t="inlineStr">
        <is>
          <t>2024</t>
        </is>
      </c>
      <c r="Z1287" s="11" t="inlineStr"/>
      <c r="AA1287" s="8" t="inlineStr"/>
      <c r="AB1287" s="16" t="inlineStr">
        <is>
          <t>Rate card older than 2025 - reconfirm</t>
        </is>
      </c>
      <c r="AC1287" s="11" t="inlineStr">
        <is>
          <t>MasterMilitaryOnBaseList 12.2.25 NS.xlsx</t>
        </is>
      </c>
      <c r="AD1287" s="11" t="inlineStr">
        <is>
          <t>Commercial_Sponsorship_2026_medium.pdf</t>
        </is>
      </c>
      <c r="AE1287" s="15" t="inlineStr">
        <is>
          <t>Open in Box</t>
        </is>
      </c>
      <c r="AF1287" s="15" t="inlineStr">
        <is>
          <t>Open in Box</t>
        </is>
      </c>
    </row>
    <row r="1288">
      <c r="A1288" s="11" t="inlineStr">
        <is>
          <t>SC-JOINTBAS-003</t>
        </is>
      </c>
      <c r="B1288" s="8" t="inlineStr">
        <is>
          <t>Joint Base Charleston</t>
        </is>
      </c>
      <c r="C1288" s="11" t="inlineStr"/>
      <c r="D1288" s="11" t="inlineStr">
        <is>
          <t>SC</t>
        </is>
      </c>
      <c r="E1288" s="11" t="inlineStr">
        <is>
          <t>Charleston, Sc</t>
        </is>
      </c>
      <c r="F1288" s="11" t="inlineStr">
        <is>
          <t>29445, 29404, 29408</t>
        </is>
      </c>
      <c r="G1288" s="11" t="inlineStr">
        <is>
          <t>Air Force/Navy</t>
        </is>
      </c>
      <c r="H1288" s="11" t="inlineStr">
        <is>
          <t>Standard Media</t>
        </is>
      </c>
      <c r="I1288" s="8" t="inlineStr">
        <is>
          <t>Posters</t>
        </is>
      </c>
      <c r="J1288" s="11" t="inlineStr">
        <is>
          <t>22"w x 28"h</t>
        </is>
      </c>
      <c r="K1288" s="8" t="inlineStr">
        <is>
          <t>Your ad will appear at an approved installation facility.</t>
        </is>
      </c>
      <c r="L1288" s="11" t="n">
        <v>1</v>
      </c>
      <c r="M1288" s="12" t="n">
        <v>125</v>
      </c>
      <c r="N1288" s="12" t="n">
        <v>375</v>
      </c>
      <c r="O1288" s="12" t="n">
        <v>750</v>
      </c>
      <c r="P1288" s="12" t="n">
        <v>1500</v>
      </c>
      <c r="Q1288" s="12" t="n">
        <v>0</v>
      </c>
      <c r="R1288" s="13">
        <f>IF(ISNUMBER(M1288),ROUND(M1288/(1-Settings!$B$2)/Settings!$B$3,0)*Settings!$B$3,"")</f>
        <v/>
      </c>
      <c r="S1288" s="13">
        <f>IF(ISNUMBER(N1288),ROUND(N1288/(1-Settings!$B$2)/Settings!$B$3,0)*Settings!$B$3,"")</f>
        <v/>
      </c>
      <c r="T1288" s="13">
        <f>IF(ISNUMBER(O1288),ROUND(O1288/(1-Settings!$B$2)/Settings!$B$3,0)*Settings!$B$3,"")</f>
        <v/>
      </c>
      <c r="U1288" s="13">
        <f>IF(ISNUMBER(P1288),ROUND(P1288/(1-Settings!$B$2)/Settings!$B$3,0)*Settings!$B$3,"")</f>
        <v/>
      </c>
      <c r="V1288" s="13">
        <f>IF(ISNUMBER(Q1288),ROUND(Q1288/(1-Settings!$B$2)/Settings!$B$3,0)*Settings!$B$3,"")</f>
        <v/>
      </c>
      <c r="W1288" s="14" t="n"/>
      <c r="X1288" s="14" t="n"/>
      <c r="Y1288" s="11" t="inlineStr">
        <is>
          <t>2024</t>
        </is>
      </c>
      <c r="Z1288" s="11" t="inlineStr"/>
      <c r="AA1288" s="8" t="inlineStr"/>
      <c r="AB1288" s="16" t="inlineStr">
        <is>
          <t>Rate card older than 2025 - reconfirm</t>
        </is>
      </c>
      <c r="AC1288" s="11" t="inlineStr">
        <is>
          <t>MasterMilitaryOnBaseList 12.2.25 NS.xlsx</t>
        </is>
      </c>
      <c r="AD1288" s="11" t="inlineStr">
        <is>
          <t>Commercial_Sponsorship_2026_medium.pdf</t>
        </is>
      </c>
      <c r="AE1288" s="15" t="inlineStr">
        <is>
          <t>Open in Box</t>
        </is>
      </c>
      <c r="AF1288" s="15" t="inlineStr">
        <is>
          <t>Open in Box</t>
        </is>
      </c>
    </row>
    <row r="1289">
      <c r="A1289" s="11" t="inlineStr">
        <is>
          <t>SC-JOINTBAS-004</t>
        </is>
      </c>
      <c r="B1289" s="8" t="inlineStr">
        <is>
          <t>Joint Base Charleston</t>
        </is>
      </c>
      <c r="C1289" s="11" t="inlineStr"/>
      <c r="D1289" s="11" t="inlineStr">
        <is>
          <t>SC</t>
        </is>
      </c>
      <c r="E1289" s="11" t="inlineStr">
        <is>
          <t>Charleston, Sc</t>
        </is>
      </c>
      <c r="F1289" s="11" t="inlineStr">
        <is>
          <t>29445, 29404, 29408</t>
        </is>
      </c>
      <c r="G1289" s="11" t="inlineStr">
        <is>
          <t>Air Force/Navy</t>
        </is>
      </c>
      <c r="H1289" s="11" t="inlineStr">
        <is>
          <t>Web &amp; Email</t>
        </is>
      </c>
      <c r="I1289" s="8" t="inlineStr">
        <is>
          <t>Web Ad</t>
        </is>
      </c>
      <c r="J1289" s="11" t="inlineStr">
        <is>
          <t>720px x 300px</t>
        </is>
      </c>
      <c r="K1289" s="8" t="inlineStr">
        <is>
          <t>Your ad will appear on installation website</t>
        </is>
      </c>
      <c r="L1289" s="11" t="n">
        <v>12</v>
      </c>
      <c r="M1289" s="12" t="n"/>
      <c r="N1289" s="12" t="n"/>
      <c r="O1289" s="12" t="n"/>
      <c r="P1289" s="12" t="n">
        <v>1400</v>
      </c>
      <c r="Q1289" s="12" t="n">
        <v>0</v>
      </c>
      <c r="R1289" s="13">
        <f>IF(ISNUMBER(M1289),ROUND(M1289/(1-Settings!$B$2)/Settings!$B$3,0)*Settings!$B$3,"")</f>
        <v/>
      </c>
      <c r="S1289" s="13">
        <f>IF(ISNUMBER(N1289),ROUND(N1289/(1-Settings!$B$2)/Settings!$B$3,0)*Settings!$B$3,"")</f>
        <v/>
      </c>
      <c r="T1289" s="13">
        <f>IF(ISNUMBER(O1289),ROUND(O1289/(1-Settings!$B$2)/Settings!$B$3,0)*Settings!$B$3,"")</f>
        <v/>
      </c>
      <c r="U1289" s="13">
        <f>IF(ISNUMBER(P1289),ROUND(P1289/(1-Settings!$B$2)/Settings!$B$3,0)*Settings!$B$3,"")</f>
        <v/>
      </c>
      <c r="V1289" s="13">
        <f>IF(ISNUMBER(Q1289),ROUND(Q1289/(1-Settings!$B$2)/Settings!$B$3,0)*Settings!$B$3,"")</f>
        <v/>
      </c>
      <c r="W1289" s="14" t="n"/>
      <c r="X1289" s="14" t="n"/>
      <c r="Y1289" s="11" t="inlineStr">
        <is>
          <t>2024</t>
        </is>
      </c>
      <c r="Z1289" s="11" t="inlineStr"/>
      <c r="AA1289" s="8" t="inlineStr">
        <is>
          <t>Inventory master 6/2026 lists Web Ad at $1,400 (12 mo)</t>
        </is>
      </c>
      <c r="AB1289" s="16" t="inlineStr">
        <is>
          <t>Rate card older than 2025 - reconfirm</t>
        </is>
      </c>
      <c r="AC1289" s="11" t="inlineStr">
        <is>
          <t>MasterMilitaryOnBaseList 12.2.25 NS.xlsx</t>
        </is>
      </c>
      <c r="AD1289" s="11" t="inlineStr">
        <is>
          <t>Commercial_Sponsorship_2026_medium.pdf</t>
        </is>
      </c>
      <c r="AE1289" s="15" t="inlineStr">
        <is>
          <t>Open in Box</t>
        </is>
      </c>
      <c r="AF1289" s="15" t="inlineStr">
        <is>
          <t>Open in Box</t>
        </is>
      </c>
    </row>
    <row r="1290">
      <c r="A1290" s="11" t="inlineStr">
        <is>
          <t>SC-PARRISIS-002</t>
        </is>
      </c>
      <c r="B1290" s="8" t="inlineStr">
        <is>
          <t>Parris Island MCRD</t>
        </is>
      </c>
      <c r="C1290" s="11" t="inlineStr"/>
      <c r="D1290" s="11" t="inlineStr">
        <is>
          <t>SC</t>
        </is>
      </c>
      <c r="E1290" s="11" t="inlineStr">
        <is>
          <t>Savannah, GA</t>
        </is>
      </c>
      <c r="F1290" s="11" t="inlineStr"/>
      <c r="G1290" s="11" t="inlineStr">
        <is>
          <t>Marine Corps</t>
        </is>
      </c>
      <c r="H1290" s="11" t="inlineStr">
        <is>
          <t>Digital</t>
        </is>
      </c>
      <c r="I1290" s="8" t="inlineStr">
        <is>
          <t>Digital Kiosk Network</t>
        </is>
      </c>
      <c r="J1290" s="11" t="inlineStr">
        <is>
          <t>2 screens</t>
        </is>
      </c>
      <c r="K1290" s="8" t="inlineStr">
        <is>
          <t>Your ad will appear on the 2-screen digital kiosk network in approved installation facilities.</t>
        </is>
      </c>
      <c r="L1290" s="11" t="n">
        <v>1</v>
      </c>
      <c r="M1290" s="12" t="n">
        <v>200</v>
      </c>
      <c r="N1290" s="12" t="n"/>
      <c r="O1290" s="12" t="n"/>
      <c r="P1290" s="12" t="n"/>
      <c r="Q1290" s="12" t="n"/>
      <c r="R1290" s="13">
        <f>IF(ISNUMBER(M1290),ROUND(M1290/(1-Settings!$B$2)/Settings!$B$3,0)*Settings!$B$3,"")</f>
        <v/>
      </c>
      <c r="S1290" s="13">
        <f>IF(ISNUMBER(N1290),ROUND(N1290/(1-Settings!$B$2)/Settings!$B$3,0)*Settings!$B$3,"")</f>
        <v/>
      </c>
      <c r="T1290" s="13">
        <f>IF(ISNUMBER(O1290),ROUND(O1290/(1-Settings!$B$2)/Settings!$B$3,0)*Settings!$B$3,"")</f>
        <v/>
      </c>
      <c r="U1290" s="13">
        <f>IF(ISNUMBER(P1290),ROUND(P1290/(1-Settings!$B$2)/Settings!$B$3,0)*Settings!$B$3,"")</f>
        <v/>
      </c>
      <c r="V1290" s="13">
        <f>IF(ISNUMBER(Q1290),ROUND(Q1290/(1-Settings!$B$2)/Settings!$B$3,0)*Settings!$B$3,"")</f>
        <v/>
      </c>
      <c r="W1290" s="14" t="n"/>
      <c r="X1290" s="14" t="n"/>
      <c r="Y1290" s="11" t="inlineStr">
        <is>
          <t>2026</t>
        </is>
      </c>
      <c r="Z1290" s="11" t="inlineStr">
        <is>
          <t>2026-06</t>
        </is>
      </c>
      <c r="AA1290" s="8" t="inlineStr"/>
      <c r="AB1290" s="8" t="inlineStr"/>
      <c r="AC1290" s="11" t="inlineStr">
        <is>
          <t>Military - National Digital Inventory Master 6.3.26.xlsx</t>
        </is>
      </c>
      <c r="AD1290" s="11" t="inlineStr">
        <is>
          <t>MCCS Events and Advertising 2026.pdf</t>
        </is>
      </c>
      <c r="AE1290" s="15" t="inlineStr">
        <is>
          <t>Open in Box</t>
        </is>
      </c>
      <c r="AF1290" s="15" t="inlineStr">
        <is>
          <t>Open in Box</t>
        </is>
      </c>
    </row>
    <row r="1291">
      <c r="A1291" s="11" t="inlineStr">
        <is>
          <t>SC-PARRISIS-003</t>
        </is>
      </c>
      <c r="B1291" s="8" t="inlineStr">
        <is>
          <t>Parris Island MCRD</t>
        </is>
      </c>
      <c r="C1291" s="11" t="inlineStr"/>
      <c r="D1291" s="11" t="inlineStr">
        <is>
          <t>SC</t>
        </is>
      </c>
      <c r="E1291" s="11" t="inlineStr">
        <is>
          <t>Savannah, GA</t>
        </is>
      </c>
      <c r="F1291" s="11" t="inlineStr"/>
      <c r="G1291" s="11" t="inlineStr">
        <is>
          <t>Marine Corps</t>
        </is>
      </c>
      <c r="H1291" s="11" t="inlineStr">
        <is>
          <t>Digital</t>
        </is>
      </c>
      <c r="I1291" s="8" t="inlineStr">
        <is>
          <t>Digital Marquee</t>
        </is>
      </c>
      <c r="J1291" s="11" t="inlineStr">
        <is>
          <t>1 screens</t>
        </is>
      </c>
      <c r="K1291" s="8" t="inlineStr">
        <is>
          <t>Your ad will appear on the 1-screen digital marquee(s) on the installation.</t>
        </is>
      </c>
      <c r="L1291" s="11" t="n">
        <v>1</v>
      </c>
      <c r="M1291" s="12" t="n">
        <v>350</v>
      </c>
      <c r="N1291" s="12" t="n"/>
      <c r="O1291" s="12" t="n"/>
      <c r="P1291" s="12" t="n"/>
      <c r="Q1291" s="12" t="n"/>
      <c r="R1291" s="13">
        <f>IF(ISNUMBER(M1291),ROUND(M1291/(1-Settings!$B$2)/Settings!$B$3,0)*Settings!$B$3,"")</f>
        <v/>
      </c>
      <c r="S1291" s="13">
        <f>IF(ISNUMBER(N1291),ROUND(N1291/(1-Settings!$B$2)/Settings!$B$3,0)*Settings!$B$3,"")</f>
        <v/>
      </c>
      <c r="T1291" s="13">
        <f>IF(ISNUMBER(O1291),ROUND(O1291/(1-Settings!$B$2)/Settings!$B$3,0)*Settings!$B$3,"")</f>
        <v/>
      </c>
      <c r="U1291" s="13">
        <f>IF(ISNUMBER(P1291),ROUND(P1291/(1-Settings!$B$2)/Settings!$B$3,0)*Settings!$B$3,"")</f>
        <v/>
      </c>
      <c r="V1291" s="13">
        <f>IF(ISNUMBER(Q1291),ROUND(Q1291/(1-Settings!$B$2)/Settings!$B$3,0)*Settings!$B$3,"")</f>
        <v/>
      </c>
      <c r="W1291" s="14" t="n"/>
      <c r="X1291" s="14" t="n"/>
      <c r="Y1291" s="11" t="inlineStr">
        <is>
          <t>2026</t>
        </is>
      </c>
      <c r="Z1291" s="11" t="inlineStr">
        <is>
          <t>2026-06</t>
        </is>
      </c>
      <c r="AA1291" s="8" t="inlineStr"/>
      <c r="AB1291" s="8" t="inlineStr"/>
      <c r="AC1291" s="11" t="inlineStr">
        <is>
          <t>Military - National Digital Inventory Master 6.3.26.xlsx</t>
        </is>
      </c>
      <c r="AD1291" s="11" t="inlineStr">
        <is>
          <t>MCCS Events and Advertising 2026.pdf</t>
        </is>
      </c>
      <c r="AE1291" s="15" t="inlineStr">
        <is>
          <t>Open in Box</t>
        </is>
      </c>
      <c r="AF1291" s="15" t="inlineStr">
        <is>
          <t>Open in Box</t>
        </is>
      </c>
    </row>
    <row r="1292">
      <c r="A1292" s="11" t="inlineStr">
        <is>
          <t>SC-PARRISIS-001</t>
        </is>
      </c>
      <c r="B1292" s="8" t="inlineStr">
        <is>
          <t>Parris Island MCRD</t>
        </is>
      </c>
      <c r="C1292" s="11" t="inlineStr"/>
      <c r="D1292" s="11" t="inlineStr">
        <is>
          <t>SC</t>
        </is>
      </c>
      <c r="E1292" s="11" t="inlineStr">
        <is>
          <t>Savannah, GA</t>
        </is>
      </c>
      <c r="F1292" s="11" t="inlineStr"/>
      <c r="G1292" s="11" t="inlineStr">
        <is>
          <t>Marine Corps</t>
        </is>
      </c>
      <c r="H1292" s="11" t="inlineStr">
        <is>
          <t>Digital</t>
        </is>
      </c>
      <c r="I1292" s="8" t="inlineStr">
        <is>
          <t>Digital Monitor Network</t>
        </is>
      </c>
      <c r="J1292" s="11" t="inlineStr">
        <is>
          <t>4 screens</t>
        </is>
      </c>
      <c r="K1292" s="8" t="inlineStr">
        <is>
          <t>Your ad will appear on the 4-screen digital monitor network in approved installation facilities.</t>
        </is>
      </c>
      <c r="L1292" s="11" t="n">
        <v>1</v>
      </c>
      <c r="M1292" s="12" t="n">
        <v>300</v>
      </c>
      <c r="N1292" s="12" t="n"/>
      <c r="O1292" s="12" t="n"/>
      <c r="P1292" s="12" t="n"/>
      <c r="Q1292" s="12" t="n"/>
      <c r="R1292" s="13">
        <f>IF(ISNUMBER(M1292),ROUND(M1292/(1-Settings!$B$2)/Settings!$B$3,0)*Settings!$B$3,"")</f>
        <v/>
      </c>
      <c r="S1292" s="13">
        <f>IF(ISNUMBER(N1292),ROUND(N1292/(1-Settings!$B$2)/Settings!$B$3,0)*Settings!$B$3,"")</f>
        <v/>
      </c>
      <c r="T1292" s="13">
        <f>IF(ISNUMBER(O1292),ROUND(O1292/(1-Settings!$B$2)/Settings!$B$3,0)*Settings!$B$3,"")</f>
        <v/>
      </c>
      <c r="U1292" s="13">
        <f>IF(ISNUMBER(P1292),ROUND(P1292/(1-Settings!$B$2)/Settings!$B$3,0)*Settings!$B$3,"")</f>
        <v/>
      </c>
      <c r="V1292" s="13">
        <f>IF(ISNUMBER(Q1292),ROUND(Q1292/(1-Settings!$B$2)/Settings!$B$3,0)*Settings!$B$3,"")</f>
        <v/>
      </c>
      <c r="W1292" s="14" t="n"/>
      <c r="X1292" s="14" t="n"/>
      <c r="Y1292" s="11" t="inlineStr">
        <is>
          <t>2026</t>
        </is>
      </c>
      <c r="Z1292" s="11" t="inlineStr">
        <is>
          <t>2026-06</t>
        </is>
      </c>
      <c r="AA1292" s="8" t="inlineStr"/>
      <c r="AB1292" s="8" t="inlineStr"/>
      <c r="AC1292" s="11" t="inlineStr">
        <is>
          <t>Military - National Digital Inventory Master 6.3.26.xlsx</t>
        </is>
      </c>
      <c r="AD1292" s="11" t="inlineStr">
        <is>
          <t>MCCS Events and Advertising 2026.pdf</t>
        </is>
      </c>
      <c r="AE1292" s="15" t="inlineStr">
        <is>
          <t>Open in Box</t>
        </is>
      </c>
      <c r="AF1292" s="15" t="inlineStr">
        <is>
          <t>Open in Box</t>
        </is>
      </c>
    </row>
    <row r="1293">
      <c r="A1293" s="11" t="inlineStr">
        <is>
          <t>SC-PARRISIS-004</t>
        </is>
      </c>
      <c r="B1293" s="8" t="inlineStr">
        <is>
          <t>Parris Island MCRD</t>
        </is>
      </c>
      <c r="C1293" s="11" t="inlineStr"/>
      <c r="D1293" s="11" t="inlineStr">
        <is>
          <t>SC</t>
        </is>
      </c>
      <c r="E1293" s="11" t="inlineStr">
        <is>
          <t>Savannah, GA</t>
        </is>
      </c>
      <c r="F1293" s="11" t="inlineStr"/>
      <c r="G1293" s="11" t="inlineStr">
        <is>
          <t>Marine Corps</t>
        </is>
      </c>
      <c r="H1293" s="11" t="inlineStr">
        <is>
          <t>Web &amp; Email</t>
        </is>
      </c>
      <c r="I1293" s="8" t="inlineStr">
        <is>
          <t>Web Ad</t>
        </is>
      </c>
      <c r="J1293" s="11" t="inlineStr"/>
      <c r="K1293" s="8" t="inlineStr">
        <is>
          <t>Your ad will appear on the installation MWR / FSS website.</t>
        </is>
      </c>
      <c r="L1293" s="11" t="n">
        <v>1</v>
      </c>
      <c r="M1293" s="12" t="n">
        <v>750</v>
      </c>
      <c r="N1293" s="12" t="n"/>
      <c r="O1293" s="12" t="n"/>
      <c r="P1293" s="12" t="n"/>
      <c r="Q1293" s="12" t="n"/>
      <c r="R1293" s="13">
        <f>IF(ISNUMBER(M1293),ROUND(M1293/(1-Settings!$B$2)/Settings!$B$3,0)*Settings!$B$3,"")</f>
        <v/>
      </c>
      <c r="S1293" s="13">
        <f>IF(ISNUMBER(N1293),ROUND(N1293/(1-Settings!$B$2)/Settings!$B$3,0)*Settings!$B$3,"")</f>
        <v/>
      </c>
      <c r="T1293" s="13">
        <f>IF(ISNUMBER(O1293),ROUND(O1293/(1-Settings!$B$2)/Settings!$B$3,0)*Settings!$B$3,"")</f>
        <v/>
      </c>
      <c r="U1293" s="13">
        <f>IF(ISNUMBER(P1293),ROUND(P1293/(1-Settings!$B$2)/Settings!$B$3,0)*Settings!$B$3,"")</f>
        <v/>
      </c>
      <c r="V1293" s="13">
        <f>IF(ISNUMBER(Q1293),ROUND(Q1293/(1-Settings!$B$2)/Settings!$B$3,0)*Settings!$B$3,"")</f>
        <v/>
      </c>
      <c r="W1293" s="14" t="n"/>
      <c r="X1293" s="14" t="n"/>
      <c r="Y1293" s="11" t="inlineStr">
        <is>
          <t>2026</t>
        </is>
      </c>
      <c r="Z1293" s="11" t="inlineStr">
        <is>
          <t>2026-06</t>
        </is>
      </c>
      <c r="AA1293" s="8" t="inlineStr"/>
      <c r="AB1293" s="8" t="inlineStr"/>
      <c r="AC1293" s="11" t="inlineStr">
        <is>
          <t>Military - National Publication Inventory Master_June 2026.xlsx</t>
        </is>
      </c>
      <c r="AD1293" s="11" t="inlineStr">
        <is>
          <t>MCCS Events and Advertising 2026.pdf</t>
        </is>
      </c>
      <c r="AE1293" s="15" t="inlineStr">
        <is>
          <t>Open in Box</t>
        </is>
      </c>
      <c r="AF1293" s="15" t="inlineStr">
        <is>
          <t>Open in Box</t>
        </is>
      </c>
    </row>
    <row r="1294">
      <c r="A1294" s="11" t="inlineStr">
        <is>
          <t>TN-ARNOLDAF-001</t>
        </is>
      </c>
      <c r="B1294" s="8" t="inlineStr">
        <is>
          <t>Arnold AFB</t>
        </is>
      </c>
      <c r="C1294" s="11" t="inlineStr"/>
      <c r="D1294" s="11" t="inlineStr">
        <is>
          <t>TN</t>
        </is>
      </c>
      <c r="E1294" s="11" t="inlineStr">
        <is>
          <t>Nashville</t>
        </is>
      </c>
      <c r="F1294" s="11" t="inlineStr">
        <is>
          <t>37389</t>
        </is>
      </c>
      <c r="G1294" s="11" t="inlineStr">
        <is>
          <t>Air Force</t>
        </is>
      </c>
      <c r="H1294" s="11" t="inlineStr">
        <is>
          <t>Digital</t>
        </is>
      </c>
      <c r="I1294" s="8" t="inlineStr">
        <is>
          <t>Digital Monitor Network</t>
        </is>
      </c>
      <c r="J1294" s="11" t="inlineStr">
        <is>
          <t>1920pxw x 1080pxh</t>
        </is>
      </c>
      <c r="K1294" s="8" t="inlineStr">
        <is>
          <t>Your ad will appear on 10 digital monitors in approved installation facilities.</t>
        </is>
      </c>
      <c r="L1294" s="11" t="n">
        <v>1</v>
      </c>
      <c r="M1294" s="12" t="n">
        <v>50</v>
      </c>
      <c r="N1294" s="12" t="n">
        <v>150</v>
      </c>
      <c r="O1294" s="12" t="n">
        <v>300</v>
      </c>
      <c r="P1294" s="12" t="n">
        <v>600</v>
      </c>
      <c r="Q1294" s="12" t="n">
        <v>0</v>
      </c>
      <c r="R1294" s="13">
        <f>IF(ISNUMBER(M1294),ROUND(M1294/(1-Settings!$B$2)/Settings!$B$3,0)*Settings!$B$3,"")</f>
        <v/>
      </c>
      <c r="S1294" s="13">
        <f>IF(ISNUMBER(N1294),ROUND(N1294/(1-Settings!$B$2)/Settings!$B$3,0)*Settings!$B$3,"")</f>
        <v/>
      </c>
      <c r="T1294" s="13">
        <f>IF(ISNUMBER(O1294),ROUND(O1294/(1-Settings!$B$2)/Settings!$B$3,0)*Settings!$B$3,"")</f>
        <v/>
      </c>
      <c r="U1294" s="13">
        <f>IF(ISNUMBER(P1294),ROUND(P1294/(1-Settings!$B$2)/Settings!$B$3,0)*Settings!$B$3,"")</f>
        <v/>
      </c>
      <c r="V1294" s="13">
        <f>IF(ISNUMBER(Q1294),ROUND(Q1294/(1-Settings!$B$2)/Settings!$B$3,0)*Settings!$B$3,"")</f>
        <v/>
      </c>
      <c r="W1294" s="14" t="n"/>
      <c r="X1294" s="14" t="n"/>
      <c r="Y1294" s="11" t="inlineStr">
        <is>
          <t>2025</t>
        </is>
      </c>
      <c r="Z1294" s="11" t="inlineStr"/>
      <c r="AA1294" s="8" t="inlineStr"/>
      <c r="AB1294" s="8" t="inlineStr"/>
      <c r="AC1294" s="11" t="inlineStr">
        <is>
          <t>MasterMilitaryOnBaseList 12.2.25 NS.xlsx</t>
        </is>
      </c>
      <c r="AD1294" s="11" t="inlineStr">
        <is>
          <t>Sponsorship Package for Summer Events (1) (1).pdf</t>
        </is>
      </c>
      <c r="AE1294" s="15" t="inlineStr">
        <is>
          <t>Open in Box</t>
        </is>
      </c>
      <c r="AF1294" s="15" t="inlineStr">
        <is>
          <t>Open in Box</t>
        </is>
      </c>
    </row>
    <row r="1295">
      <c r="A1295" s="11" t="inlineStr">
        <is>
          <t>TN-ARNOLDAF-004</t>
        </is>
      </c>
      <c r="B1295" s="8" t="inlineStr">
        <is>
          <t>Arnold AFB</t>
        </is>
      </c>
      <c r="C1295" s="11" t="inlineStr"/>
      <c r="D1295" s="11" t="inlineStr">
        <is>
          <t>TN</t>
        </is>
      </c>
      <c r="E1295" s="11" t="inlineStr">
        <is>
          <t>Nashville</t>
        </is>
      </c>
      <c r="F1295" s="11" t="inlineStr">
        <is>
          <t>37389</t>
        </is>
      </c>
      <c r="G1295" s="11" t="inlineStr">
        <is>
          <t>Air Force</t>
        </is>
      </c>
      <c r="H1295" s="11" t="inlineStr">
        <is>
          <t>Print &amp; Publications</t>
        </is>
      </c>
      <c r="I1295" s="8" t="inlineStr">
        <is>
          <t>Flyers</t>
        </is>
      </c>
      <c r="J1295" s="11" t="inlineStr">
        <is>
          <t>8.5"W x 11"H</t>
        </is>
      </c>
      <c r="K1295" s="8" t="inlineStr">
        <is>
          <t>Your ad will appear in 8 locations in approved installation facilities.</t>
        </is>
      </c>
      <c r="L1295" s="11" t="n">
        <v>1</v>
      </c>
      <c r="M1295" s="12" t="n">
        <v>25</v>
      </c>
      <c r="N1295" s="12" t="n">
        <v>75</v>
      </c>
      <c r="O1295" s="12" t="n">
        <v>150</v>
      </c>
      <c r="P1295" s="12" t="n">
        <v>300</v>
      </c>
      <c r="Q1295" s="12" t="n"/>
      <c r="R1295" s="13">
        <f>IF(ISNUMBER(M1295),ROUND(M1295/(1-Settings!$B$2)/Settings!$B$3,0)*Settings!$B$3,"")</f>
        <v/>
      </c>
      <c r="S1295" s="13">
        <f>IF(ISNUMBER(N1295),ROUND(N1295/(1-Settings!$B$2)/Settings!$B$3,0)*Settings!$B$3,"")</f>
        <v/>
      </c>
      <c r="T1295" s="13">
        <f>IF(ISNUMBER(O1295),ROUND(O1295/(1-Settings!$B$2)/Settings!$B$3,0)*Settings!$B$3,"")</f>
        <v/>
      </c>
      <c r="U1295" s="13">
        <f>IF(ISNUMBER(P1295),ROUND(P1295/(1-Settings!$B$2)/Settings!$B$3,0)*Settings!$B$3,"")</f>
        <v/>
      </c>
      <c r="V1295" s="13">
        <f>IF(ISNUMBER(Q1295),ROUND(Q1295/(1-Settings!$B$2)/Settings!$B$3,0)*Settings!$B$3,"")</f>
        <v/>
      </c>
      <c r="W1295" s="14" t="n"/>
      <c r="X1295" s="14" t="n"/>
      <c r="Y1295" s="11" t="inlineStr"/>
      <c r="Z1295" s="11" t="inlineStr"/>
      <c r="AA1295" s="8" t="inlineStr"/>
      <c r="AB1295" s="8" t="inlineStr"/>
      <c r="AC1295" s="11" t="inlineStr">
        <is>
          <t>MasterMilitaryOnBaseList 12.2.25 NS.xlsx</t>
        </is>
      </c>
      <c r="AD1295" s="11" t="inlineStr">
        <is>
          <t>Sponsorship Package for Summer Events (1) (1).pdf</t>
        </is>
      </c>
      <c r="AE1295" s="15" t="inlineStr">
        <is>
          <t>Open in Box</t>
        </is>
      </c>
      <c r="AF1295" s="15" t="inlineStr">
        <is>
          <t>Open in Box</t>
        </is>
      </c>
    </row>
    <row r="1296">
      <c r="A1296" s="11" t="inlineStr">
        <is>
          <t>TN-ARNOLDAF-005</t>
        </is>
      </c>
      <c r="B1296" s="8" t="inlineStr">
        <is>
          <t>Arnold AFB</t>
        </is>
      </c>
      <c r="C1296" s="11" t="inlineStr"/>
      <c r="D1296" s="11" t="inlineStr">
        <is>
          <t>TN</t>
        </is>
      </c>
      <c r="E1296" s="11" t="inlineStr">
        <is>
          <t>Nashville</t>
        </is>
      </c>
      <c r="F1296" s="11" t="inlineStr">
        <is>
          <t>37389</t>
        </is>
      </c>
      <c r="G1296" s="11" t="inlineStr">
        <is>
          <t>Air Force</t>
        </is>
      </c>
      <c r="H1296" s="11" t="inlineStr">
        <is>
          <t>Print &amp; Publications</t>
        </is>
      </c>
      <c r="I1296" s="8" t="inlineStr">
        <is>
          <t>Magazine - 1/2 Page Ad</t>
        </is>
      </c>
      <c r="J1296" s="11" t="inlineStr">
        <is>
          <t>3.625"w x 4.25"h</t>
        </is>
      </c>
      <c r="K1296" s="8" t="inlineStr">
        <is>
          <t>Your ad will appear in the monthly magazine.</t>
        </is>
      </c>
      <c r="L1296" s="11" t="n">
        <v>1</v>
      </c>
      <c r="M1296" s="12" t="n">
        <v>125</v>
      </c>
      <c r="N1296" s="12" t="n">
        <v>600</v>
      </c>
      <c r="O1296" s="12" t="n">
        <v>1200</v>
      </c>
      <c r="P1296" s="12" t="n">
        <v>2400</v>
      </c>
      <c r="Q1296" s="12" t="n">
        <v>0</v>
      </c>
      <c r="R1296" s="13">
        <f>IF(ISNUMBER(M1296),ROUND(M1296/(1-Settings!$B$2)/Settings!$B$3,0)*Settings!$B$3,"")</f>
        <v/>
      </c>
      <c r="S1296" s="13">
        <f>IF(ISNUMBER(N1296),ROUND(N1296/(1-Settings!$B$2)/Settings!$B$3,0)*Settings!$B$3,"")</f>
        <v/>
      </c>
      <c r="T1296" s="13">
        <f>IF(ISNUMBER(O1296),ROUND(O1296/(1-Settings!$B$2)/Settings!$B$3,0)*Settings!$B$3,"")</f>
        <v/>
      </c>
      <c r="U1296" s="13">
        <f>IF(ISNUMBER(P1296),ROUND(P1296/(1-Settings!$B$2)/Settings!$B$3,0)*Settings!$B$3,"")</f>
        <v/>
      </c>
      <c r="V1296" s="13">
        <f>IF(ISNUMBER(Q1296),ROUND(Q1296/(1-Settings!$B$2)/Settings!$B$3,0)*Settings!$B$3,"")</f>
        <v/>
      </c>
      <c r="W1296" s="14" t="n"/>
      <c r="X1296" s="14" t="n"/>
      <c r="Y1296" s="11" t="inlineStr">
        <is>
          <t>2025</t>
        </is>
      </c>
      <c r="Z1296" s="11" t="inlineStr"/>
      <c r="AA1296" s="8" t="inlineStr"/>
      <c r="AB1296" s="8" t="inlineStr"/>
      <c r="AC1296" s="11" t="inlineStr">
        <is>
          <t>MasterMilitaryOnBaseList 12.2.25 NS.xlsx</t>
        </is>
      </c>
      <c r="AD1296" s="11" t="inlineStr">
        <is>
          <t>Sponsorship Package for Summer Events (1) (1).pdf</t>
        </is>
      </c>
      <c r="AE1296" s="15" t="inlineStr">
        <is>
          <t>Open in Box</t>
        </is>
      </c>
      <c r="AF1296" s="15" t="inlineStr">
        <is>
          <t>Open in Box</t>
        </is>
      </c>
    </row>
    <row r="1297">
      <c r="A1297" s="11" t="inlineStr">
        <is>
          <t>TN-ARNOLDAF-006</t>
        </is>
      </c>
      <c r="B1297" s="8" t="inlineStr">
        <is>
          <t>Arnold AFB</t>
        </is>
      </c>
      <c r="C1297" s="11" t="inlineStr"/>
      <c r="D1297" s="11" t="inlineStr">
        <is>
          <t>TN</t>
        </is>
      </c>
      <c r="E1297" s="11" t="inlineStr">
        <is>
          <t>Nashville</t>
        </is>
      </c>
      <c r="F1297" s="11" t="inlineStr">
        <is>
          <t>37389</t>
        </is>
      </c>
      <c r="G1297" s="11" t="inlineStr">
        <is>
          <t>Air Force</t>
        </is>
      </c>
      <c r="H1297" s="11" t="inlineStr">
        <is>
          <t>Print &amp; Publications</t>
        </is>
      </c>
      <c r="I1297" s="8" t="inlineStr">
        <is>
          <t>Magazine - 1/4 Page Ad</t>
        </is>
      </c>
      <c r="J1297" s="11" t="inlineStr">
        <is>
          <t>2.125"w x 3.625"h</t>
        </is>
      </c>
      <c r="K1297" s="8" t="inlineStr">
        <is>
          <t>Your ad will appear in the monthly magazine.</t>
        </is>
      </c>
      <c r="L1297" s="11" t="n">
        <v>1</v>
      </c>
      <c r="M1297" s="12" t="n">
        <v>50</v>
      </c>
      <c r="N1297" s="12" t="n">
        <v>150</v>
      </c>
      <c r="O1297" s="12" t="n">
        <v>300</v>
      </c>
      <c r="P1297" s="12" t="n">
        <v>600</v>
      </c>
      <c r="Q1297" s="12" t="n">
        <v>0</v>
      </c>
      <c r="R1297" s="13">
        <f>IF(ISNUMBER(M1297),ROUND(M1297/(1-Settings!$B$2)/Settings!$B$3,0)*Settings!$B$3,"")</f>
        <v/>
      </c>
      <c r="S1297" s="13">
        <f>IF(ISNUMBER(N1297),ROUND(N1297/(1-Settings!$B$2)/Settings!$B$3,0)*Settings!$B$3,"")</f>
        <v/>
      </c>
      <c r="T1297" s="13">
        <f>IF(ISNUMBER(O1297),ROUND(O1297/(1-Settings!$B$2)/Settings!$B$3,0)*Settings!$B$3,"")</f>
        <v/>
      </c>
      <c r="U1297" s="13">
        <f>IF(ISNUMBER(P1297),ROUND(P1297/(1-Settings!$B$2)/Settings!$B$3,0)*Settings!$B$3,"")</f>
        <v/>
      </c>
      <c r="V1297" s="13">
        <f>IF(ISNUMBER(Q1297),ROUND(Q1297/(1-Settings!$B$2)/Settings!$B$3,0)*Settings!$B$3,"")</f>
        <v/>
      </c>
      <c r="W1297" s="14" t="n"/>
      <c r="X1297" s="14" t="n"/>
      <c r="Y1297" s="11" t="inlineStr">
        <is>
          <t>2025</t>
        </is>
      </c>
      <c r="Z1297" s="11" t="inlineStr"/>
      <c r="AA1297" s="8" t="inlineStr"/>
      <c r="AB1297" s="8" t="inlineStr"/>
      <c r="AC1297" s="11" t="inlineStr">
        <is>
          <t>MasterMilitaryOnBaseList 12.2.25 NS.xlsx</t>
        </is>
      </c>
      <c r="AD1297" s="11" t="inlineStr">
        <is>
          <t>Sponsorship Package for Summer Events (1) (1).pdf</t>
        </is>
      </c>
      <c r="AE1297" s="15" t="inlineStr">
        <is>
          <t>Open in Box</t>
        </is>
      </c>
      <c r="AF1297" s="15" t="inlineStr">
        <is>
          <t>Open in Box</t>
        </is>
      </c>
    </row>
    <row r="1298">
      <c r="A1298" s="11" t="inlineStr">
        <is>
          <t>TN-ARNOLDAF-007</t>
        </is>
      </c>
      <c r="B1298" s="8" t="inlineStr">
        <is>
          <t>Arnold AFB</t>
        </is>
      </c>
      <c r="C1298" s="11" t="inlineStr"/>
      <c r="D1298" s="11" t="inlineStr">
        <is>
          <t>TN</t>
        </is>
      </c>
      <c r="E1298" s="11" t="inlineStr">
        <is>
          <t>Nashville</t>
        </is>
      </c>
      <c r="F1298" s="11" t="inlineStr">
        <is>
          <t>37389</t>
        </is>
      </c>
      <c r="G1298" s="11" t="inlineStr">
        <is>
          <t>Air Force</t>
        </is>
      </c>
      <c r="H1298" s="11" t="inlineStr">
        <is>
          <t>Print &amp; Publications</t>
        </is>
      </c>
      <c r="I1298" s="8" t="inlineStr">
        <is>
          <t>Magazine - Full Page Ad</t>
        </is>
      </c>
      <c r="J1298" s="11" t="inlineStr">
        <is>
          <t>3.625"w x 7.25"h</t>
        </is>
      </c>
      <c r="K1298" s="8" t="inlineStr">
        <is>
          <t>Your ad will appear in the monthly magazine.</t>
        </is>
      </c>
      <c r="L1298" s="11" t="n">
        <v>1</v>
      </c>
      <c r="M1298" s="12" t="n">
        <v>200</v>
      </c>
      <c r="N1298" s="12" t="n">
        <v>600</v>
      </c>
      <c r="O1298" s="12" t="n">
        <v>1200</v>
      </c>
      <c r="P1298" s="12" t="n">
        <v>2400</v>
      </c>
      <c r="Q1298" s="12" t="n">
        <v>0</v>
      </c>
      <c r="R1298" s="13">
        <f>IF(ISNUMBER(M1298),ROUND(M1298/(1-Settings!$B$2)/Settings!$B$3,0)*Settings!$B$3,"")</f>
        <v/>
      </c>
      <c r="S1298" s="13">
        <f>IF(ISNUMBER(N1298),ROUND(N1298/(1-Settings!$B$2)/Settings!$B$3,0)*Settings!$B$3,"")</f>
        <v/>
      </c>
      <c r="T1298" s="13">
        <f>IF(ISNUMBER(O1298),ROUND(O1298/(1-Settings!$B$2)/Settings!$B$3,0)*Settings!$B$3,"")</f>
        <v/>
      </c>
      <c r="U1298" s="13">
        <f>IF(ISNUMBER(P1298),ROUND(P1298/(1-Settings!$B$2)/Settings!$B$3,0)*Settings!$B$3,"")</f>
        <v/>
      </c>
      <c r="V1298" s="13">
        <f>IF(ISNUMBER(Q1298),ROUND(Q1298/(1-Settings!$B$2)/Settings!$B$3,0)*Settings!$B$3,"")</f>
        <v/>
      </c>
      <c r="W1298" s="14" t="n"/>
      <c r="X1298" s="14" t="n"/>
      <c r="Y1298" s="11" t="inlineStr">
        <is>
          <t>2025</t>
        </is>
      </c>
      <c r="Z1298" s="11" t="inlineStr"/>
      <c r="AA1298" s="8" t="inlineStr"/>
      <c r="AB1298" s="8" t="inlineStr"/>
      <c r="AC1298" s="11" t="inlineStr">
        <is>
          <t>MasterMilitaryOnBaseList 12.2.25 NS.xlsx</t>
        </is>
      </c>
      <c r="AD1298" s="11" t="inlineStr">
        <is>
          <t>Sponsorship Package for Summer Events (1) (1).pdf</t>
        </is>
      </c>
      <c r="AE1298" s="15" t="inlineStr">
        <is>
          <t>Open in Box</t>
        </is>
      </c>
      <c r="AF1298" s="15" t="inlineStr">
        <is>
          <t>Open in Box</t>
        </is>
      </c>
    </row>
    <row r="1299">
      <c r="A1299" s="11" t="inlineStr">
        <is>
          <t>TN-ARNOLDAF-008</t>
        </is>
      </c>
      <c r="B1299" s="8" t="inlineStr">
        <is>
          <t>Arnold AFB</t>
        </is>
      </c>
      <c r="C1299" s="11" t="inlineStr"/>
      <c r="D1299" s="11" t="inlineStr">
        <is>
          <t>TN</t>
        </is>
      </c>
      <c r="E1299" s="11" t="inlineStr">
        <is>
          <t>Nashville</t>
        </is>
      </c>
      <c r="F1299" s="11" t="inlineStr">
        <is>
          <t>37389</t>
        </is>
      </c>
      <c r="G1299" s="11" t="inlineStr">
        <is>
          <t>Air Force</t>
        </is>
      </c>
      <c r="H1299" s="11" t="inlineStr">
        <is>
          <t>Print &amp; Publications</t>
        </is>
      </c>
      <c r="I1299" s="8" t="inlineStr">
        <is>
          <t>Magazine - Full Page Ad</t>
        </is>
      </c>
      <c r="J1299" s="11" t="inlineStr">
        <is>
          <t>3.625"w x 7.25"h</t>
        </is>
      </c>
      <c r="K1299" s="8" t="inlineStr">
        <is>
          <t>Your ad will appear in the monthly magazine.</t>
        </is>
      </c>
      <c r="L1299" s="11" t="n">
        <v>1</v>
      </c>
      <c r="M1299" s="12" t="n">
        <v>200</v>
      </c>
      <c r="N1299" s="12" t="n">
        <v>600</v>
      </c>
      <c r="O1299" s="12" t="n">
        <v>1200</v>
      </c>
      <c r="P1299" s="12" t="n">
        <v>2400</v>
      </c>
      <c r="Q1299" s="12" t="n">
        <v>0</v>
      </c>
      <c r="R1299" s="13">
        <f>IF(ISNUMBER(M1299),ROUND(M1299/(1-Settings!$B$2)/Settings!$B$3,0)*Settings!$B$3,"")</f>
        <v/>
      </c>
      <c r="S1299" s="13">
        <f>IF(ISNUMBER(N1299),ROUND(N1299/(1-Settings!$B$2)/Settings!$B$3,0)*Settings!$B$3,"")</f>
        <v/>
      </c>
      <c r="T1299" s="13">
        <f>IF(ISNUMBER(O1299),ROUND(O1299/(1-Settings!$B$2)/Settings!$B$3,0)*Settings!$B$3,"")</f>
        <v/>
      </c>
      <c r="U1299" s="13">
        <f>IF(ISNUMBER(P1299),ROUND(P1299/(1-Settings!$B$2)/Settings!$B$3,0)*Settings!$B$3,"")</f>
        <v/>
      </c>
      <c r="V1299" s="13">
        <f>IF(ISNUMBER(Q1299),ROUND(Q1299/(1-Settings!$B$2)/Settings!$B$3,0)*Settings!$B$3,"")</f>
        <v/>
      </c>
      <c r="W1299" s="14" t="n"/>
      <c r="X1299" s="14" t="n"/>
      <c r="Y1299" s="11" t="inlineStr">
        <is>
          <t>2025</t>
        </is>
      </c>
      <c r="Z1299" s="11" t="inlineStr"/>
      <c r="AA1299" s="8" t="inlineStr"/>
      <c r="AB1299" s="8" t="inlineStr"/>
      <c r="AC1299" s="11" t="inlineStr">
        <is>
          <t>MasterMilitaryOnBaseList 12.2.25 NS.xlsx</t>
        </is>
      </c>
      <c r="AD1299" s="11" t="inlineStr">
        <is>
          <t>Sponsorship Package for Summer Events (1) (1).pdf</t>
        </is>
      </c>
      <c r="AE1299" s="15" t="inlineStr">
        <is>
          <t>Open in Box</t>
        </is>
      </c>
      <c r="AF1299" s="15" t="inlineStr">
        <is>
          <t>Open in Box</t>
        </is>
      </c>
    </row>
    <row r="1300">
      <c r="A1300" s="11" t="inlineStr">
        <is>
          <t>TN-ARNOLDAF-002</t>
        </is>
      </c>
      <c r="B1300" s="8" t="inlineStr">
        <is>
          <t>Arnold AFB</t>
        </is>
      </c>
      <c r="C1300" s="11" t="inlineStr"/>
      <c r="D1300" s="11" t="inlineStr">
        <is>
          <t>TN</t>
        </is>
      </c>
      <c r="E1300" s="11" t="inlineStr">
        <is>
          <t>Nashville</t>
        </is>
      </c>
      <c r="F1300" s="11" t="inlineStr">
        <is>
          <t>37389</t>
        </is>
      </c>
      <c r="G1300" s="11" t="inlineStr">
        <is>
          <t>Air Force</t>
        </is>
      </c>
      <c r="H1300" s="11" t="inlineStr">
        <is>
          <t>Standard Media</t>
        </is>
      </c>
      <c r="I1300" s="8" t="inlineStr">
        <is>
          <t>Banner</t>
        </is>
      </c>
      <c r="J1300" s="11" t="inlineStr">
        <is>
          <t>6'W x 3'H</t>
        </is>
      </c>
      <c r="K1300" s="8" t="inlineStr">
        <is>
          <t>Your ad will appear at an approved installation facility.</t>
        </is>
      </c>
      <c r="L1300" s="11" t="n">
        <v>1</v>
      </c>
      <c r="M1300" s="12" t="n">
        <v>75</v>
      </c>
      <c r="N1300" s="12" t="n">
        <v>225</v>
      </c>
      <c r="O1300" s="12" t="n">
        <v>450</v>
      </c>
      <c r="P1300" s="12" t="n">
        <v>900</v>
      </c>
      <c r="Q1300" s="12" t="n">
        <v>200</v>
      </c>
      <c r="R1300" s="13">
        <f>IF(ISNUMBER(M1300),ROUND(M1300/(1-Settings!$B$2)/Settings!$B$3,0)*Settings!$B$3,"")</f>
        <v/>
      </c>
      <c r="S1300" s="13">
        <f>IF(ISNUMBER(N1300),ROUND(N1300/(1-Settings!$B$2)/Settings!$B$3,0)*Settings!$B$3,"")</f>
        <v/>
      </c>
      <c r="T1300" s="13">
        <f>IF(ISNUMBER(O1300),ROUND(O1300/(1-Settings!$B$2)/Settings!$B$3,0)*Settings!$B$3,"")</f>
        <v/>
      </c>
      <c r="U1300" s="13">
        <f>IF(ISNUMBER(P1300),ROUND(P1300/(1-Settings!$B$2)/Settings!$B$3,0)*Settings!$B$3,"")</f>
        <v/>
      </c>
      <c r="V1300" s="13">
        <f>IF(ISNUMBER(Q1300),ROUND(Q1300/(1-Settings!$B$2)/Settings!$B$3,0)*Settings!$B$3,"")</f>
        <v/>
      </c>
      <c r="W1300" s="14" t="n"/>
      <c r="X1300" s="14" t="n"/>
      <c r="Y1300" s="11" t="inlineStr"/>
      <c r="Z1300" s="11" t="inlineStr"/>
      <c r="AA1300" s="8" t="inlineStr"/>
      <c r="AB1300" s="8" t="inlineStr"/>
      <c r="AC1300" s="11" t="inlineStr">
        <is>
          <t>MasterMilitaryOnBaseList 12.2.25 NS.xlsx</t>
        </is>
      </c>
      <c r="AD1300" s="11" t="inlineStr">
        <is>
          <t>Sponsorship Package for Summer Events (1) (1).pdf</t>
        </is>
      </c>
      <c r="AE1300" s="15" t="inlineStr">
        <is>
          <t>Open in Box</t>
        </is>
      </c>
      <c r="AF1300" s="15" t="inlineStr">
        <is>
          <t>Open in Box</t>
        </is>
      </c>
    </row>
    <row r="1301">
      <c r="A1301" s="11" t="inlineStr">
        <is>
          <t>TN-ARNOLDAF-003</t>
        </is>
      </c>
      <c r="B1301" s="8" t="inlineStr">
        <is>
          <t>Arnold AFB</t>
        </is>
      </c>
      <c r="C1301" s="11" t="inlineStr"/>
      <c r="D1301" s="11" t="inlineStr">
        <is>
          <t>TN</t>
        </is>
      </c>
      <c r="E1301" s="11" t="inlineStr">
        <is>
          <t>Nashville</t>
        </is>
      </c>
      <c r="F1301" s="11" t="inlineStr">
        <is>
          <t>37389</t>
        </is>
      </c>
      <c r="G1301" s="11" t="inlineStr">
        <is>
          <t>Air Force</t>
        </is>
      </c>
      <c r="H1301" s="11" t="inlineStr">
        <is>
          <t>Standard Media</t>
        </is>
      </c>
      <c r="I1301" s="8" t="inlineStr">
        <is>
          <t>Table Tents</t>
        </is>
      </c>
      <c r="J1301" s="11" t="inlineStr">
        <is>
          <t>TBD</t>
        </is>
      </c>
      <c r="K1301" s="8" t="inlineStr">
        <is>
          <t>Your ad will appear on tables at 2 approved locations.</t>
        </is>
      </c>
      <c r="L1301" s="11" t="n">
        <v>1</v>
      </c>
      <c r="M1301" s="12" t="n">
        <v>50</v>
      </c>
      <c r="N1301" s="12" t="n">
        <v>150</v>
      </c>
      <c r="O1301" s="12" t="n">
        <v>300</v>
      </c>
      <c r="P1301" s="12" t="n">
        <v>600</v>
      </c>
      <c r="Q1301" s="12" t="n"/>
      <c r="R1301" s="13">
        <f>IF(ISNUMBER(M1301),ROUND(M1301/(1-Settings!$B$2)/Settings!$B$3,0)*Settings!$B$3,"")</f>
        <v/>
      </c>
      <c r="S1301" s="13">
        <f>IF(ISNUMBER(N1301),ROUND(N1301/(1-Settings!$B$2)/Settings!$B$3,0)*Settings!$B$3,"")</f>
        <v/>
      </c>
      <c r="T1301" s="13">
        <f>IF(ISNUMBER(O1301),ROUND(O1301/(1-Settings!$B$2)/Settings!$B$3,0)*Settings!$B$3,"")</f>
        <v/>
      </c>
      <c r="U1301" s="13">
        <f>IF(ISNUMBER(P1301),ROUND(P1301/(1-Settings!$B$2)/Settings!$B$3,0)*Settings!$B$3,"")</f>
        <v/>
      </c>
      <c r="V1301" s="13">
        <f>IF(ISNUMBER(Q1301),ROUND(Q1301/(1-Settings!$B$2)/Settings!$B$3,0)*Settings!$B$3,"")</f>
        <v/>
      </c>
      <c r="W1301" s="14" t="n"/>
      <c r="X1301" s="14" t="n"/>
      <c r="Y1301" s="11" t="inlineStr"/>
      <c r="Z1301" s="11" t="inlineStr"/>
      <c r="AA1301" s="8" t="inlineStr"/>
      <c r="AB1301" s="8" t="inlineStr"/>
      <c r="AC1301" s="11" t="inlineStr">
        <is>
          <t>MasterMilitaryOnBaseList 12.2.25 NS.xlsx</t>
        </is>
      </c>
      <c r="AD1301" s="11" t="inlineStr">
        <is>
          <t>Sponsorship Package for Summer Events (1) (1).pdf</t>
        </is>
      </c>
      <c r="AE1301" s="15" t="inlineStr">
        <is>
          <t>Open in Box</t>
        </is>
      </c>
      <c r="AF1301" s="15" t="inlineStr">
        <is>
          <t>Open in Box</t>
        </is>
      </c>
    </row>
    <row r="1302">
      <c r="A1302" s="11" t="inlineStr">
        <is>
          <t>TN-NSAMIDSO-001</t>
        </is>
      </c>
      <c r="B1302" s="8" t="inlineStr">
        <is>
          <t>NSA Mid South</t>
        </is>
      </c>
      <c r="C1302" s="11" t="inlineStr">
        <is>
          <t>NAS Mid-South (Millington)</t>
        </is>
      </c>
      <c r="D1302" s="11" t="inlineStr">
        <is>
          <t>TN</t>
        </is>
      </c>
      <c r="E1302" s="11" t="inlineStr">
        <is>
          <t>Nashville</t>
        </is>
      </c>
      <c r="F1302" s="11" t="inlineStr"/>
      <c r="G1302" s="11" t="inlineStr">
        <is>
          <t>Navy</t>
        </is>
      </c>
      <c r="H1302" s="11" t="inlineStr">
        <is>
          <t>Digital</t>
        </is>
      </c>
      <c r="I1302" s="8" t="inlineStr">
        <is>
          <t>Digital Monitor Network</t>
        </is>
      </c>
      <c r="J1302" s="11" t="inlineStr">
        <is>
          <t>1920pxW x 1080pxH</t>
        </is>
      </c>
      <c r="K1302" s="8" t="inlineStr">
        <is>
          <t>Your ad will appear on15 digital monitors in approved installation facilities.</t>
        </is>
      </c>
      <c r="L1302" s="11" t="n">
        <v>1</v>
      </c>
      <c r="M1302" s="12" t="n">
        <v>970</v>
      </c>
      <c r="N1302" s="12" t="n">
        <v>2910</v>
      </c>
      <c r="O1302" s="12" t="n">
        <v>5820</v>
      </c>
      <c r="P1302" s="12" t="n">
        <v>11640</v>
      </c>
      <c r="Q1302" s="12" t="n">
        <v>0</v>
      </c>
      <c r="R1302" s="13">
        <f>IF(ISNUMBER(M1302),ROUND(M1302/(1-Settings!$B$2)/Settings!$B$3,0)*Settings!$B$3,"")</f>
        <v/>
      </c>
      <c r="S1302" s="13">
        <f>IF(ISNUMBER(N1302),ROUND(N1302/(1-Settings!$B$2)/Settings!$B$3,0)*Settings!$B$3,"")</f>
        <v/>
      </c>
      <c r="T1302" s="13">
        <f>IF(ISNUMBER(O1302),ROUND(O1302/(1-Settings!$B$2)/Settings!$B$3,0)*Settings!$B$3,"")</f>
        <v/>
      </c>
      <c r="U1302" s="13">
        <f>IF(ISNUMBER(P1302),ROUND(P1302/(1-Settings!$B$2)/Settings!$B$3,0)*Settings!$B$3,"")</f>
        <v/>
      </c>
      <c r="V1302" s="13">
        <f>IF(ISNUMBER(Q1302),ROUND(Q1302/(1-Settings!$B$2)/Settings!$B$3,0)*Settings!$B$3,"")</f>
        <v/>
      </c>
      <c r="W1302" s="14" t="n">
        <v>6500</v>
      </c>
      <c r="X1302" s="14" t="n"/>
      <c r="Y1302" s="11" t="inlineStr"/>
      <c r="Z1302" s="11" t="inlineStr"/>
      <c r="AA1302" s="8" t="inlineStr"/>
      <c r="AB1302" s="8" t="inlineStr"/>
      <c r="AC1302" s="11" t="inlineStr">
        <is>
          <t>MasterMilitaryOnBaseList 12.2.25 NS.xlsx</t>
        </is>
      </c>
      <c r="AD1302" s="11" t="inlineStr">
        <is>
          <t>FY26-27 ADVERTISING ASSETS_NRSE.xlsx</t>
        </is>
      </c>
      <c r="AE1302" s="15" t="inlineStr">
        <is>
          <t>Open in Box</t>
        </is>
      </c>
      <c r="AF1302" s="15" t="inlineStr">
        <is>
          <t>Open in Box</t>
        </is>
      </c>
    </row>
    <row r="1303">
      <c r="A1303" s="11" t="inlineStr">
        <is>
          <t>TN-NSAMIDSO-006</t>
        </is>
      </c>
      <c r="B1303" s="8" t="inlineStr">
        <is>
          <t>NSA Mid South</t>
        </is>
      </c>
      <c r="C1303" s="11" t="inlineStr">
        <is>
          <t>NAS Mid-South (Millington)</t>
        </is>
      </c>
      <c r="D1303" s="11" t="inlineStr">
        <is>
          <t>TN</t>
        </is>
      </c>
      <c r="E1303" s="11" t="inlineStr">
        <is>
          <t>Nashville</t>
        </is>
      </c>
      <c r="F1303" s="11" t="inlineStr"/>
      <c r="G1303" s="11" t="inlineStr">
        <is>
          <t>Navy</t>
        </is>
      </c>
      <c r="H1303" s="11" t="inlineStr">
        <is>
          <t>Large Format</t>
        </is>
      </c>
      <c r="I1303" s="8" t="inlineStr">
        <is>
          <t>Counter Wrap</t>
        </is>
      </c>
      <c r="J1303" s="11" t="inlineStr">
        <is>
          <t>Varies</t>
        </is>
      </c>
      <c r="K1303" s="8" t="inlineStr">
        <is>
          <t>Your ad will appear at an approved installation facility.</t>
        </is>
      </c>
      <c r="L1303" s="11" t="n">
        <v>1</v>
      </c>
      <c r="M1303" s="12" t="n">
        <v>450</v>
      </c>
      <c r="N1303" s="12" t="n">
        <v>1350</v>
      </c>
      <c r="O1303" s="12" t="n">
        <v>2700</v>
      </c>
      <c r="P1303" s="12" t="n">
        <v>5400</v>
      </c>
      <c r="Q1303" s="12" t="n"/>
      <c r="R1303" s="13">
        <f>IF(ISNUMBER(M1303),ROUND(M1303/(1-Settings!$B$2)/Settings!$B$3,0)*Settings!$B$3,"")</f>
        <v/>
      </c>
      <c r="S1303" s="13">
        <f>IF(ISNUMBER(N1303),ROUND(N1303/(1-Settings!$B$2)/Settings!$B$3,0)*Settings!$B$3,"")</f>
        <v/>
      </c>
      <c r="T1303" s="13">
        <f>IF(ISNUMBER(O1303),ROUND(O1303/(1-Settings!$B$2)/Settings!$B$3,0)*Settings!$B$3,"")</f>
        <v/>
      </c>
      <c r="U1303" s="13">
        <f>IF(ISNUMBER(P1303),ROUND(P1303/(1-Settings!$B$2)/Settings!$B$3,0)*Settings!$B$3,"")</f>
        <v/>
      </c>
      <c r="V1303" s="13">
        <f>IF(ISNUMBER(Q1303),ROUND(Q1303/(1-Settings!$B$2)/Settings!$B$3,0)*Settings!$B$3,"")</f>
        <v/>
      </c>
      <c r="W1303" s="14" t="n">
        <v>6500</v>
      </c>
      <c r="X1303" s="14" t="n"/>
      <c r="Y1303" s="11" t="inlineStr"/>
      <c r="Z1303" s="11" t="inlineStr"/>
      <c r="AA1303" s="8" t="inlineStr"/>
      <c r="AB1303" s="8" t="inlineStr"/>
      <c r="AC1303" s="11" t="inlineStr">
        <is>
          <t>MasterMilitaryOnBaseList 12.2.25 NS.xlsx</t>
        </is>
      </c>
      <c r="AD1303" s="11" t="inlineStr">
        <is>
          <t>FY26-27 ADVERTISING ASSETS_NRSE.xlsx</t>
        </is>
      </c>
      <c r="AE1303" s="15" t="inlineStr">
        <is>
          <t>Open in Box</t>
        </is>
      </c>
      <c r="AF1303" s="15" t="inlineStr">
        <is>
          <t>Open in Box</t>
        </is>
      </c>
    </row>
    <row r="1304">
      <c r="A1304" s="11" t="inlineStr">
        <is>
          <t>TN-NSAMIDSO-007</t>
        </is>
      </c>
      <c r="B1304" s="8" t="inlineStr">
        <is>
          <t>NSA Mid South</t>
        </is>
      </c>
      <c r="C1304" s="11" t="inlineStr">
        <is>
          <t>NAS Mid-South (Millington)</t>
        </is>
      </c>
      <c r="D1304" s="11" t="inlineStr">
        <is>
          <t>TN</t>
        </is>
      </c>
      <c r="E1304" s="11" t="inlineStr">
        <is>
          <t>Nashville</t>
        </is>
      </c>
      <c r="F1304" s="11" t="inlineStr"/>
      <c r="G1304" s="11" t="inlineStr">
        <is>
          <t>Navy</t>
        </is>
      </c>
      <c r="H1304" s="11" t="inlineStr">
        <is>
          <t>Large Format</t>
        </is>
      </c>
      <c r="I1304" s="8" t="inlineStr">
        <is>
          <t>Large Banner</t>
        </is>
      </c>
      <c r="J1304" s="11" t="inlineStr">
        <is>
          <t>12'W x 5'H</t>
        </is>
      </c>
      <c r="K1304" s="8" t="inlineStr">
        <is>
          <t>Your ad will appear at an approved installation facility.</t>
        </is>
      </c>
      <c r="L1304" s="11" t="n">
        <v>1</v>
      </c>
      <c r="M1304" s="12" t="n">
        <v>700</v>
      </c>
      <c r="N1304" s="12" t="n">
        <v>2100</v>
      </c>
      <c r="O1304" s="12" t="n">
        <v>4200</v>
      </c>
      <c r="P1304" s="12" t="n">
        <v>8400</v>
      </c>
      <c r="Q1304" s="12" t="n">
        <v>700</v>
      </c>
      <c r="R1304" s="13">
        <f>IF(ISNUMBER(M1304),ROUND(M1304/(1-Settings!$B$2)/Settings!$B$3,0)*Settings!$B$3,"")</f>
        <v/>
      </c>
      <c r="S1304" s="13">
        <f>IF(ISNUMBER(N1304),ROUND(N1304/(1-Settings!$B$2)/Settings!$B$3,0)*Settings!$B$3,"")</f>
        <v/>
      </c>
      <c r="T1304" s="13">
        <f>IF(ISNUMBER(O1304),ROUND(O1304/(1-Settings!$B$2)/Settings!$B$3,0)*Settings!$B$3,"")</f>
        <v/>
      </c>
      <c r="U1304" s="13">
        <f>IF(ISNUMBER(P1304),ROUND(P1304/(1-Settings!$B$2)/Settings!$B$3,0)*Settings!$B$3,"")</f>
        <v/>
      </c>
      <c r="V1304" s="13">
        <f>IF(ISNUMBER(Q1304),ROUND(Q1304/(1-Settings!$B$2)/Settings!$B$3,0)*Settings!$B$3,"")</f>
        <v/>
      </c>
      <c r="W1304" s="14" t="n">
        <v>6500</v>
      </c>
      <c r="X1304" s="14" t="n"/>
      <c r="Y1304" s="11" t="inlineStr"/>
      <c r="Z1304" s="11" t="inlineStr"/>
      <c r="AA1304" s="8" t="inlineStr"/>
      <c r="AB1304" s="8" t="inlineStr"/>
      <c r="AC1304" s="11" t="inlineStr">
        <is>
          <t>MasterMilitaryOnBaseList 12.2.25 NS.xlsx</t>
        </is>
      </c>
      <c r="AD1304" s="11" t="inlineStr">
        <is>
          <t>FY26-27 ADVERTISING ASSETS_NRSE.xlsx</t>
        </is>
      </c>
      <c r="AE1304" s="15" t="inlineStr">
        <is>
          <t>Open in Box</t>
        </is>
      </c>
      <c r="AF1304" s="15" t="inlineStr">
        <is>
          <t>Open in Box</t>
        </is>
      </c>
    </row>
    <row r="1305">
      <c r="A1305" s="11" t="inlineStr">
        <is>
          <t>TN-NSAMIDSO-008</t>
        </is>
      </c>
      <c r="B1305" s="8" t="inlineStr">
        <is>
          <t>NSA Mid South</t>
        </is>
      </c>
      <c r="C1305" s="11" t="inlineStr">
        <is>
          <t>NAS Mid-South (Millington)</t>
        </is>
      </c>
      <c r="D1305" s="11" t="inlineStr">
        <is>
          <t>TN</t>
        </is>
      </c>
      <c r="E1305" s="11" t="inlineStr">
        <is>
          <t>Nashville</t>
        </is>
      </c>
      <c r="F1305" s="11" t="inlineStr"/>
      <c r="G1305" s="11" t="inlineStr">
        <is>
          <t>Navy</t>
        </is>
      </c>
      <c r="H1305" s="11" t="inlineStr">
        <is>
          <t>Large Format</t>
        </is>
      </c>
      <c r="I1305" s="8" t="inlineStr">
        <is>
          <t>Large Poster</t>
        </is>
      </c>
      <c r="J1305" s="11" t="inlineStr">
        <is>
          <t>22"W x 56"H</t>
        </is>
      </c>
      <c r="K1305" s="8" t="inlineStr">
        <is>
          <t>Your ad will appear at an approved installation facility.</t>
        </is>
      </c>
      <c r="L1305" s="11" t="n">
        <v>1</v>
      </c>
      <c r="M1305" s="12" t="n">
        <v>350</v>
      </c>
      <c r="N1305" s="12" t="n">
        <v>1050</v>
      </c>
      <c r="O1305" s="12" t="n">
        <v>2100</v>
      </c>
      <c r="P1305" s="12" t="n">
        <v>4200</v>
      </c>
      <c r="Q1305" s="12" t="n">
        <v>200</v>
      </c>
      <c r="R1305" s="13">
        <f>IF(ISNUMBER(M1305),ROUND(M1305/(1-Settings!$B$2)/Settings!$B$3,0)*Settings!$B$3,"")</f>
        <v/>
      </c>
      <c r="S1305" s="13">
        <f>IF(ISNUMBER(N1305),ROUND(N1305/(1-Settings!$B$2)/Settings!$B$3,0)*Settings!$B$3,"")</f>
        <v/>
      </c>
      <c r="T1305" s="13">
        <f>IF(ISNUMBER(O1305),ROUND(O1305/(1-Settings!$B$2)/Settings!$B$3,0)*Settings!$B$3,"")</f>
        <v/>
      </c>
      <c r="U1305" s="13">
        <f>IF(ISNUMBER(P1305),ROUND(P1305/(1-Settings!$B$2)/Settings!$B$3,0)*Settings!$B$3,"")</f>
        <v/>
      </c>
      <c r="V1305" s="13">
        <f>IF(ISNUMBER(Q1305),ROUND(Q1305/(1-Settings!$B$2)/Settings!$B$3,0)*Settings!$B$3,"")</f>
        <v/>
      </c>
      <c r="W1305" s="14" t="n">
        <v>6500</v>
      </c>
      <c r="X1305" s="14" t="n"/>
      <c r="Y1305" s="11" t="inlineStr"/>
      <c r="Z1305" s="11" t="inlineStr"/>
      <c r="AA1305" s="8" t="inlineStr"/>
      <c r="AB1305" s="8" t="inlineStr"/>
      <c r="AC1305" s="11" t="inlineStr">
        <is>
          <t>MasterMilitaryOnBaseList 12.2.25 NS.xlsx</t>
        </is>
      </c>
      <c r="AD1305" s="11" t="inlineStr">
        <is>
          <t>FY26-27 ADVERTISING ASSETS_NRSE.xlsx</t>
        </is>
      </c>
      <c r="AE1305" s="15" t="inlineStr">
        <is>
          <t>Open in Box</t>
        </is>
      </c>
      <c r="AF1305" s="15" t="inlineStr">
        <is>
          <t>Open in Box</t>
        </is>
      </c>
    </row>
    <row r="1306">
      <c r="A1306" s="11" t="inlineStr">
        <is>
          <t>TN-NSAMIDSO-009</t>
        </is>
      </c>
      <c r="B1306" s="8" t="inlineStr">
        <is>
          <t>NSA Mid South</t>
        </is>
      </c>
      <c r="C1306" s="11" t="inlineStr">
        <is>
          <t>NAS Mid-South (Millington)</t>
        </is>
      </c>
      <c r="D1306" s="11" t="inlineStr">
        <is>
          <t>TN</t>
        </is>
      </c>
      <c r="E1306" s="11" t="inlineStr">
        <is>
          <t>Nashville</t>
        </is>
      </c>
      <c r="F1306" s="11" t="inlineStr"/>
      <c r="G1306" s="11" t="inlineStr">
        <is>
          <t>Navy</t>
        </is>
      </c>
      <c r="H1306" s="11" t="inlineStr">
        <is>
          <t>Large Format</t>
        </is>
      </c>
      <c r="I1306" s="8" t="inlineStr">
        <is>
          <t>Wall / Window Cling</t>
        </is>
      </c>
      <c r="J1306" s="11" t="inlineStr">
        <is>
          <t>Varies</t>
        </is>
      </c>
      <c r="K1306" s="8" t="inlineStr">
        <is>
          <t>Your ad will appear at an approved installation facility.</t>
        </is>
      </c>
      <c r="L1306" s="11" t="n">
        <v>1</v>
      </c>
      <c r="M1306" s="12" t="n">
        <v>350</v>
      </c>
      <c r="N1306" s="12" t="n">
        <v>1050</v>
      </c>
      <c r="O1306" s="12" t="n">
        <v>2100</v>
      </c>
      <c r="P1306" s="12" t="n">
        <v>4200</v>
      </c>
      <c r="Q1306" s="12" t="n"/>
      <c r="R1306" s="13">
        <f>IF(ISNUMBER(M1306),ROUND(M1306/(1-Settings!$B$2)/Settings!$B$3,0)*Settings!$B$3,"")</f>
        <v/>
      </c>
      <c r="S1306" s="13">
        <f>IF(ISNUMBER(N1306),ROUND(N1306/(1-Settings!$B$2)/Settings!$B$3,0)*Settings!$B$3,"")</f>
        <v/>
      </c>
      <c r="T1306" s="13">
        <f>IF(ISNUMBER(O1306),ROUND(O1306/(1-Settings!$B$2)/Settings!$B$3,0)*Settings!$B$3,"")</f>
        <v/>
      </c>
      <c r="U1306" s="13">
        <f>IF(ISNUMBER(P1306),ROUND(P1306/(1-Settings!$B$2)/Settings!$B$3,0)*Settings!$B$3,"")</f>
        <v/>
      </c>
      <c r="V1306" s="13">
        <f>IF(ISNUMBER(Q1306),ROUND(Q1306/(1-Settings!$B$2)/Settings!$B$3,0)*Settings!$B$3,"")</f>
        <v/>
      </c>
      <c r="W1306" s="14" t="n">
        <v>6500</v>
      </c>
      <c r="X1306" s="14" t="n"/>
      <c r="Y1306" s="11" t="inlineStr"/>
      <c r="Z1306" s="11" t="inlineStr"/>
      <c r="AA1306" s="8" t="inlineStr"/>
      <c r="AB1306" s="8" t="inlineStr"/>
      <c r="AC1306" s="11" t="inlineStr">
        <is>
          <t>MasterMilitaryOnBaseList 12.2.25 NS.xlsx</t>
        </is>
      </c>
      <c r="AD1306" s="11" t="inlineStr">
        <is>
          <t>FY26-27 ADVERTISING ASSETS_NRSE.xlsx</t>
        </is>
      </c>
      <c r="AE1306" s="15" t="inlineStr">
        <is>
          <t>Open in Box</t>
        </is>
      </c>
      <c r="AF1306" s="15" t="inlineStr">
        <is>
          <t>Open in Box</t>
        </is>
      </c>
    </row>
    <row r="1307">
      <c r="A1307" s="11" t="inlineStr">
        <is>
          <t>TN-NSAMIDSO-010</t>
        </is>
      </c>
      <c r="B1307" s="8" t="inlineStr">
        <is>
          <t>NSA Mid South</t>
        </is>
      </c>
      <c r="C1307" s="11" t="inlineStr">
        <is>
          <t>NAS Mid-South (Millington)</t>
        </is>
      </c>
      <c r="D1307" s="11" t="inlineStr">
        <is>
          <t>TN</t>
        </is>
      </c>
      <c r="E1307" s="11" t="inlineStr">
        <is>
          <t>Nashville</t>
        </is>
      </c>
      <c r="F1307" s="11" t="inlineStr"/>
      <c r="G1307" s="11" t="inlineStr">
        <is>
          <t>Navy</t>
        </is>
      </c>
      <c r="H1307" s="11" t="inlineStr">
        <is>
          <t>Print &amp; Publications</t>
        </is>
      </c>
      <c r="I1307" s="8" t="inlineStr">
        <is>
          <t>Brochures / Flyers</t>
        </is>
      </c>
      <c r="J1307" s="11" t="inlineStr">
        <is>
          <t>8.5"W x 11"H</t>
        </is>
      </c>
      <c r="K1307" s="8" t="inlineStr">
        <is>
          <t>Your ad will appear at an approved installation facility.</t>
        </is>
      </c>
      <c r="L1307" s="11" t="n">
        <v>1</v>
      </c>
      <c r="M1307" s="12" t="n">
        <v>113</v>
      </c>
      <c r="N1307" s="12" t="n">
        <v>339</v>
      </c>
      <c r="O1307" s="12" t="n">
        <v>678</v>
      </c>
      <c r="P1307" s="12" t="n">
        <v>1356</v>
      </c>
      <c r="Q1307" s="12" t="n"/>
      <c r="R1307" s="13">
        <f>IF(ISNUMBER(M1307),ROUND(M1307/(1-Settings!$B$2)/Settings!$B$3,0)*Settings!$B$3,"")</f>
        <v/>
      </c>
      <c r="S1307" s="13">
        <f>IF(ISNUMBER(N1307),ROUND(N1307/(1-Settings!$B$2)/Settings!$B$3,0)*Settings!$B$3,"")</f>
        <v/>
      </c>
      <c r="T1307" s="13">
        <f>IF(ISNUMBER(O1307),ROUND(O1307/(1-Settings!$B$2)/Settings!$B$3,0)*Settings!$B$3,"")</f>
        <v/>
      </c>
      <c r="U1307" s="13">
        <f>IF(ISNUMBER(P1307),ROUND(P1307/(1-Settings!$B$2)/Settings!$B$3,0)*Settings!$B$3,"")</f>
        <v/>
      </c>
      <c r="V1307" s="13">
        <f>IF(ISNUMBER(Q1307),ROUND(Q1307/(1-Settings!$B$2)/Settings!$B$3,0)*Settings!$B$3,"")</f>
        <v/>
      </c>
      <c r="W1307" s="14" t="n">
        <v>6500</v>
      </c>
      <c r="X1307" s="14" t="n"/>
      <c r="Y1307" s="11" t="inlineStr"/>
      <c r="Z1307" s="11" t="inlineStr"/>
      <c r="AA1307" s="8" t="inlineStr"/>
      <c r="AB1307" s="8" t="inlineStr"/>
      <c r="AC1307" s="11" t="inlineStr">
        <is>
          <t>MasterMilitaryOnBaseList 12.2.25 NS.xlsx</t>
        </is>
      </c>
      <c r="AD1307" s="11" t="inlineStr">
        <is>
          <t>FY26-27 ADVERTISING ASSETS_NRSE.xlsx</t>
        </is>
      </c>
      <c r="AE1307" s="15" t="inlineStr">
        <is>
          <t>Open in Box</t>
        </is>
      </c>
      <c r="AF1307" s="15" t="inlineStr">
        <is>
          <t>Open in Box</t>
        </is>
      </c>
    </row>
    <row r="1308">
      <c r="A1308" s="11" t="inlineStr">
        <is>
          <t>TN-NSAMIDSO-013</t>
        </is>
      </c>
      <c r="B1308" s="8" t="inlineStr">
        <is>
          <t>NSA Mid South</t>
        </is>
      </c>
      <c r="C1308" s="11" t="inlineStr"/>
      <c r="D1308" s="11" t="inlineStr">
        <is>
          <t>TN</t>
        </is>
      </c>
      <c r="E1308" s="11" t="inlineStr">
        <is>
          <t>Nashville</t>
        </is>
      </c>
      <c r="F1308" s="11" t="inlineStr"/>
      <c r="G1308" s="11" t="inlineStr">
        <is>
          <t>Navy</t>
        </is>
      </c>
      <c r="H1308" s="11" t="inlineStr">
        <is>
          <t>Print &amp; Publications</t>
        </is>
      </c>
      <c r="I1308" s="8" t="inlineStr">
        <is>
          <t>Calendar Ad</t>
        </is>
      </c>
      <c r="J1308" s="11" t="inlineStr"/>
      <c r="K1308" s="8" t="inlineStr">
        <is>
          <t>Your ad will appear in the installation events calendar.</t>
        </is>
      </c>
      <c r="L1308" s="11" t="n">
        <v>1</v>
      </c>
      <c r="M1308" s="12" t="n">
        <v>50</v>
      </c>
      <c r="N1308" s="12" t="n"/>
      <c r="O1308" s="12" t="n"/>
      <c r="P1308" s="12" t="n"/>
      <c r="Q1308" s="12" t="n"/>
      <c r="R1308" s="13">
        <f>IF(ISNUMBER(M1308),ROUND(M1308/(1-Settings!$B$2)/Settings!$B$3,0)*Settings!$B$3,"")</f>
        <v/>
      </c>
      <c r="S1308" s="13">
        <f>IF(ISNUMBER(N1308),ROUND(N1308/(1-Settings!$B$2)/Settings!$B$3,0)*Settings!$B$3,"")</f>
        <v/>
      </c>
      <c r="T1308" s="13">
        <f>IF(ISNUMBER(O1308),ROUND(O1308/(1-Settings!$B$2)/Settings!$B$3,0)*Settings!$B$3,"")</f>
        <v/>
      </c>
      <c r="U1308" s="13">
        <f>IF(ISNUMBER(P1308),ROUND(P1308/(1-Settings!$B$2)/Settings!$B$3,0)*Settings!$B$3,"")</f>
        <v/>
      </c>
      <c r="V1308" s="13">
        <f>IF(ISNUMBER(Q1308),ROUND(Q1308/(1-Settings!$B$2)/Settings!$B$3,0)*Settings!$B$3,"")</f>
        <v/>
      </c>
      <c r="W1308" s="14" t="n">
        <v>6500</v>
      </c>
      <c r="X1308" s="14" t="n"/>
      <c r="Y1308" s="11" t="inlineStr">
        <is>
          <t>2026</t>
        </is>
      </c>
      <c r="Z1308" s="11" t="inlineStr">
        <is>
          <t>2026-06</t>
        </is>
      </c>
      <c r="AA1308" s="8" t="inlineStr"/>
      <c r="AB1308" s="8" t="inlineStr"/>
      <c r="AC1308" s="11" t="inlineStr">
        <is>
          <t>Military - National Publication Inventory Master_June 2026.xlsx</t>
        </is>
      </c>
      <c r="AD1308" s="11" t="inlineStr">
        <is>
          <t>FY26-27 ADVERTISING ASSETS_NRSE.xlsx</t>
        </is>
      </c>
      <c r="AE1308" s="15" t="inlineStr">
        <is>
          <t>Open in Box</t>
        </is>
      </c>
      <c r="AF1308" s="15" t="inlineStr">
        <is>
          <t>Open in Box</t>
        </is>
      </c>
    </row>
    <row r="1309">
      <c r="A1309" s="11" t="inlineStr">
        <is>
          <t>TN-NSAMIDSO-011</t>
        </is>
      </c>
      <c r="B1309" s="8" t="inlineStr">
        <is>
          <t>NSA Mid South</t>
        </is>
      </c>
      <c r="C1309" s="11" t="inlineStr">
        <is>
          <t>NAS Mid-South (Millington)</t>
        </is>
      </c>
      <c r="D1309" s="11" t="inlineStr">
        <is>
          <t>TN</t>
        </is>
      </c>
      <c r="E1309" s="11" t="inlineStr">
        <is>
          <t>Nashville</t>
        </is>
      </c>
      <c r="F1309" s="11" t="inlineStr"/>
      <c r="G1309" s="11" t="inlineStr">
        <is>
          <t>Navy</t>
        </is>
      </c>
      <c r="H1309" s="11" t="inlineStr">
        <is>
          <t>Print &amp; Publications</t>
        </is>
      </c>
      <c r="I1309" s="8" t="inlineStr">
        <is>
          <t>Newsletter</t>
        </is>
      </c>
      <c r="J1309" s="11" t="inlineStr">
        <is>
          <t>5.5"W x 4.25"H</t>
        </is>
      </c>
      <c r="K1309" s="8" t="inlineStr">
        <is>
          <t>Your quarter page ad will be seen in the monthly newsletter.</t>
        </is>
      </c>
      <c r="L1309" s="11" t="n">
        <v>1</v>
      </c>
      <c r="M1309" s="12" t="n">
        <v>250</v>
      </c>
      <c r="N1309" s="12" t="n">
        <v>750</v>
      </c>
      <c r="O1309" s="12" t="n">
        <v>1500</v>
      </c>
      <c r="P1309" s="12" t="n">
        <v>3000</v>
      </c>
      <c r="Q1309" s="12" t="n">
        <v>0</v>
      </c>
      <c r="R1309" s="13">
        <f>IF(ISNUMBER(M1309),ROUND(M1309/(1-Settings!$B$2)/Settings!$B$3,0)*Settings!$B$3,"")</f>
        <v/>
      </c>
      <c r="S1309" s="13">
        <f>IF(ISNUMBER(N1309),ROUND(N1309/(1-Settings!$B$2)/Settings!$B$3,0)*Settings!$B$3,"")</f>
        <v/>
      </c>
      <c r="T1309" s="13">
        <f>IF(ISNUMBER(O1309),ROUND(O1309/(1-Settings!$B$2)/Settings!$B$3,0)*Settings!$B$3,"")</f>
        <v/>
      </c>
      <c r="U1309" s="13">
        <f>IF(ISNUMBER(P1309),ROUND(P1309/(1-Settings!$B$2)/Settings!$B$3,0)*Settings!$B$3,"")</f>
        <v/>
      </c>
      <c r="V1309" s="13">
        <f>IF(ISNUMBER(Q1309),ROUND(Q1309/(1-Settings!$B$2)/Settings!$B$3,0)*Settings!$B$3,"")</f>
        <v/>
      </c>
      <c r="W1309" s="14" t="n">
        <v>6500</v>
      </c>
      <c r="X1309" s="14" t="n"/>
      <c r="Y1309" s="11" t="inlineStr"/>
      <c r="Z1309" s="11" t="inlineStr"/>
      <c r="AA1309" s="8" t="inlineStr">
        <is>
          <t>Inventory master 6/2026 lists Monthly E-Newsletter Ad at $200 (1 mo)</t>
        </is>
      </c>
      <c r="AB1309" s="8" t="inlineStr"/>
      <c r="AC1309" s="11" t="inlineStr">
        <is>
          <t>MasterMilitaryOnBaseList 12.2.25 NS.xlsx</t>
        </is>
      </c>
      <c r="AD1309" s="11" t="inlineStr">
        <is>
          <t>FY26-27 ADVERTISING ASSETS_NRSE.xlsx</t>
        </is>
      </c>
      <c r="AE1309" s="15" t="inlineStr">
        <is>
          <t>Open in Box</t>
        </is>
      </c>
      <c r="AF1309" s="15" t="inlineStr">
        <is>
          <t>Open in Box</t>
        </is>
      </c>
    </row>
    <row r="1310">
      <c r="A1310" s="11" t="inlineStr">
        <is>
          <t>TN-NSAMIDSO-002</t>
        </is>
      </c>
      <c r="B1310" s="8" t="inlineStr">
        <is>
          <t>NSA Mid South</t>
        </is>
      </c>
      <c r="C1310" s="11" t="inlineStr">
        <is>
          <t>NAS Mid-South (Millington)</t>
        </is>
      </c>
      <c r="D1310" s="11" t="inlineStr">
        <is>
          <t>TN</t>
        </is>
      </c>
      <c r="E1310" s="11" t="inlineStr">
        <is>
          <t>Nashville</t>
        </is>
      </c>
      <c r="F1310" s="11" t="inlineStr"/>
      <c r="G1310" s="11" t="inlineStr">
        <is>
          <t>Navy</t>
        </is>
      </c>
      <c r="H1310" s="11" t="inlineStr">
        <is>
          <t>Standard Media</t>
        </is>
      </c>
      <c r="I1310" s="8" t="inlineStr">
        <is>
          <t>Banner</t>
        </is>
      </c>
      <c r="J1310" s="11" t="inlineStr">
        <is>
          <t>Varies</t>
        </is>
      </c>
      <c r="K1310" s="8" t="inlineStr">
        <is>
          <t>Your ad will appear at an approved installation facility.</t>
        </is>
      </c>
      <c r="L1310" s="11" t="n">
        <v>1</v>
      </c>
      <c r="M1310" s="12" t="n">
        <v>650</v>
      </c>
      <c r="N1310" s="12" t="n">
        <v>1950</v>
      </c>
      <c r="O1310" s="12" t="n">
        <v>3900</v>
      </c>
      <c r="P1310" s="12" t="n">
        <v>7800</v>
      </c>
      <c r="Q1310" s="12" t="n"/>
      <c r="R1310" s="13">
        <f>IF(ISNUMBER(M1310),ROUND(M1310/(1-Settings!$B$2)/Settings!$B$3,0)*Settings!$B$3,"")</f>
        <v/>
      </c>
      <c r="S1310" s="13">
        <f>IF(ISNUMBER(N1310),ROUND(N1310/(1-Settings!$B$2)/Settings!$B$3,0)*Settings!$B$3,"")</f>
        <v/>
      </c>
      <c r="T1310" s="13">
        <f>IF(ISNUMBER(O1310),ROUND(O1310/(1-Settings!$B$2)/Settings!$B$3,0)*Settings!$B$3,"")</f>
        <v/>
      </c>
      <c r="U1310" s="13">
        <f>IF(ISNUMBER(P1310),ROUND(P1310/(1-Settings!$B$2)/Settings!$B$3,0)*Settings!$B$3,"")</f>
        <v/>
      </c>
      <c r="V1310" s="13">
        <f>IF(ISNUMBER(Q1310),ROUND(Q1310/(1-Settings!$B$2)/Settings!$B$3,0)*Settings!$B$3,"")</f>
        <v/>
      </c>
      <c r="W1310" s="14" t="n">
        <v>6500</v>
      </c>
      <c r="X1310" s="14" t="n"/>
      <c r="Y1310" s="11" t="inlineStr"/>
      <c r="Z1310" s="11" t="inlineStr"/>
      <c r="AA1310" s="8" t="inlineStr"/>
      <c r="AB1310" s="8" t="inlineStr"/>
      <c r="AC1310" s="11" t="inlineStr">
        <is>
          <t>MasterMilitaryOnBaseList 12.2.25 NS.xlsx</t>
        </is>
      </c>
      <c r="AD1310" s="11" t="inlineStr">
        <is>
          <t>FY26-27 ADVERTISING ASSETS_NRSE.xlsx</t>
        </is>
      </c>
      <c r="AE1310" s="15" t="inlineStr">
        <is>
          <t>Open in Box</t>
        </is>
      </c>
      <c r="AF1310" s="15" t="inlineStr">
        <is>
          <t>Open in Box</t>
        </is>
      </c>
    </row>
    <row r="1311">
      <c r="A1311" s="11" t="inlineStr">
        <is>
          <t>TN-NSAMIDSO-003</t>
        </is>
      </c>
      <c r="B1311" s="8" t="inlineStr">
        <is>
          <t>NSA Mid South</t>
        </is>
      </c>
      <c r="C1311" s="11" t="inlineStr">
        <is>
          <t>NAS Mid-South (Millington)</t>
        </is>
      </c>
      <c r="D1311" s="11" t="inlineStr">
        <is>
          <t>TN</t>
        </is>
      </c>
      <c r="E1311" s="11" t="inlineStr">
        <is>
          <t>Nashville</t>
        </is>
      </c>
      <c r="F1311" s="11" t="inlineStr"/>
      <c r="G1311" s="11" t="inlineStr">
        <is>
          <t>Navy</t>
        </is>
      </c>
      <c r="H1311" s="11" t="inlineStr">
        <is>
          <t>Standard Media</t>
        </is>
      </c>
      <c r="I1311" s="8" t="inlineStr">
        <is>
          <t>Golf Cart Signage</t>
        </is>
      </c>
      <c r="J1311" s="11" t="inlineStr">
        <is>
          <t>5"W x 8"H</t>
        </is>
      </c>
      <c r="K1311" s="8" t="inlineStr">
        <is>
          <t>Your ad will appear on approved golf carts.</t>
        </is>
      </c>
      <c r="L1311" s="11" t="n">
        <v>1</v>
      </c>
      <c r="M1311" s="12" t="n">
        <v>250</v>
      </c>
      <c r="N1311" s="12" t="n">
        <v>750</v>
      </c>
      <c r="O1311" s="12" t="n">
        <v>1500</v>
      </c>
      <c r="P1311" s="12" t="n">
        <v>3000</v>
      </c>
      <c r="Q1311" s="12" t="n"/>
      <c r="R1311" s="13">
        <f>IF(ISNUMBER(M1311),ROUND(M1311/(1-Settings!$B$2)/Settings!$B$3,0)*Settings!$B$3,"")</f>
        <v/>
      </c>
      <c r="S1311" s="13">
        <f>IF(ISNUMBER(N1311),ROUND(N1311/(1-Settings!$B$2)/Settings!$B$3,0)*Settings!$B$3,"")</f>
        <v/>
      </c>
      <c r="T1311" s="13">
        <f>IF(ISNUMBER(O1311),ROUND(O1311/(1-Settings!$B$2)/Settings!$B$3,0)*Settings!$B$3,"")</f>
        <v/>
      </c>
      <c r="U1311" s="13">
        <f>IF(ISNUMBER(P1311),ROUND(P1311/(1-Settings!$B$2)/Settings!$B$3,0)*Settings!$B$3,"")</f>
        <v/>
      </c>
      <c r="V1311" s="13">
        <f>IF(ISNUMBER(Q1311),ROUND(Q1311/(1-Settings!$B$2)/Settings!$B$3,0)*Settings!$B$3,"")</f>
        <v/>
      </c>
      <c r="W1311" s="14" t="n">
        <v>6500</v>
      </c>
      <c r="X1311" s="14" t="n"/>
      <c r="Y1311" s="11" t="inlineStr"/>
      <c r="Z1311" s="11" t="inlineStr"/>
      <c r="AA1311" s="8" t="inlineStr"/>
      <c r="AB1311" s="8" t="inlineStr"/>
      <c r="AC1311" s="11" t="inlineStr">
        <is>
          <t>MasterMilitaryOnBaseList 12.2.25 NS.xlsx</t>
        </is>
      </c>
      <c r="AD1311" s="11" t="inlineStr">
        <is>
          <t>FY26-27 ADVERTISING ASSETS_NRSE.xlsx</t>
        </is>
      </c>
      <c r="AE1311" s="15" t="inlineStr">
        <is>
          <t>Open in Box</t>
        </is>
      </c>
      <c r="AF1311" s="15" t="inlineStr">
        <is>
          <t>Open in Box</t>
        </is>
      </c>
    </row>
    <row r="1312">
      <c r="A1312" s="11" t="inlineStr">
        <is>
          <t>TN-NSAMIDSO-004</t>
        </is>
      </c>
      <c r="B1312" s="8" t="inlineStr">
        <is>
          <t>NSA Mid South</t>
        </is>
      </c>
      <c r="C1312" s="11" t="inlineStr">
        <is>
          <t>NAS Mid-South (Millington)</t>
        </is>
      </c>
      <c r="D1312" s="11" t="inlineStr">
        <is>
          <t>TN</t>
        </is>
      </c>
      <c r="E1312" s="11" t="inlineStr">
        <is>
          <t>Nashville</t>
        </is>
      </c>
      <c r="F1312" s="11" t="inlineStr"/>
      <c r="G1312" s="11" t="inlineStr">
        <is>
          <t>Navy</t>
        </is>
      </c>
      <c r="H1312" s="11" t="inlineStr">
        <is>
          <t>Standard Media</t>
        </is>
      </c>
      <c r="I1312" s="8" t="inlineStr">
        <is>
          <t>Poster</t>
        </is>
      </c>
      <c r="J1312" s="11" t="inlineStr">
        <is>
          <t>24"W x 36"H</t>
        </is>
      </c>
      <c r="K1312" s="8" t="inlineStr">
        <is>
          <t>Your ad will appear at an approved installation facility.</t>
        </is>
      </c>
      <c r="L1312" s="11" t="n">
        <v>1</v>
      </c>
      <c r="M1312" s="12" t="n">
        <v>250</v>
      </c>
      <c r="N1312" s="12" t="n">
        <v>750</v>
      </c>
      <c r="O1312" s="12" t="n">
        <v>1500</v>
      </c>
      <c r="P1312" s="12" t="n">
        <v>3000</v>
      </c>
      <c r="Q1312" s="12" t="n">
        <v>150</v>
      </c>
      <c r="R1312" s="13">
        <f>IF(ISNUMBER(M1312),ROUND(M1312/(1-Settings!$B$2)/Settings!$B$3,0)*Settings!$B$3,"")</f>
        <v/>
      </c>
      <c r="S1312" s="13">
        <f>IF(ISNUMBER(N1312),ROUND(N1312/(1-Settings!$B$2)/Settings!$B$3,0)*Settings!$B$3,"")</f>
        <v/>
      </c>
      <c r="T1312" s="13">
        <f>IF(ISNUMBER(O1312),ROUND(O1312/(1-Settings!$B$2)/Settings!$B$3,0)*Settings!$B$3,"")</f>
        <v/>
      </c>
      <c r="U1312" s="13">
        <f>IF(ISNUMBER(P1312),ROUND(P1312/(1-Settings!$B$2)/Settings!$B$3,0)*Settings!$B$3,"")</f>
        <v/>
      </c>
      <c r="V1312" s="13">
        <f>IF(ISNUMBER(Q1312),ROUND(Q1312/(1-Settings!$B$2)/Settings!$B$3,0)*Settings!$B$3,"")</f>
        <v/>
      </c>
      <c r="W1312" s="14" t="n">
        <v>6500</v>
      </c>
      <c r="X1312" s="14" t="n"/>
      <c r="Y1312" s="11" t="inlineStr"/>
      <c r="Z1312" s="11" t="inlineStr"/>
      <c r="AA1312" s="8" t="inlineStr"/>
      <c r="AB1312" s="8" t="inlineStr"/>
      <c r="AC1312" s="11" t="inlineStr">
        <is>
          <t>MasterMilitaryOnBaseList 12.2.25 NS.xlsx</t>
        </is>
      </c>
      <c r="AD1312" s="11" t="inlineStr">
        <is>
          <t>FY26-27 ADVERTISING ASSETS_NRSE.xlsx</t>
        </is>
      </c>
      <c r="AE1312" s="15" t="inlineStr">
        <is>
          <t>Open in Box</t>
        </is>
      </c>
      <c r="AF1312" s="15" t="inlineStr">
        <is>
          <t>Open in Box</t>
        </is>
      </c>
    </row>
    <row r="1313">
      <c r="A1313" s="11" t="inlineStr">
        <is>
          <t>TN-NSAMIDSO-005</t>
        </is>
      </c>
      <c r="B1313" s="8" t="inlineStr">
        <is>
          <t>NSA Mid South</t>
        </is>
      </c>
      <c r="C1313" s="11" t="inlineStr">
        <is>
          <t>NAS Mid-South (Millington)</t>
        </is>
      </c>
      <c r="D1313" s="11" t="inlineStr">
        <is>
          <t>TN</t>
        </is>
      </c>
      <c r="E1313" s="11" t="inlineStr">
        <is>
          <t>Nashville</t>
        </is>
      </c>
      <c r="F1313" s="11" t="inlineStr"/>
      <c r="G1313" s="11" t="inlineStr">
        <is>
          <t>Navy</t>
        </is>
      </c>
      <c r="H1313" s="11" t="inlineStr">
        <is>
          <t>Standard Media</t>
        </is>
      </c>
      <c r="I1313" s="8" t="inlineStr">
        <is>
          <t>Table Tents</t>
        </is>
      </c>
      <c r="J1313" s="11" t="inlineStr">
        <is>
          <t>4.5"W x 5.5"H</t>
        </is>
      </c>
      <c r="K1313" s="8" t="inlineStr">
        <is>
          <t>Your ad will appear on 35 tables at the grille.</t>
        </is>
      </c>
      <c r="L1313" s="11" t="n">
        <v>1</v>
      </c>
      <c r="M1313" s="12" t="n">
        <v>150</v>
      </c>
      <c r="N1313" s="12" t="n">
        <v>450</v>
      </c>
      <c r="O1313" s="12" t="n">
        <v>900</v>
      </c>
      <c r="P1313" s="12" t="n">
        <v>1800</v>
      </c>
      <c r="Q1313" s="12" t="n"/>
      <c r="R1313" s="13">
        <f>IF(ISNUMBER(M1313),ROUND(M1313/(1-Settings!$B$2)/Settings!$B$3,0)*Settings!$B$3,"")</f>
        <v/>
      </c>
      <c r="S1313" s="13">
        <f>IF(ISNUMBER(N1313),ROUND(N1313/(1-Settings!$B$2)/Settings!$B$3,0)*Settings!$B$3,"")</f>
        <v/>
      </c>
      <c r="T1313" s="13">
        <f>IF(ISNUMBER(O1313),ROUND(O1313/(1-Settings!$B$2)/Settings!$B$3,0)*Settings!$B$3,"")</f>
        <v/>
      </c>
      <c r="U1313" s="13">
        <f>IF(ISNUMBER(P1313),ROUND(P1313/(1-Settings!$B$2)/Settings!$B$3,0)*Settings!$B$3,"")</f>
        <v/>
      </c>
      <c r="V1313" s="13">
        <f>IF(ISNUMBER(Q1313),ROUND(Q1313/(1-Settings!$B$2)/Settings!$B$3,0)*Settings!$B$3,"")</f>
        <v/>
      </c>
      <c r="W1313" s="14" t="n">
        <v>6500</v>
      </c>
      <c r="X1313" s="14" t="n"/>
      <c r="Y1313" s="11" t="inlineStr"/>
      <c r="Z1313" s="11" t="inlineStr"/>
      <c r="AA1313" s="8" t="inlineStr"/>
      <c r="AB1313" s="8" t="inlineStr"/>
      <c r="AC1313" s="11" t="inlineStr">
        <is>
          <t>MasterMilitaryOnBaseList 12.2.25 NS.xlsx</t>
        </is>
      </c>
      <c r="AD1313" s="11" t="inlineStr">
        <is>
          <t>FY26-27 ADVERTISING ASSETS_NRSE.xlsx</t>
        </is>
      </c>
      <c r="AE1313" s="15" t="inlineStr">
        <is>
          <t>Open in Box</t>
        </is>
      </c>
      <c r="AF1313" s="15" t="inlineStr">
        <is>
          <t>Open in Box</t>
        </is>
      </c>
    </row>
    <row r="1314">
      <c r="A1314" s="11" t="inlineStr">
        <is>
          <t>TN-NSAMIDSO-012</t>
        </is>
      </c>
      <c r="B1314" s="8" t="inlineStr">
        <is>
          <t>NSA Mid South</t>
        </is>
      </c>
      <c r="C1314" s="11" t="inlineStr"/>
      <c r="D1314" s="11" t="inlineStr">
        <is>
          <t>TN</t>
        </is>
      </c>
      <c r="E1314" s="11" t="inlineStr">
        <is>
          <t>Nashville</t>
        </is>
      </c>
      <c r="F1314" s="11" t="inlineStr"/>
      <c r="G1314" s="11" t="inlineStr">
        <is>
          <t>Navy</t>
        </is>
      </c>
      <c r="H1314" s="11" t="inlineStr">
        <is>
          <t>Web &amp; Email</t>
        </is>
      </c>
      <c r="I1314" s="8" t="inlineStr">
        <is>
          <t>Web Ad</t>
        </is>
      </c>
      <c r="J1314" s="11" t="inlineStr"/>
      <c r="K1314" s="8" t="inlineStr">
        <is>
          <t>Your ad will appear on the installation MWR / FSS website.</t>
        </is>
      </c>
      <c r="L1314" s="11" t="n">
        <v>1</v>
      </c>
      <c r="M1314" s="12" t="n">
        <v>400</v>
      </c>
      <c r="N1314" s="12" t="n"/>
      <c r="O1314" s="12" t="n"/>
      <c r="P1314" s="12" t="n"/>
      <c r="Q1314" s="12" t="n"/>
      <c r="R1314" s="13">
        <f>IF(ISNUMBER(M1314),ROUND(M1314/(1-Settings!$B$2)/Settings!$B$3,0)*Settings!$B$3,"")</f>
        <v/>
      </c>
      <c r="S1314" s="13">
        <f>IF(ISNUMBER(N1314),ROUND(N1314/(1-Settings!$B$2)/Settings!$B$3,0)*Settings!$B$3,"")</f>
        <v/>
      </c>
      <c r="T1314" s="13">
        <f>IF(ISNUMBER(O1314),ROUND(O1314/(1-Settings!$B$2)/Settings!$B$3,0)*Settings!$B$3,"")</f>
        <v/>
      </c>
      <c r="U1314" s="13">
        <f>IF(ISNUMBER(P1314),ROUND(P1314/(1-Settings!$B$2)/Settings!$B$3,0)*Settings!$B$3,"")</f>
        <v/>
      </c>
      <c r="V1314" s="13">
        <f>IF(ISNUMBER(Q1314),ROUND(Q1314/(1-Settings!$B$2)/Settings!$B$3,0)*Settings!$B$3,"")</f>
        <v/>
      </c>
      <c r="W1314" s="14" t="n">
        <v>6500</v>
      </c>
      <c r="X1314" s="14" t="n"/>
      <c r="Y1314" s="11" t="inlineStr">
        <is>
          <t>2026</t>
        </is>
      </c>
      <c r="Z1314" s="11" t="inlineStr">
        <is>
          <t>2026-06</t>
        </is>
      </c>
      <c r="AA1314" s="8" t="inlineStr"/>
      <c r="AB1314" s="8" t="inlineStr"/>
      <c r="AC1314" s="11" t="inlineStr">
        <is>
          <t>Military - National Publication Inventory Master_June 2026.xlsx</t>
        </is>
      </c>
      <c r="AD1314" s="11" t="inlineStr">
        <is>
          <t>FY26-27 ADVERTISING ASSETS_NRSE.xlsx</t>
        </is>
      </c>
      <c r="AE1314" s="15" t="inlineStr">
        <is>
          <t>Open in Box</t>
        </is>
      </c>
      <c r="AF1314" s="15" t="inlineStr">
        <is>
          <t>Open in Box</t>
        </is>
      </c>
    </row>
    <row r="1315">
      <c r="A1315" s="11" t="inlineStr">
        <is>
          <t>TX-CORPUSCH-001</t>
        </is>
      </c>
      <c r="B1315" s="8" t="inlineStr">
        <is>
          <t>Corpus Christi NAS</t>
        </is>
      </c>
      <c r="C1315" s="11" t="inlineStr"/>
      <c r="D1315" s="11" t="inlineStr">
        <is>
          <t>TX</t>
        </is>
      </c>
      <c r="E1315" s="11" t="inlineStr">
        <is>
          <t>Corpus Christi</t>
        </is>
      </c>
      <c r="F1315" s="11" t="inlineStr">
        <is>
          <t>78419</t>
        </is>
      </c>
      <c r="G1315" s="11" t="inlineStr">
        <is>
          <t>Navy</t>
        </is>
      </c>
      <c r="H1315" s="11" t="inlineStr">
        <is>
          <t>Digital</t>
        </is>
      </c>
      <c r="I1315" s="8" t="inlineStr">
        <is>
          <t>Bowling Lane Displays</t>
        </is>
      </c>
      <c r="J1315" s="11" t="inlineStr">
        <is>
          <t>66"W x 36"H</t>
        </is>
      </c>
      <c r="K1315" s="8" t="inlineStr">
        <is>
          <t>Your ad will appear on 6 bowling lanes.</t>
        </is>
      </c>
      <c r="L1315" s="11" t="n">
        <v>1</v>
      </c>
      <c r="M1315" s="12" t="n">
        <v>350</v>
      </c>
      <c r="N1315" s="12" t="n">
        <v>1050</v>
      </c>
      <c r="O1315" s="12" t="n">
        <v>2100</v>
      </c>
      <c r="P1315" s="12" t="n">
        <v>4200</v>
      </c>
      <c r="Q1315" s="12" t="n"/>
      <c r="R1315" s="13">
        <f>IF(ISNUMBER(M1315),ROUND(M1315/(1-Settings!$B$2)/Settings!$B$3,0)*Settings!$B$3,"")</f>
        <v/>
      </c>
      <c r="S1315" s="13">
        <f>IF(ISNUMBER(N1315),ROUND(N1315/(1-Settings!$B$2)/Settings!$B$3,0)*Settings!$B$3,"")</f>
        <v/>
      </c>
      <c r="T1315" s="13">
        <f>IF(ISNUMBER(O1315),ROUND(O1315/(1-Settings!$B$2)/Settings!$B$3,0)*Settings!$B$3,"")</f>
        <v/>
      </c>
      <c r="U1315" s="13">
        <f>IF(ISNUMBER(P1315),ROUND(P1315/(1-Settings!$B$2)/Settings!$B$3,0)*Settings!$B$3,"")</f>
        <v/>
      </c>
      <c r="V1315" s="13">
        <f>IF(ISNUMBER(Q1315),ROUND(Q1315/(1-Settings!$B$2)/Settings!$B$3,0)*Settings!$B$3,"")</f>
        <v/>
      </c>
      <c r="W1315" s="14" t="n">
        <v>2836</v>
      </c>
      <c r="X1315" s="14" t="n">
        <v>7090</v>
      </c>
      <c r="Y1315" s="11" t="inlineStr"/>
      <c r="Z1315" s="11" t="inlineStr"/>
      <c r="AA1315" s="8" t="inlineStr"/>
      <c r="AB1315" s="8" t="inlineStr"/>
      <c r="AC1315" s="11" t="inlineStr">
        <is>
          <t>MasterMilitaryOnBaseList 12.2.25 NS.xlsx</t>
        </is>
      </c>
      <c r="AD1315" s="11" t="inlineStr">
        <is>
          <t>FY26-27 ADVERTISING ASSETS_NRSE.xlsx</t>
        </is>
      </c>
      <c r="AE1315" s="15" t="inlineStr">
        <is>
          <t>Open in Box</t>
        </is>
      </c>
      <c r="AF1315" s="15" t="inlineStr">
        <is>
          <t>Open in Box</t>
        </is>
      </c>
    </row>
    <row r="1316">
      <c r="A1316" s="11" t="inlineStr">
        <is>
          <t>TX-CORPUSCH-002</t>
        </is>
      </c>
      <c r="B1316" s="8" t="inlineStr">
        <is>
          <t>Corpus Christi NAS</t>
        </is>
      </c>
      <c r="C1316" s="11" t="inlineStr"/>
      <c r="D1316" s="11" t="inlineStr">
        <is>
          <t>TX</t>
        </is>
      </c>
      <c r="E1316" s="11" t="inlineStr">
        <is>
          <t>Corpus Christi</t>
        </is>
      </c>
      <c r="F1316" s="11" t="inlineStr">
        <is>
          <t>78419</t>
        </is>
      </c>
      <c r="G1316" s="11" t="inlineStr">
        <is>
          <t>Navy</t>
        </is>
      </c>
      <c r="H1316" s="11" t="inlineStr">
        <is>
          <t>Digital</t>
        </is>
      </c>
      <c r="I1316" s="8" t="inlineStr">
        <is>
          <t>Bowling Scoring Monitors</t>
        </is>
      </c>
      <c r="J1316" s="11" t="inlineStr">
        <is>
          <t>1920pxW x 1080pxH</t>
        </is>
      </c>
      <c r="K1316" s="8" t="inlineStr">
        <is>
          <t>Your ad will appear on 12 bowling scoring monitors.</t>
        </is>
      </c>
      <c r="L1316" s="11" t="n">
        <v>1</v>
      </c>
      <c r="M1316" s="12" t="n">
        <v>200</v>
      </c>
      <c r="N1316" s="12" t="n">
        <v>600</v>
      </c>
      <c r="O1316" s="12" t="n">
        <v>1200</v>
      </c>
      <c r="P1316" s="12" t="n">
        <v>2400</v>
      </c>
      <c r="Q1316" s="12" t="n">
        <v>0</v>
      </c>
      <c r="R1316" s="13">
        <f>IF(ISNUMBER(M1316),ROUND(M1316/(1-Settings!$B$2)/Settings!$B$3,0)*Settings!$B$3,"")</f>
        <v/>
      </c>
      <c r="S1316" s="13">
        <f>IF(ISNUMBER(N1316),ROUND(N1316/(1-Settings!$B$2)/Settings!$B$3,0)*Settings!$B$3,"")</f>
        <v/>
      </c>
      <c r="T1316" s="13">
        <f>IF(ISNUMBER(O1316),ROUND(O1316/(1-Settings!$B$2)/Settings!$B$3,0)*Settings!$B$3,"")</f>
        <v/>
      </c>
      <c r="U1316" s="13">
        <f>IF(ISNUMBER(P1316),ROUND(P1316/(1-Settings!$B$2)/Settings!$B$3,0)*Settings!$B$3,"")</f>
        <v/>
      </c>
      <c r="V1316" s="13">
        <f>IF(ISNUMBER(Q1316),ROUND(Q1316/(1-Settings!$B$2)/Settings!$B$3,0)*Settings!$B$3,"")</f>
        <v/>
      </c>
      <c r="W1316" s="14" t="n">
        <v>2836</v>
      </c>
      <c r="X1316" s="14" t="n">
        <v>7090</v>
      </c>
      <c r="Y1316" s="11" t="inlineStr"/>
      <c r="Z1316" s="11" t="inlineStr"/>
      <c r="AA1316" s="8" t="inlineStr"/>
      <c r="AB1316" s="8" t="inlineStr"/>
      <c r="AC1316" s="11" t="inlineStr">
        <is>
          <t>MasterMilitaryOnBaseList 12.2.25 NS.xlsx</t>
        </is>
      </c>
      <c r="AD1316" s="11" t="inlineStr">
        <is>
          <t>FY26-27 ADVERTISING ASSETS_NRSE.xlsx</t>
        </is>
      </c>
      <c r="AE1316" s="15" t="inlineStr">
        <is>
          <t>Open in Box</t>
        </is>
      </c>
      <c r="AF1316" s="15" t="inlineStr">
        <is>
          <t>Open in Box</t>
        </is>
      </c>
    </row>
    <row r="1317">
      <c r="A1317" s="11" t="inlineStr">
        <is>
          <t>TX-CORPUSCH-003</t>
        </is>
      </c>
      <c r="B1317" s="8" t="inlineStr">
        <is>
          <t>Corpus Christi NAS</t>
        </is>
      </c>
      <c r="C1317" s="11" t="inlineStr"/>
      <c r="D1317" s="11" t="inlineStr">
        <is>
          <t>TX</t>
        </is>
      </c>
      <c r="E1317" s="11" t="inlineStr">
        <is>
          <t>Corpus Christi</t>
        </is>
      </c>
      <c r="F1317" s="11" t="inlineStr">
        <is>
          <t>78419</t>
        </is>
      </c>
      <c r="G1317" s="11" t="inlineStr">
        <is>
          <t>Navy</t>
        </is>
      </c>
      <c r="H1317" s="11" t="inlineStr">
        <is>
          <t>Digital</t>
        </is>
      </c>
      <c r="I1317" s="8" t="inlineStr">
        <is>
          <t>Bowling Sweep Arm</t>
        </is>
      </c>
      <c r="J1317" s="11" t="inlineStr">
        <is>
          <t>4'W x 4.25"H</t>
        </is>
      </c>
      <c r="K1317" s="8" t="inlineStr">
        <is>
          <t>Your ad will appear on 12 bowling sweep arms.</t>
        </is>
      </c>
      <c r="L1317" s="11" t="n">
        <v>1</v>
      </c>
      <c r="M1317" s="12" t="n">
        <v>150</v>
      </c>
      <c r="N1317" s="12" t="n">
        <v>450</v>
      </c>
      <c r="O1317" s="12" t="n">
        <v>900</v>
      </c>
      <c r="P1317" s="12" t="n">
        <v>1800</v>
      </c>
      <c r="Q1317" s="12" t="n"/>
      <c r="R1317" s="13">
        <f>IF(ISNUMBER(M1317),ROUND(M1317/(1-Settings!$B$2)/Settings!$B$3,0)*Settings!$B$3,"")</f>
        <v/>
      </c>
      <c r="S1317" s="13">
        <f>IF(ISNUMBER(N1317),ROUND(N1317/(1-Settings!$B$2)/Settings!$B$3,0)*Settings!$B$3,"")</f>
        <v/>
      </c>
      <c r="T1317" s="13">
        <f>IF(ISNUMBER(O1317),ROUND(O1317/(1-Settings!$B$2)/Settings!$B$3,0)*Settings!$B$3,"")</f>
        <v/>
      </c>
      <c r="U1317" s="13">
        <f>IF(ISNUMBER(P1317),ROUND(P1317/(1-Settings!$B$2)/Settings!$B$3,0)*Settings!$B$3,"")</f>
        <v/>
      </c>
      <c r="V1317" s="13">
        <f>IF(ISNUMBER(Q1317),ROUND(Q1317/(1-Settings!$B$2)/Settings!$B$3,0)*Settings!$B$3,"")</f>
        <v/>
      </c>
      <c r="W1317" s="14" t="n">
        <v>2836</v>
      </c>
      <c r="X1317" s="14" t="n">
        <v>7090</v>
      </c>
      <c r="Y1317" s="11" t="inlineStr"/>
      <c r="Z1317" s="11" t="inlineStr"/>
      <c r="AA1317" s="8" t="inlineStr"/>
      <c r="AB1317" s="8" t="inlineStr"/>
      <c r="AC1317" s="11" t="inlineStr">
        <is>
          <t>MasterMilitaryOnBaseList 12.2.25 NS.xlsx</t>
        </is>
      </c>
      <c r="AD1317" s="11" t="inlineStr">
        <is>
          <t>FY26-27 ADVERTISING ASSETS_NRSE.xlsx</t>
        </is>
      </c>
      <c r="AE1317" s="15" t="inlineStr">
        <is>
          <t>Open in Box</t>
        </is>
      </c>
      <c r="AF1317" s="15" t="inlineStr">
        <is>
          <t>Open in Box</t>
        </is>
      </c>
    </row>
    <row r="1318">
      <c r="A1318" s="11" t="inlineStr">
        <is>
          <t>TX-CORPUSCH-004</t>
        </is>
      </c>
      <c r="B1318" s="8" t="inlineStr">
        <is>
          <t>Corpus Christi NAS</t>
        </is>
      </c>
      <c r="C1318" s="11" t="inlineStr"/>
      <c r="D1318" s="11" t="inlineStr">
        <is>
          <t>TX</t>
        </is>
      </c>
      <c r="E1318" s="11" t="inlineStr">
        <is>
          <t>Corpus Christi</t>
        </is>
      </c>
      <c r="F1318" s="11" t="inlineStr">
        <is>
          <t>78419</t>
        </is>
      </c>
      <c r="G1318" s="11" t="inlineStr">
        <is>
          <t>Navy</t>
        </is>
      </c>
      <c r="H1318" s="11" t="inlineStr">
        <is>
          <t>Digital</t>
        </is>
      </c>
      <c r="I1318" s="8" t="inlineStr">
        <is>
          <t>Digital Monitor Network</t>
        </is>
      </c>
      <c r="J1318" s="11" t="inlineStr">
        <is>
          <t>1920pxW x 1080pxH</t>
        </is>
      </c>
      <c r="K1318" s="8" t="inlineStr">
        <is>
          <t>Your ad will appear on2 digital monitors in approved installation facilities.</t>
        </is>
      </c>
      <c r="L1318" s="11" t="n">
        <v>1</v>
      </c>
      <c r="M1318" s="12" t="n">
        <v>100</v>
      </c>
      <c r="N1318" s="12" t="n">
        <v>300</v>
      </c>
      <c r="O1318" s="12" t="n">
        <v>600</v>
      </c>
      <c r="P1318" s="12" t="n">
        <v>1200</v>
      </c>
      <c r="Q1318" s="12" t="n">
        <v>0</v>
      </c>
      <c r="R1318" s="13">
        <f>IF(ISNUMBER(M1318),ROUND(M1318/(1-Settings!$B$2)/Settings!$B$3,0)*Settings!$B$3,"")</f>
        <v/>
      </c>
      <c r="S1318" s="13">
        <f>IF(ISNUMBER(N1318),ROUND(N1318/(1-Settings!$B$2)/Settings!$B$3,0)*Settings!$B$3,"")</f>
        <v/>
      </c>
      <c r="T1318" s="13">
        <f>IF(ISNUMBER(O1318),ROUND(O1318/(1-Settings!$B$2)/Settings!$B$3,0)*Settings!$B$3,"")</f>
        <v/>
      </c>
      <c r="U1318" s="13">
        <f>IF(ISNUMBER(P1318),ROUND(P1318/(1-Settings!$B$2)/Settings!$B$3,0)*Settings!$B$3,"")</f>
        <v/>
      </c>
      <c r="V1318" s="13">
        <f>IF(ISNUMBER(Q1318),ROUND(Q1318/(1-Settings!$B$2)/Settings!$B$3,0)*Settings!$B$3,"")</f>
        <v/>
      </c>
      <c r="W1318" s="14" t="n">
        <v>2836</v>
      </c>
      <c r="X1318" s="14" t="n">
        <v>7090</v>
      </c>
      <c r="Y1318" s="11" t="inlineStr"/>
      <c r="Z1318" s="11" t="inlineStr"/>
      <c r="AA1318" s="8" t="inlineStr"/>
      <c r="AB1318" s="8" t="inlineStr"/>
      <c r="AC1318" s="11" t="inlineStr">
        <is>
          <t>MasterMilitaryOnBaseList 12.2.25 NS.xlsx</t>
        </is>
      </c>
      <c r="AD1318" s="11" t="inlineStr">
        <is>
          <t>FY26-27 ADVERTISING ASSETS_NRSE.xlsx</t>
        </is>
      </c>
      <c r="AE1318" s="15" t="inlineStr">
        <is>
          <t>Open in Box</t>
        </is>
      </c>
      <c r="AF1318" s="15" t="inlineStr">
        <is>
          <t>Open in Box</t>
        </is>
      </c>
    </row>
    <row r="1319">
      <c r="A1319" s="11" t="inlineStr">
        <is>
          <t>TX-CORPUSCH-010</t>
        </is>
      </c>
      <c r="B1319" s="8" t="inlineStr">
        <is>
          <t>Corpus Christi NAS</t>
        </is>
      </c>
      <c r="C1319" s="11" t="inlineStr"/>
      <c r="D1319" s="11" t="inlineStr">
        <is>
          <t>TX</t>
        </is>
      </c>
      <c r="E1319" s="11" t="inlineStr">
        <is>
          <t>Corpus Christi</t>
        </is>
      </c>
      <c r="F1319" s="11" t="inlineStr">
        <is>
          <t>78419</t>
        </is>
      </c>
      <c r="G1319" s="11" t="inlineStr">
        <is>
          <t>Navy</t>
        </is>
      </c>
      <c r="H1319" s="11" t="inlineStr">
        <is>
          <t>Large Format</t>
        </is>
      </c>
      <c r="I1319" s="8" t="inlineStr">
        <is>
          <t>Counter Wrap</t>
        </is>
      </c>
      <c r="J1319" s="11" t="inlineStr">
        <is>
          <t>Varies</t>
        </is>
      </c>
      <c r="K1319" s="8" t="inlineStr">
        <is>
          <t>Your ad will appear at an approved installation facility.</t>
        </is>
      </c>
      <c r="L1319" s="11" t="n">
        <v>1</v>
      </c>
      <c r="M1319" s="12" t="n">
        <v>450</v>
      </c>
      <c r="N1319" s="12" t="n">
        <v>1350</v>
      </c>
      <c r="O1319" s="12" t="n">
        <v>2700</v>
      </c>
      <c r="P1319" s="12" t="n">
        <v>5400</v>
      </c>
      <c r="Q1319" s="12" t="n"/>
      <c r="R1319" s="13">
        <f>IF(ISNUMBER(M1319),ROUND(M1319/(1-Settings!$B$2)/Settings!$B$3,0)*Settings!$B$3,"")</f>
        <v/>
      </c>
      <c r="S1319" s="13">
        <f>IF(ISNUMBER(N1319),ROUND(N1319/(1-Settings!$B$2)/Settings!$B$3,0)*Settings!$B$3,"")</f>
        <v/>
      </c>
      <c r="T1319" s="13">
        <f>IF(ISNUMBER(O1319),ROUND(O1319/(1-Settings!$B$2)/Settings!$B$3,0)*Settings!$B$3,"")</f>
        <v/>
      </c>
      <c r="U1319" s="13">
        <f>IF(ISNUMBER(P1319),ROUND(P1319/(1-Settings!$B$2)/Settings!$B$3,0)*Settings!$B$3,"")</f>
        <v/>
      </c>
      <c r="V1319" s="13">
        <f>IF(ISNUMBER(Q1319),ROUND(Q1319/(1-Settings!$B$2)/Settings!$B$3,0)*Settings!$B$3,"")</f>
        <v/>
      </c>
      <c r="W1319" s="14" t="n">
        <v>2836</v>
      </c>
      <c r="X1319" s="14" t="n">
        <v>7090</v>
      </c>
      <c r="Y1319" s="11" t="inlineStr"/>
      <c r="Z1319" s="11" t="inlineStr"/>
      <c r="AA1319" s="8" t="inlineStr"/>
      <c r="AB1319" s="8" t="inlineStr"/>
      <c r="AC1319" s="11" t="inlineStr">
        <is>
          <t>MasterMilitaryOnBaseList 12.2.25 NS.xlsx</t>
        </is>
      </c>
      <c r="AD1319" s="11" t="inlineStr">
        <is>
          <t>FY26-27 ADVERTISING ASSETS_NRSE.xlsx</t>
        </is>
      </c>
      <c r="AE1319" s="15" t="inlineStr">
        <is>
          <t>Open in Box</t>
        </is>
      </c>
      <c r="AF1319" s="15" t="inlineStr">
        <is>
          <t>Open in Box</t>
        </is>
      </c>
    </row>
    <row r="1320">
      <c r="A1320" s="11" t="inlineStr">
        <is>
          <t>TX-CORPUSCH-011</t>
        </is>
      </c>
      <c r="B1320" s="8" t="inlineStr">
        <is>
          <t>Corpus Christi NAS</t>
        </is>
      </c>
      <c r="C1320" s="11" t="inlineStr"/>
      <c r="D1320" s="11" t="inlineStr">
        <is>
          <t>TX</t>
        </is>
      </c>
      <c r="E1320" s="11" t="inlineStr">
        <is>
          <t>Corpus Christi</t>
        </is>
      </c>
      <c r="F1320" s="11" t="inlineStr">
        <is>
          <t>78419</t>
        </is>
      </c>
      <c r="G1320" s="11" t="inlineStr">
        <is>
          <t>Navy</t>
        </is>
      </c>
      <c r="H1320" s="11" t="inlineStr">
        <is>
          <t>Large Format</t>
        </is>
      </c>
      <c r="I1320" s="8" t="inlineStr">
        <is>
          <t>Large Banner</t>
        </is>
      </c>
      <c r="J1320" s="11" t="inlineStr">
        <is>
          <t>112"W x 84"</t>
        </is>
      </c>
      <c r="K1320" s="8" t="inlineStr">
        <is>
          <t>Your ad will appear in an approved installation facility.</t>
        </is>
      </c>
      <c r="L1320" s="11" t="n">
        <v>1</v>
      </c>
      <c r="M1320" s="12" t="n">
        <v>700</v>
      </c>
      <c r="N1320" s="12" t="n">
        <v>2100</v>
      </c>
      <c r="O1320" s="12" t="n">
        <v>4200</v>
      </c>
      <c r="P1320" s="12" t="n">
        <v>8400</v>
      </c>
      <c r="Q1320" s="12" t="n"/>
      <c r="R1320" s="13">
        <f>IF(ISNUMBER(M1320),ROUND(M1320/(1-Settings!$B$2)/Settings!$B$3,0)*Settings!$B$3,"")</f>
        <v/>
      </c>
      <c r="S1320" s="13">
        <f>IF(ISNUMBER(N1320),ROUND(N1320/(1-Settings!$B$2)/Settings!$B$3,0)*Settings!$B$3,"")</f>
        <v/>
      </c>
      <c r="T1320" s="13">
        <f>IF(ISNUMBER(O1320),ROUND(O1320/(1-Settings!$B$2)/Settings!$B$3,0)*Settings!$B$3,"")</f>
        <v/>
      </c>
      <c r="U1320" s="13">
        <f>IF(ISNUMBER(P1320),ROUND(P1320/(1-Settings!$B$2)/Settings!$B$3,0)*Settings!$B$3,"")</f>
        <v/>
      </c>
      <c r="V1320" s="13">
        <f>IF(ISNUMBER(Q1320),ROUND(Q1320/(1-Settings!$B$2)/Settings!$B$3,0)*Settings!$B$3,"")</f>
        <v/>
      </c>
      <c r="W1320" s="14" t="n">
        <v>2836</v>
      </c>
      <c r="X1320" s="14" t="n">
        <v>7090</v>
      </c>
      <c r="Y1320" s="11" t="inlineStr"/>
      <c r="Z1320" s="11" t="inlineStr"/>
      <c r="AA1320" s="8" t="inlineStr"/>
      <c r="AB1320" s="8" t="inlineStr"/>
      <c r="AC1320" s="11" t="inlineStr">
        <is>
          <t>MasterMilitaryOnBaseList 12.2.25 NS.xlsx</t>
        </is>
      </c>
      <c r="AD1320" s="11" t="inlineStr">
        <is>
          <t>FY26-27 ADVERTISING ASSETS_NRSE.xlsx</t>
        </is>
      </c>
      <c r="AE1320" s="15" t="inlineStr">
        <is>
          <t>Open in Box</t>
        </is>
      </c>
      <c r="AF1320" s="15" t="inlineStr">
        <is>
          <t>Open in Box</t>
        </is>
      </c>
    </row>
    <row r="1321">
      <c r="A1321" s="11" t="inlineStr">
        <is>
          <t>TX-CORPUSCH-012</t>
        </is>
      </c>
      <c r="B1321" s="8" t="inlineStr">
        <is>
          <t>Corpus Christi NAS</t>
        </is>
      </c>
      <c r="C1321" s="11" t="inlineStr"/>
      <c r="D1321" s="11" t="inlineStr">
        <is>
          <t>TX</t>
        </is>
      </c>
      <c r="E1321" s="11" t="inlineStr">
        <is>
          <t>Corpus Christi</t>
        </is>
      </c>
      <c r="F1321" s="11" t="inlineStr">
        <is>
          <t>78419</t>
        </is>
      </c>
      <c r="G1321" s="11" t="inlineStr">
        <is>
          <t>Navy</t>
        </is>
      </c>
      <c r="H1321" s="11" t="inlineStr">
        <is>
          <t>Large Format</t>
        </is>
      </c>
      <c r="I1321" s="8" t="inlineStr">
        <is>
          <t>Large Poster</t>
        </is>
      </c>
      <c r="J1321" s="11" t="inlineStr">
        <is>
          <t>22"W x 56"H</t>
        </is>
      </c>
      <c r="K1321" s="8" t="inlineStr">
        <is>
          <t>Your ad will appear at an approved installation facility.</t>
        </is>
      </c>
      <c r="L1321" s="11" t="n">
        <v>1</v>
      </c>
      <c r="M1321" s="12" t="n">
        <v>350</v>
      </c>
      <c r="N1321" s="12" t="n">
        <v>1050</v>
      </c>
      <c r="O1321" s="12" t="n">
        <v>2100</v>
      </c>
      <c r="P1321" s="12" t="n">
        <v>4200</v>
      </c>
      <c r="Q1321" s="12" t="n">
        <v>200</v>
      </c>
      <c r="R1321" s="13">
        <f>IF(ISNUMBER(M1321),ROUND(M1321/(1-Settings!$B$2)/Settings!$B$3,0)*Settings!$B$3,"")</f>
        <v/>
      </c>
      <c r="S1321" s="13">
        <f>IF(ISNUMBER(N1321),ROUND(N1321/(1-Settings!$B$2)/Settings!$B$3,0)*Settings!$B$3,"")</f>
        <v/>
      </c>
      <c r="T1321" s="13">
        <f>IF(ISNUMBER(O1321),ROUND(O1321/(1-Settings!$B$2)/Settings!$B$3,0)*Settings!$B$3,"")</f>
        <v/>
      </c>
      <c r="U1321" s="13">
        <f>IF(ISNUMBER(P1321),ROUND(P1321/(1-Settings!$B$2)/Settings!$B$3,0)*Settings!$B$3,"")</f>
        <v/>
      </c>
      <c r="V1321" s="13">
        <f>IF(ISNUMBER(Q1321),ROUND(Q1321/(1-Settings!$B$2)/Settings!$B$3,0)*Settings!$B$3,"")</f>
        <v/>
      </c>
      <c r="W1321" s="14" t="n">
        <v>2836</v>
      </c>
      <c r="X1321" s="14" t="n">
        <v>7090</v>
      </c>
      <c r="Y1321" s="11" t="inlineStr"/>
      <c r="Z1321" s="11" t="inlineStr"/>
      <c r="AA1321" s="8" t="inlineStr"/>
      <c r="AB1321" s="8" t="inlineStr"/>
      <c r="AC1321" s="11" t="inlineStr">
        <is>
          <t>MasterMilitaryOnBaseList 12.2.25 NS.xlsx</t>
        </is>
      </c>
      <c r="AD1321" s="11" t="inlineStr">
        <is>
          <t>FY26-27 ADVERTISING ASSETS_NRSE.xlsx</t>
        </is>
      </c>
      <c r="AE1321" s="15" t="inlineStr">
        <is>
          <t>Open in Box</t>
        </is>
      </c>
      <c r="AF1321" s="15" t="inlineStr">
        <is>
          <t>Open in Box</t>
        </is>
      </c>
    </row>
    <row r="1322">
      <c r="A1322" s="11" t="inlineStr">
        <is>
          <t>TX-CORPUSCH-013</t>
        </is>
      </c>
      <c r="B1322" s="8" t="inlineStr">
        <is>
          <t>Corpus Christi NAS</t>
        </is>
      </c>
      <c r="C1322" s="11" t="inlineStr"/>
      <c r="D1322" s="11" t="inlineStr">
        <is>
          <t>TX</t>
        </is>
      </c>
      <c r="E1322" s="11" t="inlineStr">
        <is>
          <t>Corpus Christi</t>
        </is>
      </c>
      <c r="F1322" s="11" t="inlineStr">
        <is>
          <t>78419</t>
        </is>
      </c>
      <c r="G1322" s="11" t="inlineStr">
        <is>
          <t>Navy</t>
        </is>
      </c>
      <c r="H1322" s="11" t="inlineStr">
        <is>
          <t>Large Format</t>
        </is>
      </c>
      <c r="I1322" s="8" t="inlineStr">
        <is>
          <t>Wall / Window Cling</t>
        </is>
      </c>
      <c r="J1322" s="11" t="inlineStr">
        <is>
          <t>Varies</t>
        </is>
      </c>
      <c r="K1322" s="8" t="inlineStr">
        <is>
          <t>Your ad will appear at an approved installation facility.</t>
        </is>
      </c>
      <c r="L1322" s="11" t="n">
        <v>1</v>
      </c>
      <c r="M1322" s="12" t="n">
        <v>450</v>
      </c>
      <c r="N1322" s="12" t="n">
        <v>1350</v>
      </c>
      <c r="O1322" s="12" t="n">
        <v>2700</v>
      </c>
      <c r="P1322" s="12" t="n">
        <v>5400</v>
      </c>
      <c r="Q1322" s="12" t="n"/>
      <c r="R1322" s="13">
        <f>IF(ISNUMBER(M1322),ROUND(M1322/(1-Settings!$B$2)/Settings!$B$3,0)*Settings!$B$3,"")</f>
        <v/>
      </c>
      <c r="S1322" s="13">
        <f>IF(ISNUMBER(N1322),ROUND(N1322/(1-Settings!$B$2)/Settings!$B$3,0)*Settings!$B$3,"")</f>
        <v/>
      </c>
      <c r="T1322" s="13">
        <f>IF(ISNUMBER(O1322),ROUND(O1322/(1-Settings!$B$2)/Settings!$B$3,0)*Settings!$B$3,"")</f>
        <v/>
      </c>
      <c r="U1322" s="13">
        <f>IF(ISNUMBER(P1322),ROUND(P1322/(1-Settings!$B$2)/Settings!$B$3,0)*Settings!$B$3,"")</f>
        <v/>
      </c>
      <c r="V1322" s="13">
        <f>IF(ISNUMBER(Q1322),ROUND(Q1322/(1-Settings!$B$2)/Settings!$B$3,0)*Settings!$B$3,"")</f>
        <v/>
      </c>
      <c r="W1322" s="14" t="n">
        <v>2836</v>
      </c>
      <c r="X1322" s="14" t="n">
        <v>7090</v>
      </c>
      <c r="Y1322" s="11" t="inlineStr"/>
      <c r="Z1322" s="11" t="inlineStr"/>
      <c r="AA1322" s="8" t="inlineStr"/>
      <c r="AB1322" s="8" t="inlineStr"/>
      <c r="AC1322" s="11" t="inlineStr">
        <is>
          <t>MasterMilitaryOnBaseList 12.2.25 NS.xlsx</t>
        </is>
      </c>
      <c r="AD1322" s="11" t="inlineStr">
        <is>
          <t>FY26-27 ADVERTISING ASSETS_NRSE.xlsx</t>
        </is>
      </c>
      <c r="AE1322" s="15" t="inlineStr">
        <is>
          <t>Open in Box</t>
        </is>
      </c>
      <c r="AF1322" s="15" t="inlineStr">
        <is>
          <t>Open in Box</t>
        </is>
      </c>
    </row>
    <row r="1323">
      <c r="A1323" s="11" t="inlineStr">
        <is>
          <t>TX-CORPUSCH-014</t>
        </is>
      </c>
      <c r="B1323" s="8" t="inlineStr">
        <is>
          <t>Corpus Christi NAS</t>
        </is>
      </c>
      <c r="C1323" s="11" t="inlineStr"/>
      <c r="D1323" s="11" t="inlineStr">
        <is>
          <t>TX</t>
        </is>
      </c>
      <c r="E1323" s="11" t="inlineStr">
        <is>
          <t>Corpus Christi</t>
        </is>
      </c>
      <c r="F1323" s="11" t="inlineStr">
        <is>
          <t>78419</t>
        </is>
      </c>
      <c r="G1323" s="11" t="inlineStr">
        <is>
          <t>Navy</t>
        </is>
      </c>
      <c r="H1323" s="11" t="inlineStr">
        <is>
          <t>Print &amp; Publications</t>
        </is>
      </c>
      <c r="I1323" s="8" t="inlineStr">
        <is>
          <t>Flyers and Brochures</t>
        </is>
      </c>
      <c r="J1323" s="11" t="inlineStr">
        <is>
          <t>8.5"W x 11"H</t>
        </is>
      </c>
      <c r="K1323" s="8" t="inlineStr">
        <is>
          <t>Your ad will appear in 12 installation facilities.</t>
        </is>
      </c>
      <c r="L1323" s="11" t="n">
        <v>1</v>
      </c>
      <c r="M1323" s="12" t="n">
        <v>675</v>
      </c>
      <c r="N1323" s="12" t="n">
        <v>2025</v>
      </c>
      <c r="O1323" s="12" t="n">
        <v>4050</v>
      </c>
      <c r="P1323" s="12" t="n">
        <v>8100</v>
      </c>
      <c r="Q1323" s="12" t="n"/>
      <c r="R1323" s="13">
        <f>IF(ISNUMBER(M1323),ROUND(M1323/(1-Settings!$B$2)/Settings!$B$3,0)*Settings!$B$3,"")</f>
        <v/>
      </c>
      <c r="S1323" s="13">
        <f>IF(ISNUMBER(N1323),ROUND(N1323/(1-Settings!$B$2)/Settings!$B$3,0)*Settings!$B$3,"")</f>
        <v/>
      </c>
      <c r="T1323" s="13">
        <f>IF(ISNUMBER(O1323),ROUND(O1323/(1-Settings!$B$2)/Settings!$B$3,0)*Settings!$B$3,"")</f>
        <v/>
      </c>
      <c r="U1323" s="13">
        <f>IF(ISNUMBER(P1323),ROUND(P1323/(1-Settings!$B$2)/Settings!$B$3,0)*Settings!$B$3,"")</f>
        <v/>
      </c>
      <c r="V1323" s="13">
        <f>IF(ISNUMBER(Q1323),ROUND(Q1323/(1-Settings!$B$2)/Settings!$B$3,0)*Settings!$B$3,"")</f>
        <v/>
      </c>
      <c r="W1323" s="14" t="n">
        <v>2836</v>
      </c>
      <c r="X1323" s="14" t="n">
        <v>7090</v>
      </c>
      <c r="Y1323" s="11" t="inlineStr"/>
      <c r="Z1323" s="11" t="inlineStr"/>
      <c r="AA1323" s="8" t="inlineStr"/>
      <c r="AB1323" s="8" t="inlineStr"/>
      <c r="AC1323" s="11" t="inlineStr">
        <is>
          <t>MasterMilitaryOnBaseList 12.2.25 NS.xlsx</t>
        </is>
      </c>
      <c r="AD1323" s="11" t="inlineStr">
        <is>
          <t>FY26-27 ADVERTISING ASSETS_NRSE.xlsx</t>
        </is>
      </c>
      <c r="AE1323" s="15" t="inlineStr">
        <is>
          <t>Open in Box</t>
        </is>
      </c>
      <c r="AF1323" s="15" t="inlineStr">
        <is>
          <t>Open in Box</t>
        </is>
      </c>
    </row>
    <row r="1324">
      <c r="A1324" s="11" t="inlineStr">
        <is>
          <t>TX-CORPUSCH-015</t>
        </is>
      </c>
      <c r="B1324" s="8" t="inlineStr">
        <is>
          <t>Corpus Christi NAS</t>
        </is>
      </c>
      <c r="C1324" s="11" t="inlineStr"/>
      <c r="D1324" s="11" t="inlineStr">
        <is>
          <t>TX</t>
        </is>
      </c>
      <c r="E1324" s="11" t="inlineStr">
        <is>
          <t>Corpus Christi</t>
        </is>
      </c>
      <c r="F1324" s="11" t="inlineStr">
        <is>
          <t>78419</t>
        </is>
      </c>
      <c r="G1324" s="11" t="inlineStr">
        <is>
          <t>Navy</t>
        </is>
      </c>
      <c r="H1324" s="11" t="inlineStr">
        <is>
          <t>Sponsorship &amp; Other</t>
        </is>
      </c>
      <c r="I1324" s="8" t="inlineStr">
        <is>
          <t>Golf Course Driving Range</t>
        </is>
      </c>
      <c r="J1324" s="11" t="inlineStr">
        <is>
          <t>TBD</t>
        </is>
      </c>
      <c r="K1324" s="8" t="inlineStr">
        <is>
          <t>Your ad will appear between driving range stations.</t>
        </is>
      </c>
      <c r="L1324" s="11" t="n">
        <v>1</v>
      </c>
      <c r="M1324" s="12" t="n">
        <v>250</v>
      </c>
      <c r="N1324" s="12" t="n">
        <v>750</v>
      </c>
      <c r="O1324" s="12" t="n">
        <v>1500</v>
      </c>
      <c r="P1324" s="12" t="n">
        <v>3000</v>
      </c>
      <c r="Q1324" s="12" t="n"/>
      <c r="R1324" s="13">
        <f>IF(ISNUMBER(M1324),ROUND(M1324/(1-Settings!$B$2)/Settings!$B$3,0)*Settings!$B$3,"")</f>
        <v/>
      </c>
      <c r="S1324" s="13">
        <f>IF(ISNUMBER(N1324),ROUND(N1324/(1-Settings!$B$2)/Settings!$B$3,0)*Settings!$B$3,"")</f>
        <v/>
      </c>
      <c r="T1324" s="13">
        <f>IF(ISNUMBER(O1324),ROUND(O1324/(1-Settings!$B$2)/Settings!$B$3,0)*Settings!$B$3,"")</f>
        <v/>
      </c>
      <c r="U1324" s="13">
        <f>IF(ISNUMBER(P1324),ROUND(P1324/(1-Settings!$B$2)/Settings!$B$3,0)*Settings!$B$3,"")</f>
        <v/>
      </c>
      <c r="V1324" s="13">
        <f>IF(ISNUMBER(Q1324),ROUND(Q1324/(1-Settings!$B$2)/Settings!$B$3,0)*Settings!$B$3,"")</f>
        <v/>
      </c>
      <c r="W1324" s="14" t="n">
        <v>2836</v>
      </c>
      <c r="X1324" s="14" t="n">
        <v>7090</v>
      </c>
      <c r="Y1324" s="11" t="inlineStr"/>
      <c r="Z1324" s="11" t="inlineStr"/>
      <c r="AA1324" s="8" t="inlineStr"/>
      <c r="AB1324" s="8" t="inlineStr"/>
      <c r="AC1324" s="11" t="inlineStr">
        <is>
          <t>MasterMilitaryOnBaseList 12.2.25 NS.xlsx</t>
        </is>
      </c>
      <c r="AD1324" s="11" t="inlineStr">
        <is>
          <t>FY26-27 ADVERTISING ASSETS_NRSE.xlsx</t>
        </is>
      </c>
      <c r="AE1324" s="15" t="inlineStr">
        <is>
          <t>Open in Box</t>
        </is>
      </c>
      <c r="AF1324" s="15" t="inlineStr">
        <is>
          <t>Open in Box</t>
        </is>
      </c>
    </row>
    <row r="1325">
      <c r="A1325" s="11" t="inlineStr">
        <is>
          <t>TX-CORPUSCH-005</t>
        </is>
      </c>
      <c r="B1325" s="8" t="inlineStr">
        <is>
          <t>Corpus Christi NAS</t>
        </is>
      </c>
      <c r="C1325" s="11" t="inlineStr"/>
      <c r="D1325" s="11" t="inlineStr">
        <is>
          <t>TX</t>
        </is>
      </c>
      <c r="E1325" s="11" t="inlineStr">
        <is>
          <t>Corpus Christi</t>
        </is>
      </c>
      <c r="F1325" s="11" t="inlineStr">
        <is>
          <t>78419</t>
        </is>
      </c>
      <c r="G1325" s="11" t="inlineStr">
        <is>
          <t>Navy</t>
        </is>
      </c>
      <c r="H1325" s="11" t="inlineStr">
        <is>
          <t>Standard Media</t>
        </is>
      </c>
      <c r="I1325" s="8" t="inlineStr">
        <is>
          <t>Banner</t>
        </is>
      </c>
      <c r="J1325" s="11" t="inlineStr">
        <is>
          <t>8'W x 4'H</t>
        </is>
      </c>
      <c r="K1325" s="8" t="inlineStr">
        <is>
          <t>Your ad will appear in an approved installation facility.</t>
        </is>
      </c>
      <c r="L1325" s="11" t="n">
        <v>1</v>
      </c>
      <c r="M1325" s="12" t="n">
        <v>650</v>
      </c>
      <c r="N1325" s="12" t="n">
        <v>1950</v>
      </c>
      <c r="O1325" s="12" t="n">
        <v>3900</v>
      </c>
      <c r="P1325" s="12" t="n">
        <v>7800</v>
      </c>
      <c r="Q1325" s="12" t="n">
        <v>250</v>
      </c>
      <c r="R1325" s="13">
        <f>IF(ISNUMBER(M1325),ROUND(M1325/(1-Settings!$B$2)/Settings!$B$3,0)*Settings!$B$3,"")</f>
        <v/>
      </c>
      <c r="S1325" s="13">
        <f>IF(ISNUMBER(N1325),ROUND(N1325/(1-Settings!$B$2)/Settings!$B$3,0)*Settings!$B$3,"")</f>
        <v/>
      </c>
      <c r="T1325" s="13">
        <f>IF(ISNUMBER(O1325),ROUND(O1325/(1-Settings!$B$2)/Settings!$B$3,0)*Settings!$B$3,"")</f>
        <v/>
      </c>
      <c r="U1325" s="13">
        <f>IF(ISNUMBER(P1325),ROUND(P1325/(1-Settings!$B$2)/Settings!$B$3,0)*Settings!$B$3,"")</f>
        <v/>
      </c>
      <c r="V1325" s="13">
        <f>IF(ISNUMBER(Q1325),ROUND(Q1325/(1-Settings!$B$2)/Settings!$B$3,0)*Settings!$B$3,"")</f>
        <v/>
      </c>
      <c r="W1325" s="14" t="n">
        <v>2836</v>
      </c>
      <c r="X1325" s="14" t="n">
        <v>7090</v>
      </c>
      <c r="Y1325" s="11" t="inlineStr"/>
      <c r="Z1325" s="11" t="inlineStr"/>
      <c r="AA1325" s="8" t="inlineStr"/>
      <c r="AB1325" s="8" t="inlineStr"/>
      <c r="AC1325" s="11" t="inlineStr">
        <is>
          <t>MasterMilitaryOnBaseList 12.2.25 NS.xlsx</t>
        </is>
      </c>
      <c r="AD1325" s="11" t="inlineStr">
        <is>
          <t>FY26-27 ADVERTISING ASSETS_NRSE.xlsx</t>
        </is>
      </c>
      <c r="AE1325" s="15" t="inlineStr">
        <is>
          <t>Open in Box</t>
        </is>
      </c>
      <c r="AF1325" s="15" t="inlineStr">
        <is>
          <t>Open in Box</t>
        </is>
      </c>
    </row>
    <row r="1326">
      <c r="A1326" s="11" t="inlineStr">
        <is>
          <t>TX-CORPUSCH-006</t>
        </is>
      </c>
      <c r="B1326" s="8" t="inlineStr">
        <is>
          <t>Corpus Christi NAS</t>
        </is>
      </c>
      <c r="C1326" s="11" t="inlineStr"/>
      <c r="D1326" s="11" t="inlineStr">
        <is>
          <t>TX</t>
        </is>
      </c>
      <c r="E1326" s="11" t="inlineStr">
        <is>
          <t>Corpus Christi</t>
        </is>
      </c>
      <c r="F1326" s="11" t="inlineStr">
        <is>
          <t>78419</t>
        </is>
      </c>
      <c r="G1326" s="11" t="inlineStr">
        <is>
          <t>Navy</t>
        </is>
      </c>
      <c r="H1326" s="11" t="inlineStr">
        <is>
          <t>Standard Media</t>
        </is>
      </c>
      <c r="I1326" s="8" t="inlineStr">
        <is>
          <t>Golf Cart Signage</t>
        </is>
      </c>
      <c r="J1326" s="11" t="inlineStr">
        <is>
          <t>8.5"W x 5.5"H</t>
        </is>
      </c>
      <c r="K1326" s="8" t="inlineStr">
        <is>
          <t>Your ad will appear on at the golf course.</t>
        </is>
      </c>
      <c r="L1326" s="11" t="n">
        <v>1</v>
      </c>
      <c r="M1326" s="12" t="n">
        <v>200</v>
      </c>
      <c r="N1326" s="12" t="n">
        <v>600</v>
      </c>
      <c r="O1326" s="12" t="n">
        <v>1200</v>
      </c>
      <c r="P1326" s="12" t="n">
        <v>2400</v>
      </c>
      <c r="Q1326" s="12" t="n"/>
      <c r="R1326" s="13">
        <f>IF(ISNUMBER(M1326),ROUND(M1326/(1-Settings!$B$2)/Settings!$B$3,0)*Settings!$B$3,"")</f>
        <v/>
      </c>
      <c r="S1326" s="13">
        <f>IF(ISNUMBER(N1326),ROUND(N1326/(1-Settings!$B$2)/Settings!$B$3,0)*Settings!$B$3,"")</f>
        <v/>
      </c>
      <c r="T1326" s="13">
        <f>IF(ISNUMBER(O1326),ROUND(O1326/(1-Settings!$B$2)/Settings!$B$3,0)*Settings!$B$3,"")</f>
        <v/>
      </c>
      <c r="U1326" s="13">
        <f>IF(ISNUMBER(P1326),ROUND(P1326/(1-Settings!$B$2)/Settings!$B$3,0)*Settings!$B$3,"")</f>
        <v/>
      </c>
      <c r="V1326" s="13">
        <f>IF(ISNUMBER(Q1326),ROUND(Q1326/(1-Settings!$B$2)/Settings!$B$3,0)*Settings!$B$3,"")</f>
        <v/>
      </c>
      <c r="W1326" s="14" t="n">
        <v>2836</v>
      </c>
      <c r="X1326" s="14" t="n">
        <v>7090</v>
      </c>
      <c r="Y1326" s="11" t="inlineStr"/>
      <c r="Z1326" s="11" t="inlineStr"/>
      <c r="AA1326" s="8" t="inlineStr"/>
      <c r="AB1326" s="8" t="inlineStr"/>
      <c r="AC1326" s="11" t="inlineStr">
        <is>
          <t>MasterMilitaryOnBaseList 12.2.25 NS.xlsx</t>
        </is>
      </c>
      <c r="AD1326" s="11" t="inlineStr">
        <is>
          <t>FY26-27 ADVERTISING ASSETS_NRSE.xlsx</t>
        </is>
      </c>
      <c r="AE1326" s="15" t="inlineStr">
        <is>
          <t>Open in Box</t>
        </is>
      </c>
      <c r="AF1326" s="15" t="inlineStr">
        <is>
          <t>Open in Box</t>
        </is>
      </c>
    </row>
    <row r="1327">
      <c r="A1327" s="11" t="inlineStr">
        <is>
          <t>TX-CORPUSCH-007</t>
        </is>
      </c>
      <c r="B1327" s="8" t="inlineStr">
        <is>
          <t>Corpus Christi NAS</t>
        </is>
      </c>
      <c r="C1327" s="11" t="inlineStr"/>
      <c r="D1327" s="11" t="inlineStr">
        <is>
          <t>TX</t>
        </is>
      </c>
      <c r="E1327" s="11" t="inlineStr">
        <is>
          <t>Corpus Christi</t>
        </is>
      </c>
      <c r="F1327" s="11" t="inlineStr">
        <is>
          <t>78419</t>
        </is>
      </c>
      <c r="G1327" s="11" t="inlineStr">
        <is>
          <t>Navy</t>
        </is>
      </c>
      <c r="H1327" s="11" t="inlineStr">
        <is>
          <t>Standard Media</t>
        </is>
      </c>
      <c r="I1327" s="8" t="inlineStr">
        <is>
          <t>Mouse Pads</t>
        </is>
      </c>
      <c r="J1327" s="11" t="inlineStr">
        <is>
          <t>TBD</t>
        </is>
      </c>
      <c r="K1327" s="8" t="inlineStr">
        <is>
          <t>Your ad will appear on an approved facility mouse pad.</t>
        </is>
      </c>
      <c r="L1327" s="11" t="n">
        <v>1</v>
      </c>
      <c r="M1327" s="12" t="n">
        <v>50</v>
      </c>
      <c r="N1327" s="12" t="n">
        <v>150</v>
      </c>
      <c r="O1327" s="12" t="n">
        <v>300</v>
      </c>
      <c r="P1327" s="12" t="n">
        <v>600</v>
      </c>
      <c r="Q1327" s="12" t="n"/>
      <c r="R1327" s="13">
        <f>IF(ISNUMBER(M1327),ROUND(M1327/(1-Settings!$B$2)/Settings!$B$3,0)*Settings!$B$3,"")</f>
        <v/>
      </c>
      <c r="S1327" s="13">
        <f>IF(ISNUMBER(N1327),ROUND(N1327/(1-Settings!$B$2)/Settings!$B$3,0)*Settings!$B$3,"")</f>
        <v/>
      </c>
      <c r="T1327" s="13">
        <f>IF(ISNUMBER(O1327),ROUND(O1327/(1-Settings!$B$2)/Settings!$B$3,0)*Settings!$B$3,"")</f>
        <v/>
      </c>
      <c r="U1327" s="13">
        <f>IF(ISNUMBER(P1327),ROUND(P1327/(1-Settings!$B$2)/Settings!$B$3,0)*Settings!$B$3,"")</f>
        <v/>
      </c>
      <c r="V1327" s="13">
        <f>IF(ISNUMBER(Q1327),ROUND(Q1327/(1-Settings!$B$2)/Settings!$B$3,0)*Settings!$B$3,"")</f>
        <v/>
      </c>
      <c r="W1327" s="14" t="n">
        <v>2836</v>
      </c>
      <c r="X1327" s="14" t="n">
        <v>7090</v>
      </c>
      <c r="Y1327" s="11" t="inlineStr"/>
      <c r="Z1327" s="11" t="inlineStr"/>
      <c r="AA1327" s="8" t="inlineStr"/>
      <c r="AB1327" s="8" t="inlineStr"/>
      <c r="AC1327" s="11" t="inlineStr">
        <is>
          <t>MasterMilitaryOnBaseList 12.2.25 NS.xlsx</t>
        </is>
      </c>
      <c r="AD1327" s="11" t="inlineStr">
        <is>
          <t>FY26-27 ADVERTISING ASSETS_NRSE.xlsx</t>
        </is>
      </c>
      <c r="AE1327" s="15" t="inlineStr">
        <is>
          <t>Open in Box</t>
        </is>
      </c>
      <c r="AF1327" s="15" t="inlineStr">
        <is>
          <t>Open in Box</t>
        </is>
      </c>
    </row>
    <row r="1328">
      <c r="A1328" s="11" t="inlineStr">
        <is>
          <t>TX-CORPUSCH-008</t>
        </is>
      </c>
      <c r="B1328" s="8" t="inlineStr">
        <is>
          <t>Corpus Christi NAS</t>
        </is>
      </c>
      <c r="C1328" s="11" t="inlineStr"/>
      <c r="D1328" s="11" t="inlineStr">
        <is>
          <t>TX</t>
        </is>
      </c>
      <c r="E1328" s="11" t="inlineStr">
        <is>
          <t>Corpus Christi</t>
        </is>
      </c>
      <c r="F1328" s="11" t="inlineStr">
        <is>
          <t>78419</t>
        </is>
      </c>
      <c r="G1328" s="11" t="inlineStr">
        <is>
          <t>Navy</t>
        </is>
      </c>
      <c r="H1328" s="11" t="inlineStr">
        <is>
          <t>Standard Media</t>
        </is>
      </c>
      <c r="I1328" s="8" t="inlineStr">
        <is>
          <t>Poster</t>
        </is>
      </c>
      <c r="J1328" s="11" t="inlineStr">
        <is>
          <t>22"W x 28"H</t>
        </is>
      </c>
      <c r="K1328" s="8" t="inlineStr">
        <is>
          <t>Your ad will appear at an approved installation facility.</t>
        </is>
      </c>
      <c r="L1328" s="11" t="n">
        <v>1</v>
      </c>
      <c r="M1328" s="12" t="n">
        <v>200</v>
      </c>
      <c r="N1328" s="12" t="n">
        <v>600</v>
      </c>
      <c r="O1328" s="12" t="n">
        <v>1200</v>
      </c>
      <c r="P1328" s="12" t="n">
        <v>2400</v>
      </c>
      <c r="Q1328" s="12" t="n">
        <v>100</v>
      </c>
      <c r="R1328" s="13">
        <f>IF(ISNUMBER(M1328),ROUND(M1328/(1-Settings!$B$2)/Settings!$B$3,0)*Settings!$B$3,"")</f>
        <v/>
      </c>
      <c r="S1328" s="13">
        <f>IF(ISNUMBER(N1328),ROUND(N1328/(1-Settings!$B$2)/Settings!$B$3,0)*Settings!$B$3,"")</f>
        <v/>
      </c>
      <c r="T1328" s="13">
        <f>IF(ISNUMBER(O1328),ROUND(O1328/(1-Settings!$B$2)/Settings!$B$3,0)*Settings!$B$3,"")</f>
        <v/>
      </c>
      <c r="U1328" s="13">
        <f>IF(ISNUMBER(P1328),ROUND(P1328/(1-Settings!$B$2)/Settings!$B$3,0)*Settings!$B$3,"")</f>
        <v/>
      </c>
      <c r="V1328" s="13">
        <f>IF(ISNUMBER(Q1328),ROUND(Q1328/(1-Settings!$B$2)/Settings!$B$3,0)*Settings!$B$3,"")</f>
        <v/>
      </c>
      <c r="W1328" s="14" t="n">
        <v>2836</v>
      </c>
      <c r="X1328" s="14" t="n">
        <v>7090</v>
      </c>
      <c r="Y1328" s="11" t="inlineStr"/>
      <c r="Z1328" s="11" t="inlineStr"/>
      <c r="AA1328" s="8" t="inlineStr"/>
      <c r="AB1328" s="8" t="inlineStr"/>
      <c r="AC1328" s="11" t="inlineStr">
        <is>
          <t>MasterMilitaryOnBaseList 12.2.25 NS.xlsx</t>
        </is>
      </c>
      <c r="AD1328" s="11" t="inlineStr">
        <is>
          <t>FY26-27 ADVERTISING ASSETS_NRSE.xlsx</t>
        </is>
      </c>
      <c r="AE1328" s="15" t="inlineStr">
        <is>
          <t>Open in Box</t>
        </is>
      </c>
      <c r="AF1328" s="15" t="inlineStr">
        <is>
          <t>Open in Box</t>
        </is>
      </c>
    </row>
    <row r="1329">
      <c r="A1329" s="11" t="inlineStr">
        <is>
          <t>TX-CORPUSCH-009</t>
        </is>
      </c>
      <c r="B1329" s="8" t="inlineStr">
        <is>
          <t>Corpus Christi NAS</t>
        </is>
      </c>
      <c r="C1329" s="11" t="inlineStr"/>
      <c r="D1329" s="11" t="inlineStr">
        <is>
          <t>TX</t>
        </is>
      </c>
      <c r="E1329" s="11" t="inlineStr">
        <is>
          <t>Corpus Christi</t>
        </is>
      </c>
      <c r="F1329" s="11" t="inlineStr">
        <is>
          <t>78419</t>
        </is>
      </c>
      <c r="G1329" s="11" t="inlineStr">
        <is>
          <t>Navy</t>
        </is>
      </c>
      <c r="H1329" s="11" t="inlineStr">
        <is>
          <t>Standard Media</t>
        </is>
      </c>
      <c r="I1329" s="8" t="inlineStr">
        <is>
          <t>Table Tents</t>
        </is>
      </c>
      <c r="J1329" s="11" t="inlineStr">
        <is>
          <t>4"W x 6"H</t>
        </is>
      </c>
      <c r="K1329" s="8" t="inlineStr">
        <is>
          <t>Your ad will appear at an approved installation facility.</t>
        </is>
      </c>
      <c r="L1329" s="11" t="n">
        <v>1</v>
      </c>
      <c r="M1329" s="12" t="n">
        <v>125</v>
      </c>
      <c r="N1329" s="12" t="n">
        <v>375</v>
      </c>
      <c r="O1329" s="12" t="n">
        <v>750</v>
      </c>
      <c r="P1329" s="12" t="n">
        <v>1500</v>
      </c>
      <c r="Q1329" s="12" t="n"/>
      <c r="R1329" s="13">
        <f>IF(ISNUMBER(M1329),ROUND(M1329/(1-Settings!$B$2)/Settings!$B$3,0)*Settings!$B$3,"")</f>
        <v/>
      </c>
      <c r="S1329" s="13">
        <f>IF(ISNUMBER(N1329),ROUND(N1329/(1-Settings!$B$2)/Settings!$B$3,0)*Settings!$B$3,"")</f>
        <v/>
      </c>
      <c r="T1329" s="13">
        <f>IF(ISNUMBER(O1329),ROUND(O1329/(1-Settings!$B$2)/Settings!$B$3,0)*Settings!$B$3,"")</f>
        <v/>
      </c>
      <c r="U1329" s="13">
        <f>IF(ISNUMBER(P1329),ROUND(P1329/(1-Settings!$B$2)/Settings!$B$3,0)*Settings!$B$3,"")</f>
        <v/>
      </c>
      <c r="V1329" s="13">
        <f>IF(ISNUMBER(Q1329),ROUND(Q1329/(1-Settings!$B$2)/Settings!$B$3,0)*Settings!$B$3,"")</f>
        <v/>
      </c>
      <c r="W1329" s="14" t="n">
        <v>2836</v>
      </c>
      <c r="X1329" s="14" t="n">
        <v>7090</v>
      </c>
      <c r="Y1329" s="11" t="inlineStr"/>
      <c r="Z1329" s="11" t="inlineStr"/>
      <c r="AA1329" s="8" t="inlineStr"/>
      <c r="AB1329" s="8" t="inlineStr"/>
      <c r="AC1329" s="11" t="inlineStr">
        <is>
          <t>MasterMilitaryOnBaseList 12.2.25 NS.xlsx</t>
        </is>
      </c>
      <c r="AD1329" s="11" t="inlineStr">
        <is>
          <t>FY26-27 ADVERTISING ASSETS_NRSE.xlsx</t>
        </is>
      </c>
      <c r="AE1329" s="15" t="inlineStr">
        <is>
          <t>Open in Box</t>
        </is>
      </c>
      <c r="AF1329" s="15" t="inlineStr">
        <is>
          <t>Open in Box</t>
        </is>
      </c>
    </row>
    <row r="1330">
      <c r="A1330" s="11" t="inlineStr">
        <is>
          <t>TX-CORPUSCH-016</t>
        </is>
      </c>
      <c r="B1330" s="8" t="inlineStr">
        <is>
          <t>Corpus Christi NAS</t>
        </is>
      </c>
      <c r="C1330" s="11" t="inlineStr"/>
      <c r="D1330" s="11" t="inlineStr">
        <is>
          <t>TX</t>
        </is>
      </c>
      <c r="E1330" s="11" t="inlineStr">
        <is>
          <t>Corpus Christi</t>
        </is>
      </c>
      <c r="F1330" s="11" t="inlineStr"/>
      <c r="G1330" s="11" t="inlineStr">
        <is>
          <t>Navy</t>
        </is>
      </c>
      <c r="H1330" s="11" t="inlineStr">
        <is>
          <t>Web &amp; Email</t>
        </is>
      </c>
      <c r="I1330" s="8" t="inlineStr">
        <is>
          <t>Monthly E-Newsletter Ad</t>
        </is>
      </c>
      <c r="J1330" s="11" t="inlineStr"/>
      <c r="K1330" s="8" t="inlineStr">
        <is>
          <t>Your ad will appear in the monthly e-newsletter emailed to the installation community.</t>
        </is>
      </c>
      <c r="L1330" s="11" t="n">
        <v>1</v>
      </c>
      <c r="M1330" s="12" t="n">
        <v>200</v>
      </c>
      <c r="N1330" s="12" t="n"/>
      <c r="O1330" s="12" t="n"/>
      <c r="P1330" s="12" t="n"/>
      <c r="Q1330" s="12" t="n"/>
      <c r="R1330" s="13">
        <f>IF(ISNUMBER(M1330),ROUND(M1330/(1-Settings!$B$2)/Settings!$B$3,0)*Settings!$B$3,"")</f>
        <v/>
      </c>
      <c r="S1330" s="13">
        <f>IF(ISNUMBER(N1330),ROUND(N1330/(1-Settings!$B$2)/Settings!$B$3,0)*Settings!$B$3,"")</f>
        <v/>
      </c>
      <c r="T1330" s="13">
        <f>IF(ISNUMBER(O1330),ROUND(O1330/(1-Settings!$B$2)/Settings!$B$3,0)*Settings!$B$3,"")</f>
        <v/>
      </c>
      <c r="U1330" s="13">
        <f>IF(ISNUMBER(P1330),ROUND(P1330/(1-Settings!$B$2)/Settings!$B$3,0)*Settings!$B$3,"")</f>
        <v/>
      </c>
      <c r="V1330" s="13">
        <f>IF(ISNUMBER(Q1330),ROUND(Q1330/(1-Settings!$B$2)/Settings!$B$3,0)*Settings!$B$3,"")</f>
        <v/>
      </c>
      <c r="W1330" s="14" t="n">
        <v>2836</v>
      </c>
      <c r="X1330" s="14" t="n">
        <v>7090</v>
      </c>
      <c r="Y1330" s="11" t="inlineStr">
        <is>
          <t>2026</t>
        </is>
      </c>
      <c r="Z1330" s="11" t="inlineStr">
        <is>
          <t>2026-06</t>
        </is>
      </c>
      <c r="AA1330" s="8" t="inlineStr"/>
      <c r="AB1330" s="8" t="inlineStr"/>
      <c r="AC1330" s="11" t="inlineStr">
        <is>
          <t>Military - National Publication Inventory Master_June 2026.xlsx</t>
        </is>
      </c>
      <c r="AD1330" s="11" t="inlineStr">
        <is>
          <t>FY26-27 ADVERTISING ASSETS_NRSE.xlsx</t>
        </is>
      </c>
      <c r="AE1330" s="15" t="inlineStr">
        <is>
          <t>Open in Box</t>
        </is>
      </c>
      <c r="AF1330" s="15" t="inlineStr">
        <is>
          <t>Open in Box</t>
        </is>
      </c>
    </row>
    <row r="1331">
      <c r="A1331" s="11" t="inlineStr">
        <is>
          <t>TX-CORPUSCH-017</t>
        </is>
      </c>
      <c r="B1331" s="8" t="inlineStr">
        <is>
          <t>Corpus Christi NAS</t>
        </is>
      </c>
      <c r="C1331" s="11" t="inlineStr"/>
      <c r="D1331" s="11" t="inlineStr">
        <is>
          <t>TX</t>
        </is>
      </c>
      <c r="E1331" s="11" t="inlineStr">
        <is>
          <t>Corpus Christi</t>
        </is>
      </c>
      <c r="F1331" s="11" t="inlineStr"/>
      <c r="G1331" s="11" t="inlineStr">
        <is>
          <t>Navy</t>
        </is>
      </c>
      <c r="H1331" s="11" t="inlineStr">
        <is>
          <t>Web &amp; Email</t>
        </is>
      </c>
      <c r="I1331" s="8" t="inlineStr">
        <is>
          <t>Web Ad</t>
        </is>
      </c>
      <c r="J1331" s="11" t="inlineStr"/>
      <c r="K1331" s="8" t="inlineStr">
        <is>
          <t>Your ad will appear on the installation MWR / FSS website.</t>
        </is>
      </c>
      <c r="L1331" s="11" t="n">
        <v>1</v>
      </c>
      <c r="M1331" s="12" t="n">
        <v>400</v>
      </c>
      <c r="N1331" s="12" t="n"/>
      <c r="O1331" s="12" t="n"/>
      <c r="P1331" s="12" t="n"/>
      <c r="Q1331" s="12" t="n"/>
      <c r="R1331" s="13">
        <f>IF(ISNUMBER(M1331),ROUND(M1331/(1-Settings!$B$2)/Settings!$B$3,0)*Settings!$B$3,"")</f>
        <v/>
      </c>
      <c r="S1331" s="13">
        <f>IF(ISNUMBER(N1331),ROUND(N1331/(1-Settings!$B$2)/Settings!$B$3,0)*Settings!$B$3,"")</f>
        <v/>
      </c>
      <c r="T1331" s="13">
        <f>IF(ISNUMBER(O1331),ROUND(O1331/(1-Settings!$B$2)/Settings!$B$3,0)*Settings!$B$3,"")</f>
        <v/>
      </c>
      <c r="U1331" s="13">
        <f>IF(ISNUMBER(P1331),ROUND(P1331/(1-Settings!$B$2)/Settings!$B$3,0)*Settings!$B$3,"")</f>
        <v/>
      </c>
      <c r="V1331" s="13">
        <f>IF(ISNUMBER(Q1331),ROUND(Q1331/(1-Settings!$B$2)/Settings!$B$3,0)*Settings!$B$3,"")</f>
        <v/>
      </c>
      <c r="W1331" s="14" t="n">
        <v>2836</v>
      </c>
      <c r="X1331" s="14" t="n">
        <v>7090</v>
      </c>
      <c r="Y1331" s="11" t="inlineStr">
        <is>
          <t>2026</t>
        </is>
      </c>
      <c r="Z1331" s="11" t="inlineStr">
        <is>
          <t>2026-06</t>
        </is>
      </c>
      <c r="AA1331" s="8" t="inlineStr"/>
      <c r="AB1331" s="8" t="inlineStr"/>
      <c r="AC1331" s="11" t="inlineStr">
        <is>
          <t>Military - National Publication Inventory Master_June 2026.xlsx</t>
        </is>
      </c>
      <c r="AD1331" s="11" t="inlineStr">
        <is>
          <t>FY26-27 ADVERTISING ASSETS_NRSE.xlsx</t>
        </is>
      </c>
      <c r="AE1331" s="15" t="inlineStr">
        <is>
          <t>Open in Box</t>
        </is>
      </c>
      <c r="AF1331" s="15" t="inlineStr">
        <is>
          <t>Open in Box</t>
        </is>
      </c>
    </row>
    <row r="1332">
      <c r="A1332" s="11" t="inlineStr">
        <is>
          <t>TX-FORTBLIS-002</t>
        </is>
      </c>
      <c r="B1332" s="8" t="inlineStr">
        <is>
          <t>Fort Bliss</t>
        </is>
      </c>
      <c r="C1332" s="11" t="inlineStr"/>
      <c r="D1332" s="11" t="inlineStr">
        <is>
          <t>TX</t>
        </is>
      </c>
      <c r="E1332" s="11" t="inlineStr">
        <is>
          <t>El Paso, TX</t>
        </is>
      </c>
      <c r="F1332" s="11" t="inlineStr"/>
      <c r="G1332" s="11" t="inlineStr">
        <is>
          <t>Army</t>
        </is>
      </c>
      <c r="H1332" s="11" t="inlineStr">
        <is>
          <t>Digital</t>
        </is>
      </c>
      <c r="I1332" s="8" t="inlineStr">
        <is>
          <t>Bowling Scoring Monitors</t>
        </is>
      </c>
      <c r="J1332" s="11" t="inlineStr">
        <is>
          <t>52 screens</t>
        </is>
      </c>
      <c r="K1332" s="8" t="inlineStr">
        <is>
          <t>Your ad will appear on the 52-screen scoring monitors in the installation bowling center.</t>
        </is>
      </c>
      <c r="L1332" s="11" t="n">
        <v>1</v>
      </c>
      <c r="M1332" s="12" t="n">
        <v>500</v>
      </c>
      <c r="N1332" s="12" t="n"/>
      <c r="O1332" s="12" t="n"/>
      <c r="P1332" s="12" t="n"/>
      <c r="Q1332" s="12" t="n"/>
      <c r="R1332" s="13">
        <f>IF(ISNUMBER(M1332),ROUND(M1332/(1-Settings!$B$2)/Settings!$B$3,0)*Settings!$B$3,"")</f>
        <v/>
      </c>
      <c r="S1332" s="13">
        <f>IF(ISNUMBER(N1332),ROUND(N1332/(1-Settings!$B$2)/Settings!$B$3,0)*Settings!$B$3,"")</f>
        <v/>
      </c>
      <c r="T1332" s="13">
        <f>IF(ISNUMBER(O1332),ROUND(O1332/(1-Settings!$B$2)/Settings!$B$3,0)*Settings!$B$3,"")</f>
        <v/>
      </c>
      <c r="U1332" s="13">
        <f>IF(ISNUMBER(P1332),ROUND(P1332/(1-Settings!$B$2)/Settings!$B$3,0)*Settings!$B$3,"")</f>
        <v/>
      </c>
      <c r="V1332" s="13">
        <f>IF(ISNUMBER(Q1332),ROUND(Q1332/(1-Settings!$B$2)/Settings!$B$3,0)*Settings!$B$3,"")</f>
        <v/>
      </c>
      <c r="W1332" s="14" t="n"/>
      <c r="X1332" s="14" t="n"/>
      <c r="Y1332" s="11" t="inlineStr">
        <is>
          <t>2026</t>
        </is>
      </c>
      <c r="Z1332" s="11" t="inlineStr">
        <is>
          <t>2026-06</t>
        </is>
      </c>
      <c r="AA1332" s="8" t="inlineStr"/>
      <c r="AB1332" s="8" t="inlineStr"/>
      <c r="AC1332" s="11" t="inlineStr">
        <is>
          <t>Military - National Digital Inventory Master 6.3.26.xlsx</t>
        </is>
      </c>
      <c r="AD1332" s="11" t="inlineStr">
        <is>
          <t>New POC_7.2026 &amp; Bowling Monitor Information.pdf</t>
        </is>
      </c>
      <c r="AE1332" s="15" t="inlineStr">
        <is>
          <t>Open in Box</t>
        </is>
      </c>
      <c r="AF1332" s="15" t="inlineStr">
        <is>
          <t>Open in Box</t>
        </is>
      </c>
    </row>
    <row r="1333">
      <c r="A1333" s="11" t="inlineStr">
        <is>
          <t>TX-FORTBLIS-003</t>
        </is>
      </c>
      <c r="B1333" s="8" t="inlineStr">
        <is>
          <t>Fort Bliss</t>
        </is>
      </c>
      <c r="C1333" s="11" t="inlineStr"/>
      <c r="D1333" s="11" t="inlineStr">
        <is>
          <t>TX</t>
        </is>
      </c>
      <c r="E1333" s="11" t="inlineStr">
        <is>
          <t>El Paso, TX</t>
        </is>
      </c>
      <c r="F1333" s="11" t="inlineStr"/>
      <c r="G1333" s="11" t="inlineStr">
        <is>
          <t>Army</t>
        </is>
      </c>
      <c r="H1333" s="11" t="inlineStr">
        <is>
          <t>Digital</t>
        </is>
      </c>
      <c r="I1333" s="8" t="inlineStr">
        <is>
          <t>Digital Marquee</t>
        </is>
      </c>
      <c r="J1333" s="11" t="inlineStr">
        <is>
          <t>5 screens</t>
        </is>
      </c>
      <c r="K1333" s="8" t="inlineStr">
        <is>
          <t>Your ad will appear on the 5-screen digital marquee(s) on the installation.</t>
        </is>
      </c>
      <c r="L1333" s="11" t="n">
        <v>1</v>
      </c>
      <c r="M1333" s="12" t="n">
        <v>2350</v>
      </c>
      <c r="N1333" s="12" t="n"/>
      <c r="O1333" s="12" t="n"/>
      <c r="P1333" s="12" t="n"/>
      <c r="Q1333" s="12" t="n"/>
      <c r="R1333" s="13">
        <f>IF(ISNUMBER(M1333),ROUND(M1333/(1-Settings!$B$2)/Settings!$B$3,0)*Settings!$B$3,"")</f>
        <v/>
      </c>
      <c r="S1333" s="13">
        <f>IF(ISNUMBER(N1333),ROUND(N1333/(1-Settings!$B$2)/Settings!$B$3,0)*Settings!$B$3,"")</f>
        <v/>
      </c>
      <c r="T1333" s="13">
        <f>IF(ISNUMBER(O1333),ROUND(O1333/(1-Settings!$B$2)/Settings!$B$3,0)*Settings!$B$3,"")</f>
        <v/>
      </c>
      <c r="U1333" s="13">
        <f>IF(ISNUMBER(P1333),ROUND(P1333/(1-Settings!$B$2)/Settings!$B$3,0)*Settings!$B$3,"")</f>
        <v/>
      </c>
      <c r="V1333" s="13">
        <f>IF(ISNUMBER(Q1333),ROUND(Q1333/(1-Settings!$B$2)/Settings!$B$3,0)*Settings!$B$3,"")</f>
        <v/>
      </c>
      <c r="W1333" s="14" t="n"/>
      <c r="X1333" s="14" t="n"/>
      <c r="Y1333" s="11" t="inlineStr">
        <is>
          <t>2026</t>
        </is>
      </c>
      <c r="Z1333" s="11" t="inlineStr">
        <is>
          <t>2026-06</t>
        </is>
      </c>
      <c r="AA1333" s="8" t="inlineStr"/>
      <c r="AB1333" s="8" t="inlineStr"/>
      <c r="AC1333" s="11" t="inlineStr">
        <is>
          <t>Military - National Digital Inventory Master 6.3.26.xlsx</t>
        </is>
      </c>
      <c r="AD1333" s="11" t="inlineStr">
        <is>
          <t>New POC_7.2026 &amp; Bowling Monitor Information.pdf</t>
        </is>
      </c>
      <c r="AE1333" s="15" t="inlineStr">
        <is>
          <t>Open in Box</t>
        </is>
      </c>
      <c r="AF1333" s="15" t="inlineStr">
        <is>
          <t>Open in Box</t>
        </is>
      </c>
    </row>
    <row r="1334">
      <c r="A1334" s="11" t="inlineStr">
        <is>
          <t>TX-FORTBLIS-001</t>
        </is>
      </c>
      <c r="B1334" s="8" t="inlineStr">
        <is>
          <t>Fort Bliss</t>
        </is>
      </c>
      <c r="C1334" s="11" t="inlineStr"/>
      <c r="D1334" s="11" t="inlineStr">
        <is>
          <t>TX</t>
        </is>
      </c>
      <c r="E1334" s="11" t="inlineStr">
        <is>
          <t>El Paso, TX</t>
        </is>
      </c>
      <c r="F1334" s="11" t="inlineStr"/>
      <c r="G1334" s="11" t="inlineStr">
        <is>
          <t>Army</t>
        </is>
      </c>
      <c r="H1334" s="11" t="inlineStr">
        <is>
          <t>Digital</t>
        </is>
      </c>
      <c r="I1334" s="8" t="inlineStr">
        <is>
          <t>Digital Monitor Network</t>
        </is>
      </c>
      <c r="J1334" s="11" t="inlineStr">
        <is>
          <t>24 screens</t>
        </is>
      </c>
      <c r="K1334" s="8" t="inlineStr">
        <is>
          <t>Your ad will appear on the 24-screen digital monitor network in approved installation facilities.</t>
        </is>
      </c>
      <c r="L1334" s="11" t="n">
        <v>1</v>
      </c>
      <c r="M1334" s="12" t="n">
        <v>650</v>
      </c>
      <c r="N1334" s="12" t="n"/>
      <c r="O1334" s="12" t="n"/>
      <c r="P1334" s="12" t="n"/>
      <c r="Q1334" s="12" t="n"/>
      <c r="R1334" s="13">
        <f>IF(ISNUMBER(M1334),ROUND(M1334/(1-Settings!$B$2)/Settings!$B$3,0)*Settings!$B$3,"")</f>
        <v/>
      </c>
      <c r="S1334" s="13">
        <f>IF(ISNUMBER(N1334),ROUND(N1334/(1-Settings!$B$2)/Settings!$B$3,0)*Settings!$B$3,"")</f>
        <v/>
      </c>
      <c r="T1334" s="13">
        <f>IF(ISNUMBER(O1334),ROUND(O1334/(1-Settings!$B$2)/Settings!$B$3,0)*Settings!$B$3,"")</f>
        <v/>
      </c>
      <c r="U1334" s="13">
        <f>IF(ISNUMBER(P1334),ROUND(P1334/(1-Settings!$B$2)/Settings!$B$3,0)*Settings!$B$3,"")</f>
        <v/>
      </c>
      <c r="V1334" s="13">
        <f>IF(ISNUMBER(Q1334),ROUND(Q1334/(1-Settings!$B$2)/Settings!$B$3,0)*Settings!$B$3,"")</f>
        <v/>
      </c>
      <c r="W1334" s="14" t="n"/>
      <c r="X1334" s="14" t="n"/>
      <c r="Y1334" s="11" t="inlineStr">
        <is>
          <t>2026</t>
        </is>
      </c>
      <c r="Z1334" s="11" t="inlineStr">
        <is>
          <t>2026-06</t>
        </is>
      </c>
      <c r="AA1334" s="8" t="inlineStr"/>
      <c r="AB1334" s="8" t="inlineStr"/>
      <c r="AC1334" s="11" t="inlineStr">
        <is>
          <t>Military - National Digital Inventory Master 6.3.26.xlsx</t>
        </is>
      </c>
      <c r="AD1334" s="11" t="inlineStr">
        <is>
          <t>New POC_7.2026 &amp; Bowling Monitor Information.pdf</t>
        </is>
      </c>
      <c r="AE1334" s="15" t="inlineStr">
        <is>
          <t>Open in Box</t>
        </is>
      </c>
      <c r="AF1334" s="15" t="inlineStr">
        <is>
          <t>Open in Box</t>
        </is>
      </c>
    </row>
    <row r="1335">
      <c r="A1335" s="11" t="inlineStr">
        <is>
          <t>TX-FORTBLIS-005</t>
        </is>
      </c>
      <c r="B1335" s="8" t="inlineStr">
        <is>
          <t>Fort Bliss</t>
        </is>
      </c>
      <c r="C1335" s="11" t="inlineStr"/>
      <c r="D1335" s="11" t="inlineStr">
        <is>
          <t>TX</t>
        </is>
      </c>
      <c r="E1335" s="11" t="inlineStr">
        <is>
          <t>El Paso, TX</t>
        </is>
      </c>
      <c r="F1335" s="11" t="inlineStr"/>
      <c r="G1335" s="11" t="inlineStr">
        <is>
          <t>Army</t>
        </is>
      </c>
      <c r="H1335" s="11" t="inlineStr">
        <is>
          <t>Print &amp; Publications</t>
        </is>
      </c>
      <c r="I1335" s="8" t="inlineStr">
        <is>
          <t>Magazine Ad</t>
        </is>
      </c>
      <c r="J1335" s="11" t="inlineStr"/>
      <c r="K1335" s="8" t="inlineStr">
        <is>
          <t>Your ad will appear in the installation magazine.</t>
        </is>
      </c>
      <c r="L1335" s="11" t="n">
        <v>1</v>
      </c>
      <c r="M1335" s="12" t="n">
        <v>2000</v>
      </c>
      <c r="N1335" s="12" t="n"/>
      <c r="O1335" s="12" t="n"/>
      <c r="P1335" s="12" t="n"/>
      <c r="Q1335" s="12" t="n"/>
      <c r="R1335" s="13">
        <f>IF(ISNUMBER(M1335),ROUND(M1335/(1-Settings!$B$2)/Settings!$B$3,0)*Settings!$B$3,"")</f>
        <v/>
      </c>
      <c r="S1335" s="13">
        <f>IF(ISNUMBER(N1335),ROUND(N1335/(1-Settings!$B$2)/Settings!$B$3,0)*Settings!$B$3,"")</f>
        <v/>
      </c>
      <c r="T1335" s="13">
        <f>IF(ISNUMBER(O1335),ROUND(O1335/(1-Settings!$B$2)/Settings!$B$3,0)*Settings!$B$3,"")</f>
        <v/>
      </c>
      <c r="U1335" s="13">
        <f>IF(ISNUMBER(P1335),ROUND(P1335/(1-Settings!$B$2)/Settings!$B$3,0)*Settings!$B$3,"")</f>
        <v/>
      </c>
      <c r="V1335" s="13">
        <f>IF(ISNUMBER(Q1335),ROUND(Q1335/(1-Settings!$B$2)/Settings!$B$3,0)*Settings!$B$3,"")</f>
        <v/>
      </c>
      <c r="W1335" s="14" t="n">
        <v>33638</v>
      </c>
      <c r="X1335" s="14" t="n">
        <v>41000</v>
      </c>
      <c r="Y1335" s="11" t="inlineStr">
        <is>
          <t>2026</t>
        </is>
      </c>
      <c r="Z1335" s="11" t="inlineStr">
        <is>
          <t>2026-06</t>
        </is>
      </c>
      <c r="AA1335" s="8" t="inlineStr">
        <is>
          <t>Printed bi-monthly; price is per issue</t>
        </is>
      </c>
      <c r="AB1335" s="8" t="inlineStr"/>
      <c r="AC1335" s="11" t="inlineStr">
        <is>
          <t>Military - National Publication Inventory Master_June 2026.xlsx</t>
        </is>
      </c>
      <c r="AD1335" s="11" t="inlineStr">
        <is>
          <t>New POC_7.2026 &amp; Bowling Monitor Information.pdf</t>
        </is>
      </c>
      <c r="AE1335" s="15" t="inlineStr">
        <is>
          <t>Open in Box</t>
        </is>
      </c>
      <c r="AF1335" s="15" t="inlineStr">
        <is>
          <t>Open in Box</t>
        </is>
      </c>
    </row>
    <row r="1336">
      <c r="A1336" s="11" t="inlineStr">
        <is>
          <t>TX-FORTBLIS-004</t>
        </is>
      </c>
      <c r="B1336" s="8" t="inlineStr">
        <is>
          <t>Fort Bliss</t>
        </is>
      </c>
      <c r="C1336" s="11" t="inlineStr"/>
      <c r="D1336" s="11" t="inlineStr">
        <is>
          <t>TX</t>
        </is>
      </c>
      <c r="E1336" s="11" t="inlineStr">
        <is>
          <t>El Paso, TX</t>
        </is>
      </c>
      <c r="F1336" s="11" t="inlineStr"/>
      <c r="G1336" s="11" t="inlineStr">
        <is>
          <t>Army</t>
        </is>
      </c>
      <c r="H1336" s="11" t="inlineStr">
        <is>
          <t>Web &amp; Email</t>
        </is>
      </c>
      <c r="I1336" s="8" t="inlineStr">
        <is>
          <t>Web Ad</t>
        </is>
      </c>
      <c r="J1336" s="11" t="inlineStr"/>
      <c r="K1336" s="8" t="inlineStr">
        <is>
          <t>Your ad will appear on the installation MWR / FSS website.</t>
        </is>
      </c>
      <c r="L1336" s="11" t="n">
        <v>1</v>
      </c>
      <c r="M1336" s="12" t="n">
        <v>600</v>
      </c>
      <c r="N1336" s="12" t="n"/>
      <c r="O1336" s="12" t="n"/>
      <c r="P1336" s="12" t="n"/>
      <c r="Q1336" s="12" t="n"/>
      <c r="R1336" s="13">
        <f>IF(ISNUMBER(M1336),ROUND(M1336/(1-Settings!$B$2)/Settings!$B$3,0)*Settings!$B$3,"")</f>
        <v/>
      </c>
      <c r="S1336" s="13">
        <f>IF(ISNUMBER(N1336),ROUND(N1336/(1-Settings!$B$2)/Settings!$B$3,0)*Settings!$B$3,"")</f>
        <v/>
      </c>
      <c r="T1336" s="13">
        <f>IF(ISNUMBER(O1336),ROUND(O1336/(1-Settings!$B$2)/Settings!$B$3,0)*Settings!$B$3,"")</f>
        <v/>
      </c>
      <c r="U1336" s="13">
        <f>IF(ISNUMBER(P1336),ROUND(P1336/(1-Settings!$B$2)/Settings!$B$3,0)*Settings!$B$3,"")</f>
        <v/>
      </c>
      <c r="V1336" s="13">
        <f>IF(ISNUMBER(Q1336),ROUND(Q1336/(1-Settings!$B$2)/Settings!$B$3,0)*Settings!$B$3,"")</f>
        <v/>
      </c>
      <c r="W1336" s="14" t="n">
        <v>33638</v>
      </c>
      <c r="X1336" s="14" t="n">
        <v>41000</v>
      </c>
      <c r="Y1336" s="11" t="inlineStr">
        <is>
          <t>2026</t>
        </is>
      </c>
      <c r="Z1336" s="11" t="inlineStr">
        <is>
          <t>2026-06</t>
        </is>
      </c>
      <c r="AA1336" s="8" t="inlineStr">
        <is>
          <t>Printed bi-monthly; price is per issue</t>
        </is>
      </c>
      <c r="AB1336" s="8" t="inlineStr"/>
      <c r="AC1336" s="11" t="inlineStr">
        <is>
          <t>Military - National Publication Inventory Master_June 2026.xlsx</t>
        </is>
      </c>
      <c r="AD1336" s="11" t="inlineStr">
        <is>
          <t>New POC_7.2026 &amp; Bowling Monitor Information.pdf</t>
        </is>
      </c>
      <c r="AE1336" s="15" t="inlineStr">
        <is>
          <t>Open in Box</t>
        </is>
      </c>
      <c r="AF1336" s="15" t="inlineStr">
        <is>
          <t>Open in Box</t>
        </is>
      </c>
    </row>
    <row r="1337">
      <c r="A1337" s="11" t="inlineStr">
        <is>
          <t>TX-FORTHOOD-002</t>
        </is>
      </c>
      <c r="B1337" s="8" t="inlineStr">
        <is>
          <t>Fort Hood</t>
        </is>
      </c>
      <c r="C1337" s="11" t="inlineStr"/>
      <c r="D1337" s="11" t="inlineStr">
        <is>
          <t>TX</t>
        </is>
      </c>
      <c r="E1337" s="11" t="inlineStr">
        <is>
          <t>Waco-Temple-Bryan, TX</t>
        </is>
      </c>
      <c r="F1337" s="11" t="inlineStr"/>
      <c r="G1337" s="11" t="inlineStr">
        <is>
          <t>Army</t>
        </is>
      </c>
      <c r="H1337" s="11" t="inlineStr">
        <is>
          <t>Digital</t>
        </is>
      </c>
      <c r="I1337" s="8" t="inlineStr">
        <is>
          <t>Bowling Scoring Monitors</t>
        </is>
      </c>
      <c r="J1337" s="11" t="inlineStr">
        <is>
          <t>48 screens</t>
        </is>
      </c>
      <c r="K1337" s="8" t="inlineStr">
        <is>
          <t>Your ad will appear on the 48-screen scoring monitors in the installation bowling center.</t>
        </is>
      </c>
      <c r="L1337" s="11" t="n">
        <v>1</v>
      </c>
      <c r="M1337" s="12" t="n">
        <v>325</v>
      </c>
      <c r="N1337" s="12" t="n"/>
      <c r="O1337" s="12" t="n"/>
      <c r="P1337" s="12" t="n"/>
      <c r="Q1337" s="12" t="n"/>
      <c r="R1337" s="13">
        <f>IF(ISNUMBER(M1337),ROUND(M1337/(1-Settings!$B$2)/Settings!$B$3,0)*Settings!$B$3,"")</f>
        <v/>
      </c>
      <c r="S1337" s="13">
        <f>IF(ISNUMBER(N1337),ROUND(N1337/(1-Settings!$B$2)/Settings!$B$3,0)*Settings!$B$3,"")</f>
        <v/>
      </c>
      <c r="T1337" s="13">
        <f>IF(ISNUMBER(O1337),ROUND(O1337/(1-Settings!$B$2)/Settings!$B$3,0)*Settings!$B$3,"")</f>
        <v/>
      </c>
      <c r="U1337" s="13">
        <f>IF(ISNUMBER(P1337),ROUND(P1337/(1-Settings!$B$2)/Settings!$B$3,0)*Settings!$B$3,"")</f>
        <v/>
      </c>
      <c r="V1337" s="13">
        <f>IF(ISNUMBER(Q1337),ROUND(Q1337/(1-Settings!$B$2)/Settings!$B$3,0)*Settings!$B$3,"")</f>
        <v/>
      </c>
      <c r="W1337" s="14" t="n">
        <v>36697</v>
      </c>
      <c r="X1337" s="14" t="n">
        <v>47118</v>
      </c>
      <c r="Y1337" s="11" t="inlineStr">
        <is>
          <t>2026</t>
        </is>
      </c>
      <c r="Z1337" s="11" t="inlineStr">
        <is>
          <t>2026-06</t>
        </is>
      </c>
      <c r="AA1337" s="8" t="inlineStr"/>
      <c r="AB1337" s="8" t="inlineStr"/>
      <c r="AC1337" s="11" t="inlineStr">
        <is>
          <t>Military - National Digital Inventory Master 6.3.26.xlsx</t>
        </is>
      </c>
      <c r="AD1337" s="11" t="inlineStr">
        <is>
          <t>BLORA Skelebration 2026 Proposal.pdf</t>
        </is>
      </c>
      <c r="AE1337" s="15" t="inlineStr">
        <is>
          <t>Open in Box</t>
        </is>
      </c>
      <c r="AF1337" s="15" t="inlineStr">
        <is>
          <t>Open in Box</t>
        </is>
      </c>
    </row>
    <row r="1338">
      <c r="A1338" s="11" t="inlineStr">
        <is>
          <t>TX-FORTHOOD-003</t>
        </is>
      </c>
      <c r="B1338" s="8" t="inlineStr">
        <is>
          <t>Fort Hood</t>
        </is>
      </c>
      <c r="C1338" s="11" t="inlineStr"/>
      <c r="D1338" s="11" t="inlineStr">
        <is>
          <t>TX</t>
        </is>
      </c>
      <c r="E1338" s="11" t="inlineStr">
        <is>
          <t>Waco-Temple-Bryan, TX</t>
        </is>
      </c>
      <c r="F1338" s="11" t="inlineStr"/>
      <c r="G1338" s="11" t="inlineStr">
        <is>
          <t>Army</t>
        </is>
      </c>
      <c r="H1338" s="11" t="inlineStr">
        <is>
          <t>Digital</t>
        </is>
      </c>
      <c r="I1338" s="8" t="inlineStr">
        <is>
          <t>Digital Marquee</t>
        </is>
      </c>
      <c r="J1338" s="11" t="inlineStr">
        <is>
          <t>4 screens</t>
        </is>
      </c>
      <c r="K1338" s="8" t="inlineStr">
        <is>
          <t>Your ad will appear on the 4-screen digital marquee(s) on the installation.</t>
        </is>
      </c>
      <c r="L1338" s="11" t="n">
        <v>1</v>
      </c>
      <c r="M1338" s="12" t="n">
        <v>3000</v>
      </c>
      <c r="N1338" s="12" t="n"/>
      <c r="O1338" s="12" t="n"/>
      <c r="P1338" s="12" t="n"/>
      <c r="Q1338" s="12" t="n"/>
      <c r="R1338" s="13">
        <f>IF(ISNUMBER(M1338),ROUND(M1338/(1-Settings!$B$2)/Settings!$B$3,0)*Settings!$B$3,"")</f>
        <v/>
      </c>
      <c r="S1338" s="13">
        <f>IF(ISNUMBER(N1338),ROUND(N1338/(1-Settings!$B$2)/Settings!$B$3,0)*Settings!$B$3,"")</f>
        <v/>
      </c>
      <c r="T1338" s="13">
        <f>IF(ISNUMBER(O1338),ROUND(O1338/(1-Settings!$B$2)/Settings!$B$3,0)*Settings!$B$3,"")</f>
        <v/>
      </c>
      <c r="U1338" s="13">
        <f>IF(ISNUMBER(P1338),ROUND(P1338/(1-Settings!$B$2)/Settings!$B$3,0)*Settings!$B$3,"")</f>
        <v/>
      </c>
      <c r="V1338" s="13">
        <f>IF(ISNUMBER(Q1338),ROUND(Q1338/(1-Settings!$B$2)/Settings!$B$3,0)*Settings!$B$3,"")</f>
        <v/>
      </c>
      <c r="W1338" s="14" t="n">
        <v>36697</v>
      </c>
      <c r="X1338" s="14" t="n">
        <v>47118</v>
      </c>
      <c r="Y1338" s="11" t="inlineStr">
        <is>
          <t>2026</t>
        </is>
      </c>
      <c r="Z1338" s="11" t="inlineStr">
        <is>
          <t>2026-06</t>
        </is>
      </c>
      <c r="AA1338" s="8" t="inlineStr"/>
      <c r="AB1338" s="8" t="inlineStr"/>
      <c r="AC1338" s="11" t="inlineStr">
        <is>
          <t>Military - National Digital Inventory Master 6.3.26.xlsx</t>
        </is>
      </c>
      <c r="AD1338" s="11" t="inlineStr">
        <is>
          <t>BLORA Skelebration 2026 Proposal.pdf</t>
        </is>
      </c>
      <c r="AE1338" s="15" t="inlineStr">
        <is>
          <t>Open in Box</t>
        </is>
      </c>
      <c r="AF1338" s="15" t="inlineStr">
        <is>
          <t>Open in Box</t>
        </is>
      </c>
    </row>
    <row r="1339">
      <c r="A1339" s="11" t="inlineStr">
        <is>
          <t>TX-FORTHOOD-001</t>
        </is>
      </c>
      <c r="B1339" s="8" t="inlineStr">
        <is>
          <t>Fort Hood</t>
        </is>
      </c>
      <c r="C1339" s="11" t="inlineStr"/>
      <c r="D1339" s="11" t="inlineStr">
        <is>
          <t>TX</t>
        </is>
      </c>
      <c r="E1339" s="11" t="inlineStr">
        <is>
          <t>Waco-Temple-Bryan, TX</t>
        </is>
      </c>
      <c r="F1339" s="11" t="inlineStr"/>
      <c r="G1339" s="11" t="inlineStr">
        <is>
          <t>Army</t>
        </is>
      </c>
      <c r="H1339" s="11" t="inlineStr">
        <is>
          <t>Digital</t>
        </is>
      </c>
      <c r="I1339" s="8" t="inlineStr">
        <is>
          <t>Digital Monitor Network</t>
        </is>
      </c>
      <c r="J1339" s="11" t="inlineStr">
        <is>
          <t>24 screens</t>
        </is>
      </c>
      <c r="K1339" s="8" t="inlineStr">
        <is>
          <t>Your ad will appear on the 24-screen digital monitor network in approved installation facilities.</t>
        </is>
      </c>
      <c r="L1339" s="11" t="n">
        <v>1</v>
      </c>
      <c r="M1339" s="12" t="n">
        <v>675</v>
      </c>
      <c r="N1339" s="12" t="n"/>
      <c r="O1339" s="12" t="n"/>
      <c r="P1339" s="12" t="n"/>
      <c r="Q1339" s="12" t="n"/>
      <c r="R1339" s="13">
        <f>IF(ISNUMBER(M1339),ROUND(M1339/(1-Settings!$B$2)/Settings!$B$3,0)*Settings!$B$3,"")</f>
        <v/>
      </c>
      <c r="S1339" s="13">
        <f>IF(ISNUMBER(N1339),ROUND(N1339/(1-Settings!$B$2)/Settings!$B$3,0)*Settings!$B$3,"")</f>
        <v/>
      </c>
      <c r="T1339" s="13">
        <f>IF(ISNUMBER(O1339),ROUND(O1339/(1-Settings!$B$2)/Settings!$B$3,0)*Settings!$B$3,"")</f>
        <v/>
      </c>
      <c r="U1339" s="13">
        <f>IF(ISNUMBER(P1339),ROUND(P1339/(1-Settings!$B$2)/Settings!$B$3,0)*Settings!$B$3,"")</f>
        <v/>
      </c>
      <c r="V1339" s="13">
        <f>IF(ISNUMBER(Q1339),ROUND(Q1339/(1-Settings!$B$2)/Settings!$B$3,0)*Settings!$B$3,"")</f>
        <v/>
      </c>
      <c r="W1339" s="14" t="n">
        <v>36697</v>
      </c>
      <c r="X1339" s="14" t="n">
        <v>47118</v>
      </c>
      <c r="Y1339" s="11" t="inlineStr">
        <is>
          <t>2026</t>
        </is>
      </c>
      <c r="Z1339" s="11" t="inlineStr">
        <is>
          <t>2026-06</t>
        </is>
      </c>
      <c r="AA1339" s="8" t="inlineStr"/>
      <c r="AB1339" s="8" t="inlineStr"/>
      <c r="AC1339" s="11" t="inlineStr">
        <is>
          <t>Military - National Digital Inventory Master 6.3.26.xlsx</t>
        </is>
      </c>
      <c r="AD1339" s="11" t="inlineStr">
        <is>
          <t>BLORA Skelebration 2026 Proposal.pdf</t>
        </is>
      </c>
      <c r="AE1339" s="15" t="inlineStr">
        <is>
          <t>Open in Box</t>
        </is>
      </c>
      <c r="AF1339" s="15" t="inlineStr">
        <is>
          <t>Open in Box</t>
        </is>
      </c>
    </row>
    <row r="1340">
      <c r="A1340" s="11" t="inlineStr">
        <is>
          <t>TX-FORTHOOD-005</t>
        </is>
      </c>
      <c r="B1340" s="8" t="inlineStr">
        <is>
          <t>Fort Hood</t>
        </is>
      </c>
      <c r="C1340" s="11" t="inlineStr"/>
      <c r="D1340" s="11" t="inlineStr">
        <is>
          <t>TX</t>
        </is>
      </c>
      <c r="E1340" s="11" t="inlineStr">
        <is>
          <t>Waco-Temple-Bryan, TX</t>
        </is>
      </c>
      <c r="F1340" s="11" t="inlineStr"/>
      <c r="G1340" s="11" t="inlineStr">
        <is>
          <t>Army</t>
        </is>
      </c>
      <c r="H1340" s="11" t="inlineStr">
        <is>
          <t>Print &amp; Publications</t>
        </is>
      </c>
      <c r="I1340" s="8" t="inlineStr">
        <is>
          <t>Guide / Map Ad</t>
        </is>
      </c>
      <c r="J1340" s="11" t="inlineStr"/>
      <c r="K1340" s="8" t="inlineStr">
        <is>
          <t>Your ad will appear in the installation guide or map.</t>
        </is>
      </c>
      <c r="L1340" s="11" t="n">
        <v>6</v>
      </c>
      <c r="M1340" s="12" t="n"/>
      <c r="N1340" s="12" t="n"/>
      <c r="O1340" s="12" t="n">
        <v>42000</v>
      </c>
      <c r="P1340" s="12" t="n"/>
      <c r="Q1340" s="12" t="n"/>
      <c r="R1340" s="13">
        <f>IF(ISNUMBER(M1340),ROUND(M1340/(1-Settings!$B$2)/Settings!$B$3,0)*Settings!$B$3,"")</f>
        <v/>
      </c>
      <c r="S1340" s="13">
        <f>IF(ISNUMBER(N1340),ROUND(N1340/(1-Settings!$B$2)/Settings!$B$3,0)*Settings!$B$3,"")</f>
        <v/>
      </c>
      <c r="T1340" s="13">
        <f>IF(ISNUMBER(O1340),ROUND(O1340/(1-Settings!$B$2)/Settings!$B$3,0)*Settings!$B$3,"")</f>
        <v/>
      </c>
      <c r="U1340" s="13">
        <f>IF(ISNUMBER(P1340),ROUND(P1340/(1-Settings!$B$2)/Settings!$B$3,0)*Settings!$B$3,"")</f>
        <v/>
      </c>
      <c r="V1340" s="13">
        <f>IF(ISNUMBER(Q1340),ROUND(Q1340/(1-Settings!$B$2)/Settings!$B$3,0)*Settings!$B$3,"")</f>
        <v/>
      </c>
      <c r="W1340" s="14" t="n">
        <v>36697</v>
      </c>
      <c r="X1340" s="14" t="n">
        <v>47118</v>
      </c>
      <c r="Y1340" s="11" t="inlineStr">
        <is>
          <t>2026</t>
        </is>
      </c>
      <c r="Z1340" s="11" t="inlineStr">
        <is>
          <t>2026-06</t>
        </is>
      </c>
      <c r="AA1340" s="8" t="inlineStr">
        <is>
          <t>6-month commitment</t>
        </is>
      </c>
      <c r="AB1340" s="8" t="inlineStr"/>
      <c r="AC1340" s="11" t="inlineStr">
        <is>
          <t>Military - National Publication Inventory Master_June 2026.xlsx</t>
        </is>
      </c>
      <c r="AD1340" s="11" t="inlineStr">
        <is>
          <t>BLORA Skelebration 2026 Proposal.pdf</t>
        </is>
      </c>
      <c r="AE1340" s="15" t="inlineStr">
        <is>
          <t>Open in Box</t>
        </is>
      </c>
      <c r="AF1340" s="15" t="inlineStr">
        <is>
          <t>Open in Box</t>
        </is>
      </c>
    </row>
    <row r="1341">
      <c r="A1341" s="11" t="inlineStr">
        <is>
          <t>TX-FORTHOOD-004</t>
        </is>
      </c>
      <c r="B1341" s="8" t="inlineStr">
        <is>
          <t>Fort Hood</t>
        </is>
      </c>
      <c r="C1341" s="11" t="inlineStr"/>
      <c r="D1341" s="11" t="inlineStr">
        <is>
          <t>TX</t>
        </is>
      </c>
      <c r="E1341" s="11" t="inlineStr">
        <is>
          <t>Waco-Temple-Bryan, TX</t>
        </is>
      </c>
      <c r="F1341" s="11" t="inlineStr"/>
      <c r="G1341" s="11" t="inlineStr">
        <is>
          <t>Army</t>
        </is>
      </c>
      <c r="H1341" s="11" t="inlineStr">
        <is>
          <t>Web &amp; Email</t>
        </is>
      </c>
      <c r="I1341" s="8" t="inlineStr">
        <is>
          <t>Web Ad</t>
        </is>
      </c>
      <c r="J1341" s="11" t="inlineStr"/>
      <c r="K1341" s="8" t="inlineStr">
        <is>
          <t>Your ad will appear on the installation MWR / FSS website.</t>
        </is>
      </c>
      <c r="L1341" s="11" t="n">
        <v>6</v>
      </c>
      <c r="M1341" s="12" t="n"/>
      <c r="N1341" s="12" t="n"/>
      <c r="O1341" s="12" t="n">
        <v>2850</v>
      </c>
      <c r="P1341" s="12" t="n"/>
      <c r="Q1341" s="12" t="n"/>
      <c r="R1341" s="13">
        <f>IF(ISNUMBER(M1341),ROUND(M1341/(1-Settings!$B$2)/Settings!$B$3,0)*Settings!$B$3,"")</f>
        <v/>
      </c>
      <c r="S1341" s="13">
        <f>IF(ISNUMBER(N1341),ROUND(N1341/(1-Settings!$B$2)/Settings!$B$3,0)*Settings!$B$3,"")</f>
        <v/>
      </c>
      <c r="T1341" s="13">
        <f>IF(ISNUMBER(O1341),ROUND(O1341/(1-Settings!$B$2)/Settings!$B$3,0)*Settings!$B$3,"")</f>
        <v/>
      </c>
      <c r="U1341" s="13">
        <f>IF(ISNUMBER(P1341),ROUND(P1341/(1-Settings!$B$2)/Settings!$B$3,0)*Settings!$B$3,"")</f>
        <v/>
      </c>
      <c r="V1341" s="13">
        <f>IF(ISNUMBER(Q1341),ROUND(Q1341/(1-Settings!$B$2)/Settings!$B$3,0)*Settings!$B$3,"")</f>
        <v/>
      </c>
      <c r="W1341" s="14" t="n">
        <v>36697</v>
      </c>
      <c r="X1341" s="14" t="n">
        <v>47118</v>
      </c>
      <c r="Y1341" s="11" t="inlineStr">
        <is>
          <t>2026</t>
        </is>
      </c>
      <c r="Z1341" s="11" t="inlineStr">
        <is>
          <t>2026-06</t>
        </is>
      </c>
      <c r="AA1341" s="8" t="inlineStr">
        <is>
          <t>6-month commitment</t>
        </is>
      </c>
      <c r="AB1341" s="8" t="inlineStr"/>
      <c r="AC1341" s="11" t="inlineStr">
        <is>
          <t>Military - National Publication Inventory Master_June 2026.xlsx</t>
        </is>
      </c>
      <c r="AD1341" s="11" t="inlineStr">
        <is>
          <t>BLORA Skelebration 2026 Proposal.pdf</t>
        </is>
      </c>
      <c r="AE1341" s="15" t="inlineStr">
        <is>
          <t>Open in Box</t>
        </is>
      </c>
      <c r="AF1341" s="15" t="inlineStr">
        <is>
          <t>Open in Box</t>
        </is>
      </c>
    </row>
    <row r="1342">
      <c r="A1342" s="11" t="inlineStr">
        <is>
          <t>TX-FORTSAMH-001</t>
        </is>
      </c>
      <c r="B1342" s="8" t="inlineStr">
        <is>
          <t>Fort Sam Houston</t>
        </is>
      </c>
      <c r="C1342" s="11" t="inlineStr">
        <is>
          <t>JB San Antonio</t>
        </is>
      </c>
      <c r="D1342" s="11" t="inlineStr">
        <is>
          <t>TX</t>
        </is>
      </c>
      <c r="E1342" s="11" t="inlineStr">
        <is>
          <t>San Antonio</t>
        </is>
      </c>
      <c r="F1342" s="11" t="inlineStr">
        <is>
          <t>78234</t>
        </is>
      </c>
      <c r="G1342" s="11" t="inlineStr">
        <is>
          <t>Army</t>
        </is>
      </c>
      <c r="H1342" s="11" t="inlineStr">
        <is>
          <t>Digital</t>
        </is>
      </c>
      <c r="I1342" s="8" t="inlineStr">
        <is>
          <t>Bowling Masking Unit</t>
        </is>
      </c>
      <c r="J1342" s="11" t="inlineStr">
        <is>
          <t>TBD</t>
        </is>
      </c>
      <c r="K1342" s="8" t="inlineStr">
        <is>
          <t>Your ad will appear at the bowling center at one lane.</t>
        </is>
      </c>
      <c r="L1342" s="11" t="n">
        <v>1</v>
      </c>
      <c r="M1342" s="12" t="n">
        <v>50</v>
      </c>
      <c r="N1342" s="12" t="n">
        <v>150</v>
      </c>
      <c r="O1342" s="12" t="n">
        <v>300</v>
      </c>
      <c r="P1342" s="12" t="n">
        <v>600</v>
      </c>
      <c r="Q1342" s="12" t="n"/>
      <c r="R1342" s="13">
        <f>IF(ISNUMBER(M1342),ROUND(M1342/(1-Settings!$B$2)/Settings!$B$3,0)*Settings!$B$3,"")</f>
        <v/>
      </c>
      <c r="S1342" s="13">
        <f>IF(ISNUMBER(N1342),ROUND(N1342/(1-Settings!$B$2)/Settings!$B$3,0)*Settings!$B$3,"")</f>
        <v/>
      </c>
      <c r="T1342" s="13">
        <f>IF(ISNUMBER(O1342),ROUND(O1342/(1-Settings!$B$2)/Settings!$B$3,0)*Settings!$B$3,"")</f>
        <v/>
      </c>
      <c r="U1342" s="13">
        <f>IF(ISNUMBER(P1342),ROUND(P1342/(1-Settings!$B$2)/Settings!$B$3,0)*Settings!$B$3,"")</f>
        <v/>
      </c>
      <c r="V1342" s="13">
        <f>IF(ISNUMBER(Q1342),ROUND(Q1342/(1-Settings!$B$2)/Settings!$B$3,0)*Settings!$B$3,"")</f>
        <v/>
      </c>
      <c r="W1342" s="14" t="n">
        <v>10721</v>
      </c>
      <c r="X1342" s="14" t="n">
        <v>14934</v>
      </c>
      <c r="Y1342" s="11" t="inlineStr"/>
      <c r="Z1342" s="11" t="inlineStr"/>
      <c r="AA1342" s="8" t="inlineStr"/>
      <c r="AB1342" s="8" t="inlineStr"/>
      <c r="AC1342" s="11" t="inlineStr">
        <is>
          <t>MasterMilitaryOnBaseList 12.2.25 NS.xlsx</t>
        </is>
      </c>
      <c r="AD1342" s="11" t="inlineStr">
        <is>
          <t>2026-Sponsorship-Brochure_ECM_Aug_14_2025_SinglePgs-.pdf</t>
        </is>
      </c>
      <c r="AE1342" s="15" t="inlineStr">
        <is>
          <t>Open in Box</t>
        </is>
      </c>
      <c r="AF1342" s="15" t="inlineStr">
        <is>
          <t>Open in Box</t>
        </is>
      </c>
    </row>
    <row r="1343">
      <c r="A1343" s="11" t="inlineStr">
        <is>
          <t>TX-FORTSAMH-002</t>
        </is>
      </c>
      <c r="B1343" s="8" t="inlineStr">
        <is>
          <t>Fort Sam Houston</t>
        </is>
      </c>
      <c r="C1343" s="11" t="inlineStr">
        <is>
          <t>JB San Antonio</t>
        </is>
      </c>
      <c r="D1343" s="11" t="inlineStr">
        <is>
          <t>TX</t>
        </is>
      </c>
      <c r="E1343" s="11" t="inlineStr">
        <is>
          <t>San Antonio</t>
        </is>
      </c>
      <c r="F1343" s="11" t="inlineStr">
        <is>
          <t>78234</t>
        </is>
      </c>
      <c r="G1343" s="11" t="inlineStr">
        <is>
          <t>Army</t>
        </is>
      </c>
      <c r="H1343" s="11" t="inlineStr">
        <is>
          <t>Digital</t>
        </is>
      </c>
      <c r="I1343" s="8" t="inlineStr">
        <is>
          <t>Bowling Scoring Monitors</t>
        </is>
      </c>
      <c r="J1343" s="11" t="inlineStr">
        <is>
          <t>1920pxW x 1080pxH</t>
        </is>
      </c>
      <c r="K1343" s="8" t="inlineStr">
        <is>
          <t>Your ad will appear on 24 digital bowling scoring monitors.</t>
        </is>
      </c>
      <c r="L1343" s="11" t="n">
        <v>1</v>
      </c>
      <c r="M1343" s="12" t="n">
        <v>150</v>
      </c>
      <c r="N1343" s="12" t="n">
        <v>450</v>
      </c>
      <c r="O1343" s="12" t="n">
        <v>900</v>
      </c>
      <c r="P1343" s="12" t="n">
        <v>1800</v>
      </c>
      <c r="Q1343" s="12" t="n">
        <v>0</v>
      </c>
      <c r="R1343" s="13">
        <f>IF(ISNUMBER(M1343),ROUND(M1343/(1-Settings!$B$2)/Settings!$B$3,0)*Settings!$B$3,"")</f>
        <v/>
      </c>
      <c r="S1343" s="13">
        <f>IF(ISNUMBER(N1343),ROUND(N1343/(1-Settings!$B$2)/Settings!$B$3,0)*Settings!$B$3,"")</f>
        <v/>
      </c>
      <c r="T1343" s="13">
        <f>IF(ISNUMBER(O1343),ROUND(O1343/(1-Settings!$B$2)/Settings!$B$3,0)*Settings!$B$3,"")</f>
        <v/>
      </c>
      <c r="U1343" s="13">
        <f>IF(ISNUMBER(P1343),ROUND(P1343/(1-Settings!$B$2)/Settings!$B$3,0)*Settings!$B$3,"")</f>
        <v/>
      </c>
      <c r="V1343" s="13">
        <f>IF(ISNUMBER(Q1343),ROUND(Q1343/(1-Settings!$B$2)/Settings!$B$3,0)*Settings!$B$3,"")</f>
        <v/>
      </c>
      <c r="W1343" s="14" t="n">
        <v>10721</v>
      </c>
      <c r="X1343" s="14" t="n">
        <v>14934</v>
      </c>
      <c r="Y1343" s="11" t="inlineStr"/>
      <c r="Z1343" s="11" t="inlineStr"/>
      <c r="AA1343" s="8" t="inlineStr"/>
      <c r="AB1343" s="8" t="inlineStr"/>
      <c r="AC1343" s="11" t="inlineStr">
        <is>
          <t>MasterMilitaryOnBaseList 12.2.25 NS.xlsx</t>
        </is>
      </c>
      <c r="AD1343" s="11" t="inlineStr">
        <is>
          <t>2026-Sponsorship-Brochure_ECM_Aug_14_2025_SinglePgs-.pdf</t>
        </is>
      </c>
      <c r="AE1343" s="15" t="inlineStr">
        <is>
          <t>Open in Box</t>
        </is>
      </c>
      <c r="AF1343" s="15" t="inlineStr">
        <is>
          <t>Open in Box</t>
        </is>
      </c>
    </row>
    <row r="1344">
      <c r="A1344" s="11" t="inlineStr">
        <is>
          <t>TX-FORTSAMH-003</t>
        </is>
      </c>
      <c r="B1344" s="8" t="inlineStr">
        <is>
          <t>Fort Sam Houston</t>
        </is>
      </c>
      <c r="C1344" s="11" t="inlineStr">
        <is>
          <t>JB San Antonio</t>
        </is>
      </c>
      <c r="D1344" s="11" t="inlineStr">
        <is>
          <t>TX</t>
        </is>
      </c>
      <c r="E1344" s="11" t="inlineStr">
        <is>
          <t>San Antonio</t>
        </is>
      </c>
      <c r="F1344" s="11" t="inlineStr">
        <is>
          <t>78234</t>
        </is>
      </c>
      <c r="G1344" s="11" t="inlineStr">
        <is>
          <t>Army</t>
        </is>
      </c>
      <c r="H1344" s="11" t="inlineStr">
        <is>
          <t>Digital</t>
        </is>
      </c>
      <c r="I1344" s="8" t="inlineStr">
        <is>
          <t>Digital Kiosk Network</t>
        </is>
      </c>
      <c r="J1344" s="11" t="inlineStr">
        <is>
          <t>1080pxW x 1920pxH</t>
        </is>
      </c>
      <c r="K1344" s="8" t="inlineStr">
        <is>
          <t>Your ad will appear on 20 digital monitors in approved installation facilities.</t>
        </is>
      </c>
      <c r="L1344" s="11" t="n">
        <v>1</v>
      </c>
      <c r="M1344" s="12" t="n">
        <v>800</v>
      </c>
      <c r="N1344" s="12" t="n">
        <v>2400</v>
      </c>
      <c r="O1344" s="12" t="n">
        <v>4800</v>
      </c>
      <c r="P1344" s="12" t="n">
        <v>9600</v>
      </c>
      <c r="Q1344" s="12" t="n">
        <v>0</v>
      </c>
      <c r="R1344" s="13">
        <f>IF(ISNUMBER(M1344),ROUND(M1344/(1-Settings!$B$2)/Settings!$B$3,0)*Settings!$B$3,"")</f>
        <v/>
      </c>
      <c r="S1344" s="13">
        <f>IF(ISNUMBER(N1344),ROUND(N1344/(1-Settings!$B$2)/Settings!$B$3,0)*Settings!$B$3,"")</f>
        <v/>
      </c>
      <c r="T1344" s="13">
        <f>IF(ISNUMBER(O1344),ROUND(O1344/(1-Settings!$B$2)/Settings!$B$3,0)*Settings!$B$3,"")</f>
        <v/>
      </c>
      <c r="U1344" s="13">
        <f>IF(ISNUMBER(P1344),ROUND(P1344/(1-Settings!$B$2)/Settings!$B$3,0)*Settings!$B$3,"")</f>
        <v/>
      </c>
      <c r="V1344" s="13">
        <f>IF(ISNUMBER(Q1344),ROUND(Q1344/(1-Settings!$B$2)/Settings!$B$3,0)*Settings!$B$3,"")</f>
        <v/>
      </c>
      <c r="W1344" s="14" t="n">
        <v>10721</v>
      </c>
      <c r="X1344" s="14" t="n">
        <v>14934</v>
      </c>
      <c r="Y1344" s="11" t="inlineStr"/>
      <c r="Z1344" s="11" t="inlineStr"/>
      <c r="AA1344" s="8" t="inlineStr">
        <is>
          <t>Inventory master 6/2026 lists Digital Monitor Network at $210 (1 mo); Inventory master 6/2026 lists Digital Kiosk Network at $920 (1 mo)</t>
        </is>
      </c>
      <c r="AB1344" s="8" t="inlineStr"/>
      <c r="AC1344" s="11" t="inlineStr">
        <is>
          <t>MasterMilitaryOnBaseList 12.2.25 NS.xlsx</t>
        </is>
      </c>
      <c r="AD1344" s="11" t="inlineStr">
        <is>
          <t>2026-Sponsorship-Brochure_ECM_Aug_14_2025_SinglePgs-.pdf</t>
        </is>
      </c>
      <c r="AE1344" s="15" t="inlineStr">
        <is>
          <t>Open in Box</t>
        </is>
      </c>
      <c r="AF1344" s="15" t="inlineStr">
        <is>
          <t>Open in Box</t>
        </is>
      </c>
    </row>
    <row r="1345">
      <c r="A1345" s="11" t="inlineStr">
        <is>
          <t>TX-FORTSAMH-004</t>
        </is>
      </c>
      <c r="B1345" s="8" t="inlineStr">
        <is>
          <t>Fort Sam Houston</t>
        </is>
      </c>
      <c r="C1345" s="11" t="inlineStr">
        <is>
          <t>JB San Antonio</t>
        </is>
      </c>
      <c r="D1345" s="11" t="inlineStr">
        <is>
          <t>TX</t>
        </is>
      </c>
      <c r="E1345" s="11" t="inlineStr">
        <is>
          <t>San Antonio</t>
        </is>
      </c>
      <c r="F1345" s="11" t="inlineStr">
        <is>
          <t>78234</t>
        </is>
      </c>
      <c r="G1345" s="11" t="inlineStr">
        <is>
          <t>Army</t>
        </is>
      </c>
      <c r="H1345" s="11" t="inlineStr">
        <is>
          <t>Digital</t>
        </is>
      </c>
      <c r="I1345" s="8" t="inlineStr">
        <is>
          <t>Theatre Program Ad</t>
        </is>
      </c>
      <c r="J1345" s="11" t="inlineStr">
        <is>
          <t>TBD</t>
        </is>
      </c>
      <c r="K1345" s="8" t="inlineStr">
        <is>
          <t>Your ad will appear in the Harlequin Theatre Program.</t>
        </is>
      </c>
      <c r="L1345" s="11" t="n">
        <v>12</v>
      </c>
      <c r="M1345" s="12" t="n"/>
      <c r="N1345" s="12" t="n"/>
      <c r="O1345" s="12" t="n"/>
      <c r="P1345" s="12" t="n">
        <v>1800</v>
      </c>
      <c r="Q1345" s="12" t="n">
        <v>0</v>
      </c>
      <c r="R1345" s="13">
        <f>IF(ISNUMBER(M1345),ROUND(M1345/(1-Settings!$B$2)/Settings!$B$3,0)*Settings!$B$3,"")</f>
        <v/>
      </c>
      <c r="S1345" s="13">
        <f>IF(ISNUMBER(N1345),ROUND(N1345/(1-Settings!$B$2)/Settings!$B$3,0)*Settings!$B$3,"")</f>
        <v/>
      </c>
      <c r="T1345" s="13">
        <f>IF(ISNUMBER(O1345),ROUND(O1345/(1-Settings!$B$2)/Settings!$B$3,0)*Settings!$B$3,"")</f>
        <v/>
      </c>
      <c r="U1345" s="13">
        <f>IF(ISNUMBER(P1345),ROUND(P1345/(1-Settings!$B$2)/Settings!$B$3,0)*Settings!$B$3,"")</f>
        <v/>
      </c>
      <c r="V1345" s="13">
        <f>IF(ISNUMBER(Q1345),ROUND(Q1345/(1-Settings!$B$2)/Settings!$B$3,0)*Settings!$B$3,"")</f>
        <v/>
      </c>
      <c r="W1345" s="14" t="n">
        <v>10721</v>
      </c>
      <c r="X1345" s="14" t="n">
        <v>14934</v>
      </c>
      <c r="Y1345" s="11" t="inlineStr"/>
      <c r="Z1345" s="11" t="inlineStr"/>
      <c r="AA1345" s="8" t="inlineStr"/>
      <c r="AB1345" s="16" t="inlineStr">
        <is>
          <t>Source formula errors</t>
        </is>
      </c>
      <c r="AC1345" s="11" t="inlineStr">
        <is>
          <t>MasterMilitaryOnBaseList 12.2.25 NS.xlsx</t>
        </is>
      </c>
      <c r="AD1345" s="11" t="inlineStr">
        <is>
          <t>2026-Sponsorship-Brochure_ECM_Aug_14_2025_SinglePgs-.pdf</t>
        </is>
      </c>
      <c r="AE1345" s="15" t="inlineStr">
        <is>
          <t>Open in Box</t>
        </is>
      </c>
      <c r="AF1345" s="15" t="inlineStr">
        <is>
          <t>Open in Box</t>
        </is>
      </c>
    </row>
    <row r="1346">
      <c r="A1346" s="11" t="inlineStr">
        <is>
          <t>TX-FORTSAMH-010</t>
        </is>
      </c>
      <c r="B1346" s="8" t="inlineStr">
        <is>
          <t>Fort Sam Houston</t>
        </is>
      </c>
      <c r="C1346" s="11" t="inlineStr">
        <is>
          <t>JB San Antonio</t>
        </is>
      </c>
      <c r="D1346" s="11" t="inlineStr">
        <is>
          <t>TX</t>
        </is>
      </c>
      <c r="E1346" s="11" t="inlineStr">
        <is>
          <t>San Antonio</t>
        </is>
      </c>
      <c r="F1346" s="11" t="inlineStr">
        <is>
          <t>78234</t>
        </is>
      </c>
      <c r="G1346" s="11" t="inlineStr">
        <is>
          <t>Army</t>
        </is>
      </c>
      <c r="H1346" s="11" t="inlineStr">
        <is>
          <t>Large Format</t>
        </is>
      </c>
      <c r="I1346" s="8" t="inlineStr">
        <is>
          <t>Floor Clings</t>
        </is>
      </c>
      <c r="J1346" s="11" t="inlineStr">
        <is>
          <t>45" Diameter</t>
        </is>
      </c>
      <c r="K1346" s="8" t="inlineStr">
        <is>
          <t>Your ad will appear at an approved installation facility.</t>
        </is>
      </c>
      <c r="L1346" s="11" t="n">
        <v>1</v>
      </c>
      <c r="M1346" s="12" t="n">
        <v>300</v>
      </c>
      <c r="N1346" s="12" t="n">
        <v>900</v>
      </c>
      <c r="O1346" s="12" t="n">
        <v>1800</v>
      </c>
      <c r="P1346" s="12" t="n">
        <v>3600</v>
      </c>
      <c r="Q1346" s="12" t="n"/>
      <c r="R1346" s="13">
        <f>IF(ISNUMBER(M1346),ROUND(M1346/(1-Settings!$B$2)/Settings!$B$3,0)*Settings!$B$3,"")</f>
        <v/>
      </c>
      <c r="S1346" s="13">
        <f>IF(ISNUMBER(N1346),ROUND(N1346/(1-Settings!$B$2)/Settings!$B$3,0)*Settings!$B$3,"")</f>
        <v/>
      </c>
      <c r="T1346" s="13">
        <f>IF(ISNUMBER(O1346),ROUND(O1346/(1-Settings!$B$2)/Settings!$B$3,0)*Settings!$B$3,"")</f>
        <v/>
      </c>
      <c r="U1346" s="13">
        <f>IF(ISNUMBER(P1346),ROUND(P1346/(1-Settings!$B$2)/Settings!$B$3,0)*Settings!$B$3,"")</f>
        <v/>
      </c>
      <c r="V1346" s="13">
        <f>IF(ISNUMBER(Q1346),ROUND(Q1346/(1-Settings!$B$2)/Settings!$B$3,0)*Settings!$B$3,"")</f>
        <v/>
      </c>
      <c r="W1346" s="14" t="n">
        <v>10721</v>
      </c>
      <c r="X1346" s="14" t="n">
        <v>14934</v>
      </c>
      <c r="Y1346" s="11" t="inlineStr"/>
      <c r="Z1346" s="11" t="inlineStr"/>
      <c r="AA1346" s="8" t="inlineStr"/>
      <c r="AB1346" s="8" t="inlineStr"/>
      <c r="AC1346" s="11" t="inlineStr">
        <is>
          <t>MasterMilitaryOnBaseList 12.2.25 NS.xlsx</t>
        </is>
      </c>
      <c r="AD1346" s="11" t="inlineStr">
        <is>
          <t>2026-Sponsorship-Brochure_ECM_Aug_14_2025_SinglePgs-.pdf</t>
        </is>
      </c>
      <c r="AE1346" s="15" t="inlineStr">
        <is>
          <t>Open in Box</t>
        </is>
      </c>
      <c r="AF1346" s="15" t="inlineStr">
        <is>
          <t>Open in Box</t>
        </is>
      </c>
    </row>
    <row r="1347">
      <c r="A1347" s="11" t="inlineStr">
        <is>
          <t>TX-FORTSAMH-011</t>
        </is>
      </c>
      <c r="B1347" s="8" t="inlineStr">
        <is>
          <t>Fort Sam Houston</t>
        </is>
      </c>
      <c r="C1347" s="11" t="inlineStr">
        <is>
          <t>JB San Antonio</t>
        </is>
      </c>
      <c r="D1347" s="11" t="inlineStr">
        <is>
          <t>TX</t>
        </is>
      </c>
      <c r="E1347" s="11" t="inlineStr">
        <is>
          <t>San Antonio</t>
        </is>
      </c>
      <c r="F1347" s="11" t="inlineStr">
        <is>
          <t>78234</t>
        </is>
      </c>
      <c r="G1347" s="11" t="inlineStr">
        <is>
          <t>Army</t>
        </is>
      </c>
      <c r="H1347" s="11" t="inlineStr">
        <is>
          <t>Large Format</t>
        </is>
      </c>
      <c r="I1347" s="8" t="inlineStr">
        <is>
          <t>Table Top Clings</t>
        </is>
      </c>
      <c r="J1347" s="11" t="inlineStr">
        <is>
          <t>30" Diameter</t>
        </is>
      </c>
      <c r="K1347" s="8" t="inlineStr">
        <is>
          <t>Your ad will appear up to 5 times at an approved installation table.</t>
        </is>
      </c>
      <c r="L1347" s="11" t="n">
        <v>1</v>
      </c>
      <c r="M1347" s="12" t="n">
        <v>300</v>
      </c>
      <c r="N1347" s="12" t="n">
        <v>900</v>
      </c>
      <c r="O1347" s="12" t="n">
        <v>1800</v>
      </c>
      <c r="P1347" s="12" t="n">
        <v>3600</v>
      </c>
      <c r="Q1347" s="12" t="n"/>
      <c r="R1347" s="13">
        <f>IF(ISNUMBER(M1347),ROUND(M1347/(1-Settings!$B$2)/Settings!$B$3,0)*Settings!$B$3,"")</f>
        <v/>
      </c>
      <c r="S1347" s="13">
        <f>IF(ISNUMBER(N1347),ROUND(N1347/(1-Settings!$B$2)/Settings!$B$3,0)*Settings!$B$3,"")</f>
        <v/>
      </c>
      <c r="T1347" s="13">
        <f>IF(ISNUMBER(O1347),ROUND(O1347/(1-Settings!$B$2)/Settings!$B$3,0)*Settings!$B$3,"")</f>
        <v/>
      </c>
      <c r="U1347" s="13">
        <f>IF(ISNUMBER(P1347),ROUND(P1347/(1-Settings!$B$2)/Settings!$B$3,0)*Settings!$B$3,"")</f>
        <v/>
      </c>
      <c r="V1347" s="13">
        <f>IF(ISNUMBER(Q1347),ROUND(Q1347/(1-Settings!$B$2)/Settings!$B$3,0)*Settings!$B$3,"")</f>
        <v/>
      </c>
      <c r="W1347" s="14" t="n">
        <v>10721</v>
      </c>
      <c r="X1347" s="14" t="n">
        <v>14934</v>
      </c>
      <c r="Y1347" s="11" t="inlineStr"/>
      <c r="Z1347" s="11" t="inlineStr"/>
      <c r="AA1347" s="8" t="inlineStr"/>
      <c r="AB1347" s="8" t="inlineStr"/>
      <c r="AC1347" s="11" t="inlineStr">
        <is>
          <t>MasterMilitaryOnBaseList 12.2.25 NS.xlsx</t>
        </is>
      </c>
      <c r="AD1347" s="11" t="inlineStr">
        <is>
          <t>2026-Sponsorship-Brochure_ECM_Aug_14_2025_SinglePgs-.pdf</t>
        </is>
      </c>
      <c r="AE1347" s="15" t="inlineStr">
        <is>
          <t>Open in Box</t>
        </is>
      </c>
      <c r="AF1347" s="15" t="inlineStr">
        <is>
          <t>Open in Box</t>
        </is>
      </c>
    </row>
    <row r="1348">
      <c r="A1348" s="11" t="inlineStr">
        <is>
          <t>TX-FORTSAMH-012</t>
        </is>
      </c>
      <c r="B1348" s="8" t="inlineStr">
        <is>
          <t>Fort Sam Houston</t>
        </is>
      </c>
      <c r="C1348" s="11" t="inlineStr">
        <is>
          <t>JB San Antonio</t>
        </is>
      </c>
      <c r="D1348" s="11" t="inlineStr">
        <is>
          <t>TX</t>
        </is>
      </c>
      <c r="E1348" s="11" t="inlineStr">
        <is>
          <t>San Antonio</t>
        </is>
      </c>
      <c r="F1348" s="11" t="inlineStr">
        <is>
          <t>78234</t>
        </is>
      </c>
      <c r="G1348" s="11" t="inlineStr">
        <is>
          <t>Army</t>
        </is>
      </c>
      <c r="H1348" s="11" t="inlineStr">
        <is>
          <t>Large Format</t>
        </is>
      </c>
      <c r="I1348" s="8" t="inlineStr">
        <is>
          <t>Window Cling</t>
        </is>
      </c>
      <c r="J1348" s="11" t="inlineStr">
        <is>
          <t>4'W x 10'H</t>
        </is>
      </c>
      <c r="K1348" s="8" t="inlineStr">
        <is>
          <t>Your ad will appear in an approved installation facility.</t>
        </is>
      </c>
      <c r="L1348" s="11" t="n">
        <v>1</v>
      </c>
      <c r="M1348" s="12" t="n">
        <v>400</v>
      </c>
      <c r="N1348" s="12" t="n">
        <v>1200</v>
      </c>
      <c r="O1348" s="12" t="n">
        <v>2400</v>
      </c>
      <c r="P1348" s="12" t="n">
        <v>4800</v>
      </c>
      <c r="Q1348" s="12" t="n"/>
      <c r="R1348" s="13">
        <f>IF(ISNUMBER(M1348),ROUND(M1348/(1-Settings!$B$2)/Settings!$B$3,0)*Settings!$B$3,"")</f>
        <v/>
      </c>
      <c r="S1348" s="13">
        <f>IF(ISNUMBER(N1348),ROUND(N1348/(1-Settings!$B$2)/Settings!$B$3,0)*Settings!$B$3,"")</f>
        <v/>
      </c>
      <c r="T1348" s="13">
        <f>IF(ISNUMBER(O1348),ROUND(O1348/(1-Settings!$B$2)/Settings!$B$3,0)*Settings!$B$3,"")</f>
        <v/>
      </c>
      <c r="U1348" s="13">
        <f>IF(ISNUMBER(P1348),ROUND(P1348/(1-Settings!$B$2)/Settings!$B$3,0)*Settings!$B$3,"")</f>
        <v/>
      </c>
      <c r="V1348" s="13">
        <f>IF(ISNUMBER(Q1348),ROUND(Q1348/(1-Settings!$B$2)/Settings!$B$3,0)*Settings!$B$3,"")</f>
        <v/>
      </c>
      <c r="W1348" s="14" t="n">
        <v>10721</v>
      </c>
      <c r="X1348" s="14" t="n">
        <v>14934</v>
      </c>
      <c r="Y1348" s="11" t="inlineStr"/>
      <c r="Z1348" s="11" t="inlineStr"/>
      <c r="AA1348" s="8" t="inlineStr"/>
      <c r="AB1348" s="8" t="inlineStr"/>
      <c r="AC1348" s="11" t="inlineStr">
        <is>
          <t>MasterMilitaryOnBaseList 12.2.25 NS.xlsx</t>
        </is>
      </c>
      <c r="AD1348" s="11" t="inlineStr">
        <is>
          <t>2026-Sponsorship-Brochure_ECM_Aug_14_2025_SinglePgs-.pdf</t>
        </is>
      </c>
      <c r="AE1348" s="15" t="inlineStr">
        <is>
          <t>Open in Box</t>
        </is>
      </c>
      <c r="AF1348" s="15" t="inlineStr">
        <is>
          <t>Open in Box</t>
        </is>
      </c>
    </row>
    <row r="1349">
      <c r="A1349" s="11" t="inlineStr">
        <is>
          <t>TX-FORTSAMH-013</t>
        </is>
      </c>
      <c r="B1349" s="8" t="inlineStr">
        <is>
          <t>Fort Sam Houston</t>
        </is>
      </c>
      <c r="C1349" s="11" t="inlineStr">
        <is>
          <t>JB San Antonio</t>
        </is>
      </c>
      <c r="D1349" s="11" t="inlineStr">
        <is>
          <t>TX</t>
        </is>
      </c>
      <c r="E1349" s="11" t="inlineStr">
        <is>
          <t>San Antonio</t>
        </is>
      </c>
      <c r="F1349" s="11" t="inlineStr">
        <is>
          <t>78234</t>
        </is>
      </c>
      <c r="G1349" s="11" t="inlineStr">
        <is>
          <t>Army</t>
        </is>
      </c>
      <c r="H1349" s="11" t="inlineStr">
        <is>
          <t>Print &amp; Publications</t>
        </is>
      </c>
      <c r="I1349" s="8" t="inlineStr">
        <is>
          <t>Magazine</t>
        </is>
      </c>
      <c r="J1349" s="11" t="inlineStr">
        <is>
          <t>TBD</t>
        </is>
      </c>
      <c r="K1349" s="8" t="inlineStr">
        <is>
          <t>Your full page ad will be featured in the bi-monthly JBSAtoday Magazine.</t>
        </is>
      </c>
      <c r="L1349" s="11" t="n">
        <v>6</v>
      </c>
      <c r="M1349" s="12" t="n"/>
      <c r="N1349" s="12" t="n"/>
      <c r="O1349" s="12" t="n">
        <v>3000</v>
      </c>
      <c r="P1349" s="12" t="n">
        <v>6000</v>
      </c>
      <c r="Q1349" s="12" t="n">
        <v>0</v>
      </c>
      <c r="R1349" s="13">
        <f>IF(ISNUMBER(M1349),ROUND(M1349/(1-Settings!$B$2)/Settings!$B$3,0)*Settings!$B$3,"")</f>
        <v/>
      </c>
      <c r="S1349" s="13">
        <f>IF(ISNUMBER(N1349),ROUND(N1349/(1-Settings!$B$2)/Settings!$B$3,0)*Settings!$B$3,"")</f>
        <v/>
      </c>
      <c r="T1349" s="13">
        <f>IF(ISNUMBER(O1349),ROUND(O1349/(1-Settings!$B$2)/Settings!$B$3,0)*Settings!$B$3,"")</f>
        <v/>
      </c>
      <c r="U1349" s="13">
        <f>IF(ISNUMBER(P1349),ROUND(P1349/(1-Settings!$B$2)/Settings!$B$3,0)*Settings!$B$3,"")</f>
        <v/>
      </c>
      <c r="V1349" s="13">
        <f>IF(ISNUMBER(Q1349),ROUND(Q1349/(1-Settings!$B$2)/Settings!$B$3,0)*Settings!$B$3,"")</f>
        <v/>
      </c>
      <c r="W1349" s="14" t="n">
        <v>10721</v>
      </c>
      <c r="X1349" s="14" t="n">
        <v>14934</v>
      </c>
      <c r="Y1349" s="11" t="inlineStr"/>
      <c r="Z1349" s="11" t="inlineStr"/>
      <c r="AA1349" s="8" t="inlineStr">
        <is>
          <t>Inventory master 6/2026 lists Magazine Ad at $1,200 (1 mo)</t>
        </is>
      </c>
      <c r="AB1349" s="16" t="inlineStr">
        <is>
          <t>Source formula errors</t>
        </is>
      </c>
      <c r="AC1349" s="11" t="inlineStr">
        <is>
          <t>MasterMilitaryOnBaseList 12.2.25 NS.xlsx</t>
        </is>
      </c>
      <c r="AD1349" s="11" t="inlineStr">
        <is>
          <t>2026-Sponsorship-Brochure_ECM_Aug_14_2025_SinglePgs-.pdf</t>
        </is>
      </c>
      <c r="AE1349" s="15" t="inlineStr">
        <is>
          <t>Open in Box</t>
        </is>
      </c>
      <c r="AF1349" s="15" t="inlineStr">
        <is>
          <t>Open in Box</t>
        </is>
      </c>
    </row>
    <row r="1350">
      <c r="A1350" s="11" t="inlineStr">
        <is>
          <t>TX-FORTSAMH-005</t>
        </is>
      </c>
      <c r="B1350" s="8" t="inlineStr">
        <is>
          <t>Fort Sam Houston</t>
        </is>
      </c>
      <c r="C1350" s="11" t="inlineStr">
        <is>
          <t>JB San Antonio</t>
        </is>
      </c>
      <c r="D1350" s="11" t="inlineStr">
        <is>
          <t>TX</t>
        </is>
      </c>
      <c r="E1350" s="11" t="inlineStr">
        <is>
          <t>San Antonio</t>
        </is>
      </c>
      <c r="F1350" s="11" t="inlineStr">
        <is>
          <t>78234</t>
        </is>
      </c>
      <c r="G1350" s="11" t="inlineStr">
        <is>
          <t>Army</t>
        </is>
      </c>
      <c r="H1350" s="11" t="inlineStr">
        <is>
          <t>Standard Media</t>
        </is>
      </c>
      <c r="I1350" s="8" t="inlineStr">
        <is>
          <t>Banner</t>
        </is>
      </c>
      <c r="J1350" s="11" t="inlineStr">
        <is>
          <t>4'W x 10'H</t>
        </is>
      </c>
      <c r="K1350" s="8" t="inlineStr">
        <is>
          <t>Your ad will appear at an approved installation facility.</t>
        </is>
      </c>
      <c r="L1350" s="11" t="n">
        <v>1</v>
      </c>
      <c r="M1350" s="12" t="n">
        <v>400</v>
      </c>
      <c r="N1350" s="12" t="n">
        <v>1200</v>
      </c>
      <c r="O1350" s="12" t="n">
        <v>2400</v>
      </c>
      <c r="P1350" s="12" t="n">
        <v>4800</v>
      </c>
      <c r="Q1350" s="12" t="n">
        <v>400</v>
      </c>
      <c r="R1350" s="13">
        <f>IF(ISNUMBER(M1350),ROUND(M1350/(1-Settings!$B$2)/Settings!$B$3,0)*Settings!$B$3,"")</f>
        <v/>
      </c>
      <c r="S1350" s="13">
        <f>IF(ISNUMBER(N1350),ROUND(N1350/(1-Settings!$B$2)/Settings!$B$3,0)*Settings!$B$3,"")</f>
        <v/>
      </c>
      <c r="T1350" s="13">
        <f>IF(ISNUMBER(O1350),ROUND(O1350/(1-Settings!$B$2)/Settings!$B$3,0)*Settings!$B$3,"")</f>
        <v/>
      </c>
      <c r="U1350" s="13">
        <f>IF(ISNUMBER(P1350),ROUND(P1350/(1-Settings!$B$2)/Settings!$B$3,0)*Settings!$B$3,"")</f>
        <v/>
      </c>
      <c r="V1350" s="13">
        <f>IF(ISNUMBER(Q1350),ROUND(Q1350/(1-Settings!$B$2)/Settings!$B$3,0)*Settings!$B$3,"")</f>
        <v/>
      </c>
      <c r="W1350" s="14" t="n">
        <v>10721</v>
      </c>
      <c r="X1350" s="14" t="n">
        <v>14934</v>
      </c>
      <c r="Y1350" s="11" t="inlineStr"/>
      <c r="Z1350" s="11" t="inlineStr"/>
      <c r="AA1350" s="8" t="inlineStr"/>
      <c r="AB1350" s="8" t="inlineStr"/>
      <c r="AC1350" s="11" t="inlineStr">
        <is>
          <t>MasterMilitaryOnBaseList 12.2.25 NS.xlsx</t>
        </is>
      </c>
      <c r="AD1350" s="11" t="inlineStr">
        <is>
          <t>2026-Sponsorship-Brochure_ECM_Aug_14_2025_SinglePgs-.pdf</t>
        </is>
      </c>
      <c r="AE1350" s="15" t="inlineStr">
        <is>
          <t>Open in Box</t>
        </is>
      </c>
      <c r="AF1350" s="15" t="inlineStr">
        <is>
          <t>Open in Box</t>
        </is>
      </c>
    </row>
    <row r="1351">
      <c r="A1351" s="11" t="inlineStr">
        <is>
          <t>TX-FORTSAMH-006</t>
        </is>
      </c>
      <c r="B1351" s="8" t="inlineStr">
        <is>
          <t>Fort Sam Houston</t>
        </is>
      </c>
      <c r="C1351" s="11" t="inlineStr">
        <is>
          <t>JB San Antonio</t>
        </is>
      </c>
      <c r="D1351" s="11" t="inlineStr">
        <is>
          <t>TX</t>
        </is>
      </c>
      <c r="E1351" s="11" t="inlineStr">
        <is>
          <t>San Antonio</t>
        </is>
      </c>
      <c r="F1351" s="11" t="inlineStr">
        <is>
          <t>78234</t>
        </is>
      </c>
      <c r="G1351" s="11" t="inlineStr">
        <is>
          <t>Army</t>
        </is>
      </c>
      <c r="H1351" s="11" t="inlineStr">
        <is>
          <t>Standard Media</t>
        </is>
      </c>
      <c r="I1351" s="8" t="inlineStr">
        <is>
          <t>Golf Driving Range Signs</t>
        </is>
      </c>
      <c r="J1351" s="11" t="inlineStr">
        <is>
          <t>TBD</t>
        </is>
      </c>
      <c r="K1351" s="8" t="inlineStr">
        <is>
          <t>Your ad will appear at the driving range.</t>
        </is>
      </c>
      <c r="L1351" s="11" t="n">
        <v>1</v>
      </c>
      <c r="M1351" s="12" t="n">
        <v>150</v>
      </c>
      <c r="N1351" s="12" t="n">
        <v>450</v>
      </c>
      <c r="O1351" s="12" t="n">
        <v>900</v>
      </c>
      <c r="P1351" s="12" t="n">
        <v>1800</v>
      </c>
      <c r="Q1351" s="12" t="n"/>
      <c r="R1351" s="13">
        <f>IF(ISNUMBER(M1351),ROUND(M1351/(1-Settings!$B$2)/Settings!$B$3,0)*Settings!$B$3,"")</f>
        <v/>
      </c>
      <c r="S1351" s="13">
        <f>IF(ISNUMBER(N1351),ROUND(N1351/(1-Settings!$B$2)/Settings!$B$3,0)*Settings!$B$3,"")</f>
        <v/>
      </c>
      <c r="T1351" s="13">
        <f>IF(ISNUMBER(O1351),ROUND(O1351/(1-Settings!$B$2)/Settings!$B$3,0)*Settings!$B$3,"")</f>
        <v/>
      </c>
      <c r="U1351" s="13">
        <f>IF(ISNUMBER(P1351),ROUND(P1351/(1-Settings!$B$2)/Settings!$B$3,0)*Settings!$B$3,"")</f>
        <v/>
      </c>
      <c r="V1351" s="13">
        <f>IF(ISNUMBER(Q1351),ROUND(Q1351/(1-Settings!$B$2)/Settings!$B$3,0)*Settings!$B$3,"")</f>
        <v/>
      </c>
      <c r="W1351" s="14" t="n">
        <v>10721</v>
      </c>
      <c r="X1351" s="14" t="n">
        <v>14934</v>
      </c>
      <c r="Y1351" s="11" t="inlineStr"/>
      <c r="Z1351" s="11" t="inlineStr"/>
      <c r="AA1351" s="8" t="inlineStr"/>
      <c r="AB1351" s="8" t="inlineStr"/>
      <c r="AC1351" s="11" t="inlineStr">
        <is>
          <t>MasterMilitaryOnBaseList 12.2.25 NS.xlsx</t>
        </is>
      </c>
      <c r="AD1351" s="11" t="inlineStr">
        <is>
          <t>2026-Sponsorship-Brochure_ECM_Aug_14_2025_SinglePgs-.pdf</t>
        </is>
      </c>
      <c r="AE1351" s="15" t="inlineStr">
        <is>
          <t>Open in Box</t>
        </is>
      </c>
      <c r="AF1351" s="15" t="inlineStr">
        <is>
          <t>Open in Box</t>
        </is>
      </c>
    </row>
    <row r="1352">
      <c r="A1352" s="11" t="inlineStr">
        <is>
          <t>TX-FORTSAMH-007</t>
        </is>
      </c>
      <c r="B1352" s="8" t="inlineStr">
        <is>
          <t>Fort Sam Houston</t>
        </is>
      </c>
      <c r="C1352" s="11" t="inlineStr">
        <is>
          <t>JB San Antonio</t>
        </is>
      </c>
      <c r="D1352" s="11" t="inlineStr">
        <is>
          <t>TX</t>
        </is>
      </c>
      <c r="E1352" s="11" t="inlineStr">
        <is>
          <t>San Antonio</t>
        </is>
      </c>
      <c r="F1352" s="11" t="inlineStr">
        <is>
          <t>78234</t>
        </is>
      </c>
      <c r="G1352" s="11" t="inlineStr">
        <is>
          <t>Army</t>
        </is>
      </c>
      <c r="H1352" s="11" t="inlineStr">
        <is>
          <t>Standard Media</t>
        </is>
      </c>
      <c r="I1352" s="8" t="inlineStr">
        <is>
          <t>Golf Tee Market Signs</t>
        </is>
      </c>
      <c r="J1352" s="11" t="inlineStr">
        <is>
          <t>TBD</t>
        </is>
      </c>
      <c r="K1352" s="8" t="inlineStr">
        <is>
          <t>Your ad will appear at an approved tee box.</t>
        </is>
      </c>
      <c r="L1352" s="11" t="n">
        <v>1</v>
      </c>
      <c r="M1352" s="12" t="n">
        <v>50</v>
      </c>
      <c r="N1352" s="12" t="n">
        <v>150</v>
      </c>
      <c r="O1352" s="12" t="n">
        <v>300</v>
      </c>
      <c r="P1352" s="12" t="n">
        <v>600</v>
      </c>
      <c r="Q1352" s="12" t="n"/>
      <c r="R1352" s="13">
        <f>IF(ISNUMBER(M1352),ROUND(M1352/(1-Settings!$B$2)/Settings!$B$3,0)*Settings!$B$3,"")</f>
        <v/>
      </c>
      <c r="S1352" s="13">
        <f>IF(ISNUMBER(N1352),ROUND(N1352/(1-Settings!$B$2)/Settings!$B$3,0)*Settings!$B$3,"")</f>
        <v/>
      </c>
      <c r="T1352" s="13">
        <f>IF(ISNUMBER(O1352),ROUND(O1352/(1-Settings!$B$2)/Settings!$B$3,0)*Settings!$B$3,"")</f>
        <v/>
      </c>
      <c r="U1352" s="13">
        <f>IF(ISNUMBER(P1352),ROUND(P1352/(1-Settings!$B$2)/Settings!$B$3,0)*Settings!$B$3,"")</f>
        <v/>
      </c>
      <c r="V1352" s="13">
        <f>IF(ISNUMBER(Q1352),ROUND(Q1352/(1-Settings!$B$2)/Settings!$B$3,0)*Settings!$B$3,"")</f>
        <v/>
      </c>
      <c r="W1352" s="14" t="n">
        <v>10721</v>
      </c>
      <c r="X1352" s="14" t="n">
        <v>14934</v>
      </c>
      <c r="Y1352" s="11" t="inlineStr"/>
      <c r="Z1352" s="11" t="inlineStr"/>
      <c r="AA1352" s="8" t="inlineStr"/>
      <c r="AB1352" s="8" t="inlineStr"/>
      <c r="AC1352" s="11" t="inlineStr">
        <is>
          <t>MasterMilitaryOnBaseList 12.2.25 NS.xlsx</t>
        </is>
      </c>
      <c r="AD1352" s="11" t="inlineStr">
        <is>
          <t>2026-Sponsorship-Brochure_ECM_Aug_14_2025_SinglePgs-.pdf</t>
        </is>
      </c>
      <c r="AE1352" s="15" t="inlineStr">
        <is>
          <t>Open in Box</t>
        </is>
      </c>
      <c r="AF1352" s="15" t="inlineStr">
        <is>
          <t>Open in Box</t>
        </is>
      </c>
    </row>
    <row r="1353">
      <c r="A1353" s="11" t="inlineStr">
        <is>
          <t>TX-FORTSAMH-008</t>
        </is>
      </c>
      <c r="B1353" s="8" t="inlineStr">
        <is>
          <t>Fort Sam Houston</t>
        </is>
      </c>
      <c r="C1353" s="11" t="inlineStr">
        <is>
          <t>JB San Antonio</t>
        </is>
      </c>
      <c r="D1353" s="11" t="inlineStr">
        <is>
          <t>TX</t>
        </is>
      </c>
      <c r="E1353" s="11" t="inlineStr">
        <is>
          <t>San Antonio</t>
        </is>
      </c>
      <c r="F1353" s="11" t="inlineStr">
        <is>
          <t>78234</t>
        </is>
      </c>
      <c r="G1353" s="11" t="inlineStr">
        <is>
          <t>Army</t>
        </is>
      </c>
      <c r="H1353" s="11" t="inlineStr">
        <is>
          <t>Standard Media</t>
        </is>
      </c>
      <c r="I1353" s="8" t="inlineStr">
        <is>
          <t>Poster</t>
        </is>
      </c>
      <c r="J1353" s="11" t="inlineStr">
        <is>
          <t>22"W x 28"H</t>
        </is>
      </c>
      <c r="K1353" s="8" t="inlineStr">
        <is>
          <t>Your ad will appear at an approved installation facility.</t>
        </is>
      </c>
      <c r="L1353" s="11" t="n">
        <v>1</v>
      </c>
      <c r="M1353" s="12" t="n">
        <v>125</v>
      </c>
      <c r="N1353" s="12" t="n">
        <v>375</v>
      </c>
      <c r="O1353" s="12" t="n">
        <v>750</v>
      </c>
      <c r="P1353" s="12" t="n">
        <v>1500</v>
      </c>
      <c r="Q1353" s="12" t="n">
        <v>100</v>
      </c>
      <c r="R1353" s="13">
        <f>IF(ISNUMBER(M1353),ROUND(M1353/(1-Settings!$B$2)/Settings!$B$3,0)*Settings!$B$3,"")</f>
        <v/>
      </c>
      <c r="S1353" s="13">
        <f>IF(ISNUMBER(N1353),ROUND(N1353/(1-Settings!$B$2)/Settings!$B$3,0)*Settings!$B$3,"")</f>
        <v/>
      </c>
      <c r="T1353" s="13">
        <f>IF(ISNUMBER(O1353),ROUND(O1353/(1-Settings!$B$2)/Settings!$B$3,0)*Settings!$B$3,"")</f>
        <v/>
      </c>
      <c r="U1353" s="13">
        <f>IF(ISNUMBER(P1353),ROUND(P1353/(1-Settings!$B$2)/Settings!$B$3,0)*Settings!$B$3,"")</f>
        <v/>
      </c>
      <c r="V1353" s="13">
        <f>IF(ISNUMBER(Q1353),ROUND(Q1353/(1-Settings!$B$2)/Settings!$B$3,0)*Settings!$B$3,"")</f>
        <v/>
      </c>
      <c r="W1353" s="14" t="n">
        <v>10721</v>
      </c>
      <c r="X1353" s="14" t="n">
        <v>14934</v>
      </c>
      <c r="Y1353" s="11" t="inlineStr"/>
      <c r="Z1353" s="11" t="inlineStr"/>
      <c r="AA1353" s="8" t="inlineStr"/>
      <c r="AB1353" s="8" t="inlineStr"/>
      <c r="AC1353" s="11" t="inlineStr">
        <is>
          <t>MasterMilitaryOnBaseList 12.2.25 NS.xlsx</t>
        </is>
      </c>
      <c r="AD1353" s="11" t="inlineStr">
        <is>
          <t>2026-Sponsorship-Brochure_ECM_Aug_14_2025_SinglePgs-.pdf</t>
        </is>
      </c>
      <c r="AE1353" s="15" t="inlineStr">
        <is>
          <t>Open in Box</t>
        </is>
      </c>
      <c r="AF1353" s="15" t="inlineStr">
        <is>
          <t>Open in Box</t>
        </is>
      </c>
    </row>
    <row r="1354">
      <c r="A1354" s="11" t="inlineStr">
        <is>
          <t>TX-FORTSAMH-009</t>
        </is>
      </c>
      <c r="B1354" s="8" t="inlineStr">
        <is>
          <t>Fort Sam Houston</t>
        </is>
      </c>
      <c r="C1354" s="11" t="inlineStr">
        <is>
          <t>JB San Antonio</t>
        </is>
      </c>
      <c r="D1354" s="11" t="inlineStr">
        <is>
          <t>TX</t>
        </is>
      </c>
      <c r="E1354" s="11" t="inlineStr">
        <is>
          <t>San Antonio</t>
        </is>
      </c>
      <c r="F1354" s="11" t="inlineStr">
        <is>
          <t>78234</t>
        </is>
      </c>
      <c r="G1354" s="11" t="inlineStr">
        <is>
          <t>Army</t>
        </is>
      </c>
      <c r="H1354" s="11" t="inlineStr">
        <is>
          <t>Standard Media</t>
        </is>
      </c>
      <c r="I1354" s="8" t="inlineStr">
        <is>
          <t>Vertical Banner</t>
        </is>
      </c>
      <c r="J1354" s="11" t="inlineStr">
        <is>
          <t>TBD</t>
        </is>
      </c>
      <c r="K1354" s="8" t="inlineStr">
        <is>
          <t>Your ad will appear at an approved installation facility.</t>
        </is>
      </c>
      <c r="L1354" s="11" t="n">
        <v>1</v>
      </c>
      <c r="M1354" s="12" t="n">
        <v>175</v>
      </c>
      <c r="N1354" s="12" t="n">
        <v>525</v>
      </c>
      <c r="O1354" s="12" t="n">
        <v>1050</v>
      </c>
      <c r="P1354" s="12" t="n">
        <v>2100</v>
      </c>
      <c r="Q1354" s="12" t="n">
        <v>200</v>
      </c>
      <c r="R1354" s="13">
        <f>IF(ISNUMBER(M1354),ROUND(M1354/(1-Settings!$B$2)/Settings!$B$3,0)*Settings!$B$3,"")</f>
        <v/>
      </c>
      <c r="S1354" s="13">
        <f>IF(ISNUMBER(N1354),ROUND(N1354/(1-Settings!$B$2)/Settings!$B$3,0)*Settings!$B$3,"")</f>
        <v/>
      </c>
      <c r="T1354" s="13">
        <f>IF(ISNUMBER(O1354),ROUND(O1354/(1-Settings!$B$2)/Settings!$B$3,0)*Settings!$B$3,"")</f>
        <v/>
      </c>
      <c r="U1354" s="13">
        <f>IF(ISNUMBER(P1354),ROUND(P1354/(1-Settings!$B$2)/Settings!$B$3,0)*Settings!$B$3,"")</f>
        <v/>
      </c>
      <c r="V1354" s="13">
        <f>IF(ISNUMBER(Q1354),ROUND(Q1354/(1-Settings!$B$2)/Settings!$B$3,0)*Settings!$B$3,"")</f>
        <v/>
      </c>
      <c r="W1354" s="14" t="n">
        <v>10721</v>
      </c>
      <c r="X1354" s="14" t="n">
        <v>14934</v>
      </c>
      <c r="Y1354" s="11" t="inlineStr"/>
      <c r="Z1354" s="11" t="inlineStr"/>
      <c r="AA1354" s="8" t="inlineStr"/>
      <c r="AB1354" s="8" t="inlineStr"/>
      <c r="AC1354" s="11" t="inlineStr">
        <is>
          <t>MasterMilitaryOnBaseList 12.2.25 NS.xlsx</t>
        </is>
      </c>
      <c r="AD1354" s="11" t="inlineStr">
        <is>
          <t>2026-Sponsorship-Brochure_ECM_Aug_14_2025_SinglePgs-.pdf</t>
        </is>
      </c>
      <c r="AE1354" s="15" t="inlineStr">
        <is>
          <t>Open in Box</t>
        </is>
      </c>
      <c r="AF1354" s="15" t="inlineStr">
        <is>
          <t>Open in Box</t>
        </is>
      </c>
    </row>
    <row r="1355">
      <c r="A1355" s="11" t="inlineStr">
        <is>
          <t>TX-FORTSAMH-014</t>
        </is>
      </c>
      <c r="B1355" s="8" t="inlineStr">
        <is>
          <t>Fort Sam Houston</t>
        </is>
      </c>
      <c r="C1355" s="11" t="inlineStr"/>
      <c r="D1355" s="11" t="inlineStr">
        <is>
          <t>TX</t>
        </is>
      </c>
      <c r="E1355" s="11" t="inlineStr">
        <is>
          <t>San Antonio</t>
        </is>
      </c>
      <c r="F1355" s="11" t="inlineStr"/>
      <c r="G1355" s="11" t="inlineStr">
        <is>
          <t>Army</t>
        </is>
      </c>
      <c r="H1355" s="11" t="inlineStr">
        <is>
          <t>Web &amp; Email</t>
        </is>
      </c>
      <c r="I1355" s="8" t="inlineStr">
        <is>
          <t>Web Ad</t>
        </is>
      </c>
      <c r="J1355" s="11" t="inlineStr"/>
      <c r="K1355" s="8" t="inlineStr">
        <is>
          <t>Your ad will appear on the installation MWR / FSS website.</t>
        </is>
      </c>
      <c r="L1355" s="11" t="n">
        <v>1</v>
      </c>
      <c r="M1355" s="12" t="n">
        <v>300</v>
      </c>
      <c r="N1355" s="12" t="n"/>
      <c r="O1355" s="12" t="n"/>
      <c r="P1355" s="12" t="n"/>
      <c r="Q1355" s="12" t="n"/>
      <c r="R1355" s="13">
        <f>IF(ISNUMBER(M1355),ROUND(M1355/(1-Settings!$B$2)/Settings!$B$3,0)*Settings!$B$3,"")</f>
        <v/>
      </c>
      <c r="S1355" s="13">
        <f>IF(ISNUMBER(N1355),ROUND(N1355/(1-Settings!$B$2)/Settings!$B$3,0)*Settings!$B$3,"")</f>
        <v/>
      </c>
      <c r="T1355" s="13">
        <f>IF(ISNUMBER(O1355),ROUND(O1355/(1-Settings!$B$2)/Settings!$B$3,0)*Settings!$B$3,"")</f>
        <v/>
      </c>
      <c r="U1355" s="13">
        <f>IF(ISNUMBER(P1355),ROUND(P1355/(1-Settings!$B$2)/Settings!$B$3,0)*Settings!$B$3,"")</f>
        <v/>
      </c>
      <c r="V1355" s="13">
        <f>IF(ISNUMBER(Q1355),ROUND(Q1355/(1-Settings!$B$2)/Settings!$B$3,0)*Settings!$B$3,"")</f>
        <v/>
      </c>
      <c r="W1355" s="14" t="n">
        <v>35754</v>
      </c>
      <c r="X1355" s="14" t="n">
        <v>40037</v>
      </c>
      <c r="Y1355" s="11" t="inlineStr">
        <is>
          <t>2026</t>
        </is>
      </c>
      <c r="Z1355" s="11" t="inlineStr">
        <is>
          <t>2026-06</t>
        </is>
      </c>
      <c r="AA1355" s="8" t="inlineStr">
        <is>
          <t>Printed bi-monthly</t>
        </is>
      </c>
      <c r="AB1355" s="8" t="inlineStr"/>
      <c r="AC1355" s="11" t="inlineStr">
        <is>
          <t>Military - National Publication Inventory Master_June 2026.xlsx</t>
        </is>
      </c>
      <c r="AD1355" s="11" t="inlineStr">
        <is>
          <t>2026-Sponsorship-Brochure_ECM_Aug_14_2025_SinglePgs-.pdf</t>
        </is>
      </c>
      <c r="AE1355" s="15" t="inlineStr">
        <is>
          <t>Open in Box</t>
        </is>
      </c>
      <c r="AF1355" s="15" t="inlineStr">
        <is>
          <t>Open in Box</t>
        </is>
      </c>
    </row>
    <row r="1356">
      <c r="A1356" s="11" t="inlineStr">
        <is>
          <t>TX-KINGSVIL-001</t>
        </is>
      </c>
      <c r="B1356" s="8" t="inlineStr">
        <is>
          <t>Kingsville NAS</t>
        </is>
      </c>
      <c r="C1356" s="11" t="inlineStr"/>
      <c r="D1356" s="11" t="inlineStr">
        <is>
          <t>TX</t>
        </is>
      </c>
      <c r="E1356" s="11" t="inlineStr">
        <is>
          <t>Corpus Christi</t>
        </is>
      </c>
      <c r="F1356" s="11" t="inlineStr">
        <is>
          <t>78363</t>
        </is>
      </c>
      <c r="G1356" s="11" t="inlineStr">
        <is>
          <t>Navy</t>
        </is>
      </c>
      <c r="H1356" s="11" t="inlineStr">
        <is>
          <t>Digital</t>
        </is>
      </c>
      <c r="I1356" s="8" t="inlineStr">
        <is>
          <t>Bowling Scoring Monitors</t>
        </is>
      </c>
      <c r="J1356" s="11" t="inlineStr">
        <is>
          <t>1920pxW x 1080pxH</t>
        </is>
      </c>
      <c r="K1356" s="8" t="inlineStr">
        <is>
          <t>Your ad will appear on 12 bowling scoring monitors.</t>
        </is>
      </c>
      <c r="L1356" s="11" t="n">
        <v>1</v>
      </c>
      <c r="M1356" s="12" t="n">
        <v>250</v>
      </c>
      <c r="N1356" s="12" t="n">
        <v>750</v>
      </c>
      <c r="O1356" s="12" t="n">
        <v>1500</v>
      </c>
      <c r="P1356" s="12" t="n">
        <v>3000</v>
      </c>
      <c r="Q1356" s="12" t="n">
        <v>0</v>
      </c>
      <c r="R1356" s="13">
        <f>IF(ISNUMBER(M1356),ROUND(M1356/(1-Settings!$B$2)/Settings!$B$3,0)*Settings!$B$3,"")</f>
        <v/>
      </c>
      <c r="S1356" s="13">
        <f>IF(ISNUMBER(N1356),ROUND(N1356/(1-Settings!$B$2)/Settings!$B$3,0)*Settings!$B$3,"")</f>
        <v/>
      </c>
      <c r="T1356" s="13">
        <f>IF(ISNUMBER(O1356),ROUND(O1356/(1-Settings!$B$2)/Settings!$B$3,0)*Settings!$B$3,"")</f>
        <v/>
      </c>
      <c r="U1356" s="13">
        <f>IF(ISNUMBER(P1356),ROUND(P1356/(1-Settings!$B$2)/Settings!$B$3,0)*Settings!$B$3,"")</f>
        <v/>
      </c>
      <c r="V1356" s="13">
        <f>IF(ISNUMBER(Q1356),ROUND(Q1356/(1-Settings!$B$2)/Settings!$B$3,0)*Settings!$B$3,"")</f>
        <v/>
      </c>
      <c r="W1356" s="14" t="n">
        <v>4500</v>
      </c>
      <c r="X1356" s="14" t="n"/>
      <c r="Y1356" s="11" t="inlineStr"/>
      <c r="Z1356" s="11" t="inlineStr"/>
      <c r="AA1356" s="8" t="inlineStr"/>
      <c r="AB1356" s="8" t="inlineStr"/>
      <c r="AC1356" s="11" t="inlineStr">
        <is>
          <t>MasterMilitaryOnBaseList 12.2.25 NS.xlsx</t>
        </is>
      </c>
      <c r="AD1356" s="11" t="inlineStr">
        <is>
          <t>FY26-27 ADVERTISING ASSETS_NRSE.xlsx</t>
        </is>
      </c>
      <c r="AE1356" s="15" t="inlineStr">
        <is>
          <t>Open in Box</t>
        </is>
      </c>
      <c r="AF1356" s="15" t="inlineStr">
        <is>
          <t>Open in Box</t>
        </is>
      </c>
    </row>
    <row r="1357">
      <c r="A1357" s="11" t="inlineStr">
        <is>
          <t>TX-KINGSVIL-002</t>
        </is>
      </c>
      <c r="B1357" s="8" t="inlineStr">
        <is>
          <t>Kingsville NAS</t>
        </is>
      </c>
      <c r="C1357" s="11" t="inlineStr"/>
      <c r="D1357" s="11" t="inlineStr">
        <is>
          <t>TX</t>
        </is>
      </c>
      <c r="E1357" s="11" t="inlineStr">
        <is>
          <t>Corpus Christi</t>
        </is>
      </c>
      <c r="F1357" s="11" t="inlineStr">
        <is>
          <t>78363</t>
        </is>
      </c>
      <c r="G1357" s="11" t="inlineStr">
        <is>
          <t>Navy</t>
        </is>
      </c>
      <c r="H1357" s="11" t="inlineStr">
        <is>
          <t>Digital</t>
        </is>
      </c>
      <c r="I1357" s="8" t="inlineStr">
        <is>
          <t>Bowling Sweepers</t>
        </is>
      </c>
      <c r="J1357" s="11" t="inlineStr">
        <is>
          <t>58"W x 4.5"H</t>
        </is>
      </c>
      <c r="K1357" s="8" t="inlineStr">
        <is>
          <t>Your ad will appear on 12 bowling pin sweepers.</t>
        </is>
      </c>
      <c r="L1357" s="11" t="n">
        <v>1</v>
      </c>
      <c r="M1357" s="12" t="n">
        <v>150</v>
      </c>
      <c r="N1357" s="12" t="n">
        <v>450</v>
      </c>
      <c r="O1357" s="12" t="n">
        <v>900</v>
      </c>
      <c r="P1357" s="12" t="n">
        <v>1800</v>
      </c>
      <c r="Q1357" s="12" t="n"/>
      <c r="R1357" s="13">
        <f>IF(ISNUMBER(M1357),ROUND(M1357/(1-Settings!$B$2)/Settings!$B$3,0)*Settings!$B$3,"")</f>
        <v/>
      </c>
      <c r="S1357" s="13">
        <f>IF(ISNUMBER(N1357),ROUND(N1357/(1-Settings!$B$2)/Settings!$B$3,0)*Settings!$B$3,"")</f>
        <v/>
      </c>
      <c r="T1357" s="13">
        <f>IF(ISNUMBER(O1357),ROUND(O1357/(1-Settings!$B$2)/Settings!$B$3,0)*Settings!$B$3,"")</f>
        <v/>
      </c>
      <c r="U1357" s="13">
        <f>IF(ISNUMBER(P1357),ROUND(P1357/(1-Settings!$B$2)/Settings!$B$3,0)*Settings!$B$3,"")</f>
        <v/>
      </c>
      <c r="V1357" s="13">
        <f>IF(ISNUMBER(Q1357),ROUND(Q1357/(1-Settings!$B$2)/Settings!$B$3,0)*Settings!$B$3,"")</f>
        <v/>
      </c>
      <c r="W1357" s="14" t="n">
        <v>4500</v>
      </c>
      <c r="X1357" s="14" t="n"/>
      <c r="Y1357" s="11" t="inlineStr"/>
      <c r="Z1357" s="11" t="inlineStr"/>
      <c r="AA1357" s="8" t="inlineStr"/>
      <c r="AB1357" s="8" t="inlineStr"/>
      <c r="AC1357" s="11" t="inlineStr">
        <is>
          <t>MasterMilitaryOnBaseList 12.2.25 NS.xlsx</t>
        </is>
      </c>
      <c r="AD1357" s="11" t="inlineStr">
        <is>
          <t>FY26-27 ADVERTISING ASSETS_NRSE.xlsx</t>
        </is>
      </c>
      <c r="AE1357" s="15" t="inlineStr">
        <is>
          <t>Open in Box</t>
        </is>
      </c>
      <c r="AF1357" s="15" t="inlineStr">
        <is>
          <t>Open in Box</t>
        </is>
      </c>
    </row>
    <row r="1358">
      <c r="A1358" s="11" t="inlineStr">
        <is>
          <t>TX-KINGSVIL-003</t>
        </is>
      </c>
      <c r="B1358" s="8" t="inlineStr">
        <is>
          <t>Kingsville NAS</t>
        </is>
      </c>
      <c r="C1358" s="11" t="inlineStr"/>
      <c r="D1358" s="11" t="inlineStr">
        <is>
          <t>TX</t>
        </is>
      </c>
      <c r="E1358" s="11" t="inlineStr">
        <is>
          <t>Corpus Christi</t>
        </is>
      </c>
      <c r="F1358" s="11" t="inlineStr">
        <is>
          <t>78363</t>
        </is>
      </c>
      <c r="G1358" s="11" t="inlineStr">
        <is>
          <t>Navy</t>
        </is>
      </c>
      <c r="H1358" s="11" t="inlineStr">
        <is>
          <t>Digital</t>
        </is>
      </c>
      <c r="I1358" s="8" t="inlineStr">
        <is>
          <t>Digital Monitor Network</t>
        </is>
      </c>
      <c r="J1358" s="11" t="inlineStr">
        <is>
          <t>1920pxW x 1080pxH</t>
        </is>
      </c>
      <c r="K1358" s="8" t="inlineStr">
        <is>
          <t>Your ad will appear on 12 digital monitors in approved installation facilities.</t>
        </is>
      </c>
      <c r="L1358" s="11" t="n">
        <v>1</v>
      </c>
      <c r="M1358" s="12" t="n">
        <v>310</v>
      </c>
      <c r="N1358" s="12" t="n">
        <v>930</v>
      </c>
      <c r="O1358" s="12" t="n">
        <v>1860</v>
      </c>
      <c r="P1358" s="12" t="n">
        <v>3720</v>
      </c>
      <c r="Q1358" s="12" t="n">
        <v>0</v>
      </c>
      <c r="R1358" s="13">
        <f>IF(ISNUMBER(M1358),ROUND(M1358/(1-Settings!$B$2)/Settings!$B$3,0)*Settings!$B$3,"")</f>
        <v/>
      </c>
      <c r="S1358" s="13">
        <f>IF(ISNUMBER(N1358),ROUND(N1358/(1-Settings!$B$2)/Settings!$B$3,0)*Settings!$B$3,"")</f>
        <v/>
      </c>
      <c r="T1358" s="13">
        <f>IF(ISNUMBER(O1358),ROUND(O1358/(1-Settings!$B$2)/Settings!$B$3,0)*Settings!$B$3,"")</f>
        <v/>
      </c>
      <c r="U1358" s="13">
        <f>IF(ISNUMBER(P1358),ROUND(P1358/(1-Settings!$B$2)/Settings!$B$3,0)*Settings!$B$3,"")</f>
        <v/>
      </c>
      <c r="V1358" s="13">
        <f>IF(ISNUMBER(Q1358),ROUND(Q1358/(1-Settings!$B$2)/Settings!$B$3,0)*Settings!$B$3,"")</f>
        <v/>
      </c>
      <c r="W1358" s="14" t="n">
        <v>4500</v>
      </c>
      <c r="X1358" s="14" t="n"/>
      <c r="Y1358" s="11" t="inlineStr"/>
      <c r="Z1358" s="11" t="inlineStr"/>
      <c r="AA1358" s="8" t="inlineStr">
        <is>
          <t>Inventory master 6/2026 lists Digital Monitor Network at $352 (1 mo)</t>
        </is>
      </c>
      <c r="AB1358" s="8" t="inlineStr"/>
      <c r="AC1358" s="11" t="inlineStr">
        <is>
          <t>MasterMilitaryOnBaseList 12.2.25 NS.xlsx</t>
        </is>
      </c>
      <c r="AD1358" s="11" t="inlineStr">
        <is>
          <t>FY26-27 ADVERTISING ASSETS_NRSE.xlsx</t>
        </is>
      </c>
      <c r="AE1358" s="15" t="inlineStr">
        <is>
          <t>Open in Box</t>
        </is>
      </c>
      <c r="AF1358" s="15" t="inlineStr">
        <is>
          <t>Open in Box</t>
        </is>
      </c>
    </row>
    <row r="1359">
      <c r="A1359" s="11" t="inlineStr">
        <is>
          <t>TX-KINGSVIL-007</t>
        </is>
      </c>
      <c r="B1359" s="8" t="inlineStr">
        <is>
          <t>Kingsville NAS</t>
        </is>
      </c>
      <c r="C1359" s="11" t="inlineStr"/>
      <c r="D1359" s="11" t="inlineStr">
        <is>
          <t>TX</t>
        </is>
      </c>
      <c r="E1359" s="11" t="inlineStr">
        <is>
          <t>Corpus Christi</t>
        </is>
      </c>
      <c r="F1359" s="11" t="inlineStr">
        <is>
          <t>78363</t>
        </is>
      </c>
      <c r="G1359" s="11" t="inlineStr">
        <is>
          <t>Navy</t>
        </is>
      </c>
      <c r="H1359" s="11" t="inlineStr">
        <is>
          <t>Large Format</t>
        </is>
      </c>
      <c r="I1359" s="8" t="inlineStr">
        <is>
          <t>Poster Large</t>
        </is>
      </c>
      <c r="J1359" s="11" t="inlineStr">
        <is>
          <t>22"W x 56"H</t>
        </is>
      </c>
      <c r="K1359" s="8" t="inlineStr">
        <is>
          <t>Your ad will appear at an approved installation facility.</t>
        </is>
      </c>
      <c r="L1359" s="11" t="n">
        <v>1</v>
      </c>
      <c r="M1359" s="12" t="n">
        <v>350</v>
      </c>
      <c r="N1359" s="12" t="n">
        <v>1050</v>
      </c>
      <c r="O1359" s="12" t="n">
        <v>2100</v>
      </c>
      <c r="P1359" s="12" t="n">
        <v>4200</v>
      </c>
      <c r="Q1359" s="12" t="n"/>
      <c r="R1359" s="13">
        <f>IF(ISNUMBER(M1359),ROUND(M1359/(1-Settings!$B$2)/Settings!$B$3,0)*Settings!$B$3,"")</f>
        <v/>
      </c>
      <c r="S1359" s="13">
        <f>IF(ISNUMBER(N1359),ROUND(N1359/(1-Settings!$B$2)/Settings!$B$3,0)*Settings!$B$3,"")</f>
        <v/>
      </c>
      <c r="T1359" s="13">
        <f>IF(ISNUMBER(O1359),ROUND(O1359/(1-Settings!$B$2)/Settings!$B$3,0)*Settings!$B$3,"")</f>
        <v/>
      </c>
      <c r="U1359" s="13">
        <f>IF(ISNUMBER(P1359),ROUND(P1359/(1-Settings!$B$2)/Settings!$B$3,0)*Settings!$B$3,"")</f>
        <v/>
      </c>
      <c r="V1359" s="13">
        <f>IF(ISNUMBER(Q1359),ROUND(Q1359/(1-Settings!$B$2)/Settings!$B$3,0)*Settings!$B$3,"")</f>
        <v/>
      </c>
      <c r="W1359" s="14" t="n">
        <v>4500</v>
      </c>
      <c r="X1359" s="14" t="n"/>
      <c r="Y1359" s="11" t="inlineStr"/>
      <c r="Z1359" s="11" t="inlineStr"/>
      <c r="AA1359" s="8" t="inlineStr"/>
      <c r="AB1359" s="8" t="inlineStr"/>
      <c r="AC1359" s="11" t="inlineStr">
        <is>
          <t>MasterMilitaryOnBaseList 12.2.25 NS.xlsx</t>
        </is>
      </c>
      <c r="AD1359" s="11" t="inlineStr">
        <is>
          <t>FY26-27 ADVERTISING ASSETS_NRSE.xlsx</t>
        </is>
      </c>
      <c r="AE1359" s="15" t="inlineStr">
        <is>
          <t>Open in Box</t>
        </is>
      </c>
      <c r="AF1359" s="15" t="inlineStr">
        <is>
          <t>Open in Box</t>
        </is>
      </c>
    </row>
    <row r="1360">
      <c r="A1360" s="11" t="inlineStr">
        <is>
          <t>TX-KINGSVIL-008</t>
        </is>
      </c>
      <c r="B1360" s="8" t="inlineStr">
        <is>
          <t>Kingsville NAS</t>
        </is>
      </c>
      <c r="C1360" s="11" t="inlineStr"/>
      <c r="D1360" s="11" t="inlineStr">
        <is>
          <t>TX</t>
        </is>
      </c>
      <c r="E1360" s="11" t="inlineStr">
        <is>
          <t>Corpus Christi</t>
        </is>
      </c>
      <c r="F1360" s="11" t="inlineStr">
        <is>
          <t>78363</t>
        </is>
      </c>
      <c r="G1360" s="11" t="inlineStr">
        <is>
          <t>Navy</t>
        </is>
      </c>
      <c r="H1360" s="11" t="inlineStr">
        <is>
          <t>Large Format</t>
        </is>
      </c>
      <c r="I1360" s="8" t="inlineStr">
        <is>
          <t>Window Cling</t>
        </is>
      </c>
      <c r="J1360" s="11" t="inlineStr">
        <is>
          <t>33.25"W x 49"H</t>
        </is>
      </c>
      <c r="K1360" s="8" t="inlineStr">
        <is>
          <t>Your ad will appear at the fitness center.</t>
        </is>
      </c>
      <c r="L1360" s="11" t="n">
        <v>1</v>
      </c>
      <c r="M1360" s="12" t="n">
        <v>350</v>
      </c>
      <c r="N1360" s="12" t="n">
        <v>1050</v>
      </c>
      <c r="O1360" s="12" t="n">
        <v>2100</v>
      </c>
      <c r="P1360" s="12" t="n">
        <v>4200</v>
      </c>
      <c r="Q1360" s="12" t="n"/>
      <c r="R1360" s="13">
        <f>IF(ISNUMBER(M1360),ROUND(M1360/(1-Settings!$B$2)/Settings!$B$3,0)*Settings!$B$3,"")</f>
        <v/>
      </c>
      <c r="S1360" s="13">
        <f>IF(ISNUMBER(N1360),ROUND(N1360/(1-Settings!$B$2)/Settings!$B$3,0)*Settings!$B$3,"")</f>
        <v/>
      </c>
      <c r="T1360" s="13">
        <f>IF(ISNUMBER(O1360),ROUND(O1360/(1-Settings!$B$2)/Settings!$B$3,0)*Settings!$B$3,"")</f>
        <v/>
      </c>
      <c r="U1360" s="13">
        <f>IF(ISNUMBER(P1360),ROUND(P1360/(1-Settings!$B$2)/Settings!$B$3,0)*Settings!$B$3,"")</f>
        <v/>
      </c>
      <c r="V1360" s="13">
        <f>IF(ISNUMBER(Q1360),ROUND(Q1360/(1-Settings!$B$2)/Settings!$B$3,0)*Settings!$B$3,"")</f>
        <v/>
      </c>
      <c r="W1360" s="14" t="n">
        <v>4500</v>
      </c>
      <c r="X1360" s="14" t="n"/>
      <c r="Y1360" s="11" t="inlineStr"/>
      <c r="Z1360" s="11" t="inlineStr"/>
      <c r="AA1360" s="8" t="inlineStr"/>
      <c r="AB1360" s="8" t="inlineStr"/>
      <c r="AC1360" s="11" t="inlineStr">
        <is>
          <t>MasterMilitaryOnBaseList 12.2.25 NS.xlsx</t>
        </is>
      </c>
      <c r="AD1360" s="11" t="inlineStr">
        <is>
          <t>FY26-27 ADVERTISING ASSETS_NRSE.xlsx</t>
        </is>
      </c>
      <c r="AE1360" s="15" t="inlineStr">
        <is>
          <t>Open in Box</t>
        </is>
      </c>
      <c r="AF1360" s="15" t="inlineStr">
        <is>
          <t>Open in Box</t>
        </is>
      </c>
    </row>
    <row r="1361">
      <c r="A1361" s="11" t="inlineStr">
        <is>
          <t>TX-KINGSVIL-009</t>
        </is>
      </c>
      <c r="B1361" s="8" t="inlineStr">
        <is>
          <t>Kingsville NAS</t>
        </is>
      </c>
      <c r="C1361" s="11" t="inlineStr"/>
      <c r="D1361" s="11" t="inlineStr">
        <is>
          <t>TX</t>
        </is>
      </c>
      <c r="E1361" s="11" t="inlineStr">
        <is>
          <t>Corpus Christi</t>
        </is>
      </c>
      <c r="F1361" s="11" t="inlineStr">
        <is>
          <t>78363</t>
        </is>
      </c>
      <c r="G1361" s="11" t="inlineStr">
        <is>
          <t>Navy</t>
        </is>
      </c>
      <c r="H1361" s="11" t="inlineStr">
        <is>
          <t>Print &amp; Publications</t>
        </is>
      </c>
      <c r="I1361" s="8" t="inlineStr">
        <is>
          <t>Brochures / Flyers</t>
        </is>
      </c>
      <c r="J1361" s="11" t="inlineStr">
        <is>
          <t>8.5"W x 11"H</t>
        </is>
      </c>
      <c r="K1361" s="8" t="inlineStr">
        <is>
          <t>Your ad will appear at 6 approved installation facilities.</t>
        </is>
      </c>
      <c r="L1361" s="11" t="n">
        <v>1</v>
      </c>
      <c r="M1361" s="12" t="n">
        <v>338</v>
      </c>
      <c r="N1361" s="12" t="n">
        <v>1014</v>
      </c>
      <c r="O1361" s="12" t="n">
        <v>2028</v>
      </c>
      <c r="P1361" s="12" t="n">
        <v>4056</v>
      </c>
      <c r="Q1361" s="12" t="n"/>
      <c r="R1361" s="13">
        <f>IF(ISNUMBER(M1361),ROUND(M1361/(1-Settings!$B$2)/Settings!$B$3,0)*Settings!$B$3,"")</f>
        <v/>
      </c>
      <c r="S1361" s="13">
        <f>IF(ISNUMBER(N1361),ROUND(N1361/(1-Settings!$B$2)/Settings!$B$3,0)*Settings!$B$3,"")</f>
        <v/>
      </c>
      <c r="T1361" s="13">
        <f>IF(ISNUMBER(O1361),ROUND(O1361/(1-Settings!$B$2)/Settings!$B$3,0)*Settings!$B$3,"")</f>
        <v/>
      </c>
      <c r="U1361" s="13">
        <f>IF(ISNUMBER(P1361),ROUND(P1361/(1-Settings!$B$2)/Settings!$B$3,0)*Settings!$B$3,"")</f>
        <v/>
      </c>
      <c r="V1361" s="13">
        <f>IF(ISNUMBER(Q1361),ROUND(Q1361/(1-Settings!$B$2)/Settings!$B$3,0)*Settings!$B$3,"")</f>
        <v/>
      </c>
      <c r="W1361" s="14" t="n">
        <v>4500</v>
      </c>
      <c r="X1361" s="14" t="n"/>
      <c r="Y1361" s="11" t="inlineStr"/>
      <c r="Z1361" s="11" t="inlineStr"/>
      <c r="AA1361" s="8" t="inlineStr"/>
      <c r="AB1361" s="8" t="inlineStr"/>
      <c r="AC1361" s="11" t="inlineStr">
        <is>
          <t>MasterMilitaryOnBaseList 12.2.25 NS.xlsx</t>
        </is>
      </c>
      <c r="AD1361" s="11" t="inlineStr">
        <is>
          <t>FY26-27 ADVERTISING ASSETS_NRSE.xlsx</t>
        </is>
      </c>
      <c r="AE1361" s="15" t="inlineStr">
        <is>
          <t>Open in Box</t>
        </is>
      </c>
      <c r="AF1361" s="15" t="inlineStr">
        <is>
          <t>Open in Box</t>
        </is>
      </c>
    </row>
    <row r="1362">
      <c r="A1362" s="11" t="inlineStr">
        <is>
          <t>TX-KINGSVIL-004</t>
        </is>
      </c>
      <c r="B1362" s="8" t="inlineStr">
        <is>
          <t>Kingsville NAS</t>
        </is>
      </c>
      <c r="C1362" s="11" t="inlineStr"/>
      <c r="D1362" s="11" t="inlineStr">
        <is>
          <t>TX</t>
        </is>
      </c>
      <c r="E1362" s="11" t="inlineStr">
        <is>
          <t>Corpus Christi</t>
        </is>
      </c>
      <c r="F1362" s="11" t="inlineStr">
        <is>
          <t>78363</t>
        </is>
      </c>
      <c r="G1362" s="11" t="inlineStr">
        <is>
          <t>Navy</t>
        </is>
      </c>
      <c r="H1362" s="11" t="inlineStr">
        <is>
          <t>Standard Media</t>
        </is>
      </c>
      <c r="I1362" s="8" t="inlineStr">
        <is>
          <t>Banner</t>
        </is>
      </c>
      <c r="J1362" s="11" t="inlineStr">
        <is>
          <t>Varies</t>
        </is>
      </c>
      <c r="K1362" s="8" t="inlineStr">
        <is>
          <t>Your ad will appear at an approved installation facility.</t>
        </is>
      </c>
      <c r="L1362" s="11" t="n">
        <v>1</v>
      </c>
      <c r="M1362" s="12" t="n">
        <v>350</v>
      </c>
      <c r="N1362" s="12" t="n">
        <v>1050</v>
      </c>
      <c r="O1362" s="12" t="n">
        <v>2100</v>
      </c>
      <c r="P1362" s="12" t="n">
        <v>4200</v>
      </c>
      <c r="Q1362" s="12" t="n"/>
      <c r="R1362" s="13">
        <f>IF(ISNUMBER(M1362),ROUND(M1362/(1-Settings!$B$2)/Settings!$B$3,0)*Settings!$B$3,"")</f>
        <v/>
      </c>
      <c r="S1362" s="13">
        <f>IF(ISNUMBER(N1362),ROUND(N1362/(1-Settings!$B$2)/Settings!$B$3,0)*Settings!$B$3,"")</f>
        <v/>
      </c>
      <c r="T1362" s="13">
        <f>IF(ISNUMBER(O1362),ROUND(O1362/(1-Settings!$B$2)/Settings!$B$3,0)*Settings!$B$3,"")</f>
        <v/>
      </c>
      <c r="U1362" s="13">
        <f>IF(ISNUMBER(P1362),ROUND(P1362/(1-Settings!$B$2)/Settings!$B$3,0)*Settings!$B$3,"")</f>
        <v/>
      </c>
      <c r="V1362" s="13">
        <f>IF(ISNUMBER(Q1362),ROUND(Q1362/(1-Settings!$B$2)/Settings!$B$3,0)*Settings!$B$3,"")</f>
        <v/>
      </c>
      <c r="W1362" s="14" t="n">
        <v>4500</v>
      </c>
      <c r="X1362" s="14" t="n"/>
      <c r="Y1362" s="11" t="inlineStr"/>
      <c r="Z1362" s="11" t="inlineStr"/>
      <c r="AA1362" s="8" t="inlineStr"/>
      <c r="AB1362" s="8" t="inlineStr"/>
      <c r="AC1362" s="11" t="inlineStr">
        <is>
          <t>MasterMilitaryOnBaseList 12.2.25 NS.xlsx</t>
        </is>
      </c>
      <c r="AD1362" s="11" t="inlineStr">
        <is>
          <t>FY26-27 ADVERTISING ASSETS_NRSE.xlsx</t>
        </is>
      </c>
      <c r="AE1362" s="15" t="inlineStr">
        <is>
          <t>Open in Box</t>
        </is>
      </c>
      <c r="AF1362" s="15" t="inlineStr">
        <is>
          <t>Open in Box</t>
        </is>
      </c>
    </row>
    <row r="1363">
      <c r="A1363" s="11" t="inlineStr">
        <is>
          <t>TX-KINGSVIL-005</t>
        </is>
      </c>
      <c r="B1363" s="8" t="inlineStr">
        <is>
          <t>Kingsville NAS</t>
        </is>
      </c>
      <c r="C1363" s="11" t="inlineStr"/>
      <c r="D1363" s="11" t="inlineStr">
        <is>
          <t>TX</t>
        </is>
      </c>
      <c r="E1363" s="11" t="inlineStr">
        <is>
          <t>Corpus Christi</t>
        </is>
      </c>
      <c r="F1363" s="11" t="inlineStr">
        <is>
          <t>78363</t>
        </is>
      </c>
      <c r="G1363" s="11" t="inlineStr">
        <is>
          <t>Navy</t>
        </is>
      </c>
      <c r="H1363" s="11" t="inlineStr">
        <is>
          <t>Standard Media</t>
        </is>
      </c>
      <c r="I1363" s="8" t="inlineStr">
        <is>
          <t>Poster</t>
        </is>
      </c>
      <c r="J1363" s="11" t="inlineStr">
        <is>
          <t>22"W x 28"H</t>
        </is>
      </c>
      <c r="K1363" s="8" t="inlineStr">
        <is>
          <t>Your ad will appear at an approved installation facility.</t>
        </is>
      </c>
      <c r="L1363" s="11" t="n">
        <v>1</v>
      </c>
      <c r="M1363" s="12" t="n">
        <v>150</v>
      </c>
      <c r="N1363" s="12" t="n">
        <v>450</v>
      </c>
      <c r="O1363" s="12" t="n">
        <v>900</v>
      </c>
      <c r="P1363" s="12" t="n">
        <v>1800</v>
      </c>
      <c r="Q1363" s="12" t="n">
        <v>100</v>
      </c>
      <c r="R1363" s="13">
        <f>IF(ISNUMBER(M1363),ROUND(M1363/(1-Settings!$B$2)/Settings!$B$3,0)*Settings!$B$3,"")</f>
        <v/>
      </c>
      <c r="S1363" s="13">
        <f>IF(ISNUMBER(N1363),ROUND(N1363/(1-Settings!$B$2)/Settings!$B$3,0)*Settings!$B$3,"")</f>
        <v/>
      </c>
      <c r="T1363" s="13">
        <f>IF(ISNUMBER(O1363),ROUND(O1363/(1-Settings!$B$2)/Settings!$B$3,0)*Settings!$B$3,"")</f>
        <v/>
      </c>
      <c r="U1363" s="13">
        <f>IF(ISNUMBER(P1363),ROUND(P1363/(1-Settings!$B$2)/Settings!$B$3,0)*Settings!$B$3,"")</f>
        <v/>
      </c>
      <c r="V1363" s="13">
        <f>IF(ISNUMBER(Q1363),ROUND(Q1363/(1-Settings!$B$2)/Settings!$B$3,0)*Settings!$B$3,"")</f>
        <v/>
      </c>
      <c r="W1363" s="14" t="n">
        <v>4500</v>
      </c>
      <c r="X1363" s="14" t="n"/>
      <c r="Y1363" s="11" t="inlineStr"/>
      <c r="Z1363" s="11" t="inlineStr"/>
      <c r="AA1363" s="8" t="inlineStr"/>
      <c r="AB1363" s="8" t="inlineStr"/>
      <c r="AC1363" s="11" t="inlineStr">
        <is>
          <t>MasterMilitaryOnBaseList 12.2.25 NS.xlsx</t>
        </is>
      </c>
      <c r="AD1363" s="11" t="inlineStr">
        <is>
          <t>FY26-27 ADVERTISING ASSETS_NRSE.xlsx</t>
        </is>
      </c>
      <c r="AE1363" s="15" t="inlineStr">
        <is>
          <t>Open in Box</t>
        </is>
      </c>
      <c r="AF1363" s="15" t="inlineStr">
        <is>
          <t>Open in Box</t>
        </is>
      </c>
    </row>
    <row r="1364">
      <c r="A1364" s="11" t="inlineStr">
        <is>
          <t>TX-KINGSVIL-006</t>
        </is>
      </c>
      <c r="B1364" s="8" t="inlineStr">
        <is>
          <t>Kingsville NAS</t>
        </is>
      </c>
      <c r="C1364" s="11" t="inlineStr"/>
      <c r="D1364" s="11" t="inlineStr">
        <is>
          <t>TX</t>
        </is>
      </c>
      <c r="E1364" s="11" t="inlineStr">
        <is>
          <t>Corpus Christi</t>
        </is>
      </c>
      <c r="F1364" s="11" t="inlineStr">
        <is>
          <t>78363</t>
        </is>
      </c>
      <c r="G1364" s="11" t="inlineStr">
        <is>
          <t>Navy</t>
        </is>
      </c>
      <c r="H1364" s="11" t="inlineStr">
        <is>
          <t>Standard Media</t>
        </is>
      </c>
      <c r="I1364" s="8" t="inlineStr">
        <is>
          <t>Table Tents</t>
        </is>
      </c>
      <c r="J1364" s="11" t="inlineStr">
        <is>
          <t>4"W x 6"H</t>
        </is>
      </c>
      <c r="K1364" s="8" t="inlineStr">
        <is>
          <t>Your ad will appear at approved installation tables.</t>
        </is>
      </c>
      <c r="L1364" s="11" t="n">
        <v>1</v>
      </c>
      <c r="M1364" s="12" t="n">
        <v>125</v>
      </c>
      <c r="N1364" s="12" t="n">
        <v>375</v>
      </c>
      <c r="O1364" s="12" t="n">
        <v>750</v>
      </c>
      <c r="P1364" s="12" t="n">
        <v>1500</v>
      </c>
      <c r="Q1364" s="12" t="n"/>
      <c r="R1364" s="13">
        <f>IF(ISNUMBER(M1364),ROUND(M1364/(1-Settings!$B$2)/Settings!$B$3,0)*Settings!$B$3,"")</f>
        <v/>
      </c>
      <c r="S1364" s="13">
        <f>IF(ISNUMBER(N1364),ROUND(N1364/(1-Settings!$B$2)/Settings!$B$3,0)*Settings!$B$3,"")</f>
        <v/>
      </c>
      <c r="T1364" s="13">
        <f>IF(ISNUMBER(O1364),ROUND(O1364/(1-Settings!$B$2)/Settings!$B$3,0)*Settings!$B$3,"")</f>
        <v/>
      </c>
      <c r="U1364" s="13">
        <f>IF(ISNUMBER(P1364),ROUND(P1364/(1-Settings!$B$2)/Settings!$B$3,0)*Settings!$B$3,"")</f>
        <v/>
      </c>
      <c r="V1364" s="13">
        <f>IF(ISNUMBER(Q1364),ROUND(Q1364/(1-Settings!$B$2)/Settings!$B$3,0)*Settings!$B$3,"")</f>
        <v/>
      </c>
      <c r="W1364" s="14" t="n">
        <v>4500</v>
      </c>
      <c r="X1364" s="14" t="n"/>
      <c r="Y1364" s="11" t="inlineStr"/>
      <c r="Z1364" s="11" t="inlineStr"/>
      <c r="AA1364" s="8" t="inlineStr"/>
      <c r="AB1364" s="8" t="inlineStr"/>
      <c r="AC1364" s="11" t="inlineStr">
        <is>
          <t>MasterMilitaryOnBaseList 12.2.25 NS.xlsx</t>
        </is>
      </c>
      <c r="AD1364" s="11" t="inlineStr">
        <is>
          <t>FY26-27 ADVERTISING ASSETS_NRSE.xlsx</t>
        </is>
      </c>
      <c r="AE1364" s="15" t="inlineStr">
        <is>
          <t>Open in Box</t>
        </is>
      </c>
      <c r="AF1364" s="15" t="inlineStr">
        <is>
          <t>Open in Box</t>
        </is>
      </c>
    </row>
    <row r="1365">
      <c r="A1365" s="11" t="inlineStr">
        <is>
          <t>TX-KINGSVIL-010</t>
        </is>
      </c>
      <c r="B1365" s="8" t="inlineStr">
        <is>
          <t>Kingsville NAS</t>
        </is>
      </c>
      <c r="C1365" s="11" t="inlineStr"/>
      <c r="D1365" s="11" t="inlineStr">
        <is>
          <t>TX</t>
        </is>
      </c>
      <c r="E1365" s="11" t="inlineStr">
        <is>
          <t>Corpus Christi</t>
        </is>
      </c>
      <c r="F1365" s="11" t="inlineStr"/>
      <c r="G1365" s="11" t="inlineStr">
        <is>
          <t>Navy</t>
        </is>
      </c>
      <c r="H1365" s="11" t="inlineStr">
        <is>
          <t>Web &amp; Email</t>
        </is>
      </c>
      <c r="I1365" s="8" t="inlineStr">
        <is>
          <t>Monthly E-Newsletter Ad</t>
        </is>
      </c>
      <c r="J1365" s="11" t="inlineStr"/>
      <c r="K1365" s="8" t="inlineStr">
        <is>
          <t>Your ad will appear in the monthly e-newsletter emailed to the installation community.</t>
        </is>
      </c>
      <c r="L1365" s="11" t="n">
        <v>1</v>
      </c>
      <c r="M1365" s="12" t="n">
        <v>200</v>
      </c>
      <c r="N1365" s="12" t="n"/>
      <c r="O1365" s="12" t="n"/>
      <c r="P1365" s="12" t="n"/>
      <c r="Q1365" s="12" t="n"/>
      <c r="R1365" s="13">
        <f>IF(ISNUMBER(M1365),ROUND(M1365/(1-Settings!$B$2)/Settings!$B$3,0)*Settings!$B$3,"")</f>
        <v/>
      </c>
      <c r="S1365" s="13">
        <f>IF(ISNUMBER(N1365),ROUND(N1365/(1-Settings!$B$2)/Settings!$B$3,0)*Settings!$B$3,"")</f>
        <v/>
      </c>
      <c r="T1365" s="13">
        <f>IF(ISNUMBER(O1365),ROUND(O1365/(1-Settings!$B$2)/Settings!$B$3,0)*Settings!$B$3,"")</f>
        <v/>
      </c>
      <c r="U1365" s="13">
        <f>IF(ISNUMBER(P1365),ROUND(P1365/(1-Settings!$B$2)/Settings!$B$3,0)*Settings!$B$3,"")</f>
        <v/>
      </c>
      <c r="V1365" s="13">
        <f>IF(ISNUMBER(Q1365),ROUND(Q1365/(1-Settings!$B$2)/Settings!$B$3,0)*Settings!$B$3,"")</f>
        <v/>
      </c>
      <c r="W1365" s="14" t="n">
        <v>4500</v>
      </c>
      <c r="X1365" s="14" t="n"/>
      <c r="Y1365" s="11" t="inlineStr">
        <is>
          <t>2026</t>
        </is>
      </c>
      <c r="Z1365" s="11" t="inlineStr">
        <is>
          <t>2026-06</t>
        </is>
      </c>
      <c r="AA1365" s="8" t="inlineStr"/>
      <c r="AB1365" s="8" t="inlineStr"/>
      <c r="AC1365" s="11" t="inlineStr">
        <is>
          <t>Military - National Publication Inventory Master_June 2026.xlsx</t>
        </is>
      </c>
      <c r="AD1365" s="11" t="inlineStr">
        <is>
          <t>FY26-27 ADVERTISING ASSETS_NRSE.xlsx</t>
        </is>
      </c>
      <c r="AE1365" s="15" t="inlineStr">
        <is>
          <t>Open in Box</t>
        </is>
      </c>
      <c r="AF1365" s="15" t="inlineStr">
        <is>
          <t>Open in Box</t>
        </is>
      </c>
    </row>
    <row r="1366">
      <c r="A1366" s="11" t="inlineStr">
        <is>
          <t>TX-KINGSVIL-011</t>
        </is>
      </c>
      <c r="B1366" s="8" t="inlineStr">
        <is>
          <t>Kingsville NAS</t>
        </is>
      </c>
      <c r="C1366" s="11" t="inlineStr"/>
      <c r="D1366" s="11" t="inlineStr">
        <is>
          <t>TX</t>
        </is>
      </c>
      <c r="E1366" s="11" t="inlineStr">
        <is>
          <t>Corpus Christi</t>
        </is>
      </c>
      <c r="F1366" s="11" t="inlineStr"/>
      <c r="G1366" s="11" t="inlineStr">
        <is>
          <t>Navy</t>
        </is>
      </c>
      <c r="H1366" s="11" t="inlineStr">
        <is>
          <t>Web &amp; Email</t>
        </is>
      </c>
      <c r="I1366" s="8" t="inlineStr">
        <is>
          <t>Web Ad</t>
        </is>
      </c>
      <c r="J1366" s="11" t="inlineStr"/>
      <c r="K1366" s="8" t="inlineStr">
        <is>
          <t>Your ad will appear on the installation MWR / FSS website.</t>
        </is>
      </c>
      <c r="L1366" s="11" t="n">
        <v>1</v>
      </c>
      <c r="M1366" s="12" t="n">
        <v>200</v>
      </c>
      <c r="N1366" s="12" t="n"/>
      <c r="O1366" s="12" t="n"/>
      <c r="P1366" s="12" t="n"/>
      <c r="Q1366" s="12" t="n"/>
      <c r="R1366" s="13">
        <f>IF(ISNUMBER(M1366),ROUND(M1366/(1-Settings!$B$2)/Settings!$B$3,0)*Settings!$B$3,"")</f>
        <v/>
      </c>
      <c r="S1366" s="13">
        <f>IF(ISNUMBER(N1366),ROUND(N1366/(1-Settings!$B$2)/Settings!$B$3,0)*Settings!$B$3,"")</f>
        <v/>
      </c>
      <c r="T1366" s="13">
        <f>IF(ISNUMBER(O1366),ROUND(O1366/(1-Settings!$B$2)/Settings!$B$3,0)*Settings!$B$3,"")</f>
        <v/>
      </c>
      <c r="U1366" s="13">
        <f>IF(ISNUMBER(P1366),ROUND(P1366/(1-Settings!$B$2)/Settings!$B$3,0)*Settings!$B$3,"")</f>
        <v/>
      </c>
      <c r="V1366" s="13">
        <f>IF(ISNUMBER(Q1366),ROUND(Q1366/(1-Settings!$B$2)/Settings!$B$3,0)*Settings!$B$3,"")</f>
        <v/>
      </c>
      <c r="W1366" s="14" t="n">
        <v>4500</v>
      </c>
      <c r="X1366" s="14" t="n"/>
      <c r="Y1366" s="11" t="inlineStr">
        <is>
          <t>2026</t>
        </is>
      </c>
      <c r="Z1366" s="11" t="inlineStr">
        <is>
          <t>2026-06</t>
        </is>
      </c>
      <c r="AA1366" s="8" t="inlineStr"/>
      <c r="AB1366" s="8" t="inlineStr"/>
      <c r="AC1366" s="11" t="inlineStr">
        <is>
          <t>Military - National Publication Inventory Master_June 2026.xlsx</t>
        </is>
      </c>
      <c r="AD1366" s="11" t="inlineStr">
        <is>
          <t>FY26-27 ADVERTISING ASSETS_NRSE.xlsx</t>
        </is>
      </c>
      <c r="AE1366" s="15" t="inlineStr">
        <is>
          <t>Open in Box</t>
        </is>
      </c>
      <c r="AF1366" s="15" t="inlineStr">
        <is>
          <t>Open in Box</t>
        </is>
      </c>
    </row>
    <row r="1367">
      <c r="A1367" s="11" t="inlineStr">
        <is>
          <t>TX-LACKLAND-001</t>
        </is>
      </c>
      <c r="B1367" s="8" t="inlineStr">
        <is>
          <t>Lackland AFB</t>
        </is>
      </c>
      <c r="C1367" s="11" t="inlineStr">
        <is>
          <t>JB San Antonio</t>
        </is>
      </c>
      <c r="D1367" s="11" t="inlineStr">
        <is>
          <t>TX</t>
        </is>
      </c>
      <c r="E1367" s="11" t="inlineStr">
        <is>
          <t>San Antonio</t>
        </is>
      </c>
      <c r="F1367" s="11" t="inlineStr">
        <is>
          <t>78236</t>
        </is>
      </c>
      <c r="G1367" s="11" t="inlineStr">
        <is>
          <t>Air Force</t>
        </is>
      </c>
      <c r="H1367" s="11" t="inlineStr">
        <is>
          <t>Digital</t>
        </is>
      </c>
      <c r="I1367" s="8" t="inlineStr">
        <is>
          <t>Bowling Masking Unit</t>
        </is>
      </c>
      <c r="J1367" s="11" t="inlineStr">
        <is>
          <t>TBD</t>
        </is>
      </c>
      <c r="K1367" s="8" t="inlineStr">
        <is>
          <t>Your ad will appear at the bowling center at one lane.</t>
        </is>
      </c>
      <c r="L1367" s="11" t="n">
        <v>1</v>
      </c>
      <c r="M1367" s="12" t="n">
        <v>50</v>
      </c>
      <c r="N1367" s="12" t="n">
        <v>150</v>
      </c>
      <c r="O1367" s="12" t="n">
        <v>300</v>
      </c>
      <c r="P1367" s="12" t="n">
        <v>600</v>
      </c>
      <c r="Q1367" s="12" t="n"/>
      <c r="R1367" s="13">
        <f>IF(ISNUMBER(M1367),ROUND(M1367/(1-Settings!$B$2)/Settings!$B$3,0)*Settings!$B$3,"")</f>
        <v/>
      </c>
      <c r="S1367" s="13">
        <f>IF(ISNUMBER(N1367),ROUND(N1367/(1-Settings!$B$2)/Settings!$B$3,0)*Settings!$B$3,"")</f>
        <v/>
      </c>
      <c r="T1367" s="13">
        <f>IF(ISNUMBER(O1367),ROUND(O1367/(1-Settings!$B$2)/Settings!$B$3,0)*Settings!$B$3,"")</f>
        <v/>
      </c>
      <c r="U1367" s="13">
        <f>IF(ISNUMBER(P1367),ROUND(P1367/(1-Settings!$B$2)/Settings!$B$3,0)*Settings!$B$3,"")</f>
        <v/>
      </c>
      <c r="V1367" s="13">
        <f>IF(ISNUMBER(Q1367),ROUND(Q1367/(1-Settings!$B$2)/Settings!$B$3,0)*Settings!$B$3,"")</f>
        <v/>
      </c>
      <c r="W1367" s="14" t="n">
        <v>22220</v>
      </c>
      <c r="X1367" s="14" t="n">
        <v>20301</v>
      </c>
      <c r="Y1367" s="11" t="inlineStr"/>
      <c r="Z1367" s="11" t="inlineStr"/>
      <c r="AA1367" s="8" t="inlineStr"/>
      <c r="AB1367" s="8" t="inlineStr"/>
      <c r="AC1367" s="11" t="inlineStr">
        <is>
          <t>MasterMilitaryOnBaseList 12.2.25 NS.xlsx</t>
        </is>
      </c>
      <c r="AD1367" s="11" t="inlineStr">
        <is>
          <t>2026-Sponsorship-Brochure_ECM_Aug_14_2025_SinglePgs-.pdf</t>
        </is>
      </c>
      <c r="AE1367" s="15" t="inlineStr">
        <is>
          <t>Open in Box</t>
        </is>
      </c>
      <c r="AF1367" s="15" t="inlineStr">
        <is>
          <t>Open in Box</t>
        </is>
      </c>
    </row>
    <row r="1368">
      <c r="A1368" s="11" t="inlineStr">
        <is>
          <t>TX-LACKLAND-002</t>
        </is>
      </c>
      <c r="B1368" s="8" t="inlineStr">
        <is>
          <t>Lackland AFB</t>
        </is>
      </c>
      <c r="C1368" s="11" t="inlineStr">
        <is>
          <t>JB San Antonio</t>
        </is>
      </c>
      <c r="D1368" s="11" t="inlineStr">
        <is>
          <t>TX</t>
        </is>
      </c>
      <c r="E1368" s="11" t="inlineStr">
        <is>
          <t>San Antonio</t>
        </is>
      </c>
      <c r="F1368" s="11" t="inlineStr">
        <is>
          <t>78236</t>
        </is>
      </c>
      <c r="G1368" s="11" t="inlineStr">
        <is>
          <t>Air Force</t>
        </is>
      </c>
      <c r="H1368" s="11" t="inlineStr">
        <is>
          <t>Digital</t>
        </is>
      </c>
      <c r="I1368" s="8" t="inlineStr">
        <is>
          <t>Bowling Scoring Monitors</t>
        </is>
      </c>
      <c r="J1368" s="11" t="inlineStr">
        <is>
          <t>1920pxW x 1080pxH</t>
        </is>
      </c>
      <c r="K1368" s="8" t="inlineStr">
        <is>
          <t>Your ad will appear on 32 digital bowling scoring monitors.</t>
        </is>
      </c>
      <c r="L1368" s="11" t="n">
        <v>1</v>
      </c>
      <c r="M1368" s="12" t="n">
        <v>150</v>
      </c>
      <c r="N1368" s="12" t="n">
        <v>450</v>
      </c>
      <c r="O1368" s="12" t="n">
        <v>900</v>
      </c>
      <c r="P1368" s="12" t="n">
        <v>1800</v>
      </c>
      <c r="Q1368" s="12" t="n">
        <v>0</v>
      </c>
      <c r="R1368" s="13">
        <f>IF(ISNUMBER(M1368),ROUND(M1368/(1-Settings!$B$2)/Settings!$B$3,0)*Settings!$B$3,"")</f>
        <v/>
      </c>
      <c r="S1368" s="13">
        <f>IF(ISNUMBER(N1368),ROUND(N1368/(1-Settings!$B$2)/Settings!$B$3,0)*Settings!$B$3,"")</f>
        <v/>
      </c>
      <c r="T1368" s="13">
        <f>IF(ISNUMBER(O1368),ROUND(O1368/(1-Settings!$B$2)/Settings!$B$3,0)*Settings!$B$3,"")</f>
        <v/>
      </c>
      <c r="U1368" s="13">
        <f>IF(ISNUMBER(P1368),ROUND(P1368/(1-Settings!$B$2)/Settings!$B$3,0)*Settings!$B$3,"")</f>
        <v/>
      </c>
      <c r="V1368" s="13">
        <f>IF(ISNUMBER(Q1368),ROUND(Q1368/(1-Settings!$B$2)/Settings!$B$3,0)*Settings!$B$3,"")</f>
        <v/>
      </c>
      <c r="W1368" s="14" t="n">
        <v>22220</v>
      </c>
      <c r="X1368" s="14" t="n">
        <v>20301</v>
      </c>
      <c r="Y1368" s="11" t="inlineStr"/>
      <c r="Z1368" s="11" t="inlineStr"/>
      <c r="AA1368" s="8" t="inlineStr"/>
      <c r="AB1368" s="8" t="inlineStr"/>
      <c r="AC1368" s="11" t="inlineStr">
        <is>
          <t>MasterMilitaryOnBaseList 12.2.25 NS.xlsx</t>
        </is>
      </c>
      <c r="AD1368" s="11" t="inlineStr">
        <is>
          <t>2026-Sponsorship-Brochure_ECM_Aug_14_2025_SinglePgs-.pdf</t>
        </is>
      </c>
      <c r="AE1368" s="15" t="inlineStr">
        <is>
          <t>Open in Box</t>
        </is>
      </c>
      <c r="AF1368" s="15" t="inlineStr">
        <is>
          <t>Open in Box</t>
        </is>
      </c>
    </row>
    <row r="1369">
      <c r="A1369" s="11" t="inlineStr">
        <is>
          <t>TX-LACKLAND-003</t>
        </is>
      </c>
      <c r="B1369" s="8" t="inlineStr">
        <is>
          <t>Lackland AFB</t>
        </is>
      </c>
      <c r="C1369" s="11" t="inlineStr">
        <is>
          <t>JB San Antonio</t>
        </is>
      </c>
      <c r="D1369" s="11" t="inlineStr">
        <is>
          <t>TX</t>
        </is>
      </c>
      <c r="E1369" s="11" t="inlineStr">
        <is>
          <t>San Antonio</t>
        </is>
      </c>
      <c r="F1369" s="11" t="inlineStr">
        <is>
          <t>78236</t>
        </is>
      </c>
      <c r="G1369" s="11" t="inlineStr">
        <is>
          <t>Air Force</t>
        </is>
      </c>
      <c r="H1369" s="11" t="inlineStr">
        <is>
          <t>Digital</t>
        </is>
      </c>
      <c r="I1369" s="8" t="inlineStr">
        <is>
          <t>Bowling Swing Arm</t>
        </is>
      </c>
      <c r="J1369" s="11" t="inlineStr">
        <is>
          <t>TBD</t>
        </is>
      </c>
      <c r="K1369" s="8" t="inlineStr">
        <is>
          <t>Your ad will appear at the bowling center at one lane.</t>
        </is>
      </c>
      <c r="L1369" s="11" t="n">
        <v>1</v>
      </c>
      <c r="M1369" s="12" t="n">
        <v>50</v>
      </c>
      <c r="N1369" s="12" t="n">
        <v>150</v>
      </c>
      <c r="O1369" s="12" t="n">
        <v>300</v>
      </c>
      <c r="P1369" s="12" t="n">
        <v>600</v>
      </c>
      <c r="Q1369" s="12" t="n"/>
      <c r="R1369" s="13">
        <f>IF(ISNUMBER(M1369),ROUND(M1369/(1-Settings!$B$2)/Settings!$B$3,0)*Settings!$B$3,"")</f>
        <v/>
      </c>
      <c r="S1369" s="13">
        <f>IF(ISNUMBER(N1369),ROUND(N1369/(1-Settings!$B$2)/Settings!$B$3,0)*Settings!$B$3,"")</f>
        <v/>
      </c>
      <c r="T1369" s="13">
        <f>IF(ISNUMBER(O1369),ROUND(O1369/(1-Settings!$B$2)/Settings!$B$3,0)*Settings!$B$3,"")</f>
        <v/>
      </c>
      <c r="U1369" s="13">
        <f>IF(ISNUMBER(P1369),ROUND(P1369/(1-Settings!$B$2)/Settings!$B$3,0)*Settings!$B$3,"")</f>
        <v/>
      </c>
      <c r="V1369" s="13">
        <f>IF(ISNUMBER(Q1369),ROUND(Q1369/(1-Settings!$B$2)/Settings!$B$3,0)*Settings!$B$3,"")</f>
        <v/>
      </c>
      <c r="W1369" s="14" t="n">
        <v>22220</v>
      </c>
      <c r="X1369" s="14" t="n">
        <v>20301</v>
      </c>
      <c r="Y1369" s="11" t="inlineStr"/>
      <c r="Z1369" s="11" t="inlineStr"/>
      <c r="AA1369" s="8" t="inlineStr"/>
      <c r="AB1369" s="8" t="inlineStr"/>
      <c r="AC1369" s="11" t="inlineStr">
        <is>
          <t>MasterMilitaryOnBaseList 12.2.25 NS.xlsx</t>
        </is>
      </c>
      <c r="AD1369" s="11" t="inlineStr">
        <is>
          <t>2026-Sponsorship-Brochure_ECM_Aug_14_2025_SinglePgs-.pdf</t>
        </is>
      </c>
      <c r="AE1369" s="15" t="inlineStr">
        <is>
          <t>Open in Box</t>
        </is>
      </c>
      <c r="AF1369" s="15" t="inlineStr">
        <is>
          <t>Open in Box</t>
        </is>
      </c>
    </row>
    <row r="1370">
      <c r="A1370" s="11" t="inlineStr">
        <is>
          <t>TX-LACKLAND-004</t>
        </is>
      </c>
      <c r="B1370" s="8" t="inlineStr">
        <is>
          <t>Lackland AFB</t>
        </is>
      </c>
      <c r="C1370" s="11" t="inlineStr">
        <is>
          <t>JB San Antonio</t>
        </is>
      </c>
      <c r="D1370" s="11" t="inlineStr">
        <is>
          <t>TX</t>
        </is>
      </c>
      <c r="E1370" s="11" t="inlineStr">
        <is>
          <t>San Antonio</t>
        </is>
      </c>
      <c r="F1370" s="11" t="inlineStr">
        <is>
          <t>78236</t>
        </is>
      </c>
      <c r="G1370" s="11" t="inlineStr">
        <is>
          <t>Air Force</t>
        </is>
      </c>
      <c r="H1370" s="11" t="inlineStr">
        <is>
          <t>Digital</t>
        </is>
      </c>
      <c r="I1370" s="8" t="inlineStr">
        <is>
          <t>Digital Kiosk Network</t>
        </is>
      </c>
      <c r="J1370" s="11" t="inlineStr">
        <is>
          <t>1080pxW x 1920pxH</t>
        </is>
      </c>
      <c r="K1370" s="8" t="inlineStr">
        <is>
          <t>Your ad will appear on12 digital kiosks in approved installation facilities.</t>
        </is>
      </c>
      <c r="L1370" s="11" t="n">
        <v>1</v>
      </c>
      <c r="M1370" s="12" t="n">
        <v>480</v>
      </c>
      <c r="N1370" s="12" t="n">
        <v>1440</v>
      </c>
      <c r="O1370" s="12" t="n">
        <v>2880</v>
      </c>
      <c r="P1370" s="12" t="n">
        <v>5760</v>
      </c>
      <c r="Q1370" s="12" t="n">
        <v>0</v>
      </c>
      <c r="R1370" s="13">
        <f>IF(ISNUMBER(M1370),ROUND(M1370/(1-Settings!$B$2)/Settings!$B$3,0)*Settings!$B$3,"")</f>
        <v/>
      </c>
      <c r="S1370" s="13">
        <f>IF(ISNUMBER(N1370),ROUND(N1370/(1-Settings!$B$2)/Settings!$B$3,0)*Settings!$B$3,"")</f>
        <v/>
      </c>
      <c r="T1370" s="13">
        <f>IF(ISNUMBER(O1370),ROUND(O1370/(1-Settings!$B$2)/Settings!$B$3,0)*Settings!$B$3,"")</f>
        <v/>
      </c>
      <c r="U1370" s="13">
        <f>IF(ISNUMBER(P1370),ROUND(P1370/(1-Settings!$B$2)/Settings!$B$3,0)*Settings!$B$3,"")</f>
        <v/>
      </c>
      <c r="V1370" s="13">
        <f>IF(ISNUMBER(Q1370),ROUND(Q1370/(1-Settings!$B$2)/Settings!$B$3,0)*Settings!$B$3,"")</f>
        <v/>
      </c>
      <c r="W1370" s="14" t="n">
        <v>22220</v>
      </c>
      <c r="X1370" s="14" t="n">
        <v>20301</v>
      </c>
      <c r="Y1370" s="11" t="inlineStr"/>
      <c r="Z1370" s="11" t="inlineStr"/>
      <c r="AA1370" s="8" t="inlineStr">
        <is>
          <t>Inventory master 6/2026 lists Digital Monitor Network at $780 (1 mo)</t>
        </is>
      </c>
      <c r="AB1370" s="8" t="inlineStr"/>
      <c r="AC1370" s="11" t="inlineStr">
        <is>
          <t>MasterMilitaryOnBaseList 12.2.25 NS.xlsx</t>
        </is>
      </c>
      <c r="AD1370" s="11" t="inlineStr">
        <is>
          <t>2026-Sponsorship-Brochure_ECM_Aug_14_2025_SinglePgs-.pdf</t>
        </is>
      </c>
      <c r="AE1370" s="15" t="inlineStr">
        <is>
          <t>Open in Box</t>
        </is>
      </c>
      <c r="AF1370" s="15" t="inlineStr">
        <is>
          <t>Open in Box</t>
        </is>
      </c>
    </row>
    <row r="1371">
      <c r="A1371" s="11" t="inlineStr">
        <is>
          <t>TX-LACKLAND-005</t>
        </is>
      </c>
      <c r="B1371" s="8" t="inlineStr">
        <is>
          <t>Lackland AFB</t>
        </is>
      </c>
      <c r="C1371" s="11" t="inlineStr">
        <is>
          <t>JB San Antonio</t>
        </is>
      </c>
      <c r="D1371" s="11" t="inlineStr">
        <is>
          <t>TX</t>
        </is>
      </c>
      <c r="E1371" s="11" t="inlineStr">
        <is>
          <t>San Antonio</t>
        </is>
      </c>
      <c r="F1371" s="11" t="inlineStr">
        <is>
          <t>78236</t>
        </is>
      </c>
      <c r="G1371" s="11" t="inlineStr">
        <is>
          <t>Air Force</t>
        </is>
      </c>
      <c r="H1371" s="11" t="inlineStr">
        <is>
          <t>Digital</t>
        </is>
      </c>
      <c r="I1371" s="8" t="inlineStr">
        <is>
          <t>Digital Monitor Network</t>
        </is>
      </c>
      <c r="J1371" s="11" t="inlineStr">
        <is>
          <t>1920pxW x 1080pxH</t>
        </is>
      </c>
      <c r="K1371" s="8" t="inlineStr">
        <is>
          <t>Your ad will appear on 23 digital monitors in approved installation facilities.</t>
        </is>
      </c>
      <c r="L1371" s="11" t="n">
        <v>1</v>
      </c>
      <c r="M1371" s="12" t="n">
        <v>690</v>
      </c>
      <c r="N1371" s="12" t="n">
        <v>2070</v>
      </c>
      <c r="O1371" s="12" t="n">
        <v>4140</v>
      </c>
      <c r="P1371" s="12" t="n">
        <v>8280</v>
      </c>
      <c r="Q1371" s="12" t="n">
        <v>0</v>
      </c>
      <c r="R1371" s="13">
        <f>IF(ISNUMBER(M1371),ROUND(M1371/(1-Settings!$B$2)/Settings!$B$3,0)*Settings!$B$3,"")</f>
        <v/>
      </c>
      <c r="S1371" s="13">
        <f>IF(ISNUMBER(N1371),ROUND(N1371/(1-Settings!$B$2)/Settings!$B$3,0)*Settings!$B$3,"")</f>
        <v/>
      </c>
      <c r="T1371" s="13">
        <f>IF(ISNUMBER(O1371),ROUND(O1371/(1-Settings!$B$2)/Settings!$B$3,0)*Settings!$B$3,"")</f>
        <v/>
      </c>
      <c r="U1371" s="13">
        <f>IF(ISNUMBER(P1371),ROUND(P1371/(1-Settings!$B$2)/Settings!$B$3,0)*Settings!$B$3,"")</f>
        <v/>
      </c>
      <c r="V1371" s="13">
        <f>IF(ISNUMBER(Q1371),ROUND(Q1371/(1-Settings!$B$2)/Settings!$B$3,0)*Settings!$B$3,"")</f>
        <v/>
      </c>
      <c r="W1371" s="14" t="n">
        <v>22220</v>
      </c>
      <c r="X1371" s="14" t="n">
        <v>20301</v>
      </c>
      <c r="Y1371" s="11" t="inlineStr"/>
      <c r="Z1371" s="11" t="inlineStr"/>
      <c r="AA1371" s="8" t="inlineStr">
        <is>
          <t>Inventory master 6/2026 lists Digital Monitor Network at $780 (1 mo)</t>
        </is>
      </c>
      <c r="AB1371" s="8" t="inlineStr"/>
      <c r="AC1371" s="11" t="inlineStr">
        <is>
          <t>MasterMilitaryOnBaseList 12.2.25 NS.xlsx</t>
        </is>
      </c>
      <c r="AD1371" s="11" t="inlineStr">
        <is>
          <t>2026-Sponsorship-Brochure_ECM_Aug_14_2025_SinglePgs-.pdf</t>
        </is>
      </c>
      <c r="AE1371" s="15" t="inlineStr">
        <is>
          <t>Open in Box</t>
        </is>
      </c>
      <c r="AF1371" s="15" t="inlineStr">
        <is>
          <t>Open in Box</t>
        </is>
      </c>
    </row>
    <row r="1372">
      <c r="A1372" s="11" t="inlineStr">
        <is>
          <t>TX-LACKLAND-006</t>
        </is>
      </c>
      <c r="B1372" s="8" t="inlineStr">
        <is>
          <t>Lackland AFB</t>
        </is>
      </c>
      <c r="C1372" s="11" t="inlineStr">
        <is>
          <t>JB San Antonio</t>
        </is>
      </c>
      <c r="D1372" s="11" t="inlineStr">
        <is>
          <t>TX</t>
        </is>
      </c>
      <c r="E1372" s="11" t="inlineStr">
        <is>
          <t>San Antonio</t>
        </is>
      </c>
      <c r="F1372" s="11" t="inlineStr">
        <is>
          <t>78236</t>
        </is>
      </c>
      <c r="G1372" s="11" t="inlineStr">
        <is>
          <t>Air Force</t>
        </is>
      </c>
      <c r="H1372" s="11" t="inlineStr">
        <is>
          <t>Digital</t>
        </is>
      </c>
      <c r="I1372" s="8" t="inlineStr">
        <is>
          <t>Theatre Program Ad</t>
        </is>
      </c>
      <c r="J1372" s="11" t="inlineStr">
        <is>
          <t>TBD</t>
        </is>
      </c>
      <c r="K1372" s="8" t="inlineStr">
        <is>
          <t>Your ad will appear in the Harlequin Program.</t>
        </is>
      </c>
      <c r="L1372" s="11" t="n">
        <v>12</v>
      </c>
      <c r="M1372" s="12" t="n"/>
      <c r="N1372" s="12" t="n"/>
      <c r="O1372" s="12" t="n"/>
      <c r="P1372" s="12" t="n">
        <v>1800</v>
      </c>
      <c r="Q1372" s="12" t="n">
        <v>0</v>
      </c>
      <c r="R1372" s="13">
        <f>IF(ISNUMBER(M1372),ROUND(M1372/(1-Settings!$B$2)/Settings!$B$3,0)*Settings!$B$3,"")</f>
        <v/>
      </c>
      <c r="S1372" s="13">
        <f>IF(ISNUMBER(N1372),ROUND(N1372/(1-Settings!$B$2)/Settings!$B$3,0)*Settings!$B$3,"")</f>
        <v/>
      </c>
      <c r="T1372" s="13">
        <f>IF(ISNUMBER(O1372),ROUND(O1372/(1-Settings!$B$2)/Settings!$B$3,0)*Settings!$B$3,"")</f>
        <v/>
      </c>
      <c r="U1372" s="13">
        <f>IF(ISNUMBER(P1372),ROUND(P1372/(1-Settings!$B$2)/Settings!$B$3,0)*Settings!$B$3,"")</f>
        <v/>
      </c>
      <c r="V1372" s="13">
        <f>IF(ISNUMBER(Q1372),ROUND(Q1372/(1-Settings!$B$2)/Settings!$B$3,0)*Settings!$B$3,"")</f>
        <v/>
      </c>
      <c r="W1372" s="14" t="n">
        <v>22220</v>
      </c>
      <c r="X1372" s="14" t="n">
        <v>20301</v>
      </c>
      <c r="Y1372" s="11" t="inlineStr"/>
      <c r="Z1372" s="11" t="inlineStr"/>
      <c r="AA1372" s="8" t="inlineStr"/>
      <c r="AB1372" s="16" t="inlineStr">
        <is>
          <t>Source formula errors</t>
        </is>
      </c>
      <c r="AC1372" s="11" t="inlineStr">
        <is>
          <t>MasterMilitaryOnBaseList 12.2.25 NS.xlsx</t>
        </is>
      </c>
      <c r="AD1372" s="11" t="inlineStr">
        <is>
          <t>2026-Sponsorship-Brochure_ECM_Aug_14_2025_SinglePgs-.pdf</t>
        </is>
      </c>
      <c r="AE1372" s="15" t="inlineStr">
        <is>
          <t>Open in Box</t>
        </is>
      </c>
      <c r="AF1372" s="15" t="inlineStr">
        <is>
          <t>Open in Box</t>
        </is>
      </c>
    </row>
    <row r="1373">
      <c r="A1373" s="11" t="inlineStr">
        <is>
          <t>TX-LACKLAND-013</t>
        </is>
      </c>
      <c r="B1373" s="8" t="inlineStr">
        <is>
          <t>Lackland AFB</t>
        </is>
      </c>
      <c r="C1373" s="11" t="inlineStr">
        <is>
          <t>JB San Antonio</t>
        </is>
      </c>
      <c r="D1373" s="11" t="inlineStr">
        <is>
          <t>TX</t>
        </is>
      </c>
      <c r="E1373" s="11" t="inlineStr">
        <is>
          <t>San Antonio</t>
        </is>
      </c>
      <c r="F1373" s="11" t="inlineStr">
        <is>
          <t>78236</t>
        </is>
      </c>
      <c r="G1373" s="11" t="inlineStr">
        <is>
          <t>Air Force</t>
        </is>
      </c>
      <c r="H1373" s="11" t="inlineStr">
        <is>
          <t>Large Format</t>
        </is>
      </c>
      <c r="I1373" s="8" t="inlineStr">
        <is>
          <t>Floor Clings</t>
        </is>
      </c>
      <c r="J1373" s="11" t="inlineStr">
        <is>
          <t>45" Diameter</t>
        </is>
      </c>
      <c r="K1373" s="8" t="inlineStr">
        <is>
          <t>Your ad will appear at an approved installation facility.</t>
        </is>
      </c>
      <c r="L1373" s="11" t="n">
        <v>1</v>
      </c>
      <c r="M1373" s="12" t="n">
        <v>300</v>
      </c>
      <c r="N1373" s="12" t="n">
        <v>900</v>
      </c>
      <c r="O1373" s="12" t="n">
        <v>1800</v>
      </c>
      <c r="P1373" s="12" t="n">
        <v>3600</v>
      </c>
      <c r="Q1373" s="12" t="n"/>
      <c r="R1373" s="13">
        <f>IF(ISNUMBER(M1373),ROUND(M1373/(1-Settings!$B$2)/Settings!$B$3,0)*Settings!$B$3,"")</f>
        <v/>
      </c>
      <c r="S1373" s="13">
        <f>IF(ISNUMBER(N1373),ROUND(N1373/(1-Settings!$B$2)/Settings!$B$3,0)*Settings!$B$3,"")</f>
        <v/>
      </c>
      <c r="T1373" s="13">
        <f>IF(ISNUMBER(O1373),ROUND(O1373/(1-Settings!$B$2)/Settings!$B$3,0)*Settings!$B$3,"")</f>
        <v/>
      </c>
      <c r="U1373" s="13">
        <f>IF(ISNUMBER(P1373),ROUND(P1373/(1-Settings!$B$2)/Settings!$B$3,0)*Settings!$B$3,"")</f>
        <v/>
      </c>
      <c r="V1373" s="13">
        <f>IF(ISNUMBER(Q1373),ROUND(Q1373/(1-Settings!$B$2)/Settings!$B$3,0)*Settings!$B$3,"")</f>
        <v/>
      </c>
      <c r="W1373" s="14" t="n">
        <v>22220</v>
      </c>
      <c r="X1373" s="14" t="n">
        <v>20301</v>
      </c>
      <c r="Y1373" s="11" t="inlineStr"/>
      <c r="Z1373" s="11" t="inlineStr"/>
      <c r="AA1373" s="8" t="inlineStr"/>
      <c r="AB1373" s="8" t="inlineStr"/>
      <c r="AC1373" s="11" t="inlineStr">
        <is>
          <t>MasterMilitaryOnBaseList 12.2.25 NS.xlsx</t>
        </is>
      </c>
      <c r="AD1373" s="11" t="inlineStr">
        <is>
          <t>2026-Sponsorship-Brochure_ECM_Aug_14_2025_SinglePgs-.pdf</t>
        </is>
      </c>
      <c r="AE1373" s="15" t="inlineStr">
        <is>
          <t>Open in Box</t>
        </is>
      </c>
      <c r="AF1373" s="15" t="inlineStr">
        <is>
          <t>Open in Box</t>
        </is>
      </c>
    </row>
    <row r="1374">
      <c r="A1374" s="11" t="inlineStr">
        <is>
          <t>TX-LACKLAND-014</t>
        </is>
      </c>
      <c r="B1374" s="8" t="inlineStr">
        <is>
          <t>Lackland AFB</t>
        </is>
      </c>
      <c r="C1374" s="11" t="inlineStr">
        <is>
          <t>JB San Antonio</t>
        </is>
      </c>
      <c r="D1374" s="11" t="inlineStr">
        <is>
          <t>TX</t>
        </is>
      </c>
      <c r="E1374" s="11" t="inlineStr">
        <is>
          <t>San Antonio</t>
        </is>
      </c>
      <c r="F1374" s="11" t="inlineStr">
        <is>
          <t>78236</t>
        </is>
      </c>
      <c r="G1374" s="11" t="inlineStr">
        <is>
          <t>Air Force</t>
        </is>
      </c>
      <c r="H1374" s="11" t="inlineStr">
        <is>
          <t>Large Format</t>
        </is>
      </c>
      <c r="I1374" s="8" t="inlineStr">
        <is>
          <t>Table Top Clings</t>
        </is>
      </c>
      <c r="J1374" s="11" t="inlineStr">
        <is>
          <t>30" Diameter</t>
        </is>
      </c>
      <c r="K1374" s="8" t="inlineStr">
        <is>
          <t>Your ad will appear on up to 5 approved tables.</t>
        </is>
      </c>
      <c r="L1374" s="11" t="n">
        <v>1</v>
      </c>
      <c r="M1374" s="12" t="n">
        <v>300</v>
      </c>
      <c r="N1374" s="12" t="n">
        <v>900</v>
      </c>
      <c r="O1374" s="12" t="n">
        <v>1800</v>
      </c>
      <c r="P1374" s="12" t="n">
        <v>3600</v>
      </c>
      <c r="Q1374" s="12" t="n"/>
      <c r="R1374" s="13">
        <f>IF(ISNUMBER(M1374),ROUND(M1374/(1-Settings!$B$2)/Settings!$B$3,0)*Settings!$B$3,"")</f>
        <v/>
      </c>
      <c r="S1374" s="13">
        <f>IF(ISNUMBER(N1374),ROUND(N1374/(1-Settings!$B$2)/Settings!$B$3,0)*Settings!$B$3,"")</f>
        <v/>
      </c>
      <c r="T1374" s="13">
        <f>IF(ISNUMBER(O1374),ROUND(O1374/(1-Settings!$B$2)/Settings!$B$3,0)*Settings!$B$3,"")</f>
        <v/>
      </c>
      <c r="U1374" s="13">
        <f>IF(ISNUMBER(P1374),ROUND(P1374/(1-Settings!$B$2)/Settings!$B$3,0)*Settings!$B$3,"")</f>
        <v/>
      </c>
      <c r="V1374" s="13">
        <f>IF(ISNUMBER(Q1374),ROUND(Q1374/(1-Settings!$B$2)/Settings!$B$3,0)*Settings!$B$3,"")</f>
        <v/>
      </c>
      <c r="W1374" s="14" t="n">
        <v>22220</v>
      </c>
      <c r="X1374" s="14" t="n">
        <v>20301</v>
      </c>
      <c r="Y1374" s="11" t="inlineStr"/>
      <c r="Z1374" s="11" t="inlineStr"/>
      <c r="AA1374" s="8" t="inlineStr"/>
      <c r="AB1374" s="8" t="inlineStr"/>
      <c r="AC1374" s="11" t="inlineStr">
        <is>
          <t>MasterMilitaryOnBaseList 12.2.25 NS.xlsx</t>
        </is>
      </c>
      <c r="AD1374" s="11" t="inlineStr">
        <is>
          <t>2026-Sponsorship-Brochure_ECM_Aug_14_2025_SinglePgs-.pdf</t>
        </is>
      </c>
      <c r="AE1374" s="15" t="inlineStr">
        <is>
          <t>Open in Box</t>
        </is>
      </c>
      <c r="AF1374" s="15" t="inlineStr">
        <is>
          <t>Open in Box</t>
        </is>
      </c>
    </row>
    <row r="1375">
      <c r="A1375" s="11" t="inlineStr">
        <is>
          <t>TX-LACKLAND-015</t>
        </is>
      </c>
      <c r="B1375" s="8" t="inlineStr">
        <is>
          <t>Lackland AFB</t>
        </is>
      </c>
      <c r="C1375" s="11" t="inlineStr">
        <is>
          <t>JB San Antonio</t>
        </is>
      </c>
      <c r="D1375" s="11" t="inlineStr">
        <is>
          <t>TX</t>
        </is>
      </c>
      <c r="E1375" s="11" t="inlineStr">
        <is>
          <t>San Antonio</t>
        </is>
      </c>
      <c r="F1375" s="11" t="inlineStr">
        <is>
          <t>78236</t>
        </is>
      </c>
      <c r="G1375" s="11" t="inlineStr">
        <is>
          <t>Air Force</t>
        </is>
      </c>
      <c r="H1375" s="11" t="inlineStr">
        <is>
          <t>Large Format</t>
        </is>
      </c>
      <c r="I1375" s="8" t="inlineStr">
        <is>
          <t>Window Clings</t>
        </is>
      </c>
      <c r="J1375" s="11" t="inlineStr">
        <is>
          <t>4'W x 10"H</t>
        </is>
      </c>
      <c r="K1375" s="8" t="inlineStr">
        <is>
          <t>Your ad will appear at an approved installation facility.</t>
        </is>
      </c>
      <c r="L1375" s="11" t="n">
        <v>1</v>
      </c>
      <c r="M1375" s="12" t="n">
        <v>400</v>
      </c>
      <c r="N1375" s="12" t="n">
        <v>1200</v>
      </c>
      <c r="O1375" s="12" t="n">
        <v>2400</v>
      </c>
      <c r="P1375" s="12" t="n">
        <v>4800</v>
      </c>
      <c r="Q1375" s="12" t="n">
        <v>500</v>
      </c>
      <c r="R1375" s="13">
        <f>IF(ISNUMBER(M1375),ROUND(M1375/(1-Settings!$B$2)/Settings!$B$3,0)*Settings!$B$3,"")</f>
        <v/>
      </c>
      <c r="S1375" s="13">
        <f>IF(ISNUMBER(N1375),ROUND(N1375/(1-Settings!$B$2)/Settings!$B$3,0)*Settings!$B$3,"")</f>
        <v/>
      </c>
      <c r="T1375" s="13">
        <f>IF(ISNUMBER(O1375),ROUND(O1375/(1-Settings!$B$2)/Settings!$B$3,0)*Settings!$B$3,"")</f>
        <v/>
      </c>
      <c r="U1375" s="13">
        <f>IF(ISNUMBER(P1375),ROUND(P1375/(1-Settings!$B$2)/Settings!$B$3,0)*Settings!$B$3,"")</f>
        <v/>
      </c>
      <c r="V1375" s="13">
        <f>IF(ISNUMBER(Q1375),ROUND(Q1375/(1-Settings!$B$2)/Settings!$B$3,0)*Settings!$B$3,"")</f>
        <v/>
      </c>
      <c r="W1375" s="14" t="n">
        <v>22220</v>
      </c>
      <c r="X1375" s="14" t="n">
        <v>20301</v>
      </c>
      <c r="Y1375" s="11" t="inlineStr"/>
      <c r="Z1375" s="11" t="inlineStr"/>
      <c r="AA1375" s="8" t="inlineStr"/>
      <c r="AB1375" s="8" t="inlineStr"/>
      <c r="AC1375" s="11" t="inlineStr">
        <is>
          <t>MasterMilitaryOnBaseList 12.2.25 NS.xlsx</t>
        </is>
      </c>
      <c r="AD1375" s="11" t="inlineStr">
        <is>
          <t>2026-Sponsorship-Brochure_ECM_Aug_14_2025_SinglePgs-.pdf</t>
        </is>
      </c>
      <c r="AE1375" s="15" t="inlineStr">
        <is>
          <t>Open in Box</t>
        </is>
      </c>
      <c r="AF1375" s="15" t="inlineStr">
        <is>
          <t>Open in Box</t>
        </is>
      </c>
    </row>
    <row r="1376">
      <c r="A1376" s="11" t="inlineStr">
        <is>
          <t>TX-LACKLAND-016</t>
        </is>
      </c>
      <c r="B1376" s="8" t="inlineStr">
        <is>
          <t>Lackland AFB</t>
        </is>
      </c>
      <c r="C1376" s="11" t="inlineStr">
        <is>
          <t>JB San Antonio</t>
        </is>
      </c>
      <c r="D1376" s="11" t="inlineStr">
        <is>
          <t>TX</t>
        </is>
      </c>
      <c r="E1376" s="11" t="inlineStr">
        <is>
          <t>San Antonio</t>
        </is>
      </c>
      <c r="F1376" s="11" t="inlineStr">
        <is>
          <t>78236</t>
        </is>
      </c>
      <c r="G1376" s="11" t="inlineStr">
        <is>
          <t>Air Force</t>
        </is>
      </c>
      <c r="H1376" s="11" t="inlineStr">
        <is>
          <t>Print &amp; Publications</t>
        </is>
      </c>
      <c r="I1376" s="8" t="inlineStr">
        <is>
          <t>Golf Scorecard Sign</t>
        </is>
      </c>
      <c r="J1376" s="11" t="inlineStr">
        <is>
          <t>TBD</t>
        </is>
      </c>
      <c r="K1376" s="8" t="inlineStr">
        <is>
          <t>Your ad will appear on the golf course scorecard.</t>
        </is>
      </c>
      <c r="L1376" s="11" t="n">
        <v>1</v>
      </c>
      <c r="M1376" s="12" t="n">
        <v>200</v>
      </c>
      <c r="N1376" s="12" t="n">
        <v>600</v>
      </c>
      <c r="O1376" s="12" t="n">
        <v>1200</v>
      </c>
      <c r="P1376" s="12" t="n">
        <v>2400</v>
      </c>
      <c r="Q1376" s="12" t="n"/>
      <c r="R1376" s="13">
        <f>IF(ISNUMBER(M1376),ROUND(M1376/(1-Settings!$B$2)/Settings!$B$3,0)*Settings!$B$3,"")</f>
        <v/>
      </c>
      <c r="S1376" s="13">
        <f>IF(ISNUMBER(N1376),ROUND(N1376/(1-Settings!$B$2)/Settings!$B$3,0)*Settings!$B$3,"")</f>
        <v/>
      </c>
      <c r="T1376" s="13">
        <f>IF(ISNUMBER(O1376),ROUND(O1376/(1-Settings!$B$2)/Settings!$B$3,0)*Settings!$B$3,"")</f>
        <v/>
      </c>
      <c r="U1376" s="13">
        <f>IF(ISNUMBER(P1376),ROUND(P1376/(1-Settings!$B$2)/Settings!$B$3,0)*Settings!$B$3,"")</f>
        <v/>
      </c>
      <c r="V1376" s="13">
        <f>IF(ISNUMBER(Q1376),ROUND(Q1376/(1-Settings!$B$2)/Settings!$B$3,0)*Settings!$B$3,"")</f>
        <v/>
      </c>
      <c r="W1376" s="14" t="n">
        <v>22220</v>
      </c>
      <c r="X1376" s="14" t="n">
        <v>20301</v>
      </c>
      <c r="Y1376" s="11" t="inlineStr"/>
      <c r="Z1376" s="11" t="inlineStr"/>
      <c r="AA1376" s="8" t="inlineStr"/>
      <c r="AB1376" s="8" t="inlineStr"/>
      <c r="AC1376" s="11" t="inlineStr">
        <is>
          <t>MasterMilitaryOnBaseList 12.2.25 NS.xlsx</t>
        </is>
      </c>
      <c r="AD1376" s="11" t="inlineStr">
        <is>
          <t>2026-Sponsorship-Brochure_ECM_Aug_14_2025_SinglePgs-.pdf</t>
        </is>
      </c>
      <c r="AE1376" s="15" t="inlineStr">
        <is>
          <t>Open in Box</t>
        </is>
      </c>
      <c r="AF1376" s="15" t="inlineStr">
        <is>
          <t>Open in Box</t>
        </is>
      </c>
    </row>
    <row r="1377">
      <c r="A1377" s="11" t="inlineStr">
        <is>
          <t>TX-LACKLAND-017</t>
        </is>
      </c>
      <c r="B1377" s="8" t="inlineStr">
        <is>
          <t>Lackland AFB</t>
        </is>
      </c>
      <c r="C1377" s="11" t="inlineStr">
        <is>
          <t>JB San Antonio</t>
        </is>
      </c>
      <c r="D1377" s="11" t="inlineStr">
        <is>
          <t>TX</t>
        </is>
      </c>
      <c r="E1377" s="11" t="inlineStr">
        <is>
          <t>San Antonio</t>
        </is>
      </c>
      <c r="F1377" s="11" t="inlineStr">
        <is>
          <t>78236</t>
        </is>
      </c>
      <c r="G1377" s="11" t="inlineStr">
        <is>
          <t>Air Force</t>
        </is>
      </c>
      <c r="H1377" s="11" t="inlineStr">
        <is>
          <t>Print &amp; Publications</t>
        </is>
      </c>
      <c r="I1377" s="8" t="inlineStr">
        <is>
          <t>Magazine</t>
        </is>
      </c>
      <c r="J1377" s="11" t="inlineStr">
        <is>
          <t>TBD</t>
        </is>
      </c>
      <c r="K1377" s="8" t="inlineStr">
        <is>
          <t>Your full page ad will be featured in the bi-monthly JBSAtoday Magazine.</t>
        </is>
      </c>
      <c r="L1377" s="11" t="n">
        <v>6</v>
      </c>
      <c r="M1377" s="12" t="n"/>
      <c r="N1377" s="12" t="n"/>
      <c r="O1377" s="12" t="n">
        <v>3000</v>
      </c>
      <c r="P1377" s="12" t="n">
        <v>6000</v>
      </c>
      <c r="Q1377" s="12" t="n">
        <v>0</v>
      </c>
      <c r="R1377" s="13">
        <f>IF(ISNUMBER(M1377),ROUND(M1377/(1-Settings!$B$2)/Settings!$B$3,0)*Settings!$B$3,"")</f>
        <v/>
      </c>
      <c r="S1377" s="13">
        <f>IF(ISNUMBER(N1377),ROUND(N1377/(1-Settings!$B$2)/Settings!$B$3,0)*Settings!$B$3,"")</f>
        <v/>
      </c>
      <c r="T1377" s="13">
        <f>IF(ISNUMBER(O1377),ROUND(O1377/(1-Settings!$B$2)/Settings!$B$3,0)*Settings!$B$3,"")</f>
        <v/>
      </c>
      <c r="U1377" s="13">
        <f>IF(ISNUMBER(P1377),ROUND(P1377/(1-Settings!$B$2)/Settings!$B$3,0)*Settings!$B$3,"")</f>
        <v/>
      </c>
      <c r="V1377" s="13">
        <f>IF(ISNUMBER(Q1377),ROUND(Q1377/(1-Settings!$B$2)/Settings!$B$3,0)*Settings!$B$3,"")</f>
        <v/>
      </c>
      <c r="W1377" s="14" t="n">
        <v>22220</v>
      </c>
      <c r="X1377" s="14" t="n">
        <v>20301</v>
      </c>
      <c r="Y1377" s="11" t="inlineStr"/>
      <c r="Z1377" s="11" t="inlineStr"/>
      <c r="AA1377" s="8" t="inlineStr"/>
      <c r="AB1377" s="16" t="inlineStr">
        <is>
          <t>Source formula errors</t>
        </is>
      </c>
      <c r="AC1377" s="11" t="inlineStr">
        <is>
          <t>MasterMilitaryOnBaseList 12.2.25 NS.xlsx</t>
        </is>
      </c>
      <c r="AD1377" s="11" t="inlineStr">
        <is>
          <t>2026-Sponsorship-Brochure_ECM_Aug_14_2025_SinglePgs-.pdf</t>
        </is>
      </c>
      <c r="AE1377" s="15" t="inlineStr">
        <is>
          <t>Open in Box</t>
        </is>
      </c>
      <c r="AF1377" s="15" t="inlineStr">
        <is>
          <t>Open in Box</t>
        </is>
      </c>
    </row>
    <row r="1378">
      <c r="A1378" s="11" t="inlineStr">
        <is>
          <t>TX-LACKLAND-007</t>
        </is>
      </c>
      <c r="B1378" s="8" t="inlineStr">
        <is>
          <t>Lackland AFB</t>
        </is>
      </c>
      <c r="C1378" s="11" t="inlineStr">
        <is>
          <t>JB San Antonio</t>
        </is>
      </c>
      <c r="D1378" s="11" t="inlineStr">
        <is>
          <t>TX</t>
        </is>
      </c>
      <c r="E1378" s="11" t="inlineStr">
        <is>
          <t>San Antonio</t>
        </is>
      </c>
      <c r="F1378" s="11" t="inlineStr">
        <is>
          <t>78236</t>
        </is>
      </c>
      <c r="G1378" s="11" t="inlineStr">
        <is>
          <t>Air Force</t>
        </is>
      </c>
      <c r="H1378" s="11" t="inlineStr">
        <is>
          <t>Standard Media</t>
        </is>
      </c>
      <c r="I1378" s="8" t="inlineStr">
        <is>
          <t>Banner</t>
        </is>
      </c>
      <c r="J1378" s="11" t="inlineStr">
        <is>
          <t>4'W x 10'H</t>
        </is>
      </c>
      <c r="K1378" s="8" t="inlineStr">
        <is>
          <t>Your ad will appear at an approved installation facility.</t>
        </is>
      </c>
      <c r="L1378" s="11" t="n">
        <v>1</v>
      </c>
      <c r="M1378" s="12" t="n">
        <v>400</v>
      </c>
      <c r="N1378" s="12" t="n">
        <v>1200</v>
      </c>
      <c r="O1378" s="12" t="n">
        <v>2400</v>
      </c>
      <c r="P1378" s="12" t="n">
        <v>4800</v>
      </c>
      <c r="Q1378" s="12" t="n">
        <v>400</v>
      </c>
      <c r="R1378" s="13">
        <f>IF(ISNUMBER(M1378),ROUND(M1378/(1-Settings!$B$2)/Settings!$B$3,0)*Settings!$B$3,"")</f>
        <v/>
      </c>
      <c r="S1378" s="13">
        <f>IF(ISNUMBER(N1378),ROUND(N1378/(1-Settings!$B$2)/Settings!$B$3,0)*Settings!$B$3,"")</f>
        <v/>
      </c>
      <c r="T1378" s="13">
        <f>IF(ISNUMBER(O1378),ROUND(O1378/(1-Settings!$B$2)/Settings!$B$3,0)*Settings!$B$3,"")</f>
        <v/>
      </c>
      <c r="U1378" s="13">
        <f>IF(ISNUMBER(P1378),ROUND(P1378/(1-Settings!$B$2)/Settings!$B$3,0)*Settings!$B$3,"")</f>
        <v/>
      </c>
      <c r="V1378" s="13">
        <f>IF(ISNUMBER(Q1378),ROUND(Q1378/(1-Settings!$B$2)/Settings!$B$3,0)*Settings!$B$3,"")</f>
        <v/>
      </c>
      <c r="W1378" s="14" t="n">
        <v>22220</v>
      </c>
      <c r="X1378" s="14" t="n">
        <v>20301</v>
      </c>
      <c r="Y1378" s="11" t="inlineStr"/>
      <c r="Z1378" s="11" t="inlineStr"/>
      <c r="AA1378" s="8" t="inlineStr"/>
      <c r="AB1378" s="8" t="inlineStr"/>
      <c r="AC1378" s="11" t="inlineStr">
        <is>
          <t>MasterMilitaryOnBaseList 12.2.25 NS.xlsx</t>
        </is>
      </c>
      <c r="AD1378" s="11" t="inlineStr">
        <is>
          <t>2026-Sponsorship-Brochure_ECM_Aug_14_2025_SinglePgs-.pdf</t>
        </is>
      </c>
      <c r="AE1378" s="15" t="inlineStr">
        <is>
          <t>Open in Box</t>
        </is>
      </c>
      <c r="AF1378" s="15" t="inlineStr">
        <is>
          <t>Open in Box</t>
        </is>
      </c>
    </row>
    <row r="1379">
      <c r="A1379" s="11" t="inlineStr">
        <is>
          <t>TX-LACKLAND-008</t>
        </is>
      </c>
      <c r="B1379" s="8" t="inlineStr">
        <is>
          <t>Lackland AFB</t>
        </is>
      </c>
      <c r="C1379" s="11" t="inlineStr">
        <is>
          <t>JB San Antonio</t>
        </is>
      </c>
      <c r="D1379" s="11" t="inlineStr">
        <is>
          <t>TX</t>
        </is>
      </c>
      <c r="E1379" s="11" t="inlineStr">
        <is>
          <t>San Antonio</t>
        </is>
      </c>
      <c r="F1379" s="11" t="inlineStr">
        <is>
          <t>78236</t>
        </is>
      </c>
      <c r="G1379" s="11" t="inlineStr">
        <is>
          <t>Air Force</t>
        </is>
      </c>
      <c r="H1379" s="11" t="inlineStr">
        <is>
          <t>Standard Media</t>
        </is>
      </c>
      <c r="I1379" s="8" t="inlineStr">
        <is>
          <t>Driving Range Sign</t>
        </is>
      </c>
      <c r="J1379" s="11" t="inlineStr">
        <is>
          <t>TBD</t>
        </is>
      </c>
      <c r="K1379" s="8" t="inlineStr">
        <is>
          <t>Your ad will appear at the golf course driving range.</t>
        </is>
      </c>
      <c r="L1379" s="11" t="n">
        <v>1</v>
      </c>
      <c r="M1379" s="12" t="n">
        <v>150</v>
      </c>
      <c r="N1379" s="12" t="n">
        <v>450</v>
      </c>
      <c r="O1379" s="12" t="n">
        <v>900</v>
      </c>
      <c r="P1379" s="12" t="n">
        <v>1800</v>
      </c>
      <c r="Q1379" s="12" t="n"/>
      <c r="R1379" s="13">
        <f>IF(ISNUMBER(M1379),ROUND(M1379/(1-Settings!$B$2)/Settings!$B$3,0)*Settings!$B$3,"")</f>
        <v/>
      </c>
      <c r="S1379" s="13">
        <f>IF(ISNUMBER(N1379),ROUND(N1379/(1-Settings!$B$2)/Settings!$B$3,0)*Settings!$B$3,"")</f>
        <v/>
      </c>
      <c r="T1379" s="13">
        <f>IF(ISNUMBER(O1379),ROUND(O1379/(1-Settings!$B$2)/Settings!$B$3,0)*Settings!$B$3,"")</f>
        <v/>
      </c>
      <c r="U1379" s="13">
        <f>IF(ISNUMBER(P1379),ROUND(P1379/(1-Settings!$B$2)/Settings!$B$3,0)*Settings!$B$3,"")</f>
        <v/>
      </c>
      <c r="V1379" s="13">
        <f>IF(ISNUMBER(Q1379),ROUND(Q1379/(1-Settings!$B$2)/Settings!$B$3,0)*Settings!$B$3,"")</f>
        <v/>
      </c>
      <c r="W1379" s="14" t="n">
        <v>22220</v>
      </c>
      <c r="X1379" s="14" t="n">
        <v>20301</v>
      </c>
      <c r="Y1379" s="11" t="inlineStr"/>
      <c r="Z1379" s="11" t="inlineStr"/>
      <c r="AA1379" s="8" t="inlineStr"/>
      <c r="AB1379" s="8" t="inlineStr"/>
      <c r="AC1379" s="11" t="inlineStr">
        <is>
          <t>MasterMilitaryOnBaseList 12.2.25 NS.xlsx</t>
        </is>
      </c>
      <c r="AD1379" s="11" t="inlineStr">
        <is>
          <t>2026-Sponsorship-Brochure_ECM_Aug_14_2025_SinglePgs-.pdf</t>
        </is>
      </c>
      <c r="AE1379" s="15" t="inlineStr">
        <is>
          <t>Open in Box</t>
        </is>
      </c>
      <c r="AF1379" s="15" t="inlineStr">
        <is>
          <t>Open in Box</t>
        </is>
      </c>
    </row>
    <row r="1380">
      <c r="A1380" s="11" t="inlineStr">
        <is>
          <t>TX-LACKLAND-009</t>
        </is>
      </c>
      <c r="B1380" s="8" t="inlineStr">
        <is>
          <t>Lackland AFB</t>
        </is>
      </c>
      <c r="C1380" s="11" t="inlineStr">
        <is>
          <t>JB San Antonio</t>
        </is>
      </c>
      <c r="D1380" s="11" t="inlineStr">
        <is>
          <t>TX</t>
        </is>
      </c>
      <c r="E1380" s="11" t="inlineStr">
        <is>
          <t>San Antonio</t>
        </is>
      </c>
      <c r="F1380" s="11" t="inlineStr">
        <is>
          <t>78236</t>
        </is>
      </c>
      <c r="G1380" s="11" t="inlineStr">
        <is>
          <t>Air Force</t>
        </is>
      </c>
      <c r="H1380" s="11" t="inlineStr">
        <is>
          <t>Standard Media</t>
        </is>
      </c>
      <c r="I1380" s="8" t="inlineStr">
        <is>
          <t>Golf Cart Sign</t>
        </is>
      </c>
      <c r="J1380" s="11" t="inlineStr">
        <is>
          <t>6"W x 8"H</t>
        </is>
      </c>
      <c r="K1380" s="8" t="inlineStr">
        <is>
          <t>Your ad will appear on a golf cart.</t>
        </is>
      </c>
      <c r="L1380" s="11" t="n">
        <v>1</v>
      </c>
      <c r="M1380" s="12" t="n">
        <v>100</v>
      </c>
      <c r="N1380" s="12" t="n">
        <v>300</v>
      </c>
      <c r="O1380" s="12" t="n">
        <v>600</v>
      </c>
      <c r="P1380" s="12" t="n">
        <v>1200</v>
      </c>
      <c r="Q1380" s="12" t="n"/>
      <c r="R1380" s="13">
        <f>IF(ISNUMBER(M1380),ROUND(M1380/(1-Settings!$B$2)/Settings!$B$3,0)*Settings!$B$3,"")</f>
        <v/>
      </c>
      <c r="S1380" s="13">
        <f>IF(ISNUMBER(N1380),ROUND(N1380/(1-Settings!$B$2)/Settings!$B$3,0)*Settings!$B$3,"")</f>
        <v/>
      </c>
      <c r="T1380" s="13">
        <f>IF(ISNUMBER(O1380),ROUND(O1380/(1-Settings!$B$2)/Settings!$B$3,0)*Settings!$B$3,"")</f>
        <v/>
      </c>
      <c r="U1380" s="13">
        <f>IF(ISNUMBER(P1380),ROUND(P1380/(1-Settings!$B$2)/Settings!$B$3,0)*Settings!$B$3,"")</f>
        <v/>
      </c>
      <c r="V1380" s="13">
        <f>IF(ISNUMBER(Q1380),ROUND(Q1380/(1-Settings!$B$2)/Settings!$B$3,0)*Settings!$B$3,"")</f>
        <v/>
      </c>
      <c r="W1380" s="14" t="n">
        <v>22220</v>
      </c>
      <c r="X1380" s="14" t="n">
        <v>20301</v>
      </c>
      <c r="Y1380" s="11" t="inlineStr"/>
      <c r="Z1380" s="11" t="inlineStr"/>
      <c r="AA1380" s="8" t="inlineStr"/>
      <c r="AB1380" s="8" t="inlineStr"/>
      <c r="AC1380" s="11" t="inlineStr">
        <is>
          <t>MasterMilitaryOnBaseList 12.2.25 NS.xlsx</t>
        </is>
      </c>
      <c r="AD1380" s="11" t="inlineStr">
        <is>
          <t>2026-Sponsorship-Brochure_ECM_Aug_14_2025_SinglePgs-.pdf</t>
        </is>
      </c>
      <c r="AE1380" s="15" t="inlineStr">
        <is>
          <t>Open in Box</t>
        </is>
      </c>
      <c r="AF1380" s="15" t="inlineStr">
        <is>
          <t>Open in Box</t>
        </is>
      </c>
    </row>
    <row r="1381">
      <c r="A1381" s="11" t="inlineStr">
        <is>
          <t>TX-LACKLAND-010</t>
        </is>
      </c>
      <c r="B1381" s="8" t="inlineStr">
        <is>
          <t>Lackland AFB</t>
        </is>
      </c>
      <c r="C1381" s="11" t="inlineStr">
        <is>
          <t>JB San Antonio</t>
        </is>
      </c>
      <c r="D1381" s="11" t="inlineStr">
        <is>
          <t>TX</t>
        </is>
      </c>
      <c r="E1381" s="11" t="inlineStr">
        <is>
          <t>San Antonio</t>
        </is>
      </c>
      <c r="F1381" s="11" t="inlineStr">
        <is>
          <t>78236</t>
        </is>
      </c>
      <c r="G1381" s="11" t="inlineStr">
        <is>
          <t>Air Force</t>
        </is>
      </c>
      <c r="H1381" s="11" t="inlineStr">
        <is>
          <t>Standard Media</t>
        </is>
      </c>
      <c r="I1381" s="8" t="inlineStr">
        <is>
          <t>Poster</t>
        </is>
      </c>
      <c r="J1381" s="11" t="inlineStr">
        <is>
          <t>22"W x 28"H</t>
        </is>
      </c>
      <c r="K1381" s="8" t="inlineStr">
        <is>
          <t>Your ad will appear at an approved installation facility.</t>
        </is>
      </c>
      <c r="L1381" s="11" t="n">
        <v>1</v>
      </c>
      <c r="M1381" s="12" t="n">
        <v>125</v>
      </c>
      <c r="N1381" s="12" t="n">
        <v>375</v>
      </c>
      <c r="O1381" s="12" t="n">
        <v>750</v>
      </c>
      <c r="P1381" s="12" t="n">
        <v>1500</v>
      </c>
      <c r="Q1381" s="12" t="n">
        <v>100</v>
      </c>
      <c r="R1381" s="13">
        <f>IF(ISNUMBER(M1381),ROUND(M1381/(1-Settings!$B$2)/Settings!$B$3,0)*Settings!$B$3,"")</f>
        <v/>
      </c>
      <c r="S1381" s="13">
        <f>IF(ISNUMBER(N1381),ROUND(N1381/(1-Settings!$B$2)/Settings!$B$3,0)*Settings!$B$3,"")</f>
        <v/>
      </c>
      <c r="T1381" s="13">
        <f>IF(ISNUMBER(O1381),ROUND(O1381/(1-Settings!$B$2)/Settings!$B$3,0)*Settings!$B$3,"")</f>
        <v/>
      </c>
      <c r="U1381" s="13">
        <f>IF(ISNUMBER(P1381),ROUND(P1381/(1-Settings!$B$2)/Settings!$B$3,0)*Settings!$B$3,"")</f>
        <v/>
      </c>
      <c r="V1381" s="13">
        <f>IF(ISNUMBER(Q1381),ROUND(Q1381/(1-Settings!$B$2)/Settings!$B$3,0)*Settings!$B$3,"")</f>
        <v/>
      </c>
      <c r="W1381" s="14" t="n">
        <v>22220</v>
      </c>
      <c r="X1381" s="14" t="n">
        <v>20301</v>
      </c>
      <c r="Y1381" s="11" t="inlineStr"/>
      <c r="Z1381" s="11" t="inlineStr"/>
      <c r="AA1381" s="8" t="inlineStr"/>
      <c r="AB1381" s="8" t="inlineStr"/>
      <c r="AC1381" s="11" t="inlineStr">
        <is>
          <t>MasterMilitaryOnBaseList 12.2.25 NS.xlsx</t>
        </is>
      </c>
      <c r="AD1381" s="11" t="inlineStr">
        <is>
          <t>2026-Sponsorship-Brochure_ECM_Aug_14_2025_SinglePgs-.pdf</t>
        </is>
      </c>
      <c r="AE1381" s="15" t="inlineStr">
        <is>
          <t>Open in Box</t>
        </is>
      </c>
      <c r="AF1381" s="15" t="inlineStr">
        <is>
          <t>Open in Box</t>
        </is>
      </c>
    </row>
    <row r="1382">
      <c r="A1382" s="11" t="inlineStr">
        <is>
          <t>TX-LACKLAND-011</t>
        </is>
      </c>
      <c r="B1382" s="8" t="inlineStr">
        <is>
          <t>Lackland AFB</t>
        </is>
      </c>
      <c r="C1382" s="11" t="inlineStr">
        <is>
          <t>JB San Antonio</t>
        </is>
      </c>
      <c r="D1382" s="11" t="inlineStr">
        <is>
          <t>TX</t>
        </is>
      </c>
      <c r="E1382" s="11" t="inlineStr">
        <is>
          <t>San Antonio</t>
        </is>
      </c>
      <c r="F1382" s="11" t="inlineStr">
        <is>
          <t>78236</t>
        </is>
      </c>
      <c r="G1382" s="11" t="inlineStr">
        <is>
          <t>Air Force</t>
        </is>
      </c>
      <c r="H1382" s="11" t="inlineStr">
        <is>
          <t>Standard Media</t>
        </is>
      </c>
      <c r="I1382" s="8" t="inlineStr">
        <is>
          <t>Tee Market Sign</t>
        </is>
      </c>
      <c r="J1382" s="11" t="inlineStr">
        <is>
          <t>TBD</t>
        </is>
      </c>
      <c r="K1382" s="8" t="inlineStr">
        <is>
          <t>Your ad will appear at one golf course tee box.</t>
        </is>
      </c>
      <c r="L1382" s="11" t="n">
        <v>1</v>
      </c>
      <c r="M1382" s="12" t="n">
        <v>50</v>
      </c>
      <c r="N1382" s="12" t="n">
        <v>150</v>
      </c>
      <c r="O1382" s="12" t="n">
        <v>300</v>
      </c>
      <c r="P1382" s="12" t="n">
        <v>600</v>
      </c>
      <c r="Q1382" s="12" t="n"/>
      <c r="R1382" s="13">
        <f>IF(ISNUMBER(M1382),ROUND(M1382/(1-Settings!$B$2)/Settings!$B$3,0)*Settings!$B$3,"")</f>
        <v/>
      </c>
      <c r="S1382" s="13">
        <f>IF(ISNUMBER(N1382),ROUND(N1382/(1-Settings!$B$2)/Settings!$B$3,0)*Settings!$B$3,"")</f>
        <v/>
      </c>
      <c r="T1382" s="13">
        <f>IF(ISNUMBER(O1382),ROUND(O1382/(1-Settings!$B$2)/Settings!$B$3,0)*Settings!$B$3,"")</f>
        <v/>
      </c>
      <c r="U1382" s="13">
        <f>IF(ISNUMBER(P1382),ROUND(P1382/(1-Settings!$B$2)/Settings!$B$3,0)*Settings!$B$3,"")</f>
        <v/>
      </c>
      <c r="V1382" s="13">
        <f>IF(ISNUMBER(Q1382),ROUND(Q1382/(1-Settings!$B$2)/Settings!$B$3,0)*Settings!$B$3,"")</f>
        <v/>
      </c>
      <c r="W1382" s="14" t="n">
        <v>22220</v>
      </c>
      <c r="X1382" s="14" t="n">
        <v>20301</v>
      </c>
      <c r="Y1382" s="11" t="inlineStr"/>
      <c r="Z1382" s="11" t="inlineStr"/>
      <c r="AA1382" s="8" t="inlineStr"/>
      <c r="AB1382" s="8" t="inlineStr"/>
      <c r="AC1382" s="11" t="inlineStr">
        <is>
          <t>MasterMilitaryOnBaseList 12.2.25 NS.xlsx</t>
        </is>
      </c>
      <c r="AD1382" s="11" t="inlineStr">
        <is>
          <t>2026-Sponsorship-Brochure_ECM_Aug_14_2025_SinglePgs-.pdf</t>
        </is>
      </c>
      <c r="AE1382" s="15" t="inlineStr">
        <is>
          <t>Open in Box</t>
        </is>
      </c>
      <c r="AF1382" s="15" t="inlineStr">
        <is>
          <t>Open in Box</t>
        </is>
      </c>
    </row>
    <row r="1383">
      <c r="A1383" s="11" t="inlineStr">
        <is>
          <t>TX-LACKLAND-012</t>
        </is>
      </c>
      <c r="B1383" s="8" t="inlineStr">
        <is>
          <t>Lackland AFB</t>
        </is>
      </c>
      <c r="C1383" s="11" t="inlineStr">
        <is>
          <t>JB San Antonio</t>
        </is>
      </c>
      <c r="D1383" s="11" t="inlineStr">
        <is>
          <t>TX</t>
        </is>
      </c>
      <c r="E1383" s="11" t="inlineStr">
        <is>
          <t>San Antonio</t>
        </is>
      </c>
      <c r="F1383" s="11" t="inlineStr">
        <is>
          <t>78236</t>
        </is>
      </c>
      <c r="G1383" s="11" t="inlineStr">
        <is>
          <t>Air Force</t>
        </is>
      </c>
      <c r="H1383" s="11" t="inlineStr">
        <is>
          <t>Standard Media</t>
        </is>
      </c>
      <c r="I1383" s="8" t="inlineStr">
        <is>
          <t>Vertical Banner</t>
        </is>
      </c>
      <c r="J1383" s="11" t="inlineStr">
        <is>
          <t>TBD</t>
        </is>
      </c>
      <c r="K1383" s="8" t="inlineStr">
        <is>
          <t>Your ad will appear at an approved installation facility.</t>
        </is>
      </c>
      <c r="L1383" s="11" t="n">
        <v>1</v>
      </c>
      <c r="M1383" s="12" t="n">
        <v>175</v>
      </c>
      <c r="N1383" s="12" t="n">
        <v>525</v>
      </c>
      <c r="O1383" s="12" t="n">
        <v>1050</v>
      </c>
      <c r="P1383" s="12" t="n">
        <v>2100</v>
      </c>
      <c r="Q1383" s="12" t="n">
        <v>250</v>
      </c>
      <c r="R1383" s="13">
        <f>IF(ISNUMBER(M1383),ROUND(M1383/(1-Settings!$B$2)/Settings!$B$3,0)*Settings!$B$3,"")</f>
        <v/>
      </c>
      <c r="S1383" s="13">
        <f>IF(ISNUMBER(N1383),ROUND(N1383/(1-Settings!$B$2)/Settings!$B$3,0)*Settings!$B$3,"")</f>
        <v/>
      </c>
      <c r="T1383" s="13">
        <f>IF(ISNUMBER(O1383),ROUND(O1383/(1-Settings!$B$2)/Settings!$B$3,0)*Settings!$B$3,"")</f>
        <v/>
      </c>
      <c r="U1383" s="13">
        <f>IF(ISNUMBER(P1383),ROUND(P1383/(1-Settings!$B$2)/Settings!$B$3,0)*Settings!$B$3,"")</f>
        <v/>
      </c>
      <c r="V1383" s="13">
        <f>IF(ISNUMBER(Q1383),ROUND(Q1383/(1-Settings!$B$2)/Settings!$B$3,0)*Settings!$B$3,"")</f>
        <v/>
      </c>
      <c r="W1383" s="14" t="n">
        <v>22220</v>
      </c>
      <c r="X1383" s="14" t="n">
        <v>20301</v>
      </c>
      <c r="Y1383" s="11" t="inlineStr"/>
      <c r="Z1383" s="11" t="inlineStr"/>
      <c r="AA1383" s="8" t="inlineStr"/>
      <c r="AB1383" s="8" t="inlineStr"/>
      <c r="AC1383" s="11" t="inlineStr">
        <is>
          <t>MasterMilitaryOnBaseList 12.2.25 NS.xlsx</t>
        </is>
      </c>
      <c r="AD1383" s="11" t="inlineStr">
        <is>
          <t>2026-Sponsorship-Brochure_ECM_Aug_14_2025_SinglePgs-.pdf</t>
        </is>
      </c>
      <c r="AE1383" s="15" t="inlineStr">
        <is>
          <t>Open in Box</t>
        </is>
      </c>
      <c r="AF1383" s="15" t="inlineStr">
        <is>
          <t>Open in Box</t>
        </is>
      </c>
    </row>
    <row r="1384">
      <c r="A1384" s="11" t="inlineStr">
        <is>
          <t>TX-LAUGHLIN-001</t>
        </is>
      </c>
      <c r="B1384" s="8" t="inlineStr">
        <is>
          <t>Laughlin AFB</t>
        </is>
      </c>
      <c r="C1384" s="11" t="inlineStr"/>
      <c r="D1384" s="11" t="inlineStr">
        <is>
          <t>TX</t>
        </is>
      </c>
      <c r="E1384" s="11" t="inlineStr">
        <is>
          <t>San Antonio</t>
        </is>
      </c>
      <c r="F1384" s="11" t="inlineStr">
        <is>
          <t>78843</t>
        </is>
      </c>
      <c r="G1384" s="11" t="inlineStr">
        <is>
          <t>Air Force</t>
        </is>
      </c>
      <c r="H1384" s="11" t="inlineStr">
        <is>
          <t>Digital</t>
        </is>
      </c>
      <c r="I1384" s="8" t="inlineStr">
        <is>
          <t>Digital Monitor Network</t>
        </is>
      </c>
      <c r="J1384" s="11" t="inlineStr">
        <is>
          <t>TBD</t>
        </is>
      </c>
      <c r="K1384" s="8" t="inlineStr">
        <is>
          <t>Your ad will appear on 21 digital monitors in approved installation facilities.</t>
        </is>
      </c>
      <c r="L1384" s="11" t="n">
        <v>1</v>
      </c>
      <c r="M1384" s="12" t="n">
        <v>250</v>
      </c>
      <c r="N1384" s="12" t="n">
        <v>750</v>
      </c>
      <c r="O1384" s="12" t="n">
        <v>1500</v>
      </c>
      <c r="P1384" s="12" t="n">
        <v>3000</v>
      </c>
      <c r="Q1384" s="12" t="n">
        <v>0</v>
      </c>
      <c r="R1384" s="13">
        <f>IF(ISNUMBER(M1384),ROUND(M1384/(1-Settings!$B$2)/Settings!$B$3,0)*Settings!$B$3,"")</f>
        <v/>
      </c>
      <c r="S1384" s="13">
        <f>IF(ISNUMBER(N1384),ROUND(N1384/(1-Settings!$B$2)/Settings!$B$3,0)*Settings!$B$3,"")</f>
        <v/>
      </c>
      <c r="T1384" s="13">
        <f>IF(ISNUMBER(O1384),ROUND(O1384/(1-Settings!$B$2)/Settings!$B$3,0)*Settings!$B$3,"")</f>
        <v/>
      </c>
      <c r="U1384" s="13">
        <f>IF(ISNUMBER(P1384),ROUND(P1384/(1-Settings!$B$2)/Settings!$B$3,0)*Settings!$B$3,"")</f>
        <v/>
      </c>
      <c r="V1384" s="13">
        <f>IF(ISNUMBER(Q1384),ROUND(Q1384/(1-Settings!$B$2)/Settings!$B$3,0)*Settings!$B$3,"")</f>
        <v/>
      </c>
      <c r="W1384" s="14" t="n"/>
      <c r="X1384" s="14" t="n"/>
      <c r="Y1384" s="11" t="inlineStr"/>
      <c r="Z1384" s="11" t="inlineStr"/>
      <c r="AA1384" s="8" t="inlineStr"/>
      <c r="AB1384" s="8" t="inlineStr"/>
      <c r="AC1384" s="11" t="inlineStr">
        <is>
          <t>MasterMilitaryOnBaseList 12.2.25 NS.xlsx</t>
        </is>
      </c>
      <c r="AD1384" s="11" t="inlineStr">
        <is>
          <t>Marquee specs.docx</t>
        </is>
      </c>
      <c r="AE1384" s="15" t="inlineStr">
        <is>
          <t>Open in Box</t>
        </is>
      </c>
      <c r="AF1384" s="15" t="inlineStr">
        <is>
          <t>Open in Box</t>
        </is>
      </c>
    </row>
    <row r="1385">
      <c r="A1385" s="11" t="inlineStr">
        <is>
          <t>TX-LAUGHLIN-002</t>
        </is>
      </c>
      <c r="B1385" s="8" t="inlineStr">
        <is>
          <t>Laughlin AFB</t>
        </is>
      </c>
      <c r="C1385" s="11" t="inlineStr"/>
      <c r="D1385" s="11" t="inlineStr">
        <is>
          <t>TX</t>
        </is>
      </c>
      <c r="E1385" s="11" t="inlineStr">
        <is>
          <t>San Antonio</t>
        </is>
      </c>
      <c r="F1385" s="11" t="inlineStr">
        <is>
          <t>78843</t>
        </is>
      </c>
      <c r="G1385" s="11" t="inlineStr">
        <is>
          <t>Air Force</t>
        </is>
      </c>
      <c r="H1385" s="11" t="inlineStr">
        <is>
          <t>Digital</t>
        </is>
      </c>
      <c r="I1385" s="8" t="inlineStr">
        <is>
          <t>Marquee</t>
        </is>
      </c>
      <c r="J1385" s="11" t="inlineStr">
        <is>
          <t>TBD</t>
        </is>
      </c>
      <c r="K1385" s="8" t="inlineStr">
        <is>
          <t>Your ad will appear at the installation gate marquee.</t>
        </is>
      </c>
      <c r="L1385" s="11" t="n">
        <v>1</v>
      </c>
      <c r="M1385" s="12" t="n">
        <v>75</v>
      </c>
      <c r="N1385" s="12" t="n">
        <v>225</v>
      </c>
      <c r="O1385" s="12" t="n">
        <v>450</v>
      </c>
      <c r="P1385" s="12" t="n">
        <v>900</v>
      </c>
      <c r="Q1385" s="12" t="n">
        <v>0</v>
      </c>
      <c r="R1385" s="13">
        <f>IF(ISNUMBER(M1385),ROUND(M1385/(1-Settings!$B$2)/Settings!$B$3,0)*Settings!$B$3,"")</f>
        <v/>
      </c>
      <c r="S1385" s="13">
        <f>IF(ISNUMBER(N1385),ROUND(N1385/(1-Settings!$B$2)/Settings!$B$3,0)*Settings!$B$3,"")</f>
        <v/>
      </c>
      <c r="T1385" s="13">
        <f>IF(ISNUMBER(O1385),ROUND(O1385/(1-Settings!$B$2)/Settings!$B$3,0)*Settings!$B$3,"")</f>
        <v/>
      </c>
      <c r="U1385" s="13">
        <f>IF(ISNUMBER(P1385),ROUND(P1385/(1-Settings!$B$2)/Settings!$B$3,0)*Settings!$B$3,"")</f>
        <v/>
      </c>
      <c r="V1385" s="13">
        <f>IF(ISNUMBER(Q1385),ROUND(Q1385/(1-Settings!$B$2)/Settings!$B$3,0)*Settings!$B$3,"")</f>
        <v/>
      </c>
      <c r="W1385" s="14" t="n"/>
      <c r="X1385" s="14" t="n"/>
      <c r="Y1385" s="11" t="inlineStr"/>
      <c r="Z1385" s="11" t="inlineStr"/>
      <c r="AA1385" s="8" t="inlineStr"/>
      <c r="AB1385" s="8" t="inlineStr"/>
      <c r="AC1385" s="11" t="inlineStr">
        <is>
          <t>MasterMilitaryOnBaseList 12.2.25 NS.xlsx</t>
        </is>
      </c>
      <c r="AD1385" s="11" t="inlineStr">
        <is>
          <t>Marquee specs.docx</t>
        </is>
      </c>
      <c r="AE1385" s="15" t="inlineStr">
        <is>
          <t>Open in Box</t>
        </is>
      </c>
      <c r="AF1385" s="15" t="inlineStr">
        <is>
          <t>Open in Box</t>
        </is>
      </c>
    </row>
    <row r="1386">
      <c r="A1386" s="11" t="inlineStr">
        <is>
          <t>TX-LAUGHLIN-005</t>
        </is>
      </c>
      <c r="B1386" s="8" t="inlineStr">
        <is>
          <t>Laughlin AFB</t>
        </is>
      </c>
      <c r="C1386" s="11" t="inlineStr"/>
      <c r="D1386" s="11" t="inlineStr">
        <is>
          <t>TX</t>
        </is>
      </c>
      <c r="E1386" s="11" t="inlineStr">
        <is>
          <t>San Antonio</t>
        </is>
      </c>
      <c r="F1386" s="11" t="inlineStr">
        <is>
          <t>78843</t>
        </is>
      </c>
      <c r="G1386" s="11" t="inlineStr">
        <is>
          <t>Air Force</t>
        </is>
      </c>
      <c r="H1386" s="11" t="inlineStr">
        <is>
          <t>Print &amp; Publications</t>
        </is>
      </c>
      <c r="I1386" s="8" t="inlineStr">
        <is>
          <t>Bathroom Flyer</t>
        </is>
      </c>
      <c r="J1386" s="11" t="inlineStr">
        <is>
          <t>3.5"W x 2.5"H</t>
        </is>
      </c>
      <c r="K1386" s="8" t="inlineStr">
        <is>
          <t>Your ad will appear in 42 bathrooms.</t>
        </is>
      </c>
      <c r="L1386" s="11" t="n">
        <v>1</v>
      </c>
      <c r="M1386" s="12" t="n">
        <v>50</v>
      </c>
      <c r="N1386" s="12" t="n">
        <v>150</v>
      </c>
      <c r="O1386" s="12" t="n">
        <v>300</v>
      </c>
      <c r="P1386" s="12" t="n">
        <v>600</v>
      </c>
      <c r="Q1386" s="12" t="n"/>
      <c r="R1386" s="13">
        <f>IF(ISNUMBER(M1386),ROUND(M1386/(1-Settings!$B$2)/Settings!$B$3,0)*Settings!$B$3,"")</f>
        <v/>
      </c>
      <c r="S1386" s="13">
        <f>IF(ISNUMBER(N1386),ROUND(N1386/(1-Settings!$B$2)/Settings!$B$3,0)*Settings!$B$3,"")</f>
        <v/>
      </c>
      <c r="T1386" s="13">
        <f>IF(ISNUMBER(O1386),ROUND(O1386/(1-Settings!$B$2)/Settings!$B$3,0)*Settings!$B$3,"")</f>
        <v/>
      </c>
      <c r="U1386" s="13">
        <f>IF(ISNUMBER(P1386),ROUND(P1386/(1-Settings!$B$2)/Settings!$B$3,0)*Settings!$B$3,"")</f>
        <v/>
      </c>
      <c r="V1386" s="13">
        <f>IF(ISNUMBER(Q1386),ROUND(Q1386/(1-Settings!$B$2)/Settings!$B$3,0)*Settings!$B$3,"")</f>
        <v/>
      </c>
      <c r="W1386" s="14" t="n"/>
      <c r="X1386" s="14" t="n"/>
      <c r="Y1386" s="11" t="inlineStr"/>
      <c r="Z1386" s="11" t="inlineStr"/>
      <c r="AA1386" s="8" t="inlineStr"/>
      <c r="AB1386" s="8" t="inlineStr"/>
      <c r="AC1386" s="11" t="inlineStr">
        <is>
          <t>MasterMilitaryOnBaseList 12.2.25 NS.xlsx</t>
        </is>
      </c>
      <c r="AD1386" s="11" t="inlineStr">
        <is>
          <t>Marquee specs.docx</t>
        </is>
      </c>
      <c r="AE1386" s="15" t="inlineStr">
        <is>
          <t>Open in Box</t>
        </is>
      </c>
      <c r="AF1386" s="15" t="inlineStr">
        <is>
          <t>Open in Box</t>
        </is>
      </c>
    </row>
    <row r="1387">
      <c r="A1387" s="11" t="inlineStr">
        <is>
          <t>TX-LAUGHLIN-006</t>
        </is>
      </c>
      <c r="B1387" s="8" t="inlineStr">
        <is>
          <t>Laughlin AFB</t>
        </is>
      </c>
      <c r="C1387" s="11" t="inlineStr"/>
      <c r="D1387" s="11" t="inlineStr">
        <is>
          <t>TX</t>
        </is>
      </c>
      <c r="E1387" s="11" t="inlineStr">
        <is>
          <t>San Antonio</t>
        </is>
      </c>
      <c r="F1387" s="11" t="inlineStr">
        <is>
          <t>78843</t>
        </is>
      </c>
      <c r="G1387" s="11" t="inlineStr">
        <is>
          <t>Air Force</t>
        </is>
      </c>
      <c r="H1387" s="11" t="inlineStr">
        <is>
          <t>Print &amp; Publications</t>
        </is>
      </c>
      <c r="I1387" s="8" t="inlineStr">
        <is>
          <t>Newcomers Guide</t>
        </is>
      </c>
      <c r="J1387" s="11" t="inlineStr">
        <is>
          <t>4.25"W x 5.5"H</t>
        </is>
      </c>
      <c r="K1387" s="8" t="inlineStr">
        <is>
          <t>Your ad will appear in the newcomers packet.</t>
        </is>
      </c>
      <c r="L1387" s="11" t="n">
        <v>1</v>
      </c>
      <c r="M1387" s="12" t="n">
        <v>25</v>
      </c>
      <c r="N1387" s="12" t="n">
        <v>75</v>
      </c>
      <c r="O1387" s="12" t="n">
        <v>150</v>
      </c>
      <c r="P1387" s="12" t="n">
        <v>300</v>
      </c>
      <c r="Q1387" s="12" t="n"/>
      <c r="R1387" s="13">
        <f>IF(ISNUMBER(M1387),ROUND(M1387/(1-Settings!$B$2)/Settings!$B$3,0)*Settings!$B$3,"")</f>
        <v/>
      </c>
      <c r="S1387" s="13">
        <f>IF(ISNUMBER(N1387),ROUND(N1387/(1-Settings!$B$2)/Settings!$B$3,0)*Settings!$B$3,"")</f>
        <v/>
      </c>
      <c r="T1387" s="13">
        <f>IF(ISNUMBER(O1387),ROUND(O1387/(1-Settings!$B$2)/Settings!$B$3,0)*Settings!$B$3,"")</f>
        <v/>
      </c>
      <c r="U1387" s="13">
        <f>IF(ISNUMBER(P1387),ROUND(P1387/(1-Settings!$B$2)/Settings!$B$3,0)*Settings!$B$3,"")</f>
        <v/>
      </c>
      <c r="V1387" s="13">
        <f>IF(ISNUMBER(Q1387),ROUND(Q1387/(1-Settings!$B$2)/Settings!$B$3,0)*Settings!$B$3,"")</f>
        <v/>
      </c>
      <c r="W1387" s="14" t="n"/>
      <c r="X1387" s="14" t="n"/>
      <c r="Y1387" s="11" t="inlineStr"/>
      <c r="Z1387" s="11" t="inlineStr"/>
      <c r="AA1387" s="8" t="inlineStr"/>
      <c r="AB1387" s="8" t="inlineStr"/>
      <c r="AC1387" s="11" t="inlineStr">
        <is>
          <t>MasterMilitaryOnBaseList 12.2.25 NS.xlsx</t>
        </is>
      </c>
      <c r="AD1387" s="11" t="inlineStr">
        <is>
          <t>Marquee specs.docx</t>
        </is>
      </c>
      <c r="AE1387" s="15" t="inlineStr">
        <is>
          <t>Open in Box</t>
        </is>
      </c>
      <c r="AF1387" s="15" t="inlineStr">
        <is>
          <t>Open in Box</t>
        </is>
      </c>
    </row>
    <row r="1388">
      <c r="A1388" s="11" t="inlineStr">
        <is>
          <t>TX-LAUGHLIN-007</t>
        </is>
      </c>
      <c r="B1388" s="8" t="inlineStr">
        <is>
          <t>Laughlin AFB</t>
        </is>
      </c>
      <c r="C1388" s="11" t="inlineStr"/>
      <c r="D1388" s="11" t="inlineStr">
        <is>
          <t>TX</t>
        </is>
      </c>
      <c r="E1388" s="11" t="inlineStr">
        <is>
          <t>San Antonio</t>
        </is>
      </c>
      <c r="F1388" s="11" t="inlineStr">
        <is>
          <t>78843</t>
        </is>
      </c>
      <c r="G1388" s="11" t="inlineStr">
        <is>
          <t>Air Force</t>
        </is>
      </c>
      <c r="H1388" s="11" t="inlineStr">
        <is>
          <t>Print &amp; Publications</t>
        </is>
      </c>
      <c r="I1388" s="8" t="inlineStr">
        <is>
          <t>Newsletter</t>
        </is>
      </c>
      <c r="J1388" s="11" t="inlineStr">
        <is>
          <t>5.5"W x 3"H</t>
        </is>
      </c>
      <c r="K1388" s="8" t="inlineStr">
        <is>
          <t>Your ad will appear in the monthly newsletter.</t>
        </is>
      </c>
      <c r="L1388" s="11" t="n">
        <v>1</v>
      </c>
      <c r="M1388" s="12" t="n">
        <v>100</v>
      </c>
      <c r="N1388" s="12" t="n">
        <v>300</v>
      </c>
      <c r="O1388" s="12" t="n">
        <v>600</v>
      </c>
      <c r="P1388" s="12" t="n">
        <v>1200</v>
      </c>
      <c r="Q1388" s="12" t="n">
        <v>0</v>
      </c>
      <c r="R1388" s="13">
        <f>IF(ISNUMBER(M1388),ROUND(M1388/(1-Settings!$B$2)/Settings!$B$3,0)*Settings!$B$3,"")</f>
        <v/>
      </c>
      <c r="S1388" s="13">
        <f>IF(ISNUMBER(N1388),ROUND(N1388/(1-Settings!$B$2)/Settings!$B$3,0)*Settings!$B$3,"")</f>
        <v/>
      </c>
      <c r="T1388" s="13">
        <f>IF(ISNUMBER(O1388),ROUND(O1388/(1-Settings!$B$2)/Settings!$B$3,0)*Settings!$B$3,"")</f>
        <v/>
      </c>
      <c r="U1388" s="13">
        <f>IF(ISNUMBER(P1388),ROUND(P1388/(1-Settings!$B$2)/Settings!$B$3,0)*Settings!$B$3,"")</f>
        <v/>
      </c>
      <c r="V1388" s="13">
        <f>IF(ISNUMBER(Q1388),ROUND(Q1388/(1-Settings!$B$2)/Settings!$B$3,0)*Settings!$B$3,"")</f>
        <v/>
      </c>
      <c r="W1388" s="14" t="n"/>
      <c r="X1388" s="14" t="n"/>
      <c r="Y1388" s="11" t="inlineStr"/>
      <c r="Z1388" s="11" t="inlineStr"/>
      <c r="AA1388" s="8" t="inlineStr"/>
      <c r="AB1388" s="8" t="inlineStr"/>
      <c r="AC1388" s="11" t="inlineStr">
        <is>
          <t>MasterMilitaryOnBaseList 12.2.25 NS.xlsx</t>
        </is>
      </c>
      <c r="AD1388" s="11" t="inlineStr">
        <is>
          <t>Marquee specs.docx</t>
        </is>
      </c>
      <c r="AE1388" s="15" t="inlineStr">
        <is>
          <t>Open in Box</t>
        </is>
      </c>
      <c r="AF1388" s="15" t="inlineStr">
        <is>
          <t>Open in Box</t>
        </is>
      </c>
    </row>
    <row r="1389">
      <c r="A1389" s="11" t="inlineStr">
        <is>
          <t>TX-LAUGHLIN-003</t>
        </is>
      </c>
      <c r="B1389" s="8" t="inlineStr">
        <is>
          <t>Laughlin AFB</t>
        </is>
      </c>
      <c r="C1389" s="11" t="inlineStr"/>
      <c r="D1389" s="11" t="inlineStr">
        <is>
          <t>TX</t>
        </is>
      </c>
      <c r="E1389" s="11" t="inlineStr">
        <is>
          <t>San Antonio</t>
        </is>
      </c>
      <c r="F1389" s="11" t="inlineStr">
        <is>
          <t>78843</t>
        </is>
      </c>
      <c r="G1389" s="11" t="inlineStr">
        <is>
          <t>Air Force</t>
        </is>
      </c>
      <c r="H1389" s="11" t="inlineStr">
        <is>
          <t>Standard Media</t>
        </is>
      </c>
      <c r="I1389" s="8" t="inlineStr">
        <is>
          <t>Banner</t>
        </is>
      </c>
      <c r="J1389" s="11" t="inlineStr">
        <is>
          <t>3'W x 6'H</t>
        </is>
      </c>
      <c r="K1389" s="8" t="inlineStr">
        <is>
          <t>Your ad will appear at an approved installation facility.</t>
        </is>
      </c>
      <c r="L1389" s="11" t="n">
        <v>1</v>
      </c>
      <c r="M1389" s="12" t="n">
        <v>175</v>
      </c>
      <c r="N1389" s="12" t="n">
        <v>525</v>
      </c>
      <c r="O1389" s="12" t="n">
        <v>1050</v>
      </c>
      <c r="P1389" s="12" t="n">
        <v>2100</v>
      </c>
      <c r="Q1389" s="12" t="n">
        <v>200</v>
      </c>
      <c r="R1389" s="13">
        <f>IF(ISNUMBER(M1389),ROUND(M1389/(1-Settings!$B$2)/Settings!$B$3,0)*Settings!$B$3,"")</f>
        <v/>
      </c>
      <c r="S1389" s="13">
        <f>IF(ISNUMBER(N1389),ROUND(N1389/(1-Settings!$B$2)/Settings!$B$3,0)*Settings!$B$3,"")</f>
        <v/>
      </c>
      <c r="T1389" s="13">
        <f>IF(ISNUMBER(O1389),ROUND(O1389/(1-Settings!$B$2)/Settings!$B$3,0)*Settings!$B$3,"")</f>
        <v/>
      </c>
      <c r="U1389" s="13">
        <f>IF(ISNUMBER(P1389),ROUND(P1389/(1-Settings!$B$2)/Settings!$B$3,0)*Settings!$B$3,"")</f>
        <v/>
      </c>
      <c r="V1389" s="13">
        <f>IF(ISNUMBER(Q1389),ROUND(Q1389/(1-Settings!$B$2)/Settings!$B$3,0)*Settings!$B$3,"")</f>
        <v/>
      </c>
      <c r="W1389" s="14" t="n"/>
      <c r="X1389" s="14" t="n"/>
      <c r="Y1389" s="11" t="inlineStr"/>
      <c r="Z1389" s="11" t="inlineStr"/>
      <c r="AA1389" s="8" t="inlineStr"/>
      <c r="AB1389" s="8" t="inlineStr"/>
      <c r="AC1389" s="11" t="inlineStr">
        <is>
          <t>MasterMilitaryOnBaseList 12.2.25 NS.xlsx</t>
        </is>
      </c>
      <c r="AD1389" s="11" t="inlineStr">
        <is>
          <t>Marquee specs.docx</t>
        </is>
      </c>
      <c r="AE1389" s="15" t="inlineStr">
        <is>
          <t>Open in Box</t>
        </is>
      </c>
      <c r="AF1389" s="15" t="inlineStr">
        <is>
          <t>Open in Box</t>
        </is>
      </c>
    </row>
    <row r="1390">
      <c r="A1390" s="11" t="inlineStr">
        <is>
          <t>TX-LAUGHLIN-004</t>
        </is>
      </c>
      <c r="B1390" s="8" t="inlineStr">
        <is>
          <t>Laughlin AFB</t>
        </is>
      </c>
      <c r="C1390" s="11" t="inlineStr"/>
      <c r="D1390" s="11" t="inlineStr">
        <is>
          <t>TX</t>
        </is>
      </c>
      <c r="E1390" s="11" t="inlineStr">
        <is>
          <t>San Antonio</t>
        </is>
      </c>
      <c r="F1390" s="11" t="inlineStr">
        <is>
          <t>78843</t>
        </is>
      </c>
      <c r="G1390" s="11" t="inlineStr">
        <is>
          <t>Air Force</t>
        </is>
      </c>
      <c r="H1390" s="11" t="inlineStr">
        <is>
          <t>Standard Media</t>
        </is>
      </c>
      <c r="I1390" s="8" t="inlineStr">
        <is>
          <t>Poster</t>
        </is>
      </c>
      <c r="J1390" s="11" t="inlineStr">
        <is>
          <t>TBD</t>
        </is>
      </c>
      <c r="K1390" s="8" t="inlineStr">
        <is>
          <t>Your ad will appear in an approved installation facility.</t>
        </is>
      </c>
      <c r="L1390" s="11" t="n">
        <v>1</v>
      </c>
      <c r="M1390" s="12" t="n">
        <v>20</v>
      </c>
      <c r="N1390" s="12" t="n">
        <v>60</v>
      </c>
      <c r="O1390" s="12" t="n">
        <v>120</v>
      </c>
      <c r="P1390" s="12" t="n">
        <v>240</v>
      </c>
      <c r="Q1390" s="12" t="n"/>
      <c r="R1390" s="13">
        <f>IF(ISNUMBER(M1390),ROUND(M1390/(1-Settings!$B$2)/Settings!$B$3,0)*Settings!$B$3,"")</f>
        <v/>
      </c>
      <c r="S1390" s="13">
        <f>IF(ISNUMBER(N1390),ROUND(N1390/(1-Settings!$B$2)/Settings!$B$3,0)*Settings!$B$3,"")</f>
        <v/>
      </c>
      <c r="T1390" s="13">
        <f>IF(ISNUMBER(O1390),ROUND(O1390/(1-Settings!$B$2)/Settings!$B$3,0)*Settings!$B$3,"")</f>
        <v/>
      </c>
      <c r="U1390" s="13">
        <f>IF(ISNUMBER(P1390),ROUND(P1390/(1-Settings!$B$2)/Settings!$B$3,0)*Settings!$B$3,"")</f>
        <v/>
      </c>
      <c r="V1390" s="13">
        <f>IF(ISNUMBER(Q1390),ROUND(Q1390/(1-Settings!$B$2)/Settings!$B$3,0)*Settings!$B$3,"")</f>
        <v/>
      </c>
      <c r="W1390" s="14" t="n"/>
      <c r="X1390" s="14" t="n"/>
      <c r="Y1390" s="11" t="inlineStr"/>
      <c r="Z1390" s="11" t="inlineStr"/>
      <c r="AA1390" s="8" t="inlineStr"/>
      <c r="AB1390" s="8" t="inlineStr"/>
      <c r="AC1390" s="11" t="inlineStr">
        <is>
          <t>MasterMilitaryOnBaseList 12.2.25 NS.xlsx</t>
        </is>
      </c>
      <c r="AD1390" s="11" t="inlineStr">
        <is>
          <t>Marquee specs.docx</t>
        </is>
      </c>
      <c r="AE1390" s="15" t="inlineStr">
        <is>
          <t>Open in Box</t>
        </is>
      </c>
      <c r="AF1390" s="15" t="inlineStr">
        <is>
          <t>Open in Box</t>
        </is>
      </c>
    </row>
    <row r="1391">
      <c r="A1391" s="11" t="inlineStr">
        <is>
          <t>TX-NASJRBFO-001</t>
        </is>
      </c>
      <c r="B1391" s="8" t="inlineStr">
        <is>
          <t>NAS JRB Fort Worth</t>
        </is>
      </c>
      <c r="C1391" s="11" t="inlineStr"/>
      <c r="D1391" s="11" t="inlineStr">
        <is>
          <t>TX</t>
        </is>
      </c>
      <c r="E1391" s="11" t="inlineStr">
        <is>
          <t>Dallas-Ft. Worth</t>
        </is>
      </c>
      <c r="F1391" s="11" t="inlineStr">
        <is>
          <t>76127</t>
        </is>
      </c>
      <c r="G1391" s="11" t="inlineStr">
        <is>
          <t>Navy</t>
        </is>
      </c>
      <c r="H1391" s="11" t="inlineStr">
        <is>
          <t>Digital</t>
        </is>
      </c>
      <c r="I1391" s="8" t="inlineStr">
        <is>
          <t>Bowling Lane Display</t>
        </is>
      </c>
      <c r="J1391" s="11" t="inlineStr">
        <is>
          <t>120"W x 42.5"H</t>
        </is>
      </c>
      <c r="K1391" s="8" t="inlineStr">
        <is>
          <t>Your ad will appear on 5 bowling lanes.</t>
        </is>
      </c>
      <c r="L1391" s="11" t="n">
        <v>1</v>
      </c>
      <c r="M1391" s="12" t="n">
        <v>500</v>
      </c>
      <c r="N1391" s="12" t="n">
        <v>1500</v>
      </c>
      <c r="O1391" s="12" t="n">
        <v>3000</v>
      </c>
      <c r="P1391" s="12" t="n">
        <v>6000</v>
      </c>
      <c r="Q1391" s="12" t="n"/>
      <c r="R1391" s="13">
        <f>IF(ISNUMBER(M1391),ROUND(M1391/(1-Settings!$B$2)/Settings!$B$3,0)*Settings!$B$3,"")</f>
        <v/>
      </c>
      <c r="S1391" s="13">
        <f>IF(ISNUMBER(N1391),ROUND(N1391/(1-Settings!$B$2)/Settings!$B$3,0)*Settings!$B$3,"")</f>
        <v/>
      </c>
      <c r="T1391" s="13">
        <f>IF(ISNUMBER(O1391),ROUND(O1391/(1-Settings!$B$2)/Settings!$B$3,0)*Settings!$B$3,"")</f>
        <v/>
      </c>
      <c r="U1391" s="13">
        <f>IF(ISNUMBER(P1391),ROUND(P1391/(1-Settings!$B$2)/Settings!$B$3,0)*Settings!$B$3,"")</f>
        <v/>
      </c>
      <c r="V1391" s="13">
        <f>IF(ISNUMBER(Q1391),ROUND(Q1391/(1-Settings!$B$2)/Settings!$B$3,0)*Settings!$B$3,"")</f>
        <v/>
      </c>
      <c r="W1391" s="14" t="n">
        <v>4725</v>
      </c>
      <c r="X1391" s="14" t="n">
        <v>10500</v>
      </c>
      <c r="Y1391" s="11" t="inlineStr"/>
      <c r="Z1391" s="11" t="inlineStr"/>
      <c r="AA1391" s="8" t="inlineStr"/>
      <c r="AB1391" s="8" t="inlineStr"/>
      <c r="AC1391" s="11" t="inlineStr">
        <is>
          <t>MasterMilitaryOnBaseList 12.2.25 NS.xlsx</t>
        </is>
      </c>
      <c r="AD1391" s="11" t="inlineStr">
        <is>
          <t>CNRSE Advertising Options FY26.pdf</t>
        </is>
      </c>
      <c r="AE1391" s="15" t="inlineStr">
        <is>
          <t>Open in Box</t>
        </is>
      </c>
      <c r="AF1391" s="15" t="inlineStr">
        <is>
          <t>Open in Box</t>
        </is>
      </c>
    </row>
    <row r="1392">
      <c r="A1392" s="11" t="inlineStr">
        <is>
          <t>TX-NASJRBFO-002</t>
        </is>
      </c>
      <c r="B1392" s="8" t="inlineStr">
        <is>
          <t>NAS JRB Fort Worth</t>
        </is>
      </c>
      <c r="C1392" s="11" t="inlineStr"/>
      <c r="D1392" s="11" t="inlineStr">
        <is>
          <t>TX</t>
        </is>
      </c>
      <c r="E1392" s="11" t="inlineStr">
        <is>
          <t>Dallas-Ft. Worth</t>
        </is>
      </c>
      <c r="F1392" s="11" t="inlineStr">
        <is>
          <t>76127</t>
        </is>
      </c>
      <c r="G1392" s="11" t="inlineStr">
        <is>
          <t>Navy</t>
        </is>
      </c>
      <c r="H1392" s="11" t="inlineStr">
        <is>
          <t>Digital</t>
        </is>
      </c>
      <c r="I1392" s="8" t="inlineStr">
        <is>
          <t>Bowling Scoring Monitors</t>
        </is>
      </c>
      <c r="J1392" s="11" t="inlineStr">
        <is>
          <t>1920pxW x 1080pxH</t>
        </is>
      </c>
      <c r="K1392" s="8" t="inlineStr">
        <is>
          <t>Your ad will appear on 10 bowling scoring monitors.</t>
        </is>
      </c>
      <c r="L1392" s="11" t="n">
        <v>1</v>
      </c>
      <c r="M1392" s="12" t="n">
        <v>350</v>
      </c>
      <c r="N1392" s="12" t="n">
        <v>1050</v>
      </c>
      <c r="O1392" s="12" t="n">
        <v>2100</v>
      </c>
      <c r="P1392" s="12" t="n">
        <v>4200</v>
      </c>
      <c r="Q1392" s="12" t="n">
        <v>0</v>
      </c>
      <c r="R1392" s="13">
        <f>IF(ISNUMBER(M1392),ROUND(M1392/(1-Settings!$B$2)/Settings!$B$3,0)*Settings!$B$3,"")</f>
        <v/>
      </c>
      <c r="S1392" s="13">
        <f>IF(ISNUMBER(N1392),ROUND(N1392/(1-Settings!$B$2)/Settings!$B$3,0)*Settings!$B$3,"")</f>
        <v/>
      </c>
      <c r="T1392" s="13">
        <f>IF(ISNUMBER(O1392),ROUND(O1392/(1-Settings!$B$2)/Settings!$B$3,0)*Settings!$B$3,"")</f>
        <v/>
      </c>
      <c r="U1392" s="13">
        <f>IF(ISNUMBER(P1392),ROUND(P1392/(1-Settings!$B$2)/Settings!$B$3,0)*Settings!$B$3,"")</f>
        <v/>
      </c>
      <c r="V1392" s="13">
        <f>IF(ISNUMBER(Q1392),ROUND(Q1392/(1-Settings!$B$2)/Settings!$B$3,0)*Settings!$B$3,"")</f>
        <v/>
      </c>
      <c r="W1392" s="14" t="n">
        <v>4725</v>
      </c>
      <c r="X1392" s="14" t="n">
        <v>10500</v>
      </c>
      <c r="Y1392" s="11" t="inlineStr"/>
      <c r="Z1392" s="11" t="inlineStr"/>
      <c r="AA1392" s="8" t="inlineStr"/>
      <c r="AB1392" s="8" t="inlineStr"/>
      <c r="AC1392" s="11" t="inlineStr">
        <is>
          <t>MasterMilitaryOnBaseList 12.2.25 NS.xlsx</t>
        </is>
      </c>
      <c r="AD1392" s="11" t="inlineStr">
        <is>
          <t>CNRSE Advertising Options FY26.pdf</t>
        </is>
      </c>
      <c r="AE1392" s="15" t="inlineStr">
        <is>
          <t>Open in Box</t>
        </is>
      </c>
      <c r="AF1392" s="15" t="inlineStr">
        <is>
          <t>Open in Box</t>
        </is>
      </c>
    </row>
    <row r="1393">
      <c r="A1393" s="11" t="inlineStr">
        <is>
          <t>TX-NASJRBFO-003</t>
        </is>
      </c>
      <c r="B1393" s="8" t="inlineStr">
        <is>
          <t>NAS JRB Fort Worth</t>
        </is>
      </c>
      <c r="C1393" s="11" t="inlineStr"/>
      <c r="D1393" s="11" t="inlineStr">
        <is>
          <t>TX</t>
        </is>
      </c>
      <c r="E1393" s="11" t="inlineStr">
        <is>
          <t>Dallas-Ft. Worth</t>
        </is>
      </c>
      <c r="F1393" s="11" t="inlineStr">
        <is>
          <t>76127</t>
        </is>
      </c>
      <c r="G1393" s="11" t="inlineStr">
        <is>
          <t>Navy</t>
        </is>
      </c>
      <c r="H1393" s="11" t="inlineStr">
        <is>
          <t>Digital</t>
        </is>
      </c>
      <c r="I1393" s="8" t="inlineStr">
        <is>
          <t>Bowling Sweep Arm</t>
        </is>
      </c>
      <c r="J1393" s="11" t="inlineStr">
        <is>
          <t>48"W x 2.5"H</t>
        </is>
      </c>
      <c r="K1393" s="8" t="inlineStr">
        <is>
          <t>Your ad will appear on 10 bowling sweep arms.</t>
        </is>
      </c>
      <c r="L1393" s="11" t="n">
        <v>1</v>
      </c>
      <c r="M1393" s="12" t="n">
        <v>200</v>
      </c>
      <c r="N1393" s="12" t="n">
        <v>600</v>
      </c>
      <c r="O1393" s="12" t="n">
        <v>1200</v>
      </c>
      <c r="P1393" s="12" t="n">
        <v>2400</v>
      </c>
      <c r="Q1393" s="12" t="n"/>
      <c r="R1393" s="13">
        <f>IF(ISNUMBER(M1393),ROUND(M1393/(1-Settings!$B$2)/Settings!$B$3,0)*Settings!$B$3,"")</f>
        <v/>
      </c>
      <c r="S1393" s="13">
        <f>IF(ISNUMBER(N1393),ROUND(N1393/(1-Settings!$B$2)/Settings!$B$3,0)*Settings!$B$3,"")</f>
        <v/>
      </c>
      <c r="T1393" s="13">
        <f>IF(ISNUMBER(O1393),ROUND(O1393/(1-Settings!$B$2)/Settings!$B$3,0)*Settings!$B$3,"")</f>
        <v/>
      </c>
      <c r="U1393" s="13">
        <f>IF(ISNUMBER(P1393),ROUND(P1393/(1-Settings!$B$2)/Settings!$B$3,0)*Settings!$B$3,"")</f>
        <v/>
      </c>
      <c r="V1393" s="13">
        <f>IF(ISNUMBER(Q1393),ROUND(Q1393/(1-Settings!$B$2)/Settings!$B$3,0)*Settings!$B$3,"")</f>
        <v/>
      </c>
      <c r="W1393" s="14" t="n">
        <v>4725</v>
      </c>
      <c r="X1393" s="14" t="n">
        <v>10500</v>
      </c>
      <c r="Y1393" s="11" t="inlineStr"/>
      <c r="Z1393" s="11" t="inlineStr"/>
      <c r="AA1393" s="8" t="inlineStr"/>
      <c r="AB1393" s="8" t="inlineStr"/>
      <c r="AC1393" s="11" t="inlineStr">
        <is>
          <t>MasterMilitaryOnBaseList 12.2.25 NS.xlsx</t>
        </is>
      </c>
      <c r="AD1393" s="11" t="inlineStr">
        <is>
          <t>CNRSE Advertising Options FY26.pdf</t>
        </is>
      </c>
      <c r="AE1393" s="15" t="inlineStr">
        <is>
          <t>Open in Box</t>
        </is>
      </c>
      <c r="AF1393" s="15" t="inlineStr">
        <is>
          <t>Open in Box</t>
        </is>
      </c>
    </row>
    <row r="1394">
      <c r="A1394" s="11" t="inlineStr">
        <is>
          <t>TX-NASJRBFO-004</t>
        </is>
      </c>
      <c r="B1394" s="8" t="inlineStr">
        <is>
          <t>NAS JRB Fort Worth</t>
        </is>
      </c>
      <c r="C1394" s="11" t="inlineStr"/>
      <c r="D1394" s="11" t="inlineStr">
        <is>
          <t>TX</t>
        </is>
      </c>
      <c r="E1394" s="11" t="inlineStr">
        <is>
          <t>Dallas-Ft. Worth</t>
        </is>
      </c>
      <c r="F1394" s="11" t="inlineStr">
        <is>
          <t>76127</t>
        </is>
      </c>
      <c r="G1394" s="11" t="inlineStr">
        <is>
          <t>Navy</t>
        </is>
      </c>
      <c r="H1394" s="11" t="inlineStr">
        <is>
          <t>Digital</t>
        </is>
      </c>
      <c r="I1394" s="8" t="inlineStr">
        <is>
          <t>Digital Monitor Network</t>
        </is>
      </c>
      <c r="J1394" s="11" t="inlineStr">
        <is>
          <t>1920pxW x 1080pxH</t>
        </is>
      </c>
      <c r="K1394" s="8" t="inlineStr">
        <is>
          <t>Your ad will appear on 11 digital monitors in approved installation facilities.</t>
        </is>
      </c>
      <c r="L1394" s="11" t="n">
        <v>1</v>
      </c>
      <c r="M1394" s="12" t="n">
        <v>430</v>
      </c>
      <c r="N1394" s="12" t="n">
        <v>1290</v>
      </c>
      <c r="O1394" s="12" t="n">
        <v>2580</v>
      </c>
      <c r="P1394" s="12" t="n">
        <v>5160</v>
      </c>
      <c r="Q1394" s="12" t="n">
        <v>0</v>
      </c>
      <c r="R1394" s="13">
        <f>IF(ISNUMBER(M1394),ROUND(M1394/(1-Settings!$B$2)/Settings!$B$3,0)*Settings!$B$3,"")</f>
        <v/>
      </c>
      <c r="S1394" s="13">
        <f>IF(ISNUMBER(N1394),ROUND(N1394/(1-Settings!$B$2)/Settings!$B$3,0)*Settings!$B$3,"")</f>
        <v/>
      </c>
      <c r="T1394" s="13">
        <f>IF(ISNUMBER(O1394),ROUND(O1394/(1-Settings!$B$2)/Settings!$B$3,0)*Settings!$B$3,"")</f>
        <v/>
      </c>
      <c r="U1394" s="13">
        <f>IF(ISNUMBER(P1394),ROUND(P1394/(1-Settings!$B$2)/Settings!$B$3,0)*Settings!$B$3,"")</f>
        <v/>
      </c>
      <c r="V1394" s="13">
        <f>IF(ISNUMBER(Q1394),ROUND(Q1394/(1-Settings!$B$2)/Settings!$B$3,0)*Settings!$B$3,"")</f>
        <v/>
      </c>
      <c r="W1394" s="14" t="n">
        <v>4725</v>
      </c>
      <c r="X1394" s="14" t="n">
        <v>10500</v>
      </c>
      <c r="Y1394" s="11" t="inlineStr"/>
      <c r="Z1394" s="11" t="inlineStr"/>
      <c r="AA1394" s="8" t="inlineStr"/>
      <c r="AB1394" s="8" t="inlineStr"/>
      <c r="AC1394" s="11" t="inlineStr">
        <is>
          <t>MasterMilitaryOnBaseList 12.2.25 NS.xlsx</t>
        </is>
      </c>
      <c r="AD1394" s="11" t="inlineStr">
        <is>
          <t>CNRSE Advertising Options FY26.pdf</t>
        </is>
      </c>
      <c r="AE1394" s="15" t="inlineStr">
        <is>
          <t>Open in Box</t>
        </is>
      </c>
      <c r="AF1394" s="15" t="inlineStr">
        <is>
          <t>Open in Box</t>
        </is>
      </c>
    </row>
    <row r="1395">
      <c r="A1395" s="11" t="inlineStr">
        <is>
          <t>TX-NASJRBFO-005</t>
        </is>
      </c>
      <c r="B1395" s="8" t="inlineStr">
        <is>
          <t>NAS JRB Fort Worth</t>
        </is>
      </c>
      <c r="C1395" s="11" t="inlineStr"/>
      <c r="D1395" s="11" t="inlineStr">
        <is>
          <t>TX</t>
        </is>
      </c>
      <c r="E1395" s="11" t="inlineStr">
        <is>
          <t>Dallas-Ft. Worth</t>
        </is>
      </c>
      <c r="F1395" s="11" t="inlineStr">
        <is>
          <t>76127</t>
        </is>
      </c>
      <c r="G1395" s="11" t="inlineStr">
        <is>
          <t>Navy</t>
        </is>
      </c>
      <c r="H1395" s="11" t="inlineStr">
        <is>
          <t>Digital</t>
        </is>
      </c>
      <c r="I1395" s="8" t="inlineStr">
        <is>
          <t>Theatre Commercial</t>
        </is>
      </c>
      <c r="J1395" s="11" t="inlineStr">
        <is>
          <t>TBD</t>
        </is>
      </c>
      <c r="K1395" s="8" t="inlineStr">
        <is>
          <t>Your ad will appear before movies.</t>
        </is>
      </c>
      <c r="L1395" s="11" t="n">
        <v>1</v>
      </c>
      <c r="M1395" s="12" t="n">
        <v>400</v>
      </c>
      <c r="N1395" s="12" t="n">
        <v>1200</v>
      </c>
      <c r="O1395" s="12" t="n">
        <v>2400</v>
      </c>
      <c r="P1395" s="12" t="n">
        <v>4800</v>
      </c>
      <c r="Q1395" s="12" t="n">
        <v>0</v>
      </c>
      <c r="R1395" s="13">
        <f>IF(ISNUMBER(M1395),ROUND(M1395/(1-Settings!$B$2)/Settings!$B$3,0)*Settings!$B$3,"")</f>
        <v/>
      </c>
      <c r="S1395" s="13">
        <f>IF(ISNUMBER(N1395),ROUND(N1395/(1-Settings!$B$2)/Settings!$B$3,0)*Settings!$B$3,"")</f>
        <v/>
      </c>
      <c r="T1395" s="13">
        <f>IF(ISNUMBER(O1395),ROUND(O1395/(1-Settings!$B$2)/Settings!$B$3,0)*Settings!$B$3,"")</f>
        <v/>
      </c>
      <c r="U1395" s="13">
        <f>IF(ISNUMBER(P1395),ROUND(P1395/(1-Settings!$B$2)/Settings!$B$3,0)*Settings!$B$3,"")</f>
        <v/>
      </c>
      <c r="V1395" s="13">
        <f>IF(ISNUMBER(Q1395),ROUND(Q1395/(1-Settings!$B$2)/Settings!$B$3,0)*Settings!$B$3,"")</f>
        <v/>
      </c>
      <c r="W1395" s="14" t="n">
        <v>4725</v>
      </c>
      <c r="X1395" s="14" t="n">
        <v>10500</v>
      </c>
      <c r="Y1395" s="11" t="inlineStr"/>
      <c r="Z1395" s="11" t="inlineStr"/>
      <c r="AA1395" s="8" t="inlineStr"/>
      <c r="AB1395" s="8" t="inlineStr"/>
      <c r="AC1395" s="11" t="inlineStr">
        <is>
          <t>MasterMilitaryOnBaseList 12.2.25 NS.xlsx</t>
        </is>
      </c>
      <c r="AD1395" s="11" t="inlineStr">
        <is>
          <t>CNRSE Advertising Options FY26.pdf</t>
        </is>
      </c>
      <c r="AE1395" s="15" t="inlineStr">
        <is>
          <t>Open in Box</t>
        </is>
      </c>
      <c r="AF1395" s="15" t="inlineStr">
        <is>
          <t>Open in Box</t>
        </is>
      </c>
    </row>
    <row r="1396">
      <c r="A1396" s="11" t="inlineStr">
        <is>
          <t>TX-NASJRBFO-006</t>
        </is>
      </c>
      <c r="B1396" s="8" t="inlineStr">
        <is>
          <t>NAS JRB Fort Worth</t>
        </is>
      </c>
      <c r="C1396" s="11" t="inlineStr"/>
      <c r="D1396" s="11" t="inlineStr">
        <is>
          <t>TX</t>
        </is>
      </c>
      <c r="E1396" s="11" t="inlineStr">
        <is>
          <t>Dallas-Ft. Worth</t>
        </is>
      </c>
      <c r="F1396" s="11" t="inlineStr">
        <is>
          <t>76127</t>
        </is>
      </c>
      <c r="G1396" s="11" t="inlineStr">
        <is>
          <t>Navy</t>
        </is>
      </c>
      <c r="H1396" s="11" t="inlineStr">
        <is>
          <t>Digital</t>
        </is>
      </c>
      <c r="I1396" s="8" t="inlineStr">
        <is>
          <t>Theatre Static</t>
        </is>
      </c>
      <c r="J1396" s="11" t="inlineStr">
        <is>
          <t>TBD</t>
        </is>
      </c>
      <c r="K1396" s="8" t="inlineStr">
        <is>
          <t>Your ad will appear before movies.</t>
        </is>
      </c>
      <c r="L1396" s="11" t="n">
        <v>1</v>
      </c>
      <c r="M1396" s="12" t="n">
        <v>300</v>
      </c>
      <c r="N1396" s="12" t="n">
        <v>900</v>
      </c>
      <c r="O1396" s="12" t="n">
        <v>1800</v>
      </c>
      <c r="P1396" s="12" t="n">
        <v>3600</v>
      </c>
      <c r="Q1396" s="12" t="n">
        <v>0</v>
      </c>
      <c r="R1396" s="13">
        <f>IF(ISNUMBER(M1396),ROUND(M1396/(1-Settings!$B$2)/Settings!$B$3,0)*Settings!$B$3,"")</f>
        <v/>
      </c>
      <c r="S1396" s="13">
        <f>IF(ISNUMBER(N1396),ROUND(N1396/(1-Settings!$B$2)/Settings!$B$3,0)*Settings!$B$3,"")</f>
        <v/>
      </c>
      <c r="T1396" s="13">
        <f>IF(ISNUMBER(O1396),ROUND(O1396/(1-Settings!$B$2)/Settings!$B$3,0)*Settings!$B$3,"")</f>
        <v/>
      </c>
      <c r="U1396" s="13">
        <f>IF(ISNUMBER(P1396),ROUND(P1396/(1-Settings!$B$2)/Settings!$B$3,0)*Settings!$B$3,"")</f>
        <v/>
      </c>
      <c r="V1396" s="13">
        <f>IF(ISNUMBER(Q1396),ROUND(Q1396/(1-Settings!$B$2)/Settings!$B$3,0)*Settings!$B$3,"")</f>
        <v/>
      </c>
      <c r="W1396" s="14" t="n">
        <v>4725</v>
      </c>
      <c r="X1396" s="14" t="n">
        <v>10500</v>
      </c>
      <c r="Y1396" s="11" t="inlineStr"/>
      <c r="Z1396" s="11" t="inlineStr"/>
      <c r="AA1396" s="8" t="inlineStr"/>
      <c r="AB1396" s="8" t="inlineStr"/>
      <c r="AC1396" s="11" t="inlineStr">
        <is>
          <t>MasterMilitaryOnBaseList 12.2.25 NS.xlsx</t>
        </is>
      </c>
      <c r="AD1396" s="11" t="inlineStr">
        <is>
          <t>CNRSE Advertising Options FY26.pdf</t>
        </is>
      </c>
      <c r="AE1396" s="15" t="inlineStr">
        <is>
          <t>Open in Box</t>
        </is>
      </c>
      <c r="AF1396" s="15" t="inlineStr">
        <is>
          <t>Open in Box</t>
        </is>
      </c>
    </row>
    <row r="1397">
      <c r="A1397" s="11" t="inlineStr">
        <is>
          <t>TX-NASJRBFO-010</t>
        </is>
      </c>
      <c r="B1397" s="8" t="inlineStr">
        <is>
          <t>NAS JRB Fort Worth</t>
        </is>
      </c>
      <c r="C1397" s="11" t="inlineStr"/>
      <c r="D1397" s="11" t="inlineStr">
        <is>
          <t>TX</t>
        </is>
      </c>
      <c r="E1397" s="11" t="inlineStr">
        <is>
          <t>Dallas-Ft. Worth</t>
        </is>
      </c>
      <c r="F1397" s="11" t="inlineStr">
        <is>
          <t>76127</t>
        </is>
      </c>
      <c r="G1397" s="11" t="inlineStr">
        <is>
          <t>Navy</t>
        </is>
      </c>
      <c r="H1397" s="11" t="inlineStr">
        <is>
          <t>Large Format</t>
        </is>
      </c>
      <c r="I1397" s="8" t="inlineStr">
        <is>
          <t>Counter Wrap</t>
        </is>
      </c>
      <c r="J1397" s="11" t="inlineStr">
        <is>
          <t>Varies</t>
        </is>
      </c>
      <c r="K1397" s="8" t="inlineStr">
        <is>
          <t>Your ad will appear at an approved installation facility.</t>
        </is>
      </c>
      <c r="L1397" s="11" t="n">
        <v>1</v>
      </c>
      <c r="M1397" s="12" t="n">
        <v>450</v>
      </c>
      <c r="N1397" s="12" t="n">
        <v>1350</v>
      </c>
      <c r="O1397" s="12" t="n">
        <v>2700</v>
      </c>
      <c r="P1397" s="12" t="n">
        <v>5400</v>
      </c>
      <c r="Q1397" s="12" t="n"/>
      <c r="R1397" s="13">
        <f>IF(ISNUMBER(M1397),ROUND(M1397/(1-Settings!$B$2)/Settings!$B$3,0)*Settings!$B$3,"")</f>
        <v/>
      </c>
      <c r="S1397" s="13">
        <f>IF(ISNUMBER(N1397),ROUND(N1397/(1-Settings!$B$2)/Settings!$B$3,0)*Settings!$B$3,"")</f>
        <v/>
      </c>
      <c r="T1397" s="13">
        <f>IF(ISNUMBER(O1397),ROUND(O1397/(1-Settings!$B$2)/Settings!$B$3,0)*Settings!$B$3,"")</f>
        <v/>
      </c>
      <c r="U1397" s="13">
        <f>IF(ISNUMBER(P1397),ROUND(P1397/(1-Settings!$B$2)/Settings!$B$3,0)*Settings!$B$3,"")</f>
        <v/>
      </c>
      <c r="V1397" s="13">
        <f>IF(ISNUMBER(Q1397),ROUND(Q1397/(1-Settings!$B$2)/Settings!$B$3,0)*Settings!$B$3,"")</f>
        <v/>
      </c>
      <c r="W1397" s="14" t="n">
        <v>4725</v>
      </c>
      <c r="X1397" s="14" t="n">
        <v>10500</v>
      </c>
      <c r="Y1397" s="11" t="inlineStr"/>
      <c r="Z1397" s="11" t="inlineStr"/>
      <c r="AA1397" s="8" t="inlineStr"/>
      <c r="AB1397" s="8" t="inlineStr"/>
      <c r="AC1397" s="11" t="inlineStr">
        <is>
          <t>MasterMilitaryOnBaseList 12.2.25 NS.xlsx</t>
        </is>
      </c>
      <c r="AD1397" s="11" t="inlineStr">
        <is>
          <t>CNRSE Advertising Options FY26.pdf</t>
        </is>
      </c>
      <c r="AE1397" s="15" t="inlineStr">
        <is>
          <t>Open in Box</t>
        </is>
      </c>
      <c r="AF1397" s="15" t="inlineStr">
        <is>
          <t>Open in Box</t>
        </is>
      </c>
    </row>
    <row r="1398">
      <c r="A1398" s="11" t="inlineStr">
        <is>
          <t>TX-NASJRBFO-011</t>
        </is>
      </c>
      <c r="B1398" s="8" t="inlineStr">
        <is>
          <t>NAS JRB Fort Worth</t>
        </is>
      </c>
      <c r="C1398" s="11" t="inlineStr"/>
      <c r="D1398" s="11" t="inlineStr">
        <is>
          <t>TX</t>
        </is>
      </c>
      <c r="E1398" s="11" t="inlineStr">
        <is>
          <t>Dallas-Ft. Worth</t>
        </is>
      </c>
      <c r="F1398" s="11" t="inlineStr">
        <is>
          <t>76127</t>
        </is>
      </c>
      <c r="G1398" s="11" t="inlineStr">
        <is>
          <t>Navy</t>
        </is>
      </c>
      <c r="H1398" s="11" t="inlineStr">
        <is>
          <t>Large Format</t>
        </is>
      </c>
      <c r="I1398" s="8" t="inlineStr">
        <is>
          <t>Large Banner</t>
        </is>
      </c>
      <c r="J1398" s="11" t="inlineStr">
        <is>
          <t>12'W x 6'H</t>
        </is>
      </c>
      <c r="K1398" s="8" t="inlineStr">
        <is>
          <t>Your ad will appear in an approved installation facility.</t>
        </is>
      </c>
      <c r="L1398" s="11" t="n">
        <v>1</v>
      </c>
      <c r="M1398" s="12" t="n">
        <v>300</v>
      </c>
      <c r="N1398" s="12" t="n">
        <v>900</v>
      </c>
      <c r="O1398" s="12" t="n">
        <v>1800</v>
      </c>
      <c r="P1398" s="12" t="n">
        <v>3600</v>
      </c>
      <c r="Q1398" s="12" t="n">
        <v>800</v>
      </c>
      <c r="R1398" s="13">
        <f>IF(ISNUMBER(M1398),ROUND(M1398/(1-Settings!$B$2)/Settings!$B$3,0)*Settings!$B$3,"")</f>
        <v/>
      </c>
      <c r="S1398" s="13">
        <f>IF(ISNUMBER(N1398),ROUND(N1398/(1-Settings!$B$2)/Settings!$B$3,0)*Settings!$B$3,"")</f>
        <v/>
      </c>
      <c r="T1398" s="13">
        <f>IF(ISNUMBER(O1398),ROUND(O1398/(1-Settings!$B$2)/Settings!$B$3,0)*Settings!$B$3,"")</f>
        <v/>
      </c>
      <c r="U1398" s="13">
        <f>IF(ISNUMBER(P1398),ROUND(P1398/(1-Settings!$B$2)/Settings!$B$3,0)*Settings!$B$3,"")</f>
        <v/>
      </c>
      <c r="V1398" s="13">
        <f>IF(ISNUMBER(Q1398),ROUND(Q1398/(1-Settings!$B$2)/Settings!$B$3,0)*Settings!$B$3,"")</f>
        <v/>
      </c>
      <c r="W1398" s="14" t="n">
        <v>4725</v>
      </c>
      <c r="X1398" s="14" t="n">
        <v>10500</v>
      </c>
      <c r="Y1398" s="11" t="inlineStr"/>
      <c r="Z1398" s="11" t="inlineStr"/>
      <c r="AA1398" s="8" t="inlineStr"/>
      <c r="AB1398" s="8" t="inlineStr"/>
      <c r="AC1398" s="11" t="inlineStr">
        <is>
          <t>MasterMilitaryOnBaseList 12.2.25 NS.xlsx</t>
        </is>
      </c>
      <c r="AD1398" s="11" t="inlineStr">
        <is>
          <t>CNRSE Advertising Options FY26.pdf</t>
        </is>
      </c>
      <c r="AE1398" s="15" t="inlineStr">
        <is>
          <t>Open in Box</t>
        </is>
      </c>
      <c r="AF1398" s="15" t="inlineStr">
        <is>
          <t>Open in Box</t>
        </is>
      </c>
    </row>
    <row r="1399">
      <c r="A1399" s="11" t="inlineStr">
        <is>
          <t>TX-NASJRBFO-012</t>
        </is>
      </c>
      <c r="B1399" s="8" t="inlineStr">
        <is>
          <t>NAS JRB Fort Worth</t>
        </is>
      </c>
      <c r="C1399" s="11" t="inlineStr"/>
      <c r="D1399" s="11" t="inlineStr">
        <is>
          <t>TX</t>
        </is>
      </c>
      <c r="E1399" s="11" t="inlineStr">
        <is>
          <t>Dallas-Ft. Worth</t>
        </is>
      </c>
      <c r="F1399" s="11" t="inlineStr">
        <is>
          <t>76127</t>
        </is>
      </c>
      <c r="G1399" s="11" t="inlineStr">
        <is>
          <t>Navy</t>
        </is>
      </c>
      <c r="H1399" s="11" t="inlineStr">
        <is>
          <t>Large Format</t>
        </is>
      </c>
      <c r="I1399" s="8" t="inlineStr">
        <is>
          <t>Large Poster</t>
        </is>
      </c>
      <c r="J1399" s="11" t="inlineStr">
        <is>
          <t>22"W x 56"H</t>
        </is>
      </c>
      <c r="K1399" s="8" t="inlineStr">
        <is>
          <t>Your ad will appear at an approved installation facility.</t>
        </is>
      </c>
      <c r="L1399" s="11" t="n">
        <v>1</v>
      </c>
      <c r="M1399" s="12" t="n">
        <v>350</v>
      </c>
      <c r="N1399" s="12" t="n">
        <v>1050</v>
      </c>
      <c r="O1399" s="12" t="n">
        <v>2100</v>
      </c>
      <c r="P1399" s="12" t="n">
        <v>4200</v>
      </c>
      <c r="Q1399" s="12" t="n">
        <v>200</v>
      </c>
      <c r="R1399" s="13">
        <f>IF(ISNUMBER(M1399),ROUND(M1399/(1-Settings!$B$2)/Settings!$B$3,0)*Settings!$B$3,"")</f>
        <v/>
      </c>
      <c r="S1399" s="13">
        <f>IF(ISNUMBER(N1399),ROUND(N1399/(1-Settings!$B$2)/Settings!$B$3,0)*Settings!$B$3,"")</f>
        <v/>
      </c>
      <c r="T1399" s="13">
        <f>IF(ISNUMBER(O1399),ROUND(O1399/(1-Settings!$B$2)/Settings!$B$3,0)*Settings!$B$3,"")</f>
        <v/>
      </c>
      <c r="U1399" s="13">
        <f>IF(ISNUMBER(P1399),ROUND(P1399/(1-Settings!$B$2)/Settings!$B$3,0)*Settings!$B$3,"")</f>
        <v/>
      </c>
      <c r="V1399" s="13">
        <f>IF(ISNUMBER(Q1399),ROUND(Q1399/(1-Settings!$B$2)/Settings!$B$3,0)*Settings!$B$3,"")</f>
        <v/>
      </c>
      <c r="W1399" s="14" t="n">
        <v>4725</v>
      </c>
      <c r="X1399" s="14" t="n">
        <v>10500</v>
      </c>
      <c r="Y1399" s="11" t="inlineStr"/>
      <c r="Z1399" s="11" t="inlineStr"/>
      <c r="AA1399" s="8" t="inlineStr"/>
      <c r="AB1399" s="8" t="inlineStr"/>
      <c r="AC1399" s="11" t="inlineStr">
        <is>
          <t>MasterMilitaryOnBaseList 12.2.25 NS.xlsx</t>
        </is>
      </c>
      <c r="AD1399" s="11" t="inlineStr">
        <is>
          <t>CNRSE Advertising Options FY26.pdf</t>
        </is>
      </c>
      <c r="AE1399" s="15" t="inlineStr">
        <is>
          <t>Open in Box</t>
        </is>
      </c>
      <c r="AF1399" s="15" t="inlineStr">
        <is>
          <t>Open in Box</t>
        </is>
      </c>
    </row>
    <row r="1400">
      <c r="A1400" s="11" t="inlineStr">
        <is>
          <t>TX-NASJRBFO-013</t>
        </is>
      </c>
      <c r="B1400" s="8" t="inlineStr">
        <is>
          <t>NAS JRB Fort Worth</t>
        </is>
      </c>
      <c r="C1400" s="11" t="inlineStr"/>
      <c r="D1400" s="11" t="inlineStr">
        <is>
          <t>TX</t>
        </is>
      </c>
      <c r="E1400" s="11" t="inlineStr">
        <is>
          <t>Dallas-Ft. Worth</t>
        </is>
      </c>
      <c r="F1400" s="11" t="inlineStr">
        <is>
          <t>76127</t>
        </is>
      </c>
      <c r="G1400" s="11" t="inlineStr">
        <is>
          <t>Navy</t>
        </is>
      </c>
      <c r="H1400" s="11" t="inlineStr">
        <is>
          <t>Large Format</t>
        </is>
      </c>
      <c r="I1400" s="8" t="inlineStr">
        <is>
          <t>Vehicle Wrap</t>
        </is>
      </c>
      <c r="J1400" s="11" t="inlineStr">
        <is>
          <t>Varies</t>
        </is>
      </c>
      <c r="K1400" s="8" t="inlineStr">
        <is>
          <t>Your ad will appear on an installation vehicle.</t>
        </is>
      </c>
      <c r="L1400" s="11" t="n">
        <v>1</v>
      </c>
      <c r="M1400" s="12" t="n">
        <v>1000</v>
      </c>
      <c r="N1400" s="12" t="n">
        <v>3000</v>
      </c>
      <c r="O1400" s="12" t="n">
        <v>6000</v>
      </c>
      <c r="P1400" s="12" t="n">
        <v>12000</v>
      </c>
      <c r="Q1400" s="12" t="n"/>
      <c r="R1400" s="13">
        <f>IF(ISNUMBER(M1400),ROUND(M1400/(1-Settings!$B$2)/Settings!$B$3,0)*Settings!$B$3,"")</f>
        <v/>
      </c>
      <c r="S1400" s="13">
        <f>IF(ISNUMBER(N1400),ROUND(N1400/(1-Settings!$B$2)/Settings!$B$3,0)*Settings!$B$3,"")</f>
        <v/>
      </c>
      <c r="T1400" s="13">
        <f>IF(ISNUMBER(O1400),ROUND(O1400/(1-Settings!$B$2)/Settings!$B$3,0)*Settings!$B$3,"")</f>
        <v/>
      </c>
      <c r="U1400" s="13">
        <f>IF(ISNUMBER(P1400),ROUND(P1400/(1-Settings!$B$2)/Settings!$B$3,0)*Settings!$B$3,"")</f>
        <v/>
      </c>
      <c r="V1400" s="13">
        <f>IF(ISNUMBER(Q1400),ROUND(Q1400/(1-Settings!$B$2)/Settings!$B$3,0)*Settings!$B$3,"")</f>
        <v/>
      </c>
      <c r="W1400" s="14" t="n">
        <v>4725</v>
      </c>
      <c r="X1400" s="14" t="n">
        <v>10500</v>
      </c>
      <c r="Y1400" s="11" t="inlineStr"/>
      <c r="Z1400" s="11" t="inlineStr"/>
      <c r="AA1400" s="8" t="inlineStr"/>
      <c r="AB1400" s="8" t="inlineStr"/>
      <c r="AC1400" s="11" t="inlineStr">
        <is>
          <t>MasterMilitaryOnBaseList 12.2.25 NS.xlsx</t>
        </is>
      </c>
      <c r="AD1400" s="11" t="inlineStr">
        <is>
          <t>CNRSE Advertising Options FY26.pdf</t>
        </is>
      </c>
      <c r="AE1400" s="15" t="inlineStr">
        <is>
          <t>Open in Box</t>
        </is>
      </c>
      <c r="AF1400" s="15" t="inlineStr">
        <is>
          <t>Open in Box</t>
        </is>
      </c>
    </row>
    <row r="1401">
      <c r="A1401" s="11" t="inlineStr">
        <is>
          <t>TX-NASJRBFO-014</t>
        </is>
      </c>
      <c r="B1401" s="8" t="inlineStr">
        <is>
          <t>NAS JRB Fort Worth</t>
        </is>
      </c>
      <c r="C1401" s="11" t="inlineStr"/>
      <c r="D1401" s="11" t="inlineStr">
        <is>
          <t>TX</t>
        </is>
      </c>
      <c r="E1401" s="11" t="inlineStr">
        <is>
          <t>Dallas-Ft. Worth</t>
        </is>
      </c>
      <c r="F1401" s="11" t="inlineStr">
        <is>
          <t>76127</t>
        </is>
      </c>
      <c r="G1401" s="11" t="inlineStr">
        <is>
          <t>Navy</t>
        </is>
      </c>
      <c r="H1401" s="11" t="inlineStr">
        <is>
          <t>Large Format</t>
        </is>
      </c>
      <c r="I1401" s="8" t="inlineStr">
        <is>
          <t>Wall/Window Cling</t>
        </is>
      </c>
      <c r="J1401" s="11" t="inlineStr">
        <is>
          <t>Varies</t>
        </is>
      </c>
      <c r="K1401" s="8" t="inlineStr">
        <is>
          <t>Your ad will appear at an approved installation facility.</t>
        </is>
      </c>
      <c r="L1401" s="11" t="n">
        <v>1</v>
      </c>
      <c r="M1401" s="12" t="n">
        <v>350</v>
      </c>
      <c r="N1401" s="12" t="n">
        <v>1050</v>
      </c>
      <c r="O1401" s="12" t="n">
        <v>2100</v>
      </c>
      <c r="P1401" s="12" t="n">
        <v>4200</v>
      </c>
      <c r="Q1401" s="12" t="n"/>
      <c r="R1401" s="13">
        <f>IF(ISNUMBER(M1401),ROUND(M1401/(1-Settings!$B$2)/Settings!$B$3,0)*Settings!$B$3,"")</f>
        <v/>
      </c>
      <c r="S1401" s="13">
        <f>IF(ISNUMBER(N1401),ROUND(N1401/(1-Settings!$B$2)/Settings!$B$3,0)*Settings!$B$3,"")</f>
        <v/>
      </c>
      <c r="T1401" s="13">
        <f>IF(ISNUMBER(O1401),ROUND(O1401/(1-Settings!$B$2)/Settings!$B$3,0)*Settings!$B$3,"")</f>
        <v/>
      </c>
      <c r="U1401" s="13">
        <f>IF(ISNUMBER(P1401),ROUND(P1401/(1-Settings!$B$2)/Settings!$B$3,0)*Settings!$B$3,"")</f>
        <v/>
      </c>
      <c r="V1401" s="13">
        <f>IF(ISNUMBER(Q1401),ROUND(Q1401/(1-Settings!$B$2)/Settings!$B$3,0)*Settings!$B$3,"")</f>
        <v/>
      </c>
      <c r="W1401" s="14" t="n">
        <v>4725</v>
      </c>
      <c r="X1401" s="14" t="n">
        <v>10500</v>
      </c>
      <c r="Y1401" s="11" t="inlineStr"/>
      <c r="Z1401" s="11" t="inlineStr"/>
      <c r="AA1401" s="8" t="inlineStr"/>
      <c r="AB1401" s="8" t="inlineStr"/>
      <c r="AC1401" s="11" t="inlineStr">
        <is>
          <t>MasterMilitaryOnBaseList 12.2.25 NS.xlsx</t>
        </is>
      </c>
      <c r="AD1401" s="11" t="inlineStr">
        <is>
          <t>CNRSE Advertising Options FY26.pdf</t>
        </is>
      </c>
      <c r="AE1401" s="15" t="inlineStr">
        <is>
          <t>Open in Box</t>
        </is>
      </c>
      <c r="AF1401" s="15" t="inlineStr">
        <is>
          <t>Open in Box</t>
        </is>
      </c>
    </row>
    <row r="1402">
      <c r="A1402" s="11" t="inlineStr">
        <is>
          <t>TX-NASJRBFO-015</t>
        </is>
      </c>
      <c r="B1402" s="8" t="inlineStr">
        <is>
          <t>NAS JRB Fort Worth</t>
        </is>
      </c>
      <c r="C1402" s="11" t="inlineStr"/>
      <c r="D1402" s="11" t="inlineStr">
        <is>
          <t>TX</t>
        </is>
      </c>
      <c r="E1402" s="11" t="inlineStr">
        <is>
          <t>Dallas-Ft. Worth</t>
        </is>
      </c>
      <c r="F1402" s="11" t="inlineStr">
        <is>
          <t>76127</t>
        </is>
      </c>
      <c r="G1402" s="11" t="inlineStr">
        <is>
          <t>Navy</t>
        </is>
      </c>
      <c r="H1402" s="11" t="inlineStr">
        <is>
          <t>Print &amp; Publications</t>
        </is>
      </c>
      <c r="I1402" s="8" t="inlineStr">
        <is>
          <t>Brochures</t>
        </is>
      </c>
      <c r="J1402" s="11" t="inlineStr">
        <is>
          <t>8.5"W x 11"H</t>
        </is>
      </c>
      <c r="K1402" s="8" t="inlineStr">
        <is>
          <t>Your ad will appear in 11 approved installation facilities.</t>
        </is>
      </c>
      <c r="L1402" s="11" t="n">
        <v>1</v>
      </c>
      <c r="M1402" s="12" t="n">
        <v>619</v>
      </c>
      <c r="N1402" s="12" t="n">
        <v>1857</v>
      </c>
      <c r="O1402" s="12" t="n">
        <v>3714</v>
      </c>
      <c r="P1402" s="12" t="n">
        <v>7428</v>
      </c>
      <c r="Q1402" s="12" t="n"/>
      <c r="R1402" s="13">
        <f>IF(ISNUMBER(M1402),ROUND(M1402/(1-Settings!$B$2)/Settings!$B$3,0)*Settings!$B$3,"")</f>
        <v/>
      </c>
      <c r="S1402" s="13">
        <f>IF(ISNUMBER(N1402),ROUND(N1402/(1-Settings!$B$2)/Settings!$B$3,0)*Settings!$B$3,"")</f>
        <v/>
      </c>
      <c r="T1402" s="13">
        <f>IF(ISNUMBER(O1402),ROUND(O1402/(1-Settings!$B$2)/Settings!$B$3,0)*Settings!$B$3,"")</f>
        <v/>
      </c>
      <c r="U1402" s="13">
        <f>IF(ISNUMBER(P1402),ROUND(P1402/(1-Settings!$B$2)/Settings!$B$3,0)*Settings!$B$3,"")</f>
        <v/>
      </c>
      <c r="V1402" s="13">
        <f>IF(ISNUMBER(Q1402),ROUND(Q1402/(1-Settings!$B$2)/Settings!$B$3,0)*Settings!$B$3,"")</f>
        <v/>
      </c>
      <c r="W1402" s="14" t="n">
        <v>4725</v>
      </c>
      <c r="X1402" s="14" t="n">
        <v>10500</v>
      </c>
      <c r="Y1402" s="11" t="inlineStr"/>
      <c r="Z1402" s="11" t="inlineStr"/>
      <c r="AA1402" s="8" t="inlineStr"/>
      <c r="AB1402" s="8" t="inlineStr"/>
      <c r="AC1402" s="11" t="inlineStr">
        <is>
          <t>MasterMilitaryOnBaseList 12.2.25 NS.xlsx</t>
        </is>
      </c>
      <c r="AD1402" s="11" t="inlineStr">
        <is>
          <t>CNRSE Advertising Options FY26.pdf</t>
        </is>
      </c>
      <c r="AE1402" s="15" t="inlineStr">
        <is>
          <t>Open in Box</t>
        </is>
      </c>
      <c r="AF1402" s="15" t="inlineStr">
        <is>
          <t>Open in Box</t>
        </is>
      </c>
    </row>
    <row r="1403">
      <c r="A1403" s="11" t="inlineStr">
        <is>
          <t>TX-NASJRBFO-016</t>
        </is>
      </c>
      <c r="B1403" s="8" t="inlineStr">
        <is>
          <t>NAS JRB Fort Worth</t>
        </is>
      </c>
      <c r="C1403" s="11" t="inlineStr"/>
      <c r="D1403" s="11" t="inlineStr">
        <is>
          <t>TX</t>
        </is>
      </c>
      <c r="E1403" s="11" t="inlineStr">
        <is>
          <t>Dallas-Ft. Worth</t>
        </is>
      </c>
      <c r="F1403" s="11" t="inlineStr">
        <is>
          <t>76127</t>
        </is>
      </c>
      <c r="G1403" s="11" t="inlineStr">
        <is>
          <t>Navy</t>
        </is>
      </c>
      <c r="H1403" s="11" t="inlineStr">
        <is>
          <t>Print &amp; Publications</t>
        </is>
      </c>
      <c r="I1403" s="8" t="inlineStr">
        <is>
          <t>Newsletter</t>
        </is>
      </c>
      <c r="J1403" s="11" t="inlineStr">
        <is>
          <t>8.5"W x 11"H</t>
        </is>
      </c>
      <c r="K1403" s="8" t="inlineStr">
        <is>
          <t>Your ad will appear in the bi-monthly news letter.</t>
        </is>
      </c>
      <c r="L1403" s="11" t="n">
        <v>6</v>
      </c>
      <c r="M1403" s="12" t="n"/>
      <c r="N1403" s="12" t="n"/>
      <c r="O1403" s="12" t="n">
        <v>1200</v>
      </c>
      <c r="P1403" s="12" t="n">
        <v>2400</v>
      </c>
      <c r="Q1403" s="12" t="n">
        <v>0</v>
      </c>
      <c r="R1403" s="13">
        <f>IF(ISNUMBER(M1403),ROUND(M1403/(1-Settings!$B$2)/Settings!$B$3,0)*Settings!$B$3,"")</f>
        <v/>
      </c>
      <c r="S1403" s="13">
        <f>IF(ISNUMBER(N1403),ROUND(N1403/(1-Settings!$B$2)/Settings!$B$3,0)*Settings!$B$3,"")</f>
        <v/>
      </c>
      <c r="T1403" s="13">
        <f>IF(ISNUMBER(O1403),ROUND(O1403/(1-Settings!$B$2)/Settings!$B$3,0)*Settings!$B$3,"")</f>
        <v/>
      </c>
      <c r="U1403" s="13">
        <f>IF(ISNUMBER(P1403),ROUND(P1403/(1-Settings!$B$2)/Settings!$B$3,0)*Settings!$B$3,"")</f>
        <v/>
      </c>
      <c r="V1403" s="13">
        <f>IF(ISNUMBER(Q1403),ROUND(Q1403/(1-Settings!$B$2)/Settings!$B$3,0)*Settings!$B$3,"")</f>
        <v/>
      </c>
      <c r="W1403" s="14" t="n">
        <v>4725</v>
      </c>
      <c r="X1403" s="14" t="n">
        <v>10500</v>
      </c>
      <c r="Y1403" s="11" t="inlineStr"/>
      <c r="Z1403" s="11" t="inlineStr"/>
      <c r="AA1403" s="8" t="inlineStr">
        <is>
          <t>Inventory master 6/2026 lists Monthly E-Newsletter Ad at $200 (1 mo)</t>
        </is>
      </c>
      <c r="AB1403" s="16" t="inlineStr">
        <is>
          <t>Source formula errors</t>
        </is>
      </c>
      <c r="AC1403" s="11" t="inlineStr">
        <is>
          <t>MasterMilitaryOnBaseList 12.2.25 NS.xlsx</t>
        </is>
      </c>
      <c r="AD1403" s="11" t="inlineStr">
        <is>
          <t>CNRSE Advertising Options FY26.pdf</t>
        </is>
      </c>
      <c r="AE1403" s="15" t="inlineStr">
        <is>
          <t>Open in Box</t>
        </is>
      </c>
      <c r="AF1403" s="15" t="inlineStr">
        <is>
          <t>Open in Box</t>
        </is>
      </c>
    </row>
    <row r="1404">
      <c r="A1404" s="11" t="inlineStr">
        <is>
          <t>TX-NASJRBFO-007</t>
        </is>
      </c>
      <c r="B1404" s="8" t="inlineStr">
        <is>
          <t>NAS JRB Fort Worth</t>
        </is>
      </c>
      <c r="C1404" s="11" t="inlineStr"/>
      <c r="D1404" s="11" t="inlineStr">
        <is>
          <t>TX</t>
        </is>
      </c>
      <c r="E1404" s="11" t="inlineStr">
        <is>
          <t>Dallas-Ft. Worth</t>
        </is>
      </c>
      <c r="F1404" s="11" t="inlineStr">
        <is>
          <t>76127</t>
        </is>
      </c>
      <c r="G1404" s="11" t="inlineStr">
        <is>
          <t>Navy</t>
        </is>
      </c>
      <c r="H1404" s="11" t="inlineStr">
        <is>
          <t>Standard Media</t>
        </is>
      </c>
      <c r="I1404" s="8" t="inlineStr">
        <is>
          <t>Banner</t>
        </is>
      </c>
      <c r="J1404" s="11" t="inlineStr">
        <is>
          <t>8'W x 4'H</t>
        </is>
      </c>
      <c r="K1404" s="8" t="inlineStr">
        <is>
          <t>Your ad will appear in an approved installation facility.</t>
        </is>
      </c>
      <c r="L1404" s="11" t="n">
        <v>1</v>
      </c>
      <c r="M1404" s="12" t="n">
        <v>250</v>
      </c>
      <c r="N1404" s="12" t="n">
        <v>750</v>
      </c>
      <c r="O1404" s="12" t="n">
        <v>1500</v>
      </c>
      <c r="P1404" s="12" t="n">
        <v>3000</v>
      </c>
      <c r="Q1404" s="12" t="n">
        <v>250</v>
      </c>
      <c r="R1404" s="13">
        <f>IF(ISNUMBER(M1404),ROUND(M1404/(1-Settings!$B$2)/Settings!$B$3,0)*Settings!$B$3,"")</f>
        <v/>
      </c>
      <c r="S1404" s="13">
        <f>IF(ISNUMBER(N1404),ROUND(N1404/(1-Settings!$B$2)/Settings!$B$3,0)*Settings!$B$3,"")</f>
        <v/>
      </c>
      <c r="T1404" s="13">
        <f>IF(ISNUMBER(O1404),ROUND(O1404/(1-Settings!$B$2)/Settings!$B$3,0)*Settings!$B$3,"")</f>
        <v/>
      </c>
      <c r="U1404" s="13">
        <f>IF(ISNUMBER(P1404),ROUND(P1404/(1-Settings!$B$2)/Settings!$B$3,0)*Settings!$B$3,"")</f>
        <v/>
      </c>
      <c r="V1404" s="13">
        <f>IF(ISNUMBER(Q1404),ROUND(Q1404/(1-Settings!$B$2)/Settings!$B$3,0)*Settings!$B$3,"")</f>
        <v/>
      </c>
      <c r="W1404" s="14" t="n">
        <v>4725</v>
      </c>
      <c r="X1404" s="14" t="n">
        <v>10500</v>
      </c>
      <c r="Y1404" s="11" t="inlineStr"/>
      <c r="Z1404" s="11" t="inlineStr"/>
      <c r="AA1404" s="8" t="inlineStr"/>
      <c r="AB1404" s="8" t="inlineStr"/>
      <c r="AC1404" s="11" t="inlineStr">
        <is>
          <t>MasterMilitaryOnBaseList 12.2.25 NS.xlsx</t>
        </is>
      </c>
      <c r="AD1404" s="11" t="inlineStr">
        <is>
          <t>CNRSE Advertising Options FY26.pdf</t>
        </is>
      </c>
      <c r="AE1404" s="15" t="inlineStr">
        <is>
          <t>Open in Box</t>
        </is>
      </c>
      <c r="AF1404" s="15" t="inlineStr">
        <is>
          <t>Open in Box</t>
        </is>
      </c>
    </row>
    <row r="1405">
      <c r="A1405" s="11" t="inlineStr">
        <is>
          <t>TX-NASJRBFO-008</t>
        </is>
      </c>
      <c r="B1405" s="8" t="inlineStr">
        <is>
          <t>NAS JRB Fort Worth</t>
        </is>
      </c>
      <c r="C1405" s="11" t="inlineStr"/>
      <c r="D1405" s="11" t="inlineStr">
        <is>
          <t>TX</t>
        </is>
      </c>
      <c r="E1405" s="11" t="inlineStr">
        <is>
          <t>Dallas-Ft. Worth</t>
        </is>
      </c>
      <c r="F1405" s="11" t="inlineStr">
        <is>
          <t>76127</t>
        </is>
      </c>
      <c r="G1405" s="11" t="inlineStr">
        <is>
          <t>Navy</t>
        </is>
      </c>
      <c r="H1405" s="11" t="inlineStr">
        <is>
          <t>Standard Media</t>
        </is>
      </c>
      <c r="I1405" s="8" t="inlineStr">
        <is>
          <t>Poster</t>
        </is>
      </c>
      <c r="J1405" s="11" t="inlineStr">
        <is>
          <t>24"W x 36"H</t>
        </is>
      </c>
      <c r="K1405" s="8" t="inlineStr">
        <is>
          <t>Your ad will appear at an approved installation facility.</t>
        </is>
      </c>
      <c r="L1405" s="11" t="n">
        <v>1</v>
      </c>
      <c r="M1405" s="12" t="n">
        <v>200</v>
      </c>
      <c r="N1405" s="12" t="n">
        <v>600</v>
      </c>
      <c r="O1405" s="12" t="n">
        <v>1200</v>
      </c>
      <c r="P1405" s="12" t="n">
        <v>2400</v>
      </c>
      <c r="Q1405" s="12" t="n">
        <v>150</v>
      </c>
      <c r="R1405" s="13">
        <f>IF(ISNUMBER(M1405),ROUND(M1405/(1-Settings!$B$2)/Settings!$B$3,0)*Settings!$B$3,"")</f>
        <v/>
      </c>
      <c r="S1405" s="13">
        <f>IF(ISNUMBER(N1405),ROUND(N1405/(1-Settings!$B$2)/Settings!$B$3,0)*Settings!$B$3,"")</f>
        <v/>
      </c>
      <c r="T1405" s="13">
        <f>IF(ISNUMBER(O1405),ROUND(O1405/(1-Settings!$B$2)/Settings!$B$3,0)*Settings!$B$3,"")</f>
        <v/>
      </c>
      <c r="U1405" s="13">
        <f>IF(ISNUMBER(P1405),ROUND(P1405/(1-Settings!$B$2)/Settings!$B$3,0)*Settings!$B$3,"")</f>
        <v/>
      </c>
      <c r="V1405" s="13">
        <f>IF(ISNUMBER(Q1405),ROUND(Q1405/(1-Settings!$B$2)/Settings!$B$3,0)*Settings!$B$3,"")</f>
        <v/>
      </c>
      <c r="W1405" s="14" t="n">
        <v>4725</v>
      </c>
      <c r="X1405" s="14" t="n">
        <v>10500</v>
      </c>
      <c r="Y1405" s="11" t="inlineStr"/>
      <c r="Z1405" s="11" t="inlineStr"/>
      <c r="AA1405" s="8" t="inlineStr"/>
      <c r="AB1405" s="8" t="inlineStr"/>
      <c r="AC1405" s="11" t="inlineStr">
        <is>
          <t>MasterMilitaryOnBaseList 12.2.25 NS.xlsx</t>
        </is>
      </c>
      <c r="AD1405" s="11" t="inlineStr">
        <is>
          <t>CNRSE Advertising Options FY26.pdf</t>
        </is>
      </c>
      <c r="AE1405" s="15" t="inlineStr">
        <is>
          <t>Open in Box</t>
        </is>
      </c>
      <c r="AF1405" s="15" t="inlineStr">
        <is>
          <t>Open in Box</t>
        </is>
      </c>
    </row>
    <row r="1406">
      <c r="A1406" s="11" t="inlineStr">
        <is>
          <t>TX-NASJRBFO-009</t>
        </is>
      </c>
      <c r="B1406" s="8" t="inlineStr">
        <is>
          <t>NAS JRB Fort Worth</t>
        </is>
      </c>
      <c r="C1406" s="11" t="inlineStr"/>
      <c r="D1406" s="11" t="inlineStr">
        <is>
          <t>TX</t>
        </is>
      </c>
      <c r="E1406" s="11" t="inlineStr">
        <is>
          <t>Dallas-Ft. Worth</t>
        </is>
      </c>
      <c r="F1406" s="11" t="inlineStr">
        <is>
          <t>76127</t>
        </is>
      </c>
      <c r="G1406" s="11" t="inlineStr">
        <is>
          <t>Navy</t>
        </is>
      </c>
      <c r="H1406" s="11" t="inlineStr">
        <is>
          <t>Standard Media</t>
        </is>
      </c>
      <c r="I1406" s="8" t="inlineStr">
        <is>
          <t>Table Tents</t>
        </is>
      </c>
      <c r="J1406" s="11" t="inlineStr">
        <is>
          <t>4"W x 6"H</t>
        </is>
      </c>
      <c r="K1406" s="8" t="inlineStr">
        <is>
          <t>Your ad will appear on 54 approved tables.</t>
        </is>
      </c>
      <c r="L1406" s="11" t="n">
        <v>1</v>
      </c>
      <c r="M1406" s="12" t="n">
        <v>150</v>
      </c>
      <c r="N1406" s="12" t="n">
        <v>450</v>
      </c>
      <c r="O1406" s="12" t="n">
        <v>900</v>
      </c>
      <c r="P1406" s="12" t="n">
        <v>1800</v>
      </c>
      <c r="Q1406" s="12" t="n"/>
      <c r="R1406" s="13">
        <f>IF(ISNUMBER(M1406),ROUND(M1406/(1-Settings!$B$2)/Settings!$B$3,0)*Settings!$B$3,"")</f>
        <v/>
      </c>
      <c r="S1406" s="13">
        <f>IF(ISNUMBER(N1406),ROUND(N1406/(1-Settings!$B$2)/Settings!$B$3,0)*Settings!$B$3,"")</f>
        <v/>
      </c>
      <c r="T1406" s="13">
        <f>IF(ISNUMBER(O1406),ROUND(O1406/(1-Settings!$B$2)/Settings!$B$3,0)*Settings!$B$3,"")</f>
        <v/>
      </c>
      <c r="U1406" s="13">
        <f>IF(ISNUMBER(P1406),ROUND(P1406/(1-Settings!$B$2)/Settings!$B$3,0)*Settings!$B$3,"")</f>
        <v/>
      </c>
      <c r="V1406" s="13">
        <f>IF(ISNUMBER(Q1406),ROUND(Q1406/(1-Settings!$B$2)/Settings!$B$3,0)*Settings!$B$3,"")</f>
        <v/>
      </c>
      <c r="W1406" s="14" t="n">
        <v>4725</v>
      </c>
      <c r="X1406" s="14" t="n">
        <v>10500</v>
      </c>
      <c r="Y1406" s="11" t="inlineStr"/>
      <c r="Z1406" s="11" t="inlineStr"/>
      <c r="AA1406" s="8" t="inlineStr"/>
      <c r="AB1406" s="8" t="inlineStr"/>
      <c r="AC1406" s="11" t="inlineStr">
        <is>
          <t>MasterMilitaryOnBaseList 12.2.25 NS.xlsx</t>
        </is>
      </c>
      <c r="AD1406" s="11" t="inlineStr">
        <is>
          <t>CNRSE Advertising Options FY26.pdf</t>
        </is>
      </c>
      <c r="AE1406" s="15" t="inlineStr">
        <is>
          <t>Open in Box</t>
        </is>
      </c>
      <c r="AF1406" s="15" t="inlineStr">
        <is>
          <t>Open in Box</t>
        </is>
      </c>
    </row>
    <row r="1407">
      <c r="A1407" s="11" t="inlineStr">
        <is>
          <t>TX-NASJRBFO-017</t>
        </is>
      </c>
      <c r="B1407" s="8" t="inlineStr">
        <is>
          <t>NAS JRB Fort Worth</t>
        </is>
      </c>
      <c r="C1407" s="11" t="inlineStr"/>
      <c r="D1407" s="11" t="inlineStr">
        <is>
          <t>TX</t>
        </is>
      </c>
      <c r="E1407" s="11" t="inlineStr">
        <is>
          <t>Dallas-Ft. Worth</t>
        </is>
      </c>
      <c r="F1407" s="11" t="inlineStr"/>
      <c r="G1407" s="11" t="inlineStr">
        <is>
          <t>Navy</t>
        </is>
      </c>
      <c r="H1407" s="11" t="inlineStr">
        <is>
          <t>Web &amp; Email</t>
        </is>
      </c>
      <c r="I1407" s="8" t="inlineStr">
        <is>
          <t>Web Ad</t>
        </is>
      </c>
      <c r="J1407" s="11" t="inlineStr"/>
      <c r="K1407" s="8" t="inlineStr">
        <is>
          <t>Your ad will appear on the installation MWR / FSS website.</t>
        </is>
      </c>
      <c r="L1407" s="11" t="n">
        <v>1</v>
      </c>
      <c r="M1407" s="12" t="n">
        <v>400</v>
      </c>
      <c r="N1407" s="12" t="n"/>
      <c r="O1407" s="12" t="n"/>
      <c r="P1407" s="12" t="n"/>
      <c r="Q1407" s="12" t="n"/>
      <c r="R1407" s="13">
        <f>IF(ISNUMBER(M1407),ROUND(M1407/(1-Settings!$B$2)/Settings!$B$3,0)*Settings!$B$3,"")</f>
        <v/>
      </c>
      <c r="S1407" s="13">
        <f>IF(ISNUMBER(N1407),ROUND(N1407/(1-Settings!$B$2)/Settings!$B$3,0)*Settings!$B$3,"")</f>
        <v/>
      </c>
      <c r="T1407" s="13">
        <f>IF(ISNUMBER(O1407),ROUND(O1407/(1-Settings!$B$2)/Settings!$B$3,0)*Settings!$B$3,"")</f>
        <v/>
      </c>
      <c r="U1407" s="13">
        <f>IF(ISNUMBER(P1407),ROUND(P1407/(1-Settings!$B$2)/Settings!$B$3,0)*Settings!$B$3,"")</f>
        <v/>
      </c>
      <c r="V1407" s="13">
        <f>IF(ISNUMBER(Q1407),ROUND(Q1407/(1-Settings!$B$2)/Settings!$B$3,0)*Settings!$B$3,"")</f>
        <v/>
      </c>
      <c r="W1407" s="14" t="n">
        <v>4725</v>
      </c>
      <c r="X1407" s="14" t="n">
        <v>10500</v>
      </c>
      <c r="Y1407" s="11" t="inlineStr">
        <is>
          <t>2026</t>
        </is>
      </c>
      <c r="Z1407" s="11" t="inlineStr">
        <is>
          <t>2026-06</t>
        </is>
      </c>
      <c r="AA1407" s="8" t="inlineStr"/>
      <c r="AB1407" s="8" t="inlineStr"/>
      <c r="AC1407" s="11" t="inlineStr">
        <is>
          <t>Military - National Publication Inventory Master_June 2026.xlsx</t>
        </is>
      </c>
      <c r="AD1407" s="11" t="inlineStr">
        <is>
          <t>CNRSE Advertising Options FY26.pdf</t>
        </is>
      </c>
      <c r="AE1407" s="15" t="inlineStr">
        <is>
          <t>Open in Box</t>
        </is>
      </c>
      <c r="AF1407" s="15" t="inlineStr">
        <is>
          <t>Open in Box</t>
        </is>
      </c>
    </row>
    <row r="1408">
      <c r="A1408" s="11" t="inlineStr">
        <is>
          <t>TX-RANDOLPH-001</t>
        </is>
      </c>
      <c r="B1408" s="8" t="inlineStr">
        <is>
          <t>Randolph AFB</t>
        </is>
      </c>
      <c r="C1408" s="11" t="inlineStr">
        <is>
          <t>JB San Antonio</t>
        </is>
      </c>
      <c r="D1408" s="11" t="inlineStr">
        <is>
          <t>TX</t>
        </is>
      </c>
      <c r="E1408" s="11" t="inlineStr">
        <is>
          <t>San Antonio</t>
        </is>
      </c>
      <c r="F1408" s="11" t="inlineStr">
        <is>
          <t>78150</t>
        </is>
      </c>
      <c r="G1408" s="11" t="inlineStr">
        <is>
          <t>Air Force</t>
        </is>
      </c>
      <c r="H1408" s="11" t="inlineStr">
        <is>
          <t>Digital</t>
        </is>
      </c>
      <c r="I1408" s="8" t="inlineStr">
        <is>
          <t>Bowling Masking Unit</t>
        </is>
      </c>
      <c r="J1408" s="11" t="inlineStr">
        <is>
          <t>TBD</t>
        </is>
      </c>
      <c r="K1408" s="8" t="inlineStr">
        <is>
          <t>Your ad will appear at the bolwing center at one lane.</t>
        </is>
      </c>
      <c r="L1408" s="11" t="n">
        <v>1</v>
      </c>
      <c r="M1408" s="12" t="n">
        <v>50</v>
      </c>
      <c r="N1408" s="12" t="n">
        <v>150</v>
      </c>
      <c r="O1408" s="12" t="n">
        <v>300</v>
      </c>
      <c r="P1408" s="12" t="n">
        <v>600</v>
      </c>
      <c r="Q1408" s="12" t="n"/>
      <c r="R1408" s="13">
        <f>IF(ISNUMBER(M1408),ROUND(M1408/(1-Settings!$B$2)/Settings!$B$3,0)*Settings!$B$3,"")</f>
        <v/>
      </c>
      <c r="S1408" s="13">
        <f>IF(ISNUMBER(N1408),ROUND(N1408/(1-Settings!$B$2)/Settings!$B$3,0)*Settings!$B$3,"")</f>
        <v/>
      </c>
      <c r="T1408" s="13">
        <f>IF(ISNUMBER(O1408),ROUND(O1408/(1-Settings!$B$2)/Settings!$B$3,0)*Settings!$B$3,"")</f>
        <v/>
      </c>
      <c r="U1408" s="13">
        <f>IF(ISNUMBER(P1408),ROUND(P1408/(1-Settings!$B$2)/Settings!$B$3,0)*Settings!$B$3,"")</f>
        <v/>
      </c>
      <c r="V1408" s="13">
        <f>IF(ISNUMBER(Q1408),ROUND(Q1408/(1-Settings!$B$2)/Settings!$B$3,0)*Settings!$B$3,"")</f>
        <v/>
      </c>
      <c r="W1408" s="14" t="n">
        <v>2813</v>
      </c>
      <c r="X1408" s="14" t="n">
        <v>4802</v>
      </c>
      <c r="Y1408" s="11" t="inlineStr"/>
      <c r="Z1408" s="11" t="inlineStr"/>
      <c r="AA1408" s="8" t="inlineStr"/>
      <c r="AB1408" s="8" t="inlineStr"/>
      <c r="AC1408" s="11" t="inlineStr">
        <is>
          <t>MasterMilitaryOnBaseList 12.2.25 NS.xlsx</t>
        </is>
      </c>
      <c r="AD1408" s="11" t="inlineStr">
        <is>
          <t>2026-Sponsorship-Brochure_ECM_Aug_14_2025_SinglePgs-.pdf</t>
        </is>
      </c>
      <c r="AE1408" s="15" t="inlineStr">
        <is>
          <t>Open in Box</t>
        </is>
      </c>
      <c r="AF1408" s="15" t="inlineStr">
        <is>
          <t>Open in Box</t>
        </is>
      </c>
    </row>
    <row r="1409">
      <c r="A1409" s="11" t="inlineStr">
        <is>
          <t>TX-RANDOLPH-002</t>
        </is>
      </c>
      <c r="B1409" s="8" t="inlineStr">
        <is>
          <t>Randolph AFB</t>
        </is>
      </c>
      <c r="C1409" s="11" t="inlineStr">
        <is>
          <t>JB San Antonio</t>
        </is>
      </c>
      <c r="D1409" s="11" t="inlineStr">
        <is>
          <t>TX</t>
        </is>
      </c>
      <c r="E1409" s="11" t="inlineStr">
        <is>
          <t>San Antonio</t>
        </is>
      </c>
      <c r="F1409" s="11" t="inlineStr">
        <is>
          <t>78150</t>
        </is>
      </c>
      <c r="G1409" s="11" t="inlineStr">
        <is>
          <t>Air Force</t>
        </is>
      </c>
      <c r="H1409" s="11" t="inlineStr">
        <is>
          <t>Digital</t>
        </is>
      </c>
      <c r="I1409" s="8" t="inlineStr">
        <is>
          <t>Bowling Scoring Monitor</t>
        </is>
      </c>
      <c r="J1409" s="11" t="inlineStr">
        <is>
          <t>1920pxW x 1080pxH</t>
        </is>
      </c>
      <c r="K1409" s="8" t="inlineStr">
        <is>
          <t>Your ad will appear on 24 bowling scoring monitors.</t>
        </is>
      </c>
      <c r="L1409" s="11" t="n">
        <v>1</v>
      </c>
      <c r="M1409" s="12" t="n">
        <v>150</v>
      </c>
      <c r="N1409" s="12" t="n">
        <v>450</v>
      </c>
      <c r="O1409" s="12" t="n">
        <v>900</v>
      </c>
      <c r="P1409" s="12" t="n">
        <v>1800</v>
      </c>
      <c r="Q1409" s="12" t="n">
        <v>0</v>
      </c>
      <c r="R1409" s="13">
        <f>IF(ISNUMBER(M1409),ROUND(M1409/(1-Settings!$B$2)/Settings!$B$3,0)*Settings!$B$3,"")</f>
        <v/>
      </c>
      <c r="S1409" s="13">
        <f>IF(ISNUMBER(N1409),ROUND(N1409/(1-Settings!$B$2)/Settings!$B$3,0)*Settings!$B$3,"")</f>
        <v/>
      </c>
      <c r="T1409" s="13">
        <f>IF(ISNUMBER(O1409),ROUND(O1409/(1-Settings!$B$2)/Settings!$B$3,0)*Settings!$B$3,"")</f>
        <v/>
      </c>
      <c r="U1409" s="13">
        <f>IF(ISNUMBER(P1409),ROUND(P1409/(1-Settings!$B$2)/Settings!$B$3,0)*Settings!$B$3,"")</f>
        <v/>
      </c>
      <c r="V1409" s="13">
        <f>IF(ISNUMBER(Q1409),ROUND(Q1409/(1-Settings!$B$2)/Settings!$B$3,0)*Settings!$B$3,"")</f>
        <v/>
      </c>
      <c r="W1409" s="14" t="n">
        <v>2813</v>
      </c>
      <c r="X1409" s="14" t="n">
        <v>4802</v>
      </c>
      <c r="Y1409" s="11" t="inlineStr"/>
      <c r="Z1409" s="11" t="inlineStr"/>
      <c r="AA1409" s="8" t="inlineStr"/>
      <c r="AB1409" s="8" t="inlineStr"/>
      <c r="AC1409" s="11" t="inlineStr">
        <is>
          <t>MasterMilitaryOnBaseList 12.2.25 NS.xlsx</t>
        </is>
      </c>
      <c r="AD1409" s="11" t="inlineStr">
        <is>
          <t>2026-Sponsorship-Brochure_ECM_Aug_14_2025_SinglePgs-.pdf</t>
        </is>
      </c>
      <c r="AE1409" s="15" t="inlineStr">
        <is>
          <t>Open in Box</t>
        </is>
      </c>
      <c r="AF1409" s="15" t="inlineStr">
        <is>
          <t>Open in Box</t>
        </is>
      </c>
    </row>
    <row r="1410">
      <c r="A1410" s="11" t="inlineStr">
        <is>
          <t>TX-RANDOLPH-003</t>
        </is>
      </c>
      <c r="B1410" s="8" t="inlineStr">
        <is>
          <t>Randolph AFB</t>
        </is>
      </c>
      <c r="C1410" s="11" t="inlineStr">
        <is>
          <t>JB San Antonio</t>
        </is>
      </c>
      <c r="D1410" s="11" t="inlineStr">
        <is>
          <t>TX</t>
        </is>
      </c>
      <c r="E1410" s="11" t="inlineStr">
        <is>
          <t>San Antonio</t>
        </is>
      </c>
      <c r="F1410" s="11" t="inlineStr">
        <is>
          <t>78150</t>
        </is>
      </c>
      <c r="G1410" s="11" t="inlineStr">
        <is>
          <t>Air Force</t>
        </is>
      </c>
      <c r="H1410" s="11" t="inlineStr">
        <is>
          <t>Digital</t>
        </is>
      </c>
      <c r="I1410" s="8" t="inlineStr">
        <is>
          <t>Bowling Swing Arm</t>
        </is>
      </c>
      <c r="J1410" s="11" t="inlineStr">
        <is>
          <t>TBD</t>
        </is>
      </c>
      <c r="K1410" s="8" t="inlineStr">
        <is>
          <t>Your ad will appear at the bolwing center at one lane.</t>
        </is>
      </c>
      <c r="L1410" s="11" t="n">
        <v>1</v>
      </c>
      <c r="M1410" s="12" t="n">
        <v>50</v>
      </c>
      <c r="N1410" s="12" t="n">
        <v>150</v>
      </c>
      <c r="O1410" s="12" t="n">
        <v>300</v>
      </c>
      <c r="P1410" s="12" t="n">
        <v>600</v>
      </c>
      <c r="Q1410" s="12" t="n"/>
      <c r="R1410" s="13">
        <f>IF(ISNUMBER(M1410),ROUND(M1410/(1-Settings!$B$2)/Settings!$B$3,0)*Settings!$B$3,"")</f>
        <v/>
      </c>
      <c r="S1410" s="13">
        <f>IF(ISNUMBER(N1410),ROUND(N1410/(1-Settings!$B$2)/Settings!$B$3,0)*Settings!$B$3,"")</f>
        <v/>
      </c>
      <c r="T1410" s="13">
        <f>IF(ISNUMBER(O1410),ROUND(O1410/(1-Settings!$B$2)/Settings!$B$3,0)*Settings!$B$3,"")</f>
        <v/>
      </c>
      <c r="U1410" s="13">
        <f>IF(ISNUMBER(P1410),ROUND(P1410/(1-Settings!$B$2)/Settings!$B$3,0)*Settings!$B$3,"")</f>
        <v/>
      </c>
      <c r="V1410" s="13">
        <f>IF(ISNUMBER(Q1410),ROUND(Q1410/(1-Settings!$B$2)/Settings!$B$3,0)*Settings!$B$3,"")</f>
        <v/>
      </c>
      <c r="W1410" s="14" t="n">
        <v>2813</v>
      </c>
      <c r="X1410" s="14" t="n">
        <v>4802</v>
      </c>
      <c r="Y1410" s="11" t="inlineStr"/>
      <c r="Z1410" s="11" t="inlineStr"/>
      <c r="AA1410" s="8" t="inlineStr"/>
      <c r="AB1410" s="8" t="inlineStr"/>
      <c r="AC1410" s="11" t="inlineStr">
        <is>
          <t>MasterMilitaryOnBaseList 12.2.25 NS.xlsx</t>
        </is>
      </c>
      <c r="AD1410" s="11" t="inlineStr">
        <is>
          <t>2026-Sponsorship-Brochure_ECM_Aug_14_2025_SinglePgs-.pdf</t>
        </is>
      </c>
      <c r="AE1410" s="15" t="inlineStr">
        <is>
          <t>Open in Box</t>
        </is>
      </c>
      <c r="AF1410" s="15" t="inlineStr">
        <is>
          <t>Open in Box</t>
        </is>
      </c>
    </row>
    <row r="1411">
      <c r="A1411" s="11" t="inlineStr">
        <is>
          <t>TX-RANDOLPH-004</t>
        </is>
      </c>
      <c r="B1411" s="8" t="inlineStr">
        <is>
          <t>Randolph AFB</t>
        </is>
      </c>
      <c r="C1411" s="11" t="inlineStr">
        <is>
          <t>JB San Antonio</t>
        </is>
      </c>
      <c r="D1411" s="11" t="inlineStr">
        <is>
          <t>TX</t>
        </is>
      </c>
      <c r="E1411" s="11" t="inlineStr">
        <is>
          <t>San Antonio</t>
        </is>
      </c>
      <c r="F1411" s="11" t="inlineStr">
        <is>
          <t>78150</t>
        </is>
      </c>
      <c r="G1411" s="11" t="inlineStr">
        <is>
          <t>Air Force</t>
        </is>
      </c>
      <c r="H1411" s="11" t="inlineStr">
        <is>
          <t>Digital</t>
        </is>
      </c>
      <c r="I1411" s="8" t="inlineStr">
        <is>
          <t>Digital Kiosk Network</t>
        </is>
      </c>
      <c r="J1411" s="11" t="inlineStr">
        <is>
          <t>1080pxW x 1920pxH</t>
        </is>
      </c>
      <c r="K1411" s="8" t="inlineStr">
        <is>
          <t>Your ad will appear on 22 digital kiosks in approved installation facilities.</t>
        </is>
      </c>
      <c r="L1411" s="11" t="n">
        <v>1</v>
      </c>
      <c r="M1411" s="12" t="n">
        <v>880</v>
      </c>
      <c r="N1411" s="12" t="n">
        <v>2640</v>
      </c>
      <c r="O1411" s="12" t="n">
        <v>5280</v>
      </c>
      <c r="P1411" s="12" t="n">
        <v>10560</v>
      </c>
      <c r="Q1411" s="12" t="n">
        <v>0</v>
      </c>
      <c r="R1411" s="13">
        <f>IF(ISNUMBER(M1411),ROUND(M1411/(1-Settings!$B$2)/Settings!$B$3,0)*Settings!$B$3,"")</f>
        <v/>
      </c>
      <c r="S1411" s="13">
        <f>IF(ISNUMBER(N1411),ROUND(N1411/(1-Settings!$B$2)/Settings!$B$3,0)*Settings!$B$3,"")</f>
        <v/>
      </c>
      <c r="T1411" s="13">
        <f>IF(ISNUMBER(O1411),ROUND(O1411/(1-Settings!$B$2)/Settings!$B$3,0)*Settings!$B$3,"")</f>
        <v/>
      </c>
      <c r="U1411" s="13">
        <f>IF(ISNUMBER(P1411),ROUND(P1411/(1-Settings!$B$2)/Settings!$B$3,0)*Settings!$B$3,"")</f>
        <v/>
      </c>
      <c r="V1411" s="13">
        <f>IF(ISNUMBER(Q1411),ROUND(Q1411/(1-Settings!$B$2)/Settings!$B$3,0)*Settings!$B$3,"")</f>
        <v/>
      </c>
      <c r="W1411" s="14" t="n">
        <v>2813</v>
      </c>
      <c r="X1411" s="14" t="n">
        <v>4802</v>
      </c>
      <c r="Y1411" s="11" t="inlineStr"/>
      <c r="Z1411" s="11" t="inlineStr"/>
      <c r="AA1411" s="8" t="inlineStr">
        <is>
          <t>Inventory master 6/2026 lists Digital Kiosk Network at $1,000 (1 mo)</t>
        </is>
      </c>
      <c r="AB1411" s="8" t="inlineStr"/>
      <c r="AC1411" s="11" t="inlineStr">
        <is>
          <t>MasterMilitaryOnBaseList 12.2.25 NS.xlsx</t>
        </is>
      </c>
      <c r="AD1411" s="11" t="inlineStr">
        <is>
          <t>2026-Sponsorship-Brochure_ECM_Aug_14_2025_SinglePgs-.pdf</t>
        </is>
      </c>
      <c r="AE1411" s="15" t="inlineStr">
        <is>
          <t>Open in Box</t>
        </is>
      </c>
      <c r="AF1411" s="15" t="inlineStr">
        <is>
          <t>Open in Box</t>
        </is>
      </c>
    </row>
    <row r="1412">
      <c r="A1412" s="11" t="inlineStr">
        <is>
          <t>TX-RANDOLPH-005</t>
        </is>
      </c>
      <c r="B1412" s="8" t="inlineStr">
        <is>
          <t>Randolph AFB</t>
        </is>
      </c>
      <c r="C1412" s="11" t="inlineStr">
        <is>
          <t>JB San Antonio</t>
        </is>
      </c>
      <c r="D1412" s="11" t="inlineStr">
        <is>
          <t>TX</t>
        </is>
      </c>
      <c r="E1412" s="11" t="inlineStr">
        <is>
          <t>San Antonio</t>
        </is>
      </c>
      <c r="F1412" s="11" t="inlineStr">
        <is>
          <t>78150</t>
        </is>
      </c>
      <c r="G1412" s="11" t="inlineStr">
        <is>
          <t>Air Force</t>
        </is>
      </c>
      <c r="H1412" s="11" t="inlineStr">
        <is>
          <t>Digital</t>
        </is>
      </c>
      <c r="I1412" s="8" t="inlineStr">
        <is>
          <t>Theatre Program Ad</t>
        </is>
      </c>
      <c r="J1412" s="11" t="inlineStr">
        <is>
          <t>TBD</t>
        </is>
      </c>
      <c r="K1412" s="8" t="inlineStr">
        <is>
          <t>Your ad will appear in the Harlequin Theatre Program.</t>
        </is>
      </c>
      <c r="L1412" s="11" t="n">
        <v>12</v>
      </c>
      <c r="M1412" s="12" t="n"/>
      <c r="N1412" s="12" t="n"/>
      <c r="O1412" s="12" t="n"/>
      <c r="P1412" s="12" t="n">
        <v>1800</v>
      </c>
      <c r="Q1412" s="12" t="n">
        <v>0</v>
      </c>
      <c r="R1412" s="13">
        <f>IF(ISNUMBER(M1412),ROUND(M1412/(1-Settings!$B$2)/Settings!$B$3,0)*Settings!$B$3,"")</f>
        <v/>
      </c>
      <c r="S1412" s="13">
        <f>IF(ISNUMBER(N1412),ROUND(N1412/(1-Settings!$B$2)/Settings!$B$3,0)*Settings!$B$3,"")</f>
        <v/>
      </c>
      <c r="T1412" s="13">
        <f>IF(ISNUMBER(O1412),ROUND(O1412/(1-Settings!$B$2)/Settings!$B$3,0)*Settings!$B$3,"")</f>
        <v/>
      </c>
      <c r="U1412" s="13">
        <f>IF(ISNUMBER(P1412),ROUND(P1412/(1-Settings!$B$2)/Settings!$B$3,0)*Settings!$B$3,"")</f>
        <v/>
      </c>
      <c r="V1412" s="13">
        <f>IF(ISNUMBER(Q1412),ROUND(Q1412/(1-Settings!$B$2)/Settings!$B$3,0)*Settings!$B$3,"")</f>
        <v/>
      </c>
      <c r="W1412" s="14" t="n">
        <v>2813</v>
      </c>
      <c r="X1412" s="14" t="n">
        <v>4802</v>
      </c>
      <c r="Y1412" s="11" t="inlineStr"/>
      <c r="Z1412" s="11" t="inlineStr"/>
      <c r="AA1412" s="8" t="inlineStr"/>
      <c r="AB1412" s="16" t="inlineStr">
        <is>
          <t>Source formula errors</t>
        </is>
      </c>
      <c r="AC1412" s="11" t="inlineStr">
        <is>
          <t>MasterMilitaryOnBaseList 12.2.25 NS.xlsx</t>
        </is>
      </c>
      <c r="AD1412" s="11" t="inlineStr">
        <is>
          <t>2026-Sponsorship-Brochure_ECM_Aug_14_2025_SinglePgs-.pdf</t>
        </is>
      </c>
      <c r="AE1412" s="15" t="inlineStr">
        <is>
          <t>Open in Box</t>
        </is>
      </c>
      <c r="AF1412" s="15" t="inlineStr">
        <is>
          <t>Open in Box</t>
        </is>
      </c>
    </row>
    <row r="1413">
      <c r="A1413" s="11" t="inlineStr">
        <is>
          <t>TX-RANDOLPH-011</t>
        </is>
      </c>
      <c r="B1413" s="8" t="inlineStr">
        <is>
          <t>Randolph AFB</t>
        </is>
      </c>
      <c r="C1413" s="11" t="inlineStr">
        <is>
          <t>JB San Antonio</t>
        </is>
      </c>
      <c r="D1413" s="11" t="inlineStr">
        <is>
          <t>TX</t>
        </is>
      </c>
      <c r="E1413" s="11" t="inlineStr">
        <is>
          <t>San Antonio</t>
        </is>
      </c>
      <c r="F1413" s="11" t="inlineStr">
        <is>
          <t>78150</t>
        </is>
      </c>
      <c r="G1413" s="11" t="inlineStr">
        <is>
          <t>Air Force</t>
        </is>
      </c>
      <c r="H1413" s="11" t="inlineStr">
        <is>
          <t>Large Format</t>
        </is>
      </c>
      <c r="I1413" s="8" t="inlineStr">
        <is>
          <t>Floor Clings</t>
        </is>
      </c>
      <c r="J1413" s="11" t="inlineStr">
        <is>
          <t>45" Diameter</t>
        </is>
      </c>
      <c r="K1413" s="8" t="inlineStr">
        <is>
          <t>Your ad will appear at an approved installation facility.</t>
        </is>
      </c>
      <c r="L1413" s="11" t="n">
        <v>1</v>
      </c>
      <c r="M1413" s="12" t="n">
        <v>300</v>
      </c>
      <c r="N1413" s="12" t="n">
        <v>900</v>
      </c>
      <c r="O1413" s="12" t="n">
        <v>1800</v>
      </c>
      <c r="P1413" s="12" t="n">
        <v>3600</v>
      </c>
      <c r="Q1413" s="12" t="n"/>
      <c r="R1413" s="13">
        <f>IF(ISNUMBER(M1413),ROUND(M1413/(1-Settings!$B$2)/Settings!$B$3,0)*Settings!$B$3,"")</f>
        <v/>
      </c>
      <c r="S1413" s="13">
        <f>IF(ISNUMBER(N1413),ROUND(N1413/(1-Settings!$B$2)/Settings!$B$3,0)*Settings!$B$3,"")</f>
        <v/>
      </c>
      <c r="T1413" s="13">
        <f>IF(ISNUMBER(O1413),ROUND(O1413/(1-Settings!$B$2)/Settings!$B$3,0)*Settings!$B$3,"")</f>
        <v/>
      </c>
      <c r="U1413" s="13">
        <f>IF(ISNUMBER(P1413),ROUND(P1413/(1-Settings!$B$2)/Settings!$B$3,0)*Settings!$B$3,"")</f>
        <v/>
      </c>
      <c r="V1413" s="13">
        <f>IF(ISNUMBER(Q1413),ROUND(Q1413/(1-Settings!$B$2)/Settings!$B$3,0)*Settings!$B$3,"")</f>
        <v/>
      </c>
      <c r="W1413" s="14" t="n">
        <v>2813</v>
      </c>
      <c r="X1413" s="14" t="n">
        <v>4802</v>
      </c>
      <c r="Y1413" s="11" t="inlineStr"/>
      <c r="Z1413" s="11" t="inlineStr"/>
      <c r="AA1413" s="8" t="inlineStr"/>
      <c r="AB1413" s="8" t="inlineStr"/>
      <c r="AC1413" s="11" t="inlineStr">
        <is>
          <t>MasterMilitaryOnBaseList 12.2.25 NS.xlsx</t>
        </is>
      </c>
      <c r="AD1413" s="11" t="inlineStr">
        <is>
          <t>2026-Sponsorship-Brochure_ECM_Aug_14_2025_SinglePgs-.pdf</t>
        </is>
      </c>
      <c r="AE1413" s="15" t="inlineStr">
        <is>
          <t>Open in Box</t>
        </is>
      </c>
      <c r="AF1413" s="15" t="inlineStr">
        <is>
          <t>Open in Box</t>
        </is>
      </c>
    </row>
    <row r="1414">
      <c r="A1414" s="11" t="inlineStr">
        <is>
          <t>TX-RANDOLPH-012</t>
        </is>
      </c>
      <c r="B1414" s="8" t="inlineStr">
        <is>
          <t>Randolph AFB</t>
        </is>
      </c>
      <c r="C1414" s="11" t="inlineStr">
        <is>
          <t>JB San Antonio</t>
        </is>
      </c>
      <c r="D1414" s="11" t="inlineStr">
        <is>
          <t>TX</t>
        </is>
      </c>
      <c r="E1414" s="11" t="inlineStr">
        <is>
          <t>San Antonio</t>
        </is>
      </c>
      <c r="F1414" s="11" t="inlineStr">
        <is>
          <t>78150</t>
        </is>
      </c>
      <c r="G1414" s="11" t="inlineStr">
        <is>
          <t>Air Force</t>
        </is>
      </c>
      <c r="H1414" s="11" t="inlineStr">
        <is>
          <t>Large Format</t>
        </is>
      </c>
      <c r="I1414" s="8" t="inlineStr">
        <is>
          <t>Table Top Clings</t>
        </is>
      </c>
      <c r="J1414" s="11" t="inlineStr">
        <is>
          <t>30" Diameter</t>
        </is>
      </c>
      <c r="K1414" s="8" t="inlineStr">
        <is>
          <t>Your ad will appear on up to 5 approved tables.</t>
        </is>
      </c>
      <c r="L1414" s="11" t="n">
        <v>1</v>
      </c>
      <c r="M1414" s="12" t="n">
        <v>300</v>
      </c>
      <c r="N1414" s="12" t="n">
        <v>900</v>
      </c>
      <c r="O1414" s="12" t="n">
        <v>1800</v>
      </c>
      <c r="P1414" s="12" t="n">
        <v>3600</v>
      </c>
      <c r="Q1414" s="12" t="n"/>
      <c r="R1414" s="13">
        <f>IF(ISNUMBER(M1414),ROUND(M1414/(1-Settings!$B$2)/Settings!$B$3,0)*Settings!$B$3,"")</f>
        <v/>
      </c>
      <c r="S1414" s="13">
        <f>IF(ISNUMBER(N1414),ROUND(N1414/(1-Settings!$B$2)/Settings!$B$3,0)*Settings!$B$3,"")</f>
        <v/>
      </c>
      <c r="T1414" s="13">
        <f>IF(ISNUMBER(O1414),ROUND(O1414/(1-Settings!$B$2)/Settings!$B$3,0)*Settings!$B$3,"")</f>
        <v/>
      </c>
      <c r="U1414" s="13">
        <f>IF(ISNUMBER(P1414),ROUND(P1414/(1-Settings!$B$2)/Settings!$B$3,0)*Settings!$B$3,"")</f>
        <v/>
      </c>
      <c r="V1414" s="13">
        <f>IF(ISNUMBER(Q1414),ROUND(Q1414/(1-Settings!$B$2)/Settings!$B$3,0)*Settings!$B$3,"")</f>
        <v/>
      </c>
      <c r="W1414" s="14" t="n">
        <v>2813</v>
      </c>
      <c r="X1414" s="14" t="n">
        <v>4802</v>
      </c>
      <c r="Y1414" s="11" t="inlineStr"/>
      <c r="Z1414" s="11" t="inlineStr"/>
      <c r="AA1414" s="8" t="inlineStr"/>
      <c r="AB1414" s="8" t="inlineStr"/>
      <c r="AC1414" s="11" t="inlineStr">
        <is>
          <t>MasterMilitaryOnBaseList 12.2.25 NS.xlsx</t>
        </is>
      </c>
      <c r="AD1414" s="11" t="inlineStr">
        <is>
          <t>2026-Sponsorship-Brochure_ECM_Aug_14_2025_SinglePgs-.pdf</t>
        </is>
      </c>
      <c r="AE1414" s="15" t="inlineStr">
        <is>
          <t>Open in Box</t>
        </is>
      </c>
      <c r="AF1414" s="15" t="inlineStr">
        <is>
          <t>Open in Box</t>
        </is>
      </c>
    </row>
    <row r="1415">
      <c r="A1415" s="11" t="inlineStr">
        <is>
          <t>TX-RANDOLPH-013</t>
        </is>
      </c>
      <c r="B1415" s="8" t="inlineStr">
        <is>
          <t>Randolph AFB</t>
        </is>
      </c>
      <c r="C1415" s="11" t="inlineStr">
        <is>
          <t>JB San Antonio</t>
        </is>
      </c>
      <c r="D1415" s="11" t="inlineStr">
        <is>
          <t>TX</t>
        </is>
      </c>
      <c r="E1415" s="11" t="inlineStr">
        <is>
          <t>San Antonio</t>
        </is>
      </c>
      <c r="F1415" s="11" t="inlineStr">
        <is>
          <t>78150</t>
        </is>
      </c>
      <c r="G1415" s="11" t="inlineStr">
        <is>
          <t>Air Force</t>
        </is>
      </c>
      <c r="H1415" s="11" t="inlineStr">
        <is>
          <t>Large Format</t>
        </is>
      </c>
      <c r="I1415" s="8" t="inlineStr">
        <is>
          <t>Window Clings</t>
        </is>
      </c>
      <c r="J1415" s="11" t="inlineStr">
        <is>
          <t>4'W x 10'H</t>
        </is>
      </c>
      <c r="K1415" s="8" t="inlineStr">
        <is>
          <t>Your ad will appear at an approved installation facility.</t>
        </is>
      </c>
      <c r="L1415" s="11" t="n">
        <v>1</v>
      </c>
      <c r="M1415" s="12" t="n">
        <v>400</v>
      </c>
      <c r="N1415" s="12" t="n">
        <v>1200</v>
      </c>
      <c r="O1415" s="12" t="n">
        <v>2400</v>
      </c>
      <c r="P1415" s="12" t="n">
        <v>4800</v>
      </c>
      <c r="Q1415" s="12" t="n"/>
      <c r="R1415" s="13">
        <f>IF(ISNUMBER(M1415),ROUND(M1415/(1-Settings!$B$2)/Settings!$B$3,0)*Settings!$B$3,"")</f>
        <v/>
      </c>
      <c r="S1415" s="13">
        <f>IF(ISNUMBER(N1415),ROUND(N1415/(1-Settings!$B$2)/Settings!$B$3,0)*Settings!$B$3,"")</f>
        <v/>
      </c>
      <c r="T1415" s="13">
        <f>IF(ISNUMBER(O1415),ROUND(O1415/(1-Settings!$B$2)/Settings!$B$3,0)*Settings!$B$3,"")</f>
        <v/>
      </c>
      <c r="U1415" s="13">
        <f>IF(ISNUMBER(P1415),ROUND(P1415/(1-Settings!$B$2)/Settings!$B$3,0)*Settings!$B$3,"")</f>
        <v/>
      </c>
      <c r="V1415" s="13">
        <f>IF(ISNUMBER(Q1415),ROUND(Q1415/(1-Settings!$B$2)/Settings!$B$3,0)*Settings!$B$3,"")</f>
        <v/>
      </c>
      <c r="W1415" s="14" t="n">
        <v>2813</v>
      </c>
      <c r="X1415" s="14" t="n">
        <v>4802</v>
      </c>
      <c r="Y1415" s="11" t="inlineStr"/>
      <c r="Z1415" s="11" t="inlineStr"/>
      <c r="AA1415" s="8" t="inlineStr"/>
      <c r="AB1415" s="8" t="inlineStr"/>
      <c r="AC1415" s="11" t="inlineStr">
        <is>
          <t>MasterMilitaryOnBaseList 12.2.25 NS.xlsx</t>
        </is>
      </c>
      <c r="AD1415" s="11" t="inlineStr">
        <is>
          <t>2026-Sponsorship-Brochure_ECM_Aug_14_2025_SinglePgs-.pdf</t>
        </is>
      </c>
      <c r="AE1415" s="15" t="inlineStr">
        <is>
          <t>Open in Box</t>
        </is>
      </c>
      <c r="AF1415" s="15" t="inlineStr">
        <is>
          <t>Open in Box</t>
        </is>
      </c>
    </row>
    <row r="1416">
      <c r="A1416" s="11" t="inlineStr">
        <is>
          <t>TX-RANDOLPH-014</t>
        </is>
      </c>
      <c r="B1416" s="8" t="inlineStr">
        <is>
          <t>Randolph AFB</t>
        </is>
      </c>
      <c r="C1416" s="11" t="inlineStr">
        <is>
          <t>JB San Antonio</t>
        </is>
      </c>
      <c r="D1416" s="11" t="inlineStr">
        <is>
          <t>TX</t>
        </is>
      </c>
      <c r="E1416" s="11" t="inlineStr">
        <is>
          <t>San Antonio</t>
        </is>
      </c>
      <c r="F1416" s="11" t="inlineStr">
        <is>
          <t>78150</t>
        </is>
      </c>
      <c r="G1416" s="11" t="inlineStr">
        <is>
          <t>Air Force</t>
        </is>
      </c>
      <c r="H1416" s="11" t="inlineStr">
        <is>
          <t>Print &amp; Publications</t>
        </is>
      </c>
      <c r="I1416" s="8" t="inlineStr">
        <is>
          <t>Magazine</t>
        </is>
      </c>
      <c r="J1416" s="11" t="inlineStr">
        <is>
          <t>TBD</t>
        </is>
      </c>
      <c r="K1416" s="8" t="inlineStr">
        <is>
          <t>Your full page ad will appear in the bi-monthly JBSAtoday Magazine.</t>
        </is>
      </c>
      <c r="L1416" s="11" t="n">
        <v>6</v>
      </c>
      <c r="M1416" s="12" t="n"/>
      <c r="N1416" s="12" t="n"/>
      <c r="O1416" s="12" t="n">
        <v>3000</v>
      </c>
      <c r="P1416" s="12" t="n">
        <v>6000</v>
      </c>
      <c r="Q1416" s="12" t="n">
        <v>0</v>
      </c>
      <c r="R1416" s="13">
        <f>IF(ISNUMBER(M1416),ROUND(M1416/(1-Settings!$B$2)/Settings!$B$3,0)*Settings!$B$3,"")</f>
        <v/>
      </c>
      <c r="S1416" s="13">
        <f>IF(ISNUMBER(N1416),ROUND(N1416/(1-Settings!$B$2)/Settings!$B$3,0)*Settings!$B$3,"")</f>
        <v/>
      </c>
      <c r="T1416" s="13">
        <f>IF(ISNUMBER(O1416),ROUND(O1416/(1-Settings!$B$2)/Settings!$B$3,0)*Settings!$B$3,"")</f>
        <v/>
      </c>
      <c r="U1416" s="13">
        <f>IF(ISNUMBER(P1416),ROUND(P1416/(1-Settings!$B$2)/Settings!$B$3,0)*Settings!$B$3,"")</f>
        <v/>
      </c>
      <c r="V1416" s="13">
        <f>IF(ISNUMBER(Q1416),ROUND(Q1416/(1-Settings!$B$2)/Settings!$B$3,0)*Settings!$B$3,"")</f>
        <v/>
      </c>
      <c r="W1416" s="14" t="n">
        <v>2813</v>
      </c>
      <c r="X1416" s="14" t="n">
        <v>4802</v>
      </c>
      <c r="Y1416" s="11" t="inlineStr"/>
      <c r="Z1416" s="11" t="inlineStr"/>
      <c r="AA1416" s="8" t="inlineStr"/>
      <c r="AB1416" s="16" t="inlineStr">
        <is>
          <t>Source formula errors</t>
        </is>
      </c>
      <c r="AC1416" s="11" t="inlineStr">
        <is>
          <t>MasterMilitaryOnBaseList 12.2.25 NS.xlsx</t>
        </is>
      </c>
      <c r="AD1416" s="11" t="inlineStr">
        <is>
          <t>2026-Sponsorship-Brochure_ECM_Aug_14_2025_SinglePgs-.pdf</t>
        </is>
      </c>
      <c r="AE1416" s="15" t="inlineStr">
        <is>
          <t>Open in Box</t>
        </is>
      </c>
      <c r="AF1416" s="15" t="inlineStr">
        <is>
          <t>Open in Box</t>
        </is>
      </c>
    </row>
    <row r="1417">
      <c r="A1417" s="11" t="inlineStr">
        <is>
          <t>TX-RANDOLPH-006</t>
        </is>
      </c>
      <c r="B1417" s="8" t="inlineStr">
        <is>
          <t>Randolph AFB</t>
        </is>
      </c>
      <c r="C1417" s="11" t="inlineStr">
        <is>
          <t>JB San Antonio</t>
        </is>
      </c>
      <c r="D1417" s="11" t="inlineStr">
        <is>
          <t>TX</t>
        </is>
      </c>
      <c r="E1417" s="11" t="inlineStr">
        <is>
          <t>San Antonio</t>
        </is>
      </c>
      <c r="F1417" s="11" t="inlineStr">
        <is>
          <t>78150</t>
        </is>
      </c>
      <c r="G1417" s="11" t="inlineStr">
        <is>
          <t>Air Force</t>
        </is>
      </c>
      <c r="H1417" s="11" t="inlineStr">
        <is>
          <t>Standard Media</t>
        </is>
      </c>
      <c r="I1417" s="8" t="inlineStr">
        <is>
          <t>Banner</t>
        </is>
      </c>
      <c r="J1417" s="11" t="inlineStr">
        <is>
          <t>4'W x 10'H</t>
        </is>
      </c>
      <c r="K1417" s="8" t="inlineStr">
        <is>
          <t>Your ad will appear at an approved installation facility.</t>
        </is>
      </c>
      <c r="L1417" s="11" t="n">
        <v>1</v>
      </c>
      <c r="M1417" s="12" t="n">
        <v>400</v>
      </c>
      <c r="N1417" s="12" t="n">
        <v>1200</v>
      </c>
      <c r="O1417" s="12" t="n">
        <v>2400</v>
      </c>
      <c r="P1417" s="12" t="n">
        <v>4800</v>
      </c>
      <c r="Q1417" s="12" t="n">
        <v>500</v>
      </c>
      <c r="R1417" s="13">
        <f>IF(ISNUMBER(M1417),ROUND(M1417/(1-Settings!$B$2)/Settings!$B$3,0)*Settings!$B$3,"")</f>
        <v/>
      </c>
      <c r="S1417" s="13">
        <f>IF(ISNUMBER(N1417),ROUND(N1417/(1-Settings!$B$2)/Settings!$B$3,0)*Settings!$B$3,"")</f>
        <v/>
      </c>
      <c r="T1417" s="13">
        <f>IF(ISNUMBER(O1417),ROUND(O1417/(1-Settings!$B$2)/Settings!$B$3,0)*Settings!$B$3,"")</f>
        <v/>
      </c>
      <c r="U1417" s="13">
        <f>IF(ISNUMBER(P1417),ROUND(P1417/(1-Settings!$B$2)/Settings!$B$3,0)*Settings!$B$3,"")</f>
        <v/>
      </c>
      <c r="V1417" s="13">
        <f>IF(ISNUMBER(Q1417),ROUND(Q1417/(1-Settings!$B$2)/Settings!$B$3,0)*Settings!$B$3,"")</f>
        <v/>
      </c>
      <c r="W1417" s="14" t="n">
        <v>2813</v>
      </c>
      <c r="X1417" s="14" t="n">
        <v>4802</v>
      </c>
      <c r="Y1417" s="11" t="inlineStr"/>
      <c r="Z1417" s="11" t="inlineStr"/>
      <c r="AA1417" s="8" t="inlineStr"/>
      <c r="AB1417" s="8" t="inlineStr"/>
      <c r="AC1417" s="11" t="inlineStr">
        <is>
          <t>MasterMilitaryOnBaseList 12.2.25 NS.xlsx</t>
        </is>
      </c>
      <c r="AD1417" s="11" t="inlineStr">
        <is>
          <t>2026-Sponsorship-Brochure_ECM_Aug_14_2025_SinglePgs-.pdf</t>
        </is>
      </c>
      <c r="AE1417" s="15" t="inlineStr">
        <is>
          <t>Open in Box</t>
        </is>
      </c>
      <c r="AF1417" s="15" t="inlineStr">
        <is>
          <t>Open in Box</t>
        </is>
      </c>
    </row>
    <row r="1418">
      <c r="A1418" s="11" t="inlineStr">
        <is>
          <t>TX-RANDOLPH-007</t>
        </is>
      </c>
      <c r="B1418" s="8" t="inlineStr">
        <is>
          <t>Randolph AFB</t>
        </is>
      </c>
      <c r="C1418" s="11" t="inlineStr">
        <is>
          <t>JB San Antonio</t>
        </is>
      </c>
      <c r="D1418" s="11" t="inlineStr">
        <is>
          <t>TX</t>
        </is>
      </c>
      <c r="E1418" s="11" t="inlineStr">
        <is>
          <t>San Antonio</t>
        </is>
      </c>
      <c r="F1418" s="11" t="inlineStr">
        <is>
          <t>78150</t>
        </is>
      </c>
      <c r="G1418" s="11" t="inlineStr">
        <is>
          <t>Air Force</t>
        </is>
      </c>
      <c r="H1418" s="11" t="inlineStr">
        <is>
          <t>Standard Media</t>
        </is>
      </c>
      <c r="I1418" s="8" t="inlineStr">
        <is>
          <t>Driving Range Sign</t>
        </is>
      </c>
      <c r="J1418" s="11" t="inlineStr">
        <is>
          <t>TBD</t>
        </is>
      </c>
      <c r="K1418" s="8" t="inlineStr">
        <is>
          <t>Your ad will appear at the golf course driving range.</t>
        </is>
      </c>
      <c r="L1418" s="11" t="n">
        <v>1</v>
      </c>
      <c r="M1418" s="12" t="n">
        <v>150</v>
      </c>
      <c r="N1418" s="12" t="n">
        <v>450</v>
      </c>
      <c r="O1418" s="12" t="n">
        <v>900</v>
      </c>
      <c r="P1418" s="12" t="n">
        <v>1800</v>
      </c>
      <c r="Q1418" s="12" t="n"/>
      <c r="R1418" s="13">
        <f>IF(ISNUMBER(M1418),ROUND(M1418/(1-Settings!$B$2)/Settings!$B$3,0)*Settings!$B$3,"")</f>
        <v/>
      </c>
      <c r="S1418" s="13">
        <f>IF(ISNUMBER(N1418),ROUND(N1418/(1-Settings!$B$2)/Settings!$B$3,0)*Settings!$B$3,"")</f>
        <v/>
      </c>
      <c r="T1418" s="13">
        <f>IF(ISNUMBER(O1418),ROUND(O1418/(1-Settings!$B$2)/Settings!$B$3,0)*Settings!$B$3,"")</f>
        <v/>
      </c>
      <c r="U1418" s="13">
        <f>IF(ISNUMBER(P1418),ROUND(P1418/(1-Settings!$B$2)/Settings!$B$3,0)*Settings!$B$3,"")</f>
        <v/>
      </c>
      <c r="V1418" s="13">
        <f>IF(ISNUMBER(Q1418),ROUND(Q1418/(1-Settings!$B$2)/Settings!$B$3,0)*Settings!$B$3,"")</f>
        <v/>
      </c>
      <c r="W1418" s="14" t="n">
        <v>2813</v>
      </c>
      <c r="X1418" s="14" t="n">
        <v>4802</v>
      </c>
      <c r="Y1418" s="11" t="inlineStr"/>
      <c r="Z1418" s="11" t="inlineStr"/>
      <c r="AA1418" s="8" t="inlineStr"/>
      <c r="AB1418" s="8" t="inlineStr"/>
      <c r="AC1418" s="11" t="inlineStr">
        <is>
          <t>MasterMilitaryOnBaseList 12.2.25 NS.xlsx</t>
        </is>
      </c>
      <c r="AD1418" s="11" t="inlineStr">
        <is>
          <t>2026-Sponsorship-Brochure_ECM_Aug_14_2025_SinglePgs-.pdf</t>
        </is>
      </c>
      <c r="AE1418" s="15" t="inlineStr">
        <is>
          <t>Open in Box</t>
        </is>
      </c>
      <c r="AF1418" s="15" t="inlineStr">
        <is>
          <t>Open in Box</t>
        </is>
      </c>
    </row>
    <row r="1419">
      <c r="A1419" s="11" t="inlineStr">
        <is>
          <t>TX-RANDOLPH-008</t>
        </is>
      </c>
      <c r="B1419" s="8" t="inlineStr">
        <is>
          <t>Randolph AFB</t>
        </is>
      </c>
      <c r="C1419" s="11" t="inlineStr">
        <is>
          <t>JB San Antonio</t>
        </is>
      </c>
      <c r="D1419" s="11" t="inlineStr">
        <is>
          <t>TX</t>
        </is>
      </c>
      <c r="E1419" s="11" t="inlineStr">
        <is>
          <t>San Antonio</t>
        </is>
      </c>
      <c r="F1419" s="11" t="inlineStr">
        <is>
          <t>78150</t>
        </is>
      </c>
      <c r="G1419" s="11" t="inlineStr">
        <is>
          <t>Air Force</t>
        </is>
      </c>
      <c r="H1419" s="11" t="inlineStr">
        <is>
          <t>Standard Media</t>
        </is>
      </c>
      <c r="I1419" s="8" t="inlineStr">
        <is>
          <t>Poster</t>
        </is>
      </c>
      <c r="J1419" s="11" t="inlineStr">
        <is>
          <t>22"W x 28"H</t>
        </is>
      </c>
      <c r="K1419" s="8" t="inlineStr">
        <is>
          <t>Your ad will appear at an approved installation facility.</t>
        </is>
      </c>
      <c r="L1419" s="11" t="n">
        <v>1</v>
      </c>
      <c r="M1419" s="12" t="n">
        <v>125</v>
      </c>
      <c r="N1419" s="12" t="n">
        <v>375</v>
      </c>
      <c r="O1419" s="12" t="n">
        <v>750</v>
      </c>
      <c r="P1419" s="12" t="n">
        <v>1500</v>
      </c>
      <c r="Q1419" s="12" t="n">
        <v>100</v>
      </c>
      <c r="R1419" s="13">
        <f>IF(ISNUMBER(M1419),ROUND(M1419/(1-Settings!$B$2)/Settings!$B$3,0)*Settings!$B$3,"")</f>
        <v/>
      </c>
      <c r="S1419" s="13">
        <f>IF(ISNUMBER(N1419),ROUND(N1419/(1-Settings!$B$2)/Settings!$B$3,0)*Settings!$B$3,"")</f>
        <v/>
      </c>
      <c r="T1419" s="13">
        <f>IF(ISNUMBER(O1419),ROUND(O1419/(1-Settings!$B$2)/Settings!$B$3,0)*Settings!$B$3,"")</f>
        <v/>
      </c>
      <c r="U1419" s="13">
        <f>IF(ISNUMBER(P1419),ROUND(P1419/(1-Settings!$B$2)/Settings!$B$3,0)*Settings!$B$3,"")</f>
        <v/>
      </c>
      <c r="V1419" s="13">
        <f>IF(ISNUMBER(Q1419),ROUND(Q1419/(1-Settings!$B$2)/Settings!$B$3,0)*Settings!$B$3,"")</f>
        <v/>
      </c>
      <c r="W1419" s="14" t="n">
        <v>2813</v>
      </c>
      <c r="X1419" s="14" t="n">
        <v>4802</v>
      </c>
      <c r="Y1419" s="11" t="inlineStr"/>
      <c r="Z1419" s="11" t="inlineStr"/>
      <c r="AA1419" s="8" t="inlineStr"/>
      <c r="AB1419" s="8" t="inlineStr"/>
      <c r="AC1419" s="11" t="inlineStr">
        <is>
          <t>MasterMilitaryOnBaseList 12.2.25 NS.xlsx</t>
        </is>
      </c>
      <c r="AD1419" s="11" t="inlineStr">
        <is>
          <t>2026-Sponsorship-Brochure_ECM_Aug_14_2025_SinglePgs-.pdf</t>
        </is>
      </c>
      <c r="AE1419" s="15" t="inlineStr">
        <is>
          <t>Open in Box</t>
        </is>
      </c>
      <c r="AF1419" s="15" t="inlineStr">
        <is>
          <t>Open in Box</t>
        </is>
      </c>
    </row>
    <row r="1420">
      <c r="A1420" s="11" t="inlineStr">
        <is>
          <t>TX-RANDOLPH-009</t>
        </is>
      </c>
      <c r="B1420" s="8" t="inlineStr">
        <is>
          <t>Randolph AFB</t>
        </is>
      </c>
      <c r="C1420" s="11" t="inlineStr">
        <is>
          <t>JB San Antonio</t>
        </is>
      </c>
      <c r="D1420" s="11" t="inlineStr">
        <is>
          <t>TX</t>
        </is>
      </c>
      <c r="E1420" s="11" t="inlineStr">
        <is>
          <t>San Antonio</t>
        </is>
      </c>
      <c r="F1420" s="11" t="inlineStr">
        <is>
          <t>78150</t>
        </is>
      </c>
      <c r="G1420" s="11" t="inlineStr">
        <is>
          <t>Air Force</t>
        </is>
      </c>
      <c r="H1420" s="11" t="inlineStr">
        <is>
          <t>Standard Media</t>
        </is>
      </c>
      <c r="I1420" s="8" t="inlineStr">
        <is>
          <t>Tee Market Sign</t>
        </is>
      </c>
      <c r="J1420" s="11" t="inlineStr">
        <is>
          <t>TBD</t>
        </is>
      </c>
      <c r="K1420" s="8" t="inlineStr">
        <is>
          <t>Your ad will appear at a golf course tee box.</t>
        </is>
      </c>
      <c r="L1420" s="11" t="n">
        <v>1</v>
      </c>
      <c r="M1420" s="12" t="n">
        <v>50</v>
      </c>
      <c r="N1420" s="12" t="n">
        <v>150</v>
      </c>
      <c r="O1420" s="12" t="n">
        <v>300</v>
      </c>
      <c r="P1420" s="12" t="n">
        <v>600</v>
      </c>
      <c r="Q1420" s="12" t="n"/>
      <c r="R1420" s="13">
        <f>IF(ISNUMBER(M1420),ROUND(M1420/(1-Settings!$B$2)/Settings!$B$3,0)*Settings!$B$3,"")</f>
        <v/>
      </c>
      <c r="S1420" s="13">
        <f>IF(ISNUMBER(N1420),ROUND(N1420/(1-Settings!$B$2)/Settings!$B$3,0)*Settings!$B$3,"")</f>
        <v/>
      </c>
      <c r="T1420" s="13">
        <f>IF(ISNUMBER(O1420),ROUND(O1420/(1-Settings!$B$2)/Settings!$B$3,0)*Settings!$B$3,"")</f>
        <v/>
      </c>
      <c r="U1420" s="13">
        <f>IF(ISNUMBER(P1420),ROUND(P1420/(1-Settings!$B$2)/Settings!$B$3,0)*Settings!$B$3,"")</f>
        <v/>
      </c>
      <c r="V1420" s="13">
        <f>IF(ISNUMBER(Q1420),ROUND(Q1420/(1-Settings!$B$2)/Settings!$B$3,0)*Settings!$B$3,"")</f>
        <v/>
      </c>
      <c r="W1420" s="14" t="n">
        <v>2813</v>
      </c>
      <c r="X1420" s="14" t="n">
        <v>4802</v>
      </c>
      <c r="Y1420" s="11" t="inlineStr"/>
      <c r="Z1420" s="11" t="inlineStr"/>
      <c r="AA1420" s="8" t="inlineStr"/>
      <c r="AB1420" s="8" t="inlineStr"/>
      <c r="AC1420" s="11" t="inlineStr">
        <is>
          <t>MasterMilitaryOnBaseList 12.2.25 NS.xlsx</t>
        </is>
      </c>
      <c r="AD1420" s="11" t="inlineStr">
        <is>
          <t>2026-Sponsorship-Brochure_ECM_Aug_14_2025_SinglePgs-.pdf</t>
        </is>
      </c>
      <c r="AE1420" s="15" t="inlineStr">
        <is>
          <t>Open in Box</t>
        </is>
      </c>
      <c r="AF1420" s="15" t="inlineStr">
        <is>
          <t>Open in Box</t>
        </is>
      </c>
    </row>
    <row r="1421">
      <c r="A1421" s="11" t="inlineStr">
        <is>
          <t>TX-RANDOLPH-010</t>
        </is>
      </c>
      <c r="B1421" s="8" t="inlineStr">
        <is>
          <t>Randolph AFB</t>
        </is>
      </c>
      <c r="C1421" s="11" t="inlineStr">
        <is>
          <t>JB San Antonio</t>
        </is>
      </c>
      <c r="D1421" s="11" t="inlineStr">
        <is>
          <t>TX</t>
        </is>
      </c>
      <c r="E1421" s="11" t="inlineStr">
        <is>
          <t>San Antonio</t>
        </is>
      </c>
      <c r="F1421" s="11" t="inlineStr">
        <is>
          <t>78150</t>
        </is>
      </c>
      <c r="G1421" s="11" t="inlineStr">
        <is>
          <t>Air Force</t>
        </is>
      </c>
      <c r="H1421" s="11" t="inlineStr">
        <is>
          <t>Standard Media</t>
        </is>
      </c>
      <c r="I1421" s="8" t="inlineStr">
        <is>
          <t>Vertical Banner</t>
        </is>
      </c>
      <c r="J1421" s="11" t="inlineStr">
        <is>
          <t>TBD</t>
        </is>
      </c>
      <c r="K1421" s="8" t="inlineStr">
        <is>
          <t>Your ad will appear at an approved installation facility.</t>
        </is>
      </c>
      <c r="L1421" s="11" t="n">
        <v>1</v>
      </c>
      <c r="M1421" s="12" t="n">
        <v>125</v>
      </c>
      <c r="N1421" s="12" t="n">
        <v>375</v>
      </c>
      <c r="O1421" s="12" t="n">
        <v>750</v>
      </c>
      <c r="P1421" s="12" t="n">
        <v>1500</v>
      </c>
      <c r="Q1421" s="12" t="n"/>
      <c r="R1421" s="13">
        <f>IF(ISNUMBER(M1421),ROUND(M1421/(1-Settings!$B$2)/Settings!$B$3,0)*Settings!$B$3,"")</f>
        <v/>
      </c>
      <c r="S1421" s="13">
        <f>IF(ISNUMBER(N1421),ROUND(N1421/(1-Settings!$B$2)/Settings!$B$3,0)*Settings!$B$3,"")</f>
        <v/>
      </c>
      <c r="T1421" s="13">
        <f>IF(ISNUMBER(O1421),ROUND(O1421/(1-Settings!$B$2)/Settings!$B$3,0)*Settings!$B$3,"")</f>
        <v/>
      </c>
      <c r="U1421" s="13">
        <f>IF(ISNUMBER(P1421),ROUND(P1421/(1-Settings!$B$2)/Settings!$B$3,0)*Settings!$B$3,"")</f>
        <v/>
      </c>
      <c r="V1421" s="13">
        <f>IF(ISNUMBER(Q1421),ROUND(Q1421/(1-Settings!$B$2)/Settings!$B$3,0)*Settings!$B$3,"")</f>
        <v/>
      </c>
      <c r="W1421" s="14" t="n">
        <v>2813</v>
      </c>
      <c r="X1421" s="14" t="n">
        <v>4802</v>
      </c>
      <c r="Y1421" s="11" t="inlineStr"/>
      <c r="Z1421" s="11" t="inlineStr"/>
      <c r="AA1421" s="8" t="inlineStr"/>
      <c r="AB1421" s="8" t="inlineStr"/>
      <c r="AC1421" s="11" t="inlineStr">
        <is>
          <t>MasterMilitaryOnBaseList 12.2.25 NS.xlsx</t>
        </is>
      </c>
      <c r="AD1421" s="11" t="inlineStr">
        <is>
          <t>2026-Sponsorship-Brochure_ECM_Aug_14_2025_SinglePgs-.pdf</t>
        </is>
      </c>
      <c r="AE1421" s="15" t="inlineStr">
        <is>
          <t>Open in Box</t>
        </is>
      </c>
      <c r="AF1421" s="15" t="inlineStr">
        <is>
          <t>Open in Box</t>
        </is>
      </c>
    </row>
    <row r="1422">
      <c r="A1422" s="11" t="inlineStr">
        <is>
          <t>TX-SHEPPARD-001</t>
        </is>
      </c>
      <c r="B1422" s="8" t="inlineStr">
        <is>
          <t>Sheppard AFB</t>
        </is>
      </c>
      <c r="C1422" s="11" t="inlineStr"/>
      <c r="D1422" s="11" t="inlineStr">
        <is>
          <t>TX</t>
        </is>
      </c>
      <c r="E1422" s="11" t="inlineStr">
        <is>
          <t>Wichita Falls &amp; Lawton</t>
        </is>
      </c>
      <c r="F1422" s="11" t="inlineStr">
        <is>
          <t>76311</t>
        </is>
      </c>
      <c r="G1422" s="11" t="inlineStr">
        <is>
          <t>Air Force</t>
        </is>
      </c>
      <c r="H1422" s="11" t="inlineStr">
        <is>
          <t>Digital</t>
        </is>
      </c>
      <c r="I1422" s="8" t="inlineStr">
        <is>
          <t>Bowling Scoring Monitors</t>
        </is>
      </c>
      <c r="J1422" s="11" t="inlineStr">
        <is>
          <t>1920pxW x 1080pxH</t>
        </is>
      </c>
      <c r="K1422" s="8" t="inlineStr">
        <is>
          <t>Your ad will appear on 32 digital bowling scoring monitors.</t>
        </is>
      </c>
      <c r="L1422" s="11" t="n">
        <v>1</v>
      </c>
      <c r="M1422" s="12" t="n">
        <v>750</v>
      </c>
      <c r="N1422" s="12" t="n">
        <v>2250</v>
      </c>
      <c r="O1422" s="12" t="n">
        <v>7506</v>
      </c>
      <c r="P1422" s="12" t="n">
        <v>9000</v>
      </c>
      <c r="Q1422" s="12" t="n">
        <v>0</v>
      </c>
      <c r="R1422" s="13">
        <f>IF(ISNUMBER(M1422),ROUND(M1422/(1-Settings!$B$2)/Settings!$B$3,0)*Settings!$B$3,"")</f>
        <v/>
      </c>
      <c r="S1422" s="13">
        <f>IF(ISNUMBER(N1422),ROUND(N1422/(1-Settings!$B$2)/Settings!$B$3,0)*Settings!$B$3,"")</f>
        <v/>
      </c>
      <c r="T1422" s="13">
        <f>IF(ISNUMBER(O1422),ROUND(O1422/(1-Settings!$B$2)/Settings!$B$3,0)*Settings!$B$3,"")</f>
        <v/>
      </c>
      <c r="U1422" s="13">
        <f>IF(ISNUMBER(P1422),ROUND(P1422/(1-Settings!$B$2)/Settings!$B$3,0)*Settings!$B$3,"")</f>
        <v/>
      </c>
      <c r="V1422" s="13">
        <f>IF(ISNUMBER(Q1422),ROUND(Q1422/(1-Settings!$B$2)/Settings!$B$3,0)*Settings!$B$3,"")</f>
        <v/>
      </c>
      <c r="W1422" s="14" t="n"/>
      <c r="X1422" s="14" t="n"/>
      <c r="Y1422" s="11" t="inlineStr"/>
      <c r="Z1422" s="11" t="inlineStr"/>
      <c r="AA1422" s="8" t="inlineStr"/>
      <c r="AB1422" s="16" t="inlineStr">
        <is>
          <t>Source formula errors</t>
        </is>
      </c>
      <c r="AC1422" s="11" t="inlineStr">
        <is>
          <t>MasterMilitaryOnBaseList 12.2.25 NS.xlsx</t>
        </is>
      </c>
      <c r="AD1422" s="11" t="inlineStr">
        <is>
          <t>Sponsoship-Brochure - Good for 2026 (06.29.26).pdf</t>
        </is>
      </c>
      <c r="AE1422" s="15" t="inlineStr">
        <is>
          <t>Open in Box</t>
        </is>
      </c>
      <c r="AF1422" s="15" t="inlineStr">
        <is>
          <t>Open in Box</t>
        </is>
      </c>
    </row>
    <row r="1423">
      <c r="A1423" s="11" t="inlineStr">
        <is>
          <t>TX-SHEPPARD-002</t>
        </is>
      </c>
      <c r="B1423" s="8" t="inlineStr">
        <is>
          <t>Sheppard AFB</t>
        </is>
      </c>
      <c r="C1423" s="11" t="inlineStr"/>
      <c r="D1423" s="11" t="inlineStr">
        <is>
          <t>TX</t>
        </is>
      </c>
      <c r="E1423" s="11" t="inlineStr">
        <is>
          <t>Wichita Falls &amp; Lawton</t>
        </is>
      </c>
      <c r="F1423" s="11" t="inlineStr">
        <is>
          <t>76311</t>
        </is>
      </c>
      <c r="G1423" s="11" t="inlineStr">
        <is>
          <t>Air Force</t>
        </is>
      </c>
      <c r="H1423" s="11" t="inlineStr">
        <is>
          <t>Digital</t>
        </is>
      </c>
      <c r="I1423" s="8" t="inlineStr">
        <is>
          <t>Digital Posters</t>
        </is>
      </c>
      <c r="J1423" s="11" t="inlineStr">
        <is>
          <t>1920pxW x 1080pxH</t>
        </is>
      </c>
      <c r="K1423" s="8" t="inlineStr">
        <is>
          <t>Your ad will appear in an approved installation facility.</t>
        </is>
      </c>
      <c r="L1423" s="11" t="n">
        <v>1</v>
      </c>
      <c r="M1423" s="12" t="n">
        <v>150</v>
      </c>
      <c r="N1423" s="12" t="n">
        <v>450</v>
      </c>
      <c r="O1423" s="12" t="n">
        <v>900</v>
      </c>
      <c r="P1423" s="12" t="n">
        <v>1000</v>
      </c>
      <c r="Q1423" s="12" t="n">
        <v>0</v>
      </c>
      <c r="R1423" s="13">
        <f>IF(ISNUMBER(M1423),ROUND(M1423/(1-Settings!$B$2)/Settings!$B$3,0)*Settings!$B$3,"")</f>
        <v/>
      </c>
      <c r="S1423" s="13">
        <f>IF(ISNUMBER(N1423),ROUND(N1423/(1-Settings!$B$2)/Settings!$B$3,0)*Settings!$B$3,"")</f>
        <v/>
      </c>
      <c r="T1423" s="13">
        <f>IF(ISNUMBER(O1423),ROUND(O1423/(1-Settings!$B$2)/Settings!$B$3,0)*Settings!$B$3,"")</f>
        <v/>
      </c>
      <c r="U1423" s="13">
        <f>IF(ISNUMBER(P1423),ROUND(P1423/(1-Settings!$B$2)/Settings!$B$3,0)*Settings!$B$3,"")</f>
        <v/>
      </c>
      <c r="V1423" s="13">
        <f>IF(ISNUMBER(Q1423),ROUND(Q1423/(1-Settings!$B$2)/Settings!$B$3,0)*Settings!$B$3,"")</f>
        <v/>
      </c>
      <c r="W1423" s="14" t="n"/>
      <c r="X1423" s="14" t="n"/>
      <c r="Y1423" s="11" t="inlineStr"/>
      <c r="Z1423" s="11" t="inlineStr"/>
      <c r="AA1423" s="8" t="inlineStr"/>
      <c r="AB1423" s="8" t="inlineStr"/>
      <c r="AC1423" s="11" t="inlineStr">
        <is>
          <t>MasterMilitaryOnBaseList 12.2.25 NS.xlsx</t>
        </is>
      </c>
      <c r="AD1423" s="11" t="inlineStr">
        <is>
          <t>Sponsoship-Brochure - Good for 2026 (06.29.26).pdf</t>
        </is>
      </c>
      <c r="AE1423" s="15" t="inlineStr">
        <is>
          <t>Open in Box</t>
        </is>
      </c>
      <c r="AF1423" s="15" t="inlineStr">
        <is>
          <t>Open in Box</t>
        </is>
      </c>
    </row>
    <row r="1424">
      <c r="A1424" s="11" t="inlineStr">
        <is>
          <t>TX-SHEPPARD-003</t>
        </is>
      </c>
      <c r="B1424" s="8" t="inlineStr">
        <is>
          <t>Sheppard AFB</t>
        </is>
      </c>
      <c r="C1424" s="11" t="inlineStr"/>
      <c r="D1424" s="11" t="inlineStr">
        <is>
          <t>TX</t>
        </is>
      </c>
      <c r="E1424" s="11" t="inlineStr">
        <is>
          <t>Wichita Falls &amp; Lawton</t>
        </is>
      </c>
      <c r="F1424" s="11" t="inlineStr">
        <is>
          <t>76311</t>
        </is>
      </c>
      <c r="G1424" s="11" t="inlineStr">
        <is>
          <t>Air Force</t>
        </is>
      </c>
      <c r="H1424" s="11" t="inlineStr">
        <is>
          <t>Standard Media</t>
        </is>
      </c>
      <c r="I1424" s="8" t="inlineStr">
        <is>
          <t>Banners</t>
        </is>
      </c>
      <c r="J1424" s="11" t="inlineStr">
        <is>
          <t>6'W x 3'H</t>
        </is>
      </c>
      <c r="K1424" s="8" t="inlineStr">
        <is>
          <t>Your ad will appear in an approved installation facility.</t>
        </is>
      </c>
      <c r="L1424" s="11" t="n">
        <v>1</v>
      </c>
      <c r="M1424" s="12" t="n">
        <v>350</v>
      </c>
      <c r="N1424" s="12" t="n">
        <v>1050</v>
      </c>
      <c r="O1424" s="12" t="n">
        <v>2100</v>
      </c>
      <c r="P1424" s="12" t="n">
        <v>4200</v>
      </c>
      <c r="Q1424" s="12" t="n">
        <v>200</v>
      </c>
      <c r="R1424" s="13">
        <f>IF(ISNUMBER(M1424),ROUND(M1424/(1-Settings!$B$2)/Settings!$B$3,0)*Settings!$B$3,"")</f>
        <v/>
      </c>
      <c r="S1424" s="13">
        <f>IF(ISNUMBER(N1424),ROUND(N1424/(1-Settings!$B$2)/Settings!$B$3,0)*Settings!$B$3,"")</f>
        <v/>
      </c>
      <c r="T1424" s="13">
        <f>IF(ISNUMBER(O1424),ROUND(O1424/(1-Settings!$B$2)/Settings!$B$3,0)*Settings!$B$3,"")</f>
        <v/>
      </c>
      <c r="U1424" s="13">
        <f>IF(ISNUMBER(P1424),ROUND(P1424/(1-Settings!$B$2)/Settings!$B$3,0)*Settings!$B$3,"")</f>
        <v/>
      </c>
      <c r="V1424" s="13">
        <f>IF(ISNUMBER(Q1424),ROUND(Q1424/(1-Settings!$B$2)/Settings!$B$3,0)*Settings!$B$3,"")</f>
        <v/>
      </c>
      <c r="W1424" s="14" t="n"/>
      <c r="X1424" s="14" t="n"/>
      <c r="Y1424" s="11" t="inlineStr"/>
      <c r="Z1424" s="11" t="inlineStr"/>
      <c r="AA1424" s="8" t="inlineStr"/>
      <c r="AB1424" s="8" t="inlineStr"/>
      <c r="AC1424" s="11" t="inlineStr">
        <is>
          <t>MasterMilitaryOnBaseList 12.2.25 NS.xlsx</t>
        </is>
      </c>
      <c r="AD1424" s="11" t="inlineStr">
        <is>
          <t>Sponsoship-Brochure - Good for 2026 (06.29.26).pdf</t>
        </is>
      </c>
      <c r="AE1424" s="15" t="inlineStr">
        <is>
          <t>Open in Box</t>
        </is>
      </c>
      <c r="AF1424" s="15" t="inlineStr">
        <is>
          <t>Open in Box</t>
        </is>
      </c>
    </row>
    <row r="1425">
      <c r="A1425" s="11" t="inlineStr">
        <is>
          <t>TX-SHEPPARD-004</t>
        </is>
      </c>
      <c r="B1425" s="8" t="inlineStr">
        <is>
          <t>Sheppard AFB</t>
        </is>
      </c>
      <c r="C1425" s="11" t="inlineStr"/>
      <c r="D1425" s="11" t="inlineStr">
        <is>
          <t>TX</t>
        </is>
      </c>
      <c r="E1425" s="11" t="inlineStr">
        <is>
          <t>Wichita Falls &amp; Lawton</t>
        </is>
      </c>
      <c r="F1425" s="11" t="inlineStr">
        <is>
          <t>76311</t>
        </is>
      </c>
      <c r="G1425" s="11" t="inlineStr">
        <is>
          <t>Air Force</t>
        </is>
      </c>
      <c r="H1425" s="11" t="inlineStr">
        <is>
          <t>Standard Media</t>
        </is>
      </c>
      <c r="I1425" s="8" t="inlineStr">
        <is>
          <t>Posters</t>
        </is>
      </c>
      <c r="J1425" s="11" t="inlineStr">
        <is>
          <t>22"W x 28"H</t>
        </is>
      </c>
      <c r="K1425" s="8" t="inlineStr">
        <is>
          <t>Your ad will appear in an approved installation facility.</t>
        </is>
      </c>
      <c r="L1425" s="11" t="n">
        <v>1</v>
      </c>
      <c r="M1425" s="12" t="n">
        <v>200</v>
      </c>
      <c r="N1425" s="12" t="n">
        <v>600</v>
      </c>
      <c r="O1425" s="12" t="n">
        <v>1200</v>
      </c>
      <c r="P1425" s="12" t="n">
        <v>2400</v>
      </c>
      <c r="Q1425" s="12" t="n">
        <v>100</v>
      </c>
      <c r="R1425" s="13">
        <f>IF(ISNUMBER(M1425),ROUND(M1425/(1-Settings!$B$2)/Settings!$B$3,0)*Settings!$B$3,"")</f>
        <v/>
      </c>
      <c r="S1425" s="13">
        <f>IF(ISNUMBER(N1425),ROUND(N1425/(1-Settings!$B$2)/Settings!$B$3,0)*Settings!$B$3,"")</f>
        <v/>
      </c>
      <c r="T1425" s="13">
        <f>IF(ISNUMBER(O1425),ROUND(O1425/(1-Settings!$B$2)/Settings!$B$3,0)*Settings!$B$3,"")</f>
        <v/>
      </c>
      <c r="U1425" s="13">
        <f>IF(ISNUMBER(P1425),ROUND(P1425/(1-Settings!$B$2)/Settings!$B$3,0)*Settings!$B$3,"")</f>
        <v/>
      </c>
      <c r="V1425" s="13">
        <f>IF(ISNUMBER(Q1425),ROUND(Q1425/(1-Settings!$B$2)/Settings!$B$3,0)*Settings!$B$3,"")</f>
        <v/>
      </c>
      <c r="W1425" s="14" t="n"/>
      <c r="X1425" s="14" t="n"/>
      <c r="Y1425" s="11" t="inlineStr"/>
      <c r="Z1425" s="11" t="inlineStr"/>
      <c r="AA1425" s="8" t="inlineStr"/>
      <c r="AB1425" s="8" t="inlineStr"/>
      <c r="AC1425" s="11" t="inlineStr">
        <is>
          <t>MasterMilitaryOnBaseList 12.2.25 NS.xlsx</t>
        </is>
      </c>
      <c r="AD1425" s="11" t="inlineStr">
        <is>
          <t>Sponsoship-Brochure - Good for 2026 (06.29.26).pdf</t>
        </is>
      </c>
      <c r="AE1425" s="15" t="inlineStr">
        <is>
          <t>Open in Box</t>
        </is>
      </c>
      <c r="AF1425" s="15" t="inlineStr">
        <is>
          <t>Open in Box</t>
        </is>
      </c>
    </row>
    <row r="1426">
      <c r="A1426" s="11" t="inlineStr">
        <is>
          <t>UT-CAMPWILL-001</t>
        </is>
      </c>
      <c r="B1426" s="8" t="inlineStr">
        <is>
          <t>Camp Williams</t>
        </is>
      </c>
      <c r="C1426" s="11" t="inlineStr">
        <is>
          <t>Utah National Guard</t>
        </is>
      </c>
      <c r="D1426" s="11" t="inlineStr">
        <is>
          <t>UT</t>
        </is>
      </c>
      <c r="E1426" s="11" t="inlineStr">
        <is>
          <t>Salt Lake City</t>
        </is>
      </c>
      <c r="F1426" s="11" t="inlineStr">
        <is>
          <t>84045</t>
        </is>
      </c>
      <c r="G1426" s="11" t="inlineStr">
        <is>
          <t>National Guard</t>
        </is>
      </c>
      <c r="H1426" s="11" t="inlineStr">
        <is>
          <t>Digital</t>
        </is>
      </c>
      <c r="I1426" s="8" t="inlineStr">
        <is>
          <t>Digital Monitor Network</t>
        </is>
      </c>
      <c r="J1426" s="11" t="inlineStr">
        <is>
          <t>1920pxW x 1080pxH</t>
        </is>
      </c>
      <c r="K1426" s="8" t="inlineStr">
        <is>
          <t>Your ad will appear on 3 screens in approved installation facilities.</t>
        </is>
      </c>
      <c r="L1426" s="11" t="n">
        <v>1</v>
      </c>
      <c r="M1426" s="12" t="n">
        <v>100</v>
      </c>
      <c r="N1426" s="12" t="n">
        <v>300</v>
      </c>
      <c r="O1426" s="12" t="n">
        <v>350</v>
      </c>
      <c r="P1426" s="12" t="n">
        <v>900</v>
      </c>
      <c r="Q1426" s="12" t="n">
        <v>0</v>
      </c>
      <c r="R1426" s="13">
        <f>IF(ISNUMBER(M1426),ROUND(M1426/(1-Settings!$B$2)/Settings!$B$3,0)*Settings!$B$3,"")</f>
        <v/>
      </c>
      <c r="S1426" s="13">
        <f>IF(ISNUMBER(N1426),ROUND(N1426/(1-Settings!$B$2)/Settings!$B$3,0)*Settings!$B$3,"")</f>
        <v/>
      </c>
      <c r="T1426" s="13">
        <f>IF(ISNUMBER(O1426),ROUND(O1426/(1-Settings!$B$2)/Settings!$B$3,0)*Settings!$B$3,"")</f>
        <v/>
      </c>
      <c r="U1426" s="13">
        <f>IF(ISNUMBER(P1426),ROUND(P1426/(1-Settings!$B$2)/Settings!$B$3,0)*Settings!$B$3,"")</f>
        <v/>
      </c>
      <c r="V1426" s="13">
        <f>IF(ISNUMBER(Q1426),ROUND(Q1426/(1-Settings!$B$2)/Settings!$B$3,0)*Settings!$B$3,"")</f>
        <v/>
      </c>
      <c r="W1426" s="14" t="n"/>
      <c r="X1426" s="14" t="n"/>
      <c r="Y1426" s="11" t="inlineStr"/>
      <c r="Z1426" s="11" t="inlineStr"/>
      <c r="AA1426" s="8" t="inlineStr"/>
      <c r="AB1426" s="8" t="inlineStr"/>
      <c r="AC1426" s="11" t="inlineStr">
        <is>
          <t>MasterMilitaryOnBaseList 12.2.25 NS.xlsx</t>
        </is>
      </c>
      <c r="AD1426" s="11" t="inlineStr">
        <is>
          <t>Advertisement Pricing .pdf</t>
        </is>
      </c>
      <c r="AE1426" s="15" t="inlineStr">
        <is>
          <t>Open in Box</t>
        </is>
      </c>
      <c r="AF1426" s="15" t="inlineStr">
        <is>
          <t>Open in Box</t>
        </is>
      </c>
    </row>
    <row r="1427">
      <c r="A1427" s="11" t="inlineStr">
        <is>
          <t>UT-CAMPWILL-002</t>
        </is>
      </c>
      <c r="B1427" s="8" t="inlineStr">
        <is>
          <t>Camp Williams</t>
        </is>
      </c>
      <c r="C1427" s="11" t="inlineStr">
        <is>
          <t>Utah National Guard</t>
        </is>
      </c>
      <c r="D1427" s="11" t="inlineStr">
        <is>
          <t>UT</t>
        </is>
      </c>
      <c r="E1427" s="11" t="inlineStr">
        <is>
          <t>Salt Lake City</t>
        </is>
      </c>
      <c r="F1427" s="11" t="inlineStr">
        <is>
          <t>84045</t>
        </is>
      </c>
      <c r="G1427" s="11" t="inlineStr">
        <is>
          <t>National Guard</t>
        </is>
      </c>
      <c r="H1427" s="11" t="inlineStr">
        <is>
          <t>Print &amp; Publications</t>
        </is>
      </c>
      <c r="I1427" s="8" t="inlineStr">
        <is>
          <t>Newsletter</t>
        </is>
      </c>
      <c r="J1427" s="11" t="inlineStr">
        <is>
          <t>8"W x 10"H</t>
        </is>
      </c>
      <c r="K1427" s="8" t="inlineStr">
        <is>
          <t>Your ad will appear in the monthly installation newsletter.</t>
        </is>
      </c>
      <c r="L1427" s="11" t="n">
        <v>1</v>
      </c>
      <c r="M1427" s="12" t="n">
        <v>150</v>
      </c>
      <c r="N1427" s="12" t="n">
        <v>450</v>
      </c>
      <c r="O1427" s="12" t="n">
        <v>900</v>
      </c>
      <c r="P1427" s="12" t="n">
        <v>300</v>
      </c>
      <c r="Q1427" s="12" t="n">
        <v>0</v>
      </c>
      <c r="R1427" s="13">
        <f>IF(ISNUMBER(M1427),ROUND(M1427/(1-Settings!$B$2)/Settings!$B$3,0)*Settings!$B$3,"")</f>
        <v/>
      </c>
      <c r="S1427" s="13">
        <f>IF(ISNUMBER(N1427),ROUND(N1427/(1-Settings!$B$2)/Settings!$B$3,0)*Settings!$B$3,"")</f>
        <v/>
      </c>
      <c r="T1427" s="13">
        <f>IF(ISNUMBER(O1427),ROUND(O1427/(1-Settings!$B$2)/Settings!$B$3,0)*Settings!$B$3,"")</f>
        <v/>
      </c>
      <c r="U1427" s="13">
        <f>IF(ISNUMBER(P1427),ROUND(P1427/(1-Settings!$B$2)/Settings!$B$3,0)*Settings!$B$3,"")</f>
        <v/>
      </c>
      <c r="V1427" s="13">
        <f>IF(ISNUMBER(Q1427),ROUND(Q1427/(1-Settings!$B$2)/Settings!$B$3,0)*Settings!$B$3,"")</f>
        <v/>
      </c>
      <c r="W1427" s="14" t="n"/>
      <c r="X1427" s="14" t="n"/>
      <c r="Y1427" s="11" t="inlineStr"/>
      <c r="Z1427" s="11" t="inlineStr"/>
      <c r="AA1427" s="8" t="inlineStr"/>
      <c r="AB1427" s="8" t="inlineStr"/>
      <c r="AC1427" s="11" t="inlineStr">
        <is>
          <t>MasterMilitaryOnBaseList 12.2.25 NS.xlsx</t>
        </is>
      </c>
      <c r="AD1427" s="11" t="inlineStr">
        <is>
          <t>Advertisement Pricing .pdf</t>
        </is>
      </c>
      <c r="AE1427" s="15" t="inlineStr">
        <is>
          <t>Open in Box</t>
        </is>
      </c>
      <c r="AF1427" s="15" t="inlineStr">
        <is>
          <t>Open in Box</t>
        </is>
      </c>
    </row>
    <row r="1428">
      <c r="A1428" s="11" t="inlineStr">
        <is>
          <t>UT-HILLAFB-001</t>
        </is>
      </c>
      <c r="B1428" s="8" t="inlineStr">
        <is>
          <t>Hill AFB</t>
        </is>
      </c>
      <c r="C1428" s="11" t="inlineStr"/>
      <c r="D1428" s="11" t="inlineStr">
        <is>
          <t>UT</t>
        </is>
      </c>
      <c r="E1428" s="11" t="inlineStr">
        <is>
          <t>Salt Lake City</t>
        </is>
      </c>
      <c r="F1428" s="11" t="inlineStr">
        <is>
          <t>84056</t>
        </is>
      </c>
      <c r="G1428" s="11" t="inlineStr">
        <is>
          <t>Air Force</t>
        </is>
      </c>
      <c r="H1428" s="11" t="inlineStr">
        <is>
          <t>Digital</t>
        </is>
      </c>
      <c r="I1428" s="8" t="inlineStr">
        <is>
          <t>Bowling Scoring Monitors</t>
        </is>
      </c>
      <c r="J1428" s="11" t="inlineStr">
        <is>
          <t>1920pxW x 1080pxH</t>
        </is>
      </c>
      <c r="K1428" s="8" t="inlineStr">
        <is>
          <t>Your ad will appear on 20 bowling scoring monitors.</t>
        </is>
      </c>
      <c r="L1428" s="11" t="n">
        <v>3</v>
      </c>
      <c r="M1428" s="12" t="n"/>
      <c r="N1428" s="12" t="n">
        <v>300</v>
      </c>
      <c r="O1428" s="12" t="n">
        <v>600</v>
      </c>
      <c r="P1428" s="12" t="n">
        <v>1000</v>
      </c>
      <c r="Q1428" s="12" t="n">
        <v>0</v>
      </c>
      <c r="R1428" s="13">
        <f>IF(ISNUMBER(M1428),ROUND(M1428/(1-Settings!$B$2)/Settings!$B$3,0)*Settings!$B$3,"")</f>
        <v/>
      </c>
      <c r="S1428" s="13">
        <f>IF(ISNUMBER(N1428),ROUND(N1428/(1-Settings!$B$2)/Settings!$B$3,0)*Settings!$B$3,"")</f>
        <v/>
      </c>
      <c r="T1428" s="13">
        <f>IF(ISNUMBER(O1428),ROUND(O1428/(1-Settings!$B$2)/Settings!$B$3,0)*Settings!$B$3,"")</f>
        <v/>
      </c>
      <c r="U1428" s="13">
        <f>IF(ISNUMBER(P1428),ROUND(P1428/(1-Settings!$B$2)/Settings!$B$3,0)*Settings!$B$3,"")</f>
        <v/>
      </c>
      <c r="V1428" s="13">
        <f>IF(ISNUMBER(Q1428),ROUND(Q1428/(1-Settings!$B$2)/Settings!$B$3,0)*Settings!$B$3,"")</f>
        <v/>
      </c>
      <c r="W1428" s="14" t="n">
        <v>26000</v>
      </c>
      <c r="X1428" s="14" t="n"/>
      <c r="Y1428" s="11" t="inlineStr"/>
      <c r="Z1428" s="11" t="inlineStr"/>
      <c r="AA1428" s="8" t="inlineStr">
        <is>
          <t>Inventory master 6/2026 lists Bowling Scoring Monitors at $100 (1 mo)</t>
        </is>
      </c>
      <c r="AB1428" s="16" t="inlineStr">
        <is>
          <t>Source formula errors</t>
        </is>
      </c>
      <c r="AC1428" s="11" t="inlineStr">
        <is>
          <t>MasterMilitaryOnBaseList 12.2.25 NS.xlsx</t>
        </is>
      </c>
      <c r="AD1428" s="11" t="inlineStr">
        <is>
          <t>2024-2025-Sponsorship-and-Advertising-Packages.pdf</t>
        </is>
      </c>
      <c r="AE1428" s="15" t="inlineStr">
        <is>
          <t>Open in Box</t>
        </is>
      </c>
      <c r="AF1428" s="15" t="inlineStr">
        <is>
          <t>Open in Box</t>
        </is>
      </c>
    </row>
    <row r="1429">
      <c r="A1429" s="11" t="inlineStr">
        <is>
          <t>UT-HILLAFB-002</t>
        </is>
      </c>
      <c r="B1429" s="8" t="inlineStr">
        <is>
          <t>Hill AFB</t>
        </is>
      </c>
      <c r="C1429" s="11" t="inlineStr"/>
      <c r="D1429" s="11" t="inlineStr">
        <is>
          <t>UT</t>
        </is>
      </c>
      <c r="E1429" s="11" t="inlineStr">
        <is>
          <t>Salt Lake City</t>
        </is>
      </c>
      <c r="F1429" s="11" t="inlineStr">
        <is>
          <t>84056</t>
        </is>
      </c>
      <c r="G1429" s="11" t="inlineStr">
        <is>
          <t>Air Force</t>
        </is>
      </c>
      <c r="H1429" s="11" t="inlineStr">
        <is>
          <t>Digital</t>
        </is>
      </c>
      <c r="I1429" s="8" t="inlineStr">
        <is>
          <t>Digital Monitor Network</t>
        </is>
      </c>
      <c r="J1429" s="11" t="inlineStr">
        <is>
          <t>1920pxW x 1080pxH</t>
        </is>
      </c>
      <c r="K1429" s="8" t="inlineStr">
        <is>
          <t>Your ad will appear on 14 monitors in approved installation facilities.</t>
        </is>
      </c>
      <c r="L1429" s="11" t="n">
        <v>3</v>
      </c>
      <c r="M1429" s="12" t="n"/>
      <c r="N1429" s="12" t="n">
        <v>450</v>
      </c>
      <c r="O1429" s="12" t="n">
        <v>900</v>
      </c>
      <c r="P1429" s="12" t="n">
        <v>1500</v>
      </c>
      <c r="Q1429" s="12" t="n">
        <v>0</v>
      </c>
      <c r="R1429" s="13">
        <f>IF(ISNUMBER(M1429),ROUND(M1429/(1-Settings!$B$2)/Settings!$B$3,0)*Settings!$B$3,"")</f>
        <v/>
      </c>
      <c r="S1429" s="13">
        <f>IF(ISNUMBER(N1429),ROUND(N1429/(1-Settings!$B$2)/Settings!$B$3,0)*Settings!$B$3,"")</f>
        <v/>
      </c>
      <c r="T1429" s="13">
        <f>IF(ISNUMBER(O1429),ROUND(O1429/(1-Settings!$B$2)/Settings!$B$3,0)*Settings!$B$3,"")</f>
        <v/>
      </c>
      <c r="U1429" s="13">
        <f>IF(ISNUMBER(P1429),ROUND(P1429/(1-Settings!$B$2)/Settings!$B$3,0)*Settings!$B$3,"")</f>
        <v/>
      </c>
      <c r="V1429" s="13">
        <f>IF(ISNUMBER(Q1429),ROUND(Q1429/(1-Settings!$B$2)/Settings!$B$3,0)*Settings!$B$3,"")</f>
        <v/>
      </c>
      <c r="W1429" s="14" t="n">
        <v>26000</v>
      </c>
      <c r="X1429" s="14" t="n"/>
      <c r="Y1429" s="11" t="inlineStr"/>
      <c r="Z1429" s="11" t="inlineStr"/>
      <c r="AA1429" s="8" t="inlineStr">
        <is>
          <t>Inventory master 6/2026 lists Digital Monitor Network at $150 (1 mo)</t>
        </is>
      </c>
      <c r="AB1429" s="16" t="inlineStr">
        <is>
          <t>Source formula errors</t>
        </is>
      </c>
      <c r="AC1429" s="11" t="inlineStr">
        <is>
          <t>MasterMilitaryOnBaseList 12.2.25 NS.xlsx</t>
        </is>
      </c>
      <c r="AD1429" s="11" t="inlineStr">
        <is>
          <t>2024-2025-Sponsorship-and-Advertising-Packages.pdf</t>
        </is>
      </c>
      <c r="AE1429" s="15" t="inlineStr">
        <is>
          <t>Open in Box</t>
        </is>
      </c>
      <c r="AF1429" s="15" t="inlineStr">
        <is>
          <t>Open in Box</t>
        </is>
      </c>
    </row>
    <row r="1430">
      <c r="A1430" s="11" t="inlineStr">
        <is>
          <t>UT-HILLAFB-003</t>
        </is>
      </c>
      <c r="B1430" s="8" t="inlineStr">
        <is>
          <t>Hill AFB</t>
        </is>
      </c>
      <c r="C1430" s="11" t="inlineStr"/>
      <c r="D1430" s="11" t="inlineStr">
        <is>
          <t>UT</t>
        </is>
      </c>
      <c r="E1430" s="11" t="inlineStr">
        <is>
          <t>Salt Lake City</t>
        </is>
      </c>
      <c r="F1430" s="11" t="inlineStr">
        <is>
          <t>84056</t>
        </is>
      </c>
      <c r="G1430" s="11" t="inlineStr">
        <is>
          <t>Air Force</t>
        </is>
      </c>
      <c r="H1430" s="11" t="inlineStr">
        <is>
          <t>Digital</t>
        </is>
      </c>
      <c r="I1430" s="8" t="inlineStr">
        <is>
          <t>Library Screensaver</t>
        </is>
      </c>
      <c r="J1430" s="11" t="inlineStr">
        <is>
          <t>1920pxW x 1080pxH</t>
        </is>
      </c>
      <c r="K1430" s="8" t="inlineStr">
        <is>
          <t>Your ad will appear on 20 monitors as a computer screenscaver in the library.</t>
        </is>
      </c>
      <c r="L1430" s="11" t="n">
        <v>3</v>
      </c>
      <c r="M1430" s="12" t="n"/>
      <c r="N1430" s="12" t="n">
        <v>300</v>
      </c>
      <c r="O1430" s="12" t="n">
        <v>600</v>
      </c>
      <c r="P1430" s="12" t="n">
        <v>1000</v>
      </c>
      <c r="Q1430" s="12" t="n">
        <v>0</v>
      </c>
      <c r="R1430" s="13">
        <f>IF(ISNUMBER(M1430),ROUND(M1430/(1-Settings!$B$2)/Settings!$B$3,0)*Settings!$B$3,"")</f>
        <v/>
      </c>
      <c r="S1430" s="13">
        <f>IF(ISNUMBER(N1430),ROUND(N1430/(1-Settings!$B$2)/Settings!$B$3,0)*Settings!$B$3,"")</f>
        <v/>
      </c>
      <c r="T1430" s="13">
        <f>IF(ISNUMBER(O1430),ROUND(O1430/(1-Settings!$B$2)/Settings!$B$3,0)*Settings!$B$3,"")</f>
        <v/>
      </c>
      <c r="U1430" s="13">
        <f>IF(ISNUMBER(P1430),ROUND(P1430/(1-Settings!$B$2)/Settings!$B$3,0)*Settings!$B$3,"")</f>
        <v/>
      </c>
      <c r="V1430" s="13">
        <f>IF(ISNUMBER(Q1430),ROUND(Q1430/(1-Settings!$B$2)/Settings!$B$3,0)*Settings!$B$3,"")</f>
        <v/>
      </c>
      <c r="W1430" s="14" t="n">
        <v>26000</v>
      </c>
      <c r="X1430" s="14" t="n"/>
      <c r="Y1430" s="11" t="inlineStr"/>
      <c r="Z1430" s="11" t="inlineStr"/>
      <c r="AA1430" s="8" t="inlineStr"/>
      <c r="AB1430" s="16" t="inlineStr">
        <is>
          <t>Source formula errors</t>
        </is>
      </c>
      <c r="AC1430" s="11" t="inlineStr">
        <is>
          <t>MasterMilitaryOnBaseList 12.2.25 NS.xlsx</t>
        </is>
      </c>
      <c r="AD1430" s="11" t="inlineStr">
        <is>
          <t>2024-2025-Sponsorship-and-Advertising-Packages.pdf</t>
        </is>
      </c>
      <c r="AE1430" s="15" t="inlineStr">
        <is>
          <t>Open in Box</t>
        </is>
      </c>
      <c r="AF1430" s="15" t="inlineStr">
        <is>
          <t>Open in Box</t>
        </is>
      </c>
    </row>
    <row r="1431">
      <c r="A1431" s="11" t="inlineStr">
        <is>
          <t>UT-HILLAFB-008</t>
        </is>
      </c>
      <c r="B1431" s="8" t="inlineStr">
        <is>
          <t>Hill AFB</t>
        </is>
      </c>
      <c r="C1431" s="11" t="inlineStr"/>
      <c r="D1431" s="11" t="inlineStr">
        <is>
          <t>UT</t>
        </is>
      </c>
      <c r="E1431" s="11" t="inlineStr">
        <is>
          <t>Salt Lake City</t>
        </is>
      </c>
      <c r="F1431" s="11" t="inlineStr">
        <is>
          <t>84056</t>
        </is>
      </c>
      <c r="G1431" s="11" t="inlineStr">
        <is>
          <t>Air Force</t>
        </is>
      </c>
      <c r="H1431" s="11" t="inlineStr">
        <is>
          <t>Large Format</t>
        </is>
      </c>
      <c r="I1431" s="8" t="inlineStr">
        <is>
          <t>Wall Cling</t>
        </is>
      </c>
      <c r="J1431" s="11" t="inlineStr">
        <is>
          <t>TBD</t>
        </is>
      </c>
      <c r="K1431" s="8" t="inlineStr">
        <is>
          <t>Your ad will appear at the fitness center.</t>
        </is>
      </c>
      <c r="L1431" s="11" t="n">
        <v>12</v>
      </c>
      <c r="M1431" s="12" t="n"/>
      <c r="N1431" s="12" t="n"/>
      <c r="O1431" s="12" t="n"/>
      <c r="P1431" s="12" t="n">
        <v>2000</v>
      </c>
      <c r="Q1431" s="12" t="n"/>
      <c r="R1431" s="13">
        <f>IF(ISNUMBER(M1431),ROUND(M1431/(1-Settings!$B$2)/Settings!$B$3,0)*Settings!$B$3,"")</f>
        <v/>
      </c>
      <c r="S1431" s="13">
        <f>IF(ISNUMBER(N1431),ROUND(N1431/(1-Settings!$B$2)/Settings!$B$3,0)*Settings!$B$3,"")</f>
        <v/>
      </c>
      <c r="T1431" s="13">
        <f>IF(ISNUMBER(O1431),ROUND(O1431/(1-Settings!$B$2)/Settings!$B$3,0)*Settings!$B$3,"")</f>
        <v/>
      </c>
      <c r="U1431" s="13">
        <f>IF(ISNUMBER(P1431),ROUND(P1431/(1-Settings!$B$2)/Settings!$B$3,0)*Settings!$B$3,"")</f>
        <v/>
      </c>
      <c r="V1431" s="13">
        <f>IF(ISNUMBER(Q1431),ROUND(Q1431/(1-Settings!$B$2)/Settings!$B$3,0)*Settings!$B$3,"")</f>
        <v/>
      </c>
      <c r="W1431" s="14" t="n">
        <v>26000</v>
      </c>
      <c r="X1431" s="14" t="n"/>
      <c r="Y1431" s="11" t="inlineStr"/>
      <c r="Z1431" s="11" t="inlineStr"/>
      <c r="AA1431" s="8" t="inlineStr"/>
      <c r="AB1431" s="16" t="inlineStr">
        <is>
          <t>Source formula errors</t>
        </is>
      </c>
      <c r="AC1431" s="11" t="inlineStr">
        <is>
          <t>MasterMilitaryOnBaseList 12.2.25 NS.xlsx</t>
        </is>
      </c>
      <c r="AD1431" s="11" t="inlineStr">
        <is>
          <t>2024-2025-Sponsorship-and-Advertising-Packages.pdf</t>
        </is>
      </c>
      <c r="AE1431" s="15" t="inlineStr">
        <is>
          <t>Open in Box</t>
        </is>
      </c>
      <c r="AF1431" s="15" t="inlineStr">
        <is>
          <t>Open in Box</t>
        </is>
      </c>
    </row>
    <row r="1432">
      <c r="A1432" s="11" t="inlineStr">
        <is>
          <t>UT-HILLAFB-009</t>
        </is>
      </c>
      <c r="B1432" s="8" t="inlineStr">
        <is>
          <t>Hill AFB</t>
        </is>
      </c>
      <c r="C1432" s="11" t="inlineStr"/>
      <c r="D1432" s="11" t="inlineStr">
        <is>
          <t>UT</t>
        </is>
      </c>
      <c r="E1432" s="11" t="inlineStr">
        <is>
          <t>Salt Lake City</t>
        </is>
      </c>
      <c r="F1432" s="11" t="inlineStr">
        <is>
          <t>84056</t>
        </is>
      </c>
      <c r="G1432" s="11" t="inlineStr">
        <is>
          <t>Air Force</t>
        </is>
      </c>
      <c r="H1432" s="11" t="inlineStr">
        <is>
          <t>Print &amp; Publications</t>
        </is>
      </c>
      <c r="I1432" s="8" t="inlineStr">
        <is>
          <t>Flyers</t>
        </is>
      </c>
      <c r="J1432" s="11" t="inlineStr">
        <is>
          <t>8.5"W x 11"H</t>
        </is>
      </c>
      <c r="K1432" s="8" t="inlineStr">
        <is>
          <t>Your ad will appear in an approved installation facility.</t>
        </is>
      </c>
      <c r="L1432" s="11" t="n">
        <v>1</v>
      </c>
      <c r="M1432" s="12" t="n">
        <v>25</v>
      </c>
      <c r="N1432" s="12" t="n">
        <v>75</v>
      </c>
      <c r="O1432" s="12" t="n">
        <v>150</v>
      </c>
      <c r="P1432" s="12" t="n">
        <v>300</v>
      </c>
      <c r="Q1432" s="12" t="n"/>
      <c r="R1432" s="13">
        <f>IF(ISNUMBER(M1432),ROUND(M1432/(1-Settings!$B$2)/Settings!$B$3,0)*Settings!$B$3,"")</f>
        <v/>
      </c>
      <c r="S1432" s="13">
        <f>IF(ISNUMBER(N1432),ROUND(N1432/(1-Settings!$B$2)/Settings!$B$3,0)*Settings!$B$3,"")</f>
        <v/>
      </c>
      <c r="T1432" s="13">
        <f>IF(ISNUMBER(O1432),ROUND(O1432/(1-Settings!$B$2)/Settings!$B$3,0)*Settings!$B$3,"")</f>
        <v/>
      </c>
      <c r="U1432" s="13">
        <f>IF(ISNUMBER(P1432),ROUND(P1432/(1-Settings!$B$2)/Settings!$B$3,0)*Settings!$B$3,"")</f>
        <v/>
      </c>
      <c r="V1432" s="13">
        <f>IF(ISNUMBER(Q1432),ROUND(Q1432/(1-Settings!$B$2)/Settings!$B$3,0)*Settings!$B$3,"")</f>
        <v/>
      </c>
      <c r="W1432" s="14" t="n">
        <v>26000</v>
      </c>
      <c r="X1432" s="14" t="n"/>
      <c r="Y1432" s="11" t="inlineStr"/>
      <c r="Z1432" s="11" t="inlineStr"/>
      <c r="AA1432" s="8" t="inlineStr"/>
      <c r="AB1432" s="8" t="inlineStr"/>
      <c r="AC1432" s="11" t="inlineStr">
        <is>
          <t>MasterMilitaryOnBaseList 12.2.25 NS.xlsx</t>
        </is>
      </c>
      <c r="AD1432" s="11" t="inlineStr">
        <is>
          <t>2024-2025-Sponsorship-and-Advertising-Packages.pdf</t>
        </is>
      </c>
      <c r="AE1432" s="15" t="inlineStr">
        <is>
          <t>Open in Box</t>
        </is>
      </c>
      <c r="AF1432" s="15" t="inlineStr">
        <is>
          <t>Open in Box</t>
        </is>
      </c>
    </row>
    <row r="1433">
      <c r="A1433" s="11" t="inlineStr">
        <is>
          <t>UT-HILLAFB-010</t>
        </is>
      </c>
      <c r="B1433" s="8" t="inlineStr">
        <is>
          <t>Hill AFB</t>
        </is>
      </c>
      <c r="C1433" s="11" t="inlineStr"/>
      <c r="D1433" s="11" t="inlineStr">
        <is>
          <t>UT</t>
        </is>
      </c>
      <c r="E1433" s="11" t="inlineStr">
        <is>
          <t>Salt Lake City</t>
        </is>
      </c>
      <c r="F1433" s="11" t="inlineStr">
        <is>
          <t>84056</t>
        </is>
      </c>
      <c r="G1433" s="11" t="inlineStr">
        <is>
          <t>Air Force</t>
        </is>
      </c>
      <c r="H1433" s="11" t="inlineStr">
        <is>
          <t>Print &amp; Publications</t>
        </is>
      </c>
      <c r="I1433" s="8" t="inlineStr">
        <is>
          <t>Golf Score Card</t>
        </is>
      </c>
      <c r="J1433" s="11" t="inlineStr">
        <is>
          <t>TBD</t>
        </is>
      </c>
      <c r="K1433" s="8" t="inlineStr">
        <is>
          <t>Your ad will appear on the golf course score card and pencil set.</t>
        </is>
      </c>
      <c r="L1433" s="11" t="n">
        <v>12</v>
      </c>
      <c r="M1433" s="12" t="n"/>
      <c r="N1433" s="12" t="n"/>
      <c r="O1433" s="12" t="n"/>
      <c r="P1433" s="12" t="n">
        <v>2000</v>
      </c>
      <c r="Q1433" s="12" t="n">
        <v>0</v>
      </c>
      <c r="R1433" s="13">
        <f>IF(ISNUMBER(M1433),ROUND(M1433/(1-Settings!$B$2)/Settings!$B$3,0)*Settings!$B$3,"")</f>
        <v/>
      </c>
      <c r="S1433" s="13">
        <f>IF(ISNUMBER(N1433),ROUND(N1433/(1-Settings!$B$2)/Settings!$B$3,0)*Settings!$B$3,"")</f>
        <v/>
      </c>
      <c r="T1433" s="13">
        <f>IF(ISNUMBER(O1433),ROUND(O1433/(1-Settings!$B$2)/Settings!$B$3,0)*Settings!$B$3,"")</f>
        <v/>
      </c>
      <c r="U1433" s="13">
        <f>IF(ISNUMBER(P1433),ROUND(P1433/(1-Settings!$B$2)/Settings!$B$3,0)*Settings!$B$3,"")</f>
        <v/>
      </c>
      <c r="V1433" s="13">
        <f>IF(ISNUMBER(Q1433),ROUND(Q1433/(1-Settings!$B$2)/Settings!$B$3,0)*Settings!$B$3,"")</f>
        <v/>
      </c>
      <c r="W1433" s="14" t="n">
        <v>26000</v>
      </c>
      <c r="X1433" s="14" t="n"/>
      <c r="Y1433" s="11" t="inlineStr"/>
      <c r="Z1433" s="11" t="inlineStr"/>
      <c r="AA1433" s="8" t="inlineStr">
        <is>
          <t>Inventory master 6/2026 lists Golf Scorecard Ad at $2,000 (1 mo)</t>
        </is>
      </c>
      <c r="AB1433" s="16" t="inlineStr">
        <is>
          <t>Source formula errors</t>
        </is>
      </c>
      <c r="AC1433" s="11" t="inlineStr">
        <is>
          <t>MasterMilitaryOnBaseList 12.2.25 NS.xlsx</t>
        </is>
      </c>
      <c r="AD1433" s="11" t="inlineStr">
        <is>
          <t>2024-2025-Sponsorship-and-Advertising-Packages.pdf</t>
        </is>
      </c>
      <c r="AE1433" s="15" t="inlineStr">
        <is>
          <t>Open in Box</t>
        </is>
      </c>
      <c r="AF1433" s="15" t="inlineStr">
        <is>
          <t>Open in Box</t>
        </is>
      </c>
    </row>
    <row r="1434">
      <c r="A1434" s="11" t="inlineStr">
        <is>
          <t>UT-HILLAFB-004</t>
        </is>
      </c>
      <c r="B1434" s="8" t="inlineStr">
        <is>
          <t>Hill AFB</t>
        </is>
      </c>
      <c r="C1434" s="11" t="inlineStr"/>
      <c r="D1434" s="11" t="inlineStr">
        <is>
          <t>UT</t>
        </is>
      </c>
      <c r="E1434" s="11" t="inlineStr">
        <is>
          <t>Salt Lake City</t>
        </is>
      </c>
      <c r="F1434" s="11" t="inlineStr">
        <is>
          <t>84056</t>
        </is>
      </c>
      <c r="G1434" s="11" t="inlineStr">
        <is>
          <t>Air Force</t>
        </is>
      </c>
      <c r="H1434" s="11" t="inlineStr">
        <is>
          <t>Standard Media</t>
        </is>
      </c>
      <c r="I1434" s="8" t="inlineStr">
        <is>
          <t>Banners</t>
        </is>
      </c>
      <c r="J1434" s="11" t="inlineStr">
        <is>
          <t>4'W x 8'H</t>
        </is>
      </c>
      <c r="K1434" s="8" t="inlineStr">
        <is>
          <t>Your ad will appear in an approved installation facility.</t>
        </is>
      </c>
      <c r="L1434" s="11" t="n">
        <v>6</v>
      </c>
      <c r="M1434" s="12" t="n"/>
      <c r="N1434" s="12" t="n"/>
      <c r="O1434" s="12" t="n">
        <v>900</v>
      </c>
      <c r="P1434" s="12" t="n">
        <v>1500</v>
      </c>
      <c r="Q1434" s="12" t="n">
        <v>300</v>
      </c>
      <c r="R1434" s="13">
        <f>IF(ISNUMBER(M1434),ROUND(M1434/(1-Settings!$B$2)/Settings!$B$3,0)*Settings!$B$3,"")</f>
        <v/>
      </c>
      <c r="S1434" s="13">
        <f>IF(ISNUMBER(N1434),ROUND(N1434/(1-Settings!$B$2)/Settings!$B$3,0)*Settings!$B$3,"")</f>
        <v/>
      </c>
      <c r="T1434" s="13">
        <f>IF(ISNUMBER(O1434),ROUND(O1434/(1-Settings!$B$2)/Settings!$B$3,0)*Settings!$B$3,"")</f>
        <v/>
      </c>
      <c r="U1434" s="13">
        <f>IF(ISNUMBER(P1434),ROUND(P1434/(1-Settings!$B$2)/Settings!$B$3,0)*Settings!$B$3,"")</f>
        <v/>
      </c>
      <c r="V1434" s="13">
        <f>IF(ISNUMBER(Q1434),ROUND(Q1434/(1-Settings!$B$2)/Settings!$B$3,0)*Settings!$B$3,"")</f>
        <v/>
      </c>
      <c r="W1434" s="14" t="n">
        <v>26000</v>
      </c>
      <c r="X1434" s="14" t="n"/>
      <c r="Y1434" s="11" t="inlineStr"/>
      <c r="Z1434" s="11" t="inlineStr"/>
      <c r="AA1434" s="8" t="inlineStr"/>
      <c r="AB1434" s="16" t="inlineStr">
        <is>
          <t>Source formula errors</t>
        </is>
      </c>
      <c r="AC1434" s="11" t="inlineStr">
        <is>
          <t>MasterMilitaryOnBaseList 12.2.25 NS.xlsx</t>
        </is>
      </c>
      <c r="AD1434" s="11" t="inlineStr">
        <is>
          <t>2024-2025-Sponsorship-and-Advertising-Packages.pdf</t>
        </is>
      </c>
      <c r="AE1434" s="15" t="inlineStr">
        <is>
          <t>Open in Box</t>
        </is>
      </c>
      <c r="AF1434" s="15" t="inlineStr">
        <is>
          <t>Open in Box</t>
        </is>
      </c>
    </row>
    <row r="1435">
      <c r="A1435" s="11" t="inlineStr">
        <is>
          <t>UT-HILLAFB-005</t>
        </is>
      </c>
      <c r="B1435" s="8" t="inlineStr">
        <is>
          <t>Hill AFB</t>
        </is>
      </c>
      <c r="C1435" s="11" t="inlineStr"/>
      <c r="D1435" s="11" t="inlineStr">
        <is>
          <t>UT</t>
        </is>
      </c>
      <c r="E1435" s="11" t="inlineStr">
        <is>
          <t>Salt Lake City</t>
        </is>
      </c>
      <c r="F1435" s="11" t="inlineStr">
        <is>
          <t>84056</t>
        </is>
      </c>
      <c r="G1435" s="11" t="inlineStr">
        <is>
          <t>Air Force</t>
        </is>
      </c>
      <c r="H1435" s="11" t="inlineStr">
        <is>
          <t>Standard Media</t>
        </is>
      </c>
      <c r="I1435" s="8" t="inlineStr">
        <is>
          <t>Golf Tee Box Marker</t>
        </is>
      </c>
      <c r="J1435" s="11" t="inlineStr">
        <is>
          <t>12"W x 12"H</t>
        </is>
      </c>
      <c r="K1435" s="8" t="inlineStr">
        <is>
          <t>Your ad will appear on a golf course tee box.</t>
        </is>
      </c>
      <c r="L1435" s="11" t="n">
        <v>12</v>
      </c>
      <c r="M1435" s="12" t="n"/>
      <c r="N1435" s="12" t="n"/>
      <c r="O1435" s="12" t="n"/>
      <c r="P1435" s="12" t="n">
        <v>200</v>
      </c>
      <c r="Q1435" s="12" t="n"/>
      <c r="R1435" s="13">
        <f>IF(ISNUMBER(M1435),ROUND(M1435/(1-Settings!$B$2)/Settings!$B$3,0)*Settings!$B$3,"")</f>
        <v/>
      </c>
      <c r="S1435" s="13">
        <f>IF(ISNUMBER(N1435),ROUND(N1435/(1-Settings!$B$2)/Settings!$B$3,0)*Settings!$B$3,"")</f>
        <v/>
      </c>
      <c r="T1435" s="13">
        <f>IF(ISNUMBER(O1435),ROUND(O1435/(1-Settings!$B$2)/Settings!$B$3,0)*Settings!$B$3,"")</f>
        <v/>
      </c>
      <c r="U1435" s="13">
        <f>IF(ISNUMBER(P1435),ROUND(P1435/(1-Settings!$B$2)/Settings!$B$3,0)*Settings!$B$3,"")</f>
        <v/>
      </c>
      <c r="V1435" s="13">
        <f>IF(ISNUMBER(Q1435),ROUND(Q1435/(1-Settings!$B$2)/Settings!$B$3,0)*Settings!$B$3,"")</f>
        <v/>
      </c>
      <c r="W1435" s="14" t="n">
        <v>26000</v>
      </c>
      <c r="X1435" s="14" t="n"/>
      <c r="Y1435" s="11" t="inlineStr"/>
      <c r="Z1435" s="11" t="inlineStr"/>
      <c r="AA1435" s="8" t="inlineStr"/>
      <c r="AB1435" s="16" t="inlineStr">
        <is>
          <t>Source formula errors</t>
        </is>
      </c>
      <c r="AC1435" s="11" t="inlineStr">
        <is>
          <t>MasterMilitaryOnBaseList 12.2.25 NS.xlsx</t>
        </is>
      </c>
      <c r="AD1435" s="11" t="inlineStr">
        <is>
          <t>2024-2025-Sponsorship-and-Advertising-Packages.pdf</t>
        </is>
      </c>
      <c r="AE1435" s="15" t="inlineStr">
        <is>
          <t>Open in Box</t>
        </is>
      </c>
      <c r="AF1435" s="15" t="inlineStr">
        <is>
          <t>Open in Box</t>
        </is>
      </c>
    </row>
    <row r="1436">
      <c r="A1436" s="11" t="inlineStr">
        <is>
          <t>UT-HILLAFB-006</t>
        </is>
      </c>
      <c r="B1436" s="8" t="inlineStr">
        <is>
          <t>Hill AFB</t>
        </is>
      </c>
      <c r="C1436" s="11" t="inlineStr"/>
      <c r="D1436" s="11" t="inlineStr">
        <is>
          <t>UT</t>
        </is>
      </c>
      <c r="E1436" s="11" t="inlineStr">
        <is>
          <t>Salt Lake City</t>
        </is>
      </c>
      <c r="F1436" s="11" t="inlineStr">
        <is>
          <t>84056</t>
        </is>
      </c>
      <c r="G1436" s="11" t="inlineStr">
        <is>
          <t>Air Force</t>
        </is>
      </c>
      <c r="H1436" s="11" t="inlineStr">
        <is>
          <t>Standard Media</t>
        </is>
      </c>
      <c r="I1436" s="8" t="inlineStr">
        <is>
          <t>Outdoor Banners</t>
        </is>
      </c>
      <c r="J1436" s="11" t="inlineStr">
        <is>
          <t>4'W x 8'H</t>
        </is>
      </c>
      <c r="K1436" s="8" t="inlineStr">
        <is>
          <t>Your ad will appear at an approved installation facility.</t>
        </is>
      </c>
      <c r="L1436" s="11" t="n">
        <v>6</v>
      </c>
      <c r="M1436" s="12" t="n"/>
      <c r="N1436" s="12" t="n"/>
      <c r="O1436" s="12" t="n">
        <v>900</v>
      </c>
      <c r="P1436" s="12" t="n">
        <v>1500</v>
      </c>
      <c r="Q1436" s="12" t="n">
        <v>300</v>
      </c>
      <c r="R1436" s="13">
        <f>IF(ISNUMBER(M1436),ROUND(M1436/(1-Settings!$B$2)/Settings!$B$3,0)*Settings!$B$3,"")</f>
        <v/>
      </c>
      <c r="S1436" s="13">
        <f>IF(ISNUMBER(N1436),ROUND(N1436/(1-Settings!$B$2)/Settings!$B$3,0)*Settings!$B$3,"")</f>
        <v/>
      </c>
      <c r="T1436" s="13">
        <f>IF(ISNUMBER(O1436),ROUND(O1436/(1-Settings!$B$2)/Settings!$B$3,0)*Settings!$B$3,"")</f>
        <v/>
      </c>
      <c r="U1436" s="13">
        <f>IF(ISNUMBER(P1436),ROUND(P1436/(1-Settings!$B$2)/Settings!$B$3,0)*Settings!$B$3,"")</f>
        <v/>
      </c>
      <c r="V1436" s="13">
        <f>IF(ISNUMBER(Q1436),ROUND(Q1436/(1-Settings!$B$2)/Settings!$B$3,0)*Settings!$B$3,"")</f>
        <v/>
      </c>
      <c r="W1436" s="14" t="n">
        <v>26000</v>
      </c>
      <c r="X1436" s="14" t="n"/>
      <c r="Y1436" s="11" t="inlineStr"/>
      <c r="Z1436" s="11" t="inlineStr"/>
      <c r="AA1436" s="8" t="inlineStr"/>
      <c r="AB1436" s="16" t="inlineStr">
        <is>
          <t>Source formula errors</t>
        </is>
      </c>
      <c r="AC1436" s="11" t="inlineStr">
        <is>
          <t>MasterMilitaryOnBaseList 12.2.25 NS.xlsx</t>
        </is>
      </c>
      <c r="AD1436" s="11" t="inlineStr">
        <is>
          <t>2024-2025-Sponsorship-and-Advertising-Packages.pdf</t>
        </is>
      </c>
      <c r="AE1436" s="15" t="inlineStr">
        <is>
          <t>Open in Box</t>
        </is>
      </c>
      <c r="AF1436" s="15" t="inlineStr">
        <is>
          <t>Open in Box</t>
        </is>
      </c>
    </row>
    <row r="1437">
      <c r="A1437" s="11" t="inlineStr">
        <is>
          <t>UT-HILLAFB-007</t>
        </is>
      </c>
      <c r="B1437" s="8" t="inlineStr">
        <is>
          <t>Hill AFB</t>
        </is>
      </c>
      <c r="C1437" s="11" t="inlineStr"/>
      <c r="D1437" s="11" t="inlineStr">
        <is>
          <t>UT</t>
        </is>
      </c>
      <c r="E1437" s="11" t="inlineStr">
        <is>
          <t>Salt Lake City</t>
        </is>
      </c>
      <c r="F1437" s="11" t="inlineStr">
        <is>
          <t>84056</t>
        </is>
      </c>
      <c r="G1437" s="11" t="inlineStr">
        <is>
          <t>Air Force</t>
        </is>
      </c>
      <c r="H1437" s="11" t="inlineStr">
        <is>
          <t>Standard Media</t>
        </is>
      </c>
      <c r="I1437" s="8" t="inlineStr">
        <is>
          <t>Vertical Banner</t>
        </is>
      </c>
      <c r="J1437" s="11" t="inlineStr">
        <is>
          <t>TBD</t>
        </is>
      </c>
      <c r="K1437" s="8" t="inlineStr">
        <is>
          <t>Your ad will appear in an approved installation facility.</t>
        </is>
      </c>
      <c r="L1437" s="11" t="n">
        <v>6</v>
      </c>
      <c r="M1437" s="12" t="n"/>
      <c r="N1437" s="12" t="n"/>
      <c r="O1437" s="12" t="n">
        <v>900</v>
      </c>
      <c r="P1437" s="12" t="n">
        <v>1500</v>
      </c>
      <c r="Q1437" s="12" t="n">
        <v>300</v>
      </c>
      <c r="R1437" s="13">
        <f>IF(ISNUMBER(M1437),ROUND(M1437/(1-Settings!$B$2)/Settings!$B$3,0)*Settings!$B$3,"")</f>
        <v/>
      </c>
      <c r="S1437" s="13">
        <f>IF(ISNUMBER(N1437),ROUND(N1437/(1-Settings!$B$2)/Settings!$B$3,0)*Settings!$B$3,"")</f>
        <v/>
      </c>
      <c r="T1437" s="13">
        <f>IF(ISNUMBER(O1437),ROUND(O1437/(1-Settings!$B$2)/Settings!$B$3,0)*Settings!$B$3,"")</f>
        <v/>
      </c>
      <c r="U1437" s="13">
        <f>IF(ISNUMBER(P1437),ROUND(P1437/(1-Settings!$B$2)/Settings!$B$3,0)*Settings!$B$3,"")</f>
        <v/>
      </c>
      <c r="V1437" s="13">
        <f>IF(ISNUMBER(Q1437),ROUND(Q1437/(1-Settings!$B$2)/Settings!$B$3,0)*Settings!$B$3,"")</f>
        <v/>
      </c>
      <c r="W1437" s="14" t="n">
        <v>26000</v>
      </c>
      <c r="X1437" s="14" t="n"/>
      <c r="Y1437" s="11" t="inlineStr"/>
      <c r="Z1437" s="11" t="inlineStr"/>
      <c r="AA1437" s="8" t="inlineStr"/>
      <c r="AB1437" s="16" t="inlineStr">
        <is>
          <t>Source formula errors</t>
        </is>
      </c>
      <c r="AC1437" s="11" t="inlineStr">
        <is>
          <t>MasterMilitaryOnBaseList 12.2.25 NS.xlsx</t>
        </is>
      </c>
      <c r="AD1437" s="11" t="inlineStr">
        <is>
          <t>2024-2025-Sponsorship-and-Advertising-Packages.pdf</t>
        </is>
      </c>
      <c r="AE1437" s="15" t="inlineStr">
        <is>
          <t>Open in Box</t>
        </is>
      </c>
      <c r="AF1437" s="15" t="inlineStr">
        <is>
          <t>Open in Box</t>
        </is>
      </c>
    </row>
    <row r="1438">
      <c r="A1438" s="11" t="inlineStr">
        <is>
          <t>UT-HILLAFB-011</t>
        </is>
      </c>
      <c r="B1438" s="8" t="inlineStr">
        <is>
          <t>Hill AFB</t>
        </is>
      </c>
      <c r="C1438" s="11" t="inlineStr"/>
      <c r="D1438" s="11" t="inlineStr">
        <is>
          <t>UT</t>
        </is>
      </c>
      <c r="E1438" s="11" t="inlineStr">
        <is>
          <t>Salt Lake City</t>
        </is>
      </c>
      <c r="F1438" s="11" t="inlineStr"/>
      <c r="G1438" s="11" t="inlineStr">
        <is>
          <t>Air Force</t>
        </is>
      </c>
      <c r="H1438" s="11" t="inlineStr">
        <is>
          <t>Web &amp; Email</t>
        </is>
      </c>
      <c r="I1438" s="8" t="inlineStr">
        <is>
          <t>Web Ad</t>
        </is>
      </c>
      <c r="J1438" s="11" t="inlineStr"/>
      <c r="K1438" s="8" t="inlineStr">
        <is>
          <t>Your ad will appear on the installation MWR / FSS website.</t>
        </is>
      </c>
      <c r="L1438" s="11" t="n">
        <v>1</v>
      </c>
      <c r="M1438" s="12" t="n">
        <v>750</v>
      </c>
      <c r="N1438" s="12" t="n"/>
      <c r="O1438" s="12" t="n"/>
      <c r="P1438" s="12" t="n"/>
      <c r="Q1438" s="12" t="n"/>
      <c r="R1438" s="13">
        <f>IF(ISNUMBER(M1438),ROUND(M1438/(1-Settings!$B$2)/Settings!$B$3,0)*Settings!$B$3,"")</f>
        <v/>
      </c>
      <c r="S1438" s="13">
        <f>IF(ISNUMBER(N1438),ROUND(N1438/(1-Settings!$B$2)/Settings!$B$3,0)*Settings!$B$3,"")</f>
        <v/>
      </c>
      <c r="T1438" s="13">
        <f>IF(ISNUMBER(O1438),ROUND(O1438/(1-Settings!$B$2)/Settings!$B$3,0)*Settings!$B$3,"")</f>
        <v/>
      </c>
      <c r="U1438" s="13">
        <f>IF(ISNUMBER(P1438),ROUND(P1438/(1-Settings!$B$2)/Settings!$B$3,0)*Settings!$B$3,"")</f>
        <v/>
      </c>
      <c r="V1438" s="13">
        <f>IF(ISNUMBER(Q1438),ROUND(Q1438/(1-Settings!$B$2)/Settings!$B$3,0)*Settings!$B$3,"")</f>
        <v/>
      </c>
      <c r="W1438" s="14" t="n">
        <v>26000</v>
      </c>
      <c r="X1438" s="14" t="n"/>
      <c r="Y1438" s="11" t="inlineStr">
        <is>
          <t>2026</t>
        </is>
      </c>
      <c r="Z1438" s="11" t="inlineStr">
        <is>
          <t>2026-06</t>
        </is>
      </c>
      <c r="AA1438" s="8" t="inlineStr">
        <is>
          <t>Seasonal Approx.. 20K printed</t>
        </is>
      </c>
      <c r="AB1438" s="8" t="inlineStr"/>
      <c r="AC1438" s="11" t="inlineStr">
        <is>
          <t>Military - National Publication Inventory Master_June 2026.xlsx</t>
        </is>
      </c>
      <c r="AD1438" s="11" t="inlineStr">
        <is>
          <t>2024-2025-Sponsorship-and-Advertising-Packages.pdf</t>
        </is>
      </c>
      <c r="AE1438" s="15" t="inlineStr">
        <is>
          <t>Open in Box</t>
        </is>
      </c>
      <c r="AF1438" s="15" t="inlineStr">
        <is>
          <t>Open in Box</t>
        </is>
      </c>
    </row>
    <row r="1439">
      <c r="A1439" s="11" t="inlineStr">
        <is>
          <t>VA-CAMPELMO-001</t>
        </is>
      </c>
      <c r="B1439" s="8" t="inlineStr">
        <is>
          <t>Camp Elmore</t>
        </is>
      </c>
      <c r="C1439" s="11" t="inlineStr"/>
      <c r="D1439" s="11" t="inlineStr">
        <is>
          <t>VA</t>
        </is>
      </c>
      <c r="E1439" s="11" t="inlineStr">
        <is>
          <t>Norfolk-Portsmth-Newpt Nws</t>
        </is>
      </c>
      <c r="F1439" s="11" t="inlineStr">
        <is>
          <t>23515</t>
        </is>
      </c>
      <c r="G1439" s="11" t="inlineStr">
        <is>
          <t>Marine Corps</t>
        </is>
      </c>
      <c r="H1439" s="11" t="inlineStr">
        <is>
          <t>Digital</t>
        </is>
      </c>
      <c r="I1439" s="8" t="inlineStr">
        <is>
          <t>Digital Display Network</t>
        </is>
      </c>
      <c r="J1439" s="11" t="inlineStr">
        <is>
          <t>1920pxw x 1080pxh; 1080pxw x 1920pxh</t>
        </is>
      </c>
      <c r="K1439" s="8" t="inlineStr">
        <is>
          <t>Package of 1 digital monitor and 5 vertical digital displays.</t>
        </is>
      </c>
      <c r="L1439" s="11" t="n">
        <v>1</v>
      </c>
      <c r="M1439" s="12" t="n">
        <v>250</v>
      </c>
      <c r="N1439" s="12" t="n">
        <v>750</v>
      </c>
      <c r="O1439" s="12" t="n">
        <v>1500</v>
      </c>
      <c r="P1439" s="12" t="n">
        <v>3000</v>
      </c>
      <c r="Q1439" s="12" t="n">
        <v>0</v>
      </c>
      <c r="R1439" s="13">
        <f>IF(ISNUMBER(M1439),ROUND(M1439/(1-Settings!$B$2)/Settings!$B$3,0)*Settings!$B$3,"")</f>
        <v/>
      </c>
      <c r="S1439" s="13">
        <f>IF(ISNUMBER(N1439),ROUND(N1439/(1-Settings!$B$2)/Settings!$B$3,0)*Settings!$B$3,"")</f>
        <v/>
      </c>
      <c r="T1439" s="13">
        <f>IF(ISNUMBER(O1439),ROUND(O1439/(1-Settings!$B$2)/Settings!$B$3,0)*Settings!$B$3,"")</f>
        <v/>
      </c>
      <c r="U1439" s="13">
        <f>IF(ISNUMBER(P1439),ROUND(P1439/(1-Settings!$B$2)/Settings!$B$3,0)*Settings!$B$3,"")</f>
        <v/>
      </c>
      <c r="V1439" s="13">
        <f>IF(ISNUMBER(Q1439),ROUND(Q1439/(1-Settings!$B$2)/Settings!$B$3,0)*Settings!$B$3,"")</f>
        <v/>
      </c>
      <c r="W1439" s="14" t="n"/>
      <c r="X1439" s="14" t="n"/>
      <c r="Y1439" s="11" t="inlineStr">
        <is>
          <t>2025</t>
        </is>
      </c>
      <c r="Z1439" s="11" t="inlineStr"/>
      <c r="AA1439" s="8" t="inlineStr"/>
      <c r="AB1439" s="8" t="inlineStr"/>
      <c r="AC1439" s="11" t="inlineStr">
        <is>
          <t>MasterMilitaryOnBaseList 12.2.25 NS.xlsx</t>
        </is>
      </c>
      <c r="AD1439" s="11" t="inlineStr">
        <is>
          <t>2026 MCCS HR Sponsorship_Advertising_Opportunities.pdf</t>
        </is>
      </c>
      <c r="AE1439" s="15" t="inlineStr">
        <is>
          <t>Open in Box</t>
        </is>
      </c>
      <c r="AF1439" s="15" t="inlineStr">
        <is>
          <t>Open in Box</t>
        </is>
      </c>
    </row>
    <row r="1440">
      <c r="A1440" s="11" t="inlineStr">
        <is>
          <t>VA-CAMPELMO-002</t>
        </is>
      </c>
      <c r="B1440" s="8" t="inlineStr">
        <is>
          <t>Camp Elmore</t>
        </is>
      </c>
      <c r="C1440" s="11" t="inlineStr"/>
      <c r="D1440" s="11" t="inlineStr">
        <is>
          <t>VA</t>
        </is>
      </c>
      <c r="E1440" s="11" t="inlineStr">
        <is>
          <t>Norfolk-Portsmth-Newpt Nws</t>
        </is>
      </c>
      <c r="F1440" s="11" t="inlineStr"/>
      <c r="G1440" s="11" t="inlineStr">
        <is>
          <t>Marine Corps</t>
        </is>
      </c>
      <c r="H1440" s="11" t="inlineStr">
        <is>
          <t>Web &amp; Email</t>
        </is>
      </c>
      <c r="I1440" s="8" t="inlineStr">
        <is>
          <t>Web Ad</t>
        </is>
      </c>
      <c r="J1440" s="11" t="inlineStr"/>
      <c r="K1440" s="8" t="inlineStr">
        <is>
          <t>Your ad will appear on the installation MWR / FSS website.</t>
        </is>
      </c>
      <c r="L1440" s="11" t="n">
        <v>6</v>
      </c>
      <c r="M1440" s="12" t="n"/>
      <c r="N1440" s="12" t="n"/>
      <c r="O1440" s="12" t="n">
        <v>4500</v>
      </c>
      <c r="P1440" s="12" t="n"/>
      <c r="Q1440" s="12" t="n"/>
      <c r="R1440" s="13">
        <f>IF(ISNUMBER(M1440),ROUND(M1440/(1-Settings!$B$2)/Settings!$B$3,0)*Settings!$B$3,"")</f>
        <v/>
      </c>
      <c r="S1440" s="13">
        <f>IF(ISNUMBER(N1440),ROUND(N1440/(1-Settings!$B$2)/Settings!$B$3,0)*Settings!$B$3,"")</f>
        <v/>
      </c>
      <c r="T1440" s="13">
        <f>IF(ISNUMBER(O1440),ROUND(O1440/(1-Settings!$B$2)/Settings!$B$3,0)*Settings!$B$3,"")</f>
        <v/>
      </c>
      <c r="U1440" s="13">
        <f>IF(ISNUMBER(P1440),ROUND(P1440/(1-Settings!$B$2)/Settings!$B$3,0)*Settings!$B$3,"")</f>
        <v/>
      </c>
      <c r="V1440" s="13">
        <f>IF(ISNUMBER(Q1440),ROUND(Q1440/(1-Settings!$B$2)/Settings!$B$3,0)*Settings!$B$3,"")</f>
        <v/>
      </c>
      <c r="W1440" s="14" t="n"/>
      <c r="X1440" s="14" t="n"/>
      <c r="Y1440" s="11" t="inlineStr">
        <is>
          <t>2026</t>
        </is>
      </c>
      <c r="Z1440" s="11" t="inlineStr">
        <is>
          <t>2026-06</t>
        </is>
      </c>
      <c r="AA1440" s="8" t="inlineStr">
        <is>
          <t>6-month commitment</t>
        </is>
      </c>
      <c r="AB1440" s="8" t="inlineStr"/>
      <c r="AC1440" s="11" t="inlineStr">
        <is>
          <t>Military - National Publication Inventory Master_June 2026.xlsx</t>
        </is>
      </c>
      <c r="AD1440" s="11" t="inlineStr">
        <is>
          <t>2026 MCCS HR Sponsorship_Advertising_Opportunities.pdf</t>
        </is>
      </c>
      <c r="AE1440" s="15" t="inlineStr">
        <is>
          <t>Open in Box</t>
        </is>
      </c>
      <c r="AF1440" s="15" t="inlineStr">
        <is>
          <t>Open in Box</t>
        </is>
      </c>
    </row>
    <row r="1441">
      <c r="A1441" s="11" t="inlineStr">
        <is>
          <t>VA-CHEATHAM-001</t>
        </is>
      </c>
      <c r="B1441" s="8" t="inlineStr">
        <is>
          <t>Cheatham Annex</t>
        </is>
      </c>
      <c r="C1441" s="11" t="inlineStr"/>
      <c r="D1441" s="11" t="inlineStr">
        <is>
          <t>VA</t>
        </is>
      </c>
      <c r="E1441" s="11" t="inlineStr">
        <is>
          <t>Norfolk-Portsmouth-Newport News, VA</t>
        </is>
      </c>
      <c r="F1441" s="11" t="inlineStr"/>
      <c r="G1441" s="11" t="inlineStr">
        <is>
          <t>Navy</t>
        </is>
      </c>
      <c r="H1441" s="11" t="inlineStr">
        <is>
          <t>Print &amp; Publications</t>
        </is>
      </c>
      <c r="I1441" s="8" t="inlineStr">
        <is>
          <t>Golf Scorecard Ad</t>
        </is>
      </c>
      <c r="J1441" s="11" t="inlineStr"/>
      <c r="K1441" s="8" t="inlineStr">
        <is>
          <t>Your ad will appear on the golf course scorecard.</t>
        </is>
      </c>
      <c r="L1441" s="11" t="n">
        <v>12</v>
      </c>
      <c r="M1441" s="12" t="n"/>
      <c r="N1441" s="12" t="n"/>
      <c r="O1441" s="12" t="n"/>
      <c r="P1441" s="12" t="n">
        <v>500</v>
      </c>
      <c r="Q1441" s="12" t="n"/>
      <c r="R1441" s="13">
        <f>IF(ISNUMBER(M1441),ROUND(M1441/(1-Settings!$B$2)/Settings!$B$3,0)*Settings!$B$3,"")</f>
        <v/>
      </c>
      <c r="S1441" s="13">
        <f>IF(ISNUMBER(N1441),ROUND(N1441/(1-Settings!$B$2)/Settings!$B$3,0)*Settings!$B$3,"")</f>
        <v/>
      </c>
      <c r="T1441" s="13">
        <f>IF(ISNUMBER(O1441),ROUND(O1441/(1-Settings!$B$2)/Settings!$B$3,0)*Settings!$B$3,"")</f>
        <v/>
      </c>
      <c r="U1441" s="13">
        <f>IF(ISNUMBER(P1441),ROUND(P1441/(1-Settings!$B$2)/Settings!$B$3,0)*Settings!$B$3,"")</f>
        <v/>
      </c>
      <c r="V1441" s="13">
        <f>IF(ISNUMBER(Q1441),ROUND(Q1441/(1-Settings!$B$2)/Settings!$B$3,0)*Settings!$B$3,"")</f>
        <v/>
      </c>
      <c r="W1441" s="14" t="n">
        <v>323</v>
      </c>
      <c r="X1441" s="14" t="n">
        <v>485</v>
      </c>
      <c r="Y1441" s="11" t="inlineStr">
        <is>
          <t>2026</t>
        </is>
      </c>
      <c r="Z1441" s="11" t="inlineStr">
        <is>
          <t>2026-06</t>
        </is>
      </c>
      <c r="AA1441" s="8" t="inlineStr">
        <is>
          <t>Annual</t>
        </is>
      </c>
      <c r="AB1441" s="8" t="inlineStr"/>
      <c r="AC1441" s="11" t="inlineStr">
        <is>
          <t>Military - National Publication Inventory Master_June 2026.xlsx</t>
        </is>
      </c>
      <c r="AD1441" s="11" t="inlineStr">
        <is>
          <t>FY26-27 ADVERTISING ASSETS_NRMA.xlsx</t>
        </is>
      </c>
      <c r="AE1441" s="15" t="inlineStr">
        <is>
          <t>Open in Box</t>
        </is>
      </c>
      <c r="AF1441" s="15" t="inlineStr">
        <is>
          <t>Open in Box</t>
        </is>
      </c>
    </row>
    <row r="1442">
      <c r="A1442" s="11" t="inlineStr">
        <is>
          <t>VA-DAMNECKA-001</t>
        </is>
      </c>
      <c r="B1442" s="8" t="inlineStr">
        <is>
          <t>Dam Neck Annex</t>
        </is>
      </c>
      <c r="C1442" s="11" t="inlineStr"/>
      <c r="D1442" s="11" t="inlineStr">
        <is>
          <t>VA</t>
        </is>
      </c>
      <c r="E1442" s="11" t="inlineStr">
        <is>
          <t>Norfolk-Portsmouth-Newport News, VA</t>
        </is>
      </c>
      <c r="F1442" s="11" t="inlineStr"/>
      <c r="G1442" s="11" t="inlineStr">
        <is>
          <t>Navy</t>
        </is>
      </c>
      <c r="H1442" s="11" t="inlineStr">
        <is>
          <t>Digital</t>
        </is>
      </c>
      <c r="I1442" s="8" t="inlineStr">
        <is>
          <t>Bowling Scoring Monitors</t>
        </is>
      </c>
      <c r="J1442" s="11" t="inlineStr">
        <is>
          <t>12 screens</t>
        </is>
      </c>
      <c r="K1442" s="8" t="inlineStr">
        <is>
          <t>Your ad will appear on the 12-screen scoring monitors in the installation bowling center.</t>
        </is>
      </c>
      <c r="L1442" s="11" t="n">
        <v>1</v>
      </c>
      <c r="M1442" s="12" t="n">
        <v>400</v>
      </c>
      <c r="N1442" s="12" t="n"/>
      <c r="O1442" s="12" t="n"/>
      <c r="P1442" s="12" t="n"/>
      <c r="Q1442" s="12" t="n"/>
      <c r="R1442" s="13">
        <f>IF(ISNUMBER(M1442),ROUND(M1442/(1-Settings!$B$2)/Settings!$B$3,0)*Settings!$B$3,"")</f>
        <v/>
      </c>
      <c r="S1442" s="13">
        <f>IF(ISNUMBER(N1442),ROUND(N1442/(1-Settings!$B$2)/Settings!$B$3,0)*Settings!$B$3,"")</f>
        <v/>
      </c>
      <c r="T1442" s="13">
        <f>IF(ISNUMBER(O1442),ROUND(O1442/(1-Settings!$B$2)/Settings!$B$3,0)*Settings!$B$3,"")</f>
        <v/>
      </c>
      <c r="U1442" s="13">
        <f>IF(ISNUMBER(P1442),ROUND(P1442/(1-Settings!$B$2)/Settings!$B$3,0)*Settings!$B$3,"")</f>
        <v/>
      </c>
      <c r="V1442" s="13">
        <f>IF(ISNUMBER(Q1442),ROUND(Q1442/(1-Settings!$B$2)/Settings!$B$3,0)*Settings!$B$3,"")</f>
        <v/>
      </c>
      <c r="W1442" s="14" t="n">
        <v>3838</v>
      </c>
      <c r="X1442" s="14" t="n">
        <v>5859</v>
      </c>
      <c r="Y1442" s="11" t="inlineStr">
        <is>
          <t>2026</t>
        </is>
      </c>
      <c r="Z1442" s="11" t="inlineStr">
        <is>
          <t>2026-06</t>
        </is>
      </c>
      <c r="AA1442" s="8" t="inlineStr"/>
      <c r="AB1442" s="8" t="inlineStr"/>
      <c r="AC1442" s="11" t="inlineStr">
        <is>
          <t>Military - National Digital Inventory Master 6.3.26.xlsx</t>
        </is>
      </c>
      <c r="AD1442" s="11" t="inlineStr">
        <is>
          <t>FY26-27 ADVERTISING ASSETS_NRMA.xlsx</t>
        </is>
      </c>
      <c r="AE1442" s="15" t="inlineStr">
        <is>
          <t>Open in Box</t>
        </is>
      </c>
      <c r="AF1442" s="15" t="inlineStr">
        <is>
          <t>Open in Box</t>
        </is>
      </c>
    </row>
    <row r="1443">
      <c r="A1443" s="11" t="inlineStr">
        <is>
          <t>VA-FORTAPHI-001</t>
        </is>
      </c>
      <c r="B1443" s="8" t="inlineStr">
        <is>
          <t>Fort AP Hill</t>
        </is>
      </c>
      <c r="C1443" s="11" t="inlineStr"/>
      <c r="D1443" s="11" t="inlineStr">
        <is>
          <t>VA</t>
        </is>
      </c>
      <c r="E1443" s="11" t="inlineStr">
        <is>
          <t>Washington, DC</t>
        </is>
      </c>
      <c r="F1443" s="11" t="inlineStr"/>
      <c r="G1443" s="11" t="inlineStr">
        <is>
          <t>Army</t>
        </is>
      </c>
      <c r="H1443" s="11" t="inlineStr">
        <is>
          <t>Digital</t>
        </is>
      </c>
      <c r="I1443" s="8" t="inlineStr">
        <is>
          <t>Digital Monitor Network</t>
        </is>
      </c>
      <c r="J1443" s="11" t="inlineStr">
        <is>
          <t>2 screens</t>
        </is>
      </c>
      <c r="K1443" s="8" t="inlineStr">
        <is>
          <t>Your ad will appear on the 2-screen digital monitor network in approved installation facilities.</t>
        </is>
      </c>
      <c r="L1443" s="11" t="n">
        <v>1</v>
      </c>
      <c r="M1443" s="12" t="n">
        <v>200</v>
      </c>
      <c r="N1443" s="12" t="n"/>
      <c r="O1443" s="12" t="n"/>
      <c r="P1443" s="12" t="n"/>
      <c r="Q1443" s="12" t="n"/>
      <c r="R1443" s="13">
        <f>IF(ISNUMBER(M1443),ROUND(M1443/(1-Settings!$B$2)/Settings!$B$3,0)*Settings!$B$3,"")</f>
        <v/>
      </c>
      <c r="S1443" s="13">
        <f>IF(ISNUMBER(N1443),ROUND(N1443/(1-Settings!$B$2)/Settings!$B$3,0)*Settings!$B$3,"")</f>
        <v/>
      </c>
      <c r="T1443" s="13">
        <f>IF(ISNUMBER(O1443),ROUND(O1443/(1-Settings!$B$2)/Settings!$B$3,0)*Settings!$B$3,"")</f>
        <v/>
      </c>
      <c r="U1443" s="13">
        <f>IF(ISNUMBER(P1443),ROUND(P1443/(1-Settings!$B$2)/Settings!$B$3,0)*Settings!$B$3,"")</f>
        <v/>
      </c>
      <c r="V1443" s="13">
        <f>IF(ISNUMBER(Q1443),ROUND(Q1443/(1-Settings!$B$2)/Settings!$B$3,0)*Settings!$B$3,"")</f>
        <v/>
      </c>
      <c r="W1443" s="14" t="n"/>
      <c r="X1443" s="14" t="n"/>
      <c r="Y1443" s="11" t="inlineStr">
        <is>
          <t>2026</t>
        </is>
      </c>
      <c r="Z1443" s="11" t="inlineStr">
        <is>
          <t>2026-06</t>
        </is>
      </c>
      <c r="AA1443" s="8" t="inlineStr"/>
      <c r="AB1443" s="8" t="inlineStr"/>
      <c r="AC1443" s="11" t="inlineStr">
        <is>
          <t>Military - National Digital Inventory Master 6.3.26.xlsx</t>
        </is>
      </c>
      <c r="AD1443" s="11" t="inlineStr">
        <is>
          <t>Advertising Price Sheet.pdf</t>
        </is>
      </c>
      <c r="AE1443" s="15" t="inlineStr">
        <is>
          <t>Open in Box</t>
        </is>
      </c>
      <c r="AF1443" s="15" t="inlineStr">
        <is>
          <t>Open in Box</t>
        </is>
      </c>
    </row>
    <row r="1444">
      <c r="A1444" s="11" t="inlineStr">
        <is>
          <t>VA-FORTAPHI-002</t>
        </is>
      </c>
      <c r="B1444" s="8" t="inlineStr">
        <is>
          <t>Fort AP Hill</t>
        </is>
      </c>
      <c r="C1444" s="11" t="inlineStr"/>
      <c r="D1444" s="11" t="inlineStr">
        <is>
          <t>VA</t>
        </is>
      </c>
      <c r="E1444" s="11" t="inlineStr">
        <is>
          <t>Washington, DC</t>
        </is>
      </c>
      <c r="F1444" s="11" t="inlineStr"/>
      <c r="G1444" s="11" t="inlineStr">
        <is>
          <t>Army</t>
        </is>
      </c>
      <c r="H1444" s="11" t="inlineStr">
        <is>
          <t>Web &amp; Email</t>
        </is>
      </c>
      <c r="I1444" s="8" t="inlineStr">
        <is>
          <t>Web Ad</t>
        </is>
      </c>
      <c r="J1444" s="11" t="inlineStr"/>
      <c r="K1444" s="8" t="inlineStr">
        <is>
          <t>Your ad will appear on the installation MWR / FSS website.</t>
        </is>
      </c>
      <c r="L1444" s="11" t="n">
        <v>1</v>
      </c>
      <c r="M1444" s="12" t="n">
        <v>150</v>
      </c>
      <c r="N1444" s="12" t="n"/>
      <c r="O1444" s="12" t="n"/>
      <c r="P1444" s="12" t="n"/>
      <c r="Q1444" s="12" t="n"/>
      <c r="R1444" s="13">
        <f>IF(ISNUMBER(M1444),ROUND(M1444/(1-Settings!$B$2)/Settings!$B$3,0)*Settings!$B$3,"")</f>
        <v/>
      </c>
      <c r="S1444" s="13">
        <f>IF(ISNUMBER(N1444),ROUND(N1444/(1-Settings!$B$2)/Settings!$B$3,0)*Settings!$B$3,"")</f>
        <v/>
      </c>
      <c r="T1444" s="13">
        <f>IF(ISNUMBER(O1444),ROUND(O1444/(1-Settings!$B$2)/Settings!$B$3,0)*Settings!$B$3,"")</f>
        <v/>
      </c>
      <c r="U1444" s="13">
        <f>IF(ISNUMBER(P1444),ROUND(P1444/(1-Settings!$B$2)/Settings!$B$3,0)*Settings!$B$3,"")</f>
        <v/>
      </c>
      <c r="V1444" s="13">
        <f>IF(ISNUMBER(Q1444),ROUND(Q1444/(1-Settings!$B$2)/Settings!$B$3,0)*Settings!$B$3,"")</f>
        <v/>
      </c>
      <c r="W1444" s="14" t="n">
        <v>750</v>
      </c>
      <c r="X1444" s="14" t="n"/>
      <c r="Y1444" s="11" t="inlineStr">
        <is>
          <t>2026</t>
        </is>
      </c>
      <c r="Z1444" s="11" t="inlineStr">
        <is>
          <t>2026-06</t>
        </is>
      </c>
      <c r="AA1444" s="8" t="inlineStr"/>
      <c r="AB1444" s="8" t="inlineStr"/>
      <c r="AC1444" s="11" t="inlineStr">
        <is>
          <t>Military - National Publication Inventory Master_June 2026.xlsx</t>
        </is>
      </c>
      <c r="AD1444" s="11" t="inlineStr">
        <is>
          <t>Advertising Price Sheet.pdf</t>
        </is>
      </c>
      <c r="AE1444" s="15" t="inlineStr">
        <is>
          <t>Open in Box</t>
        </is>
      </c>
      <c r="AF1444" s="15" t="inlineStr">
        <is>
          <t>Open in Box</t>
        </is>
      </c>
    </row>
    <row r="1445">
      <c r="A1445" s="11" t="inlineStr">
        <is>
          <t>VA-FORTBELV-001</t>
        </is>
      </c>
      <c r="B1445" s="8" t="inlineStr">
        <is>
          <t>Fort Belvoir</t>
        </is>
      </c>
      <c r="C1445" s="11" t="inlineStr"/>
      <c r="D1445" s="11" t="inlineStr">
        <is>
          <t>VA</t>
        </is>
      </c>
      <c r="E1445" s="11" t="inlineStr">
        <is>
          <t>Washington, DC (Hagrstwn)</t>
        </is>
      </c>
      <c r="F1445" s="11" t="inlineStr">
        <is>
          <t>22060</t>
        </is>
      </c>
      <c r="G1445" s="11" t="inlineStr">
        <is>
          <t>Army</t>
        </is>
      </c>
      <c r="H1445" s="11" t="inlineStr">
        <is>
          <t>Digital</t>
        </is>
      </c>
      <c r="I1445" s="8" t="inlineStr">
        <is>
          <t>Bowling Scoring Monitors</t>
        </is>
      </c>
      <c r="J1445" s="11" t="inlineStr">
        <is>
          <t>1920pxW x 1080pxH</t>
        </is>
      </c>
      <c r="K1445" s="8" t="inlineStr">
        <is>
          <t>Your ad will appear on 24 digital bowling scoring monitors.</t>
        </is>
      </c>
      <c r="L1445" s="11" t="n">
        <v>1</v>
      </c>
      <c r="M1445" s="12" t="n">
        <v>400</v>
      </c>
      <c r="N1445" s="12" t="n">
        <v>1200</v>
      </c>
      <c r="O1445" s="12" t="n">
        <v>2400</v>
      </c>
      <c r="P1445" s="12" t="n">
        <v>4800</v>
      </c>
      <c r="Q1445" s="12" t="n">
        <v>0</v>
      </c>
      <c r="R1445" s="13">
        <f>IF(ISNUMBER(M1445),ROUND(M1445/(1-Settings!$B$2)/Settings!$B$3,0)*Settings!$B$3,"")</f>
        <v/>
      </c>
      <c r="S1445" s="13">
        <f>IF(ISNUMBER(N1445),ROUND(N1445/(1-Settings!$B$2)/Settings!$B$3,0)*Settings!$B$3,"")</f>
        <v/>
      </c>
      <c r="T1445" s="13">
        <f>IF(ISNUMBER(O1445),ROUND(O1445/(1-Settings!$B$2)/Settings!$B$3,0)*Settings!$B$3,"")</f>
        <v/>
      </c>
      <c r="U1445" s="13">
        <f>IF(ISNUMBER(P1445),ROUND(P1445/(1-Settings!$B$2)/Settings!$B$3,0)*Settings!$B$3,"")</f>
        <v/>
      </c>
      <c r="V1445" s="13">
        <f>IF(ISNUMBER(Q1445),ROUND(Q1445/(1-Settings!$B$2)/Settings!$B$3,0)*Settings!$B$3,"")</f>
        <v/>
      </c>
      <c r="W1445" s="14" t="n">
        <v>4614</v>
      </c>
      <c r="X1445" s="14" t="n">
        <v>8875</v>
      </c>
      <c r="Y1445" s="11" t="inlineStr"/>
      <c r="Z1445" s="11" t="inlineStr"/>
      <c r="AA1445" s="8" t="inlineStr"/>
      <c r="AB1445" s="8" t="inlineStr"/>
      <c r="AC1445" s="11" t="inlineStr">
        <is>
          <t>MasterMilitaryOnBaseList 12.2.25 NS.xlsx</t>
        </is>
      </c>
      <c r="AD1445" s="11" t="inlineStr">
        <is>
          <t>Fort Belvoir MWR Advertising FY26.pdf</t>
        </is>
      </c>
      <c r="AE1445" s="15" t="inlineStr">
        <is>
          <t>Open in Box</t>
        </is>
      </c>
      <c r="AF1445" s="15" t="inlineStr">
        <is>
          <t>Open in Box</t>
        </is>
      </c>
    </row>
    <row r="1446">
      <c r="A1446" s="11" t="inlineStr">
        <is>
          <t>VA-FORTBELV-002</t>
        </is>
      </c>
      <c r="B1446" s="8" t="inlineStr">
        <is>
          <t>Fort Belvoir</t>
        </is>
      </c>
      <c r="C1446" s="11" t="inlineStr"/>
      <c r="D1446" s="11" t="inlineStr">
        <is>
          <t>VA</t>
        </is>
      </c>
      <c r="E1446" s="11" t="inlineStr">
        <is>
          <t>Washington, DC (Hagrstwn)</t>
        </is>
      </c>
      <c r="F1446" s="11" t="inlineStr">
        <is>
          <t>22060</t>
        </is>
      </c>
      <c r="G1446" s="11" t="inlineStr">
        <is>
          <t>Army</t>
        </is>
      </c>
      <c r="H1446" s="11" t="inlineStr">
        <is>
          <t>Digital</t>
        </is>
      </c>
      <c r="I1446" s="8" t="inlineStr">
        <is>
          <t>Digital Monitor Network</t>
        </is>
      </c>
      <c r="J1446" s="11" t="inlineStr">
        <is>
          <t>1500pxW x 844pxH</t>
        </is>
      </c>
      <c r="K1446" s="8" t="inlineStr">
        <is>
          <t>Your ad will appear on 19 digital monitors in approved installation facilities.</t>
        </is>
      </c>
      <c r="L1446" s="11" t="n">
        <v>1</v>
      </c>
      <c r="M1446" s="12" t="n">
        <v>600</v>
      </c>
      <c r="N1446" s="12" t="n">
        <v>1800</v>
      </c>
      <c r="O1446" s="12" t="n">
        <v>3600</v>
      </c>
      <c r="P1446" s="12" t="n">
        <v>7200</v>
      </c>
      <c r="Q1446" s="12" t="n">
        <v>0</v>
      </c>
      <c r="R1446" s="13">
        <f>IF(ISNUMBER(M1446),ROUND(M1446/(1-Settings!$B$2)/Settings!$B$3,0)*Settings!$B$3,"")</f>
        <v/>
      </c>
      <c r="S1446" s="13">
        <f>IF(ISNUMBER(N1446),ROUND(N1446/(1-Settings!$B$2)/Settings!$B$3,0)*Settings!$B$3,"")</f>
        <v/>
      </c>
      <c r="T1446" s="13">
        <f>IF(ISNUMBER(O1446),ROUND(O1446/(1-Settings!$B$2)/Settings!$B$3,0)*Settings!$B$3,"")</f>
        <v/>
      </c>
      <c r="U1446" s="13">
        <f>IF(ISNUMBER(P1446),ROUND(P1446/(1-Settings!$B$2)/Settings!$B$3,0)*Settings!$B$3,"")</f>
        <v/>
      </c>
      <c r="V1446" s="13">
        <f>IF(ISNUMBER(Q1446),ROUND(Q1446/(1-Settings!$B$2)/Settings!$B$3,0)*Settings!$B$3,"")</f>
        <v/>
      </c>
      <c r="W1446" s="14" t="n">
        <v>4614</v>
      </c>
      <c r="X1446" s="14" t="n">
        <v>8875</v>
      </c>
      <c r="Y1446" s="11" t="inlineStr"/>
      <c r="Z1446" s="11" t="inlineStr"/>
      <c r="AA1446" s="8" t="inlineStr"/>
      <c r="AB1446" s="8" t="inlineStr"/>
      <c r="AC1446" s="11" t="inlineStr">
        <is>
          <t>MasterMilitaryOnBaseList 12.2.25 NS.xlsx</t>
        </is>
      </c>
      <c r="AD1446" s="11" t="inlineStr">
        <is>
          <t>Fort Belvoir MWR Advertising FY26.pdf</t>
        </is>
      </c>
      <c r="AE1446" s="15" t="inlineStr">
        <is>
          <t>Open in Box</t>
        </is>
      </c>
      <c r="AF1446" s="15" t="inlineStr">
        <is>
          <t>Open in Box</t>
        </is>
      </c>
    </row>
    <row r="1447">
      <c r="A1447" s="11" t="inlineStr">
        <is>
          <t>VA-FORTBELV-006</t>
        </is>
      </c>
      <c r="B1447" s="8" t="inlineStr">
        <is>
          <t>Fort Belvoir</t>
        </is>
      </c>
      <c r="C1447" s="11" t="inlineStr"/>
      <c r="D1447" s="11" t="inlineStr">
        <is>
          <t>VA</t>
        </is>
      </c>
      <c r="E1447" s="11" t="inlineStr">
        <is>
          <t>Washington, DC (Hagrstwn)</t>
        </is>
      </c>
      <c r="F1447" s="11" t="inlineStr">
        <is>
          <t>22060</t>
        </is>
      </c>
      <c r="G1447" s="11" t="inlineStr">
        <is>
          <t>Army</t>
        </is>
      </c>
      <c r="H1447" s="11" t="inlineStr">
        <is>
          <t>Large Format</t>
        </is>
      </c>
      <c r="I1447" s="8" t="inlineStr">
        <is>
          <t>Large Banners</t>
        </is>
      </c>
      <c r="J1447" s="11" t="inlineStr">
        <is>
          <t>20'W x 7'H</t>
        </is>
      </c>
      <c r="K1447" s="8" t="inlineStr">
        <is>
          <t>Your ad will appear at an approved installation facility.</t>
        </is>
      </c>
      <c r="L1447" s="11" t="n">
        <v>3</v>
      </c>
      <c r="M1447" s="12" t="n"/>
      <c r="N1447" s="12" t="n">
        <v>1500</v>
      </c>
      <c r="O1447" s="12" t="n">
        <v>3000</v>
      </c>
      <c r="P1447" s="12" t="n">
        <v>6000</v>
      </c>
      <c r="Q1447" s="12" t="n">
        <v>1500</v>
      </c>
      <c r="R1447" s="13">
        <f>IF(ISNUMBER(M1447),ROUND(M1447/(1-Settings!$B$2)/Settings!$B$3,0)*Settings!$B$3,"")</f>
        <v/>
      </c>
      <c r="S1447" s="13">
        <f>IF(ISNUMBER(N1447),ROUND(N1447/(1-Settings!$B$2)/Settings!$B$3,0)*Settings!$B$3,"")</f>
        <v/>
      </c>
      <c r="T1447" s="13">
        <f>IF(ISNUMBER(O1447),ROUND(O1447/(1-Settings!$B$2)/Settings!$B$3,0)*Settings!$B$3,"")</f>
        <v/>
      </c>
      <c r="U1447" s="13">
        <f>IF(ISNUMBER(P1447),ROUND(P1447/(1-Settings!$B$2)/Settings!$B$3,0)*Settings!$B$3,"")</f>
        <v/>
      </c>
      <c r="V1447" s="13">
        <f>IF(ISNUMBER(Q1447),ROUND(Q1447/(1-Settings!$B$2)/Settings!$B$3,0)*Settings!$B$3,"")</f>
        <v/>
      </c>
      <c r="W1447" s="14" t="n">
        <v>4614</v>
      </c>
      <c r="X1447" s="14" t="n">
        <v>8875</v>
      </c>
      <c r="Y1447" s="11" t="inlineStr"/>
      <c r="Z1447" s="11" t="inlineStr"/>
      <c r="AA1447" s="8" t="inlineStr"/>
      <c r="AB1447" s="16" t="inlineStr">
        <is>
          <t>Source formula errors</t>
        </is>
      </c>
      <c r="AC1447" s="11" t="inlineStr">
        <is>
          <t>MasterMilitaryOnBaseList 12.2.25 NS.xlsx</t>
        </is>
      </c>
      <c r="AD1447" s="11" t="inlineStr">
        <is>
          <t>Fort Belvoir MWR Advertising FY26.pdf</t>
        </is>
      </c>
      <c r="AE1447" s="15" t="inlineStr">
        <is>
          <t>Open in Box</t>
        </is>
      </c>
      <c r="AF1447" s="15" t="inlineStr">
        <is>
          <t>Open in Box</t>
        </is>
      </c>
    </row>
    <row r="1448">
      <c r="A1448" s="11" t="inlineStr">
        <is>
          <t>VA-FORTBELV-007</t>
        </is>
      </c>
      <c r="B1448" s="8" t="inlineStr">
        <is>
          <t>Fort Belvoir</t>
        </is>
      </c>
      <c r="C1448" s="11" t="inlineStr"/>
      <c r="D1448" s="11" t="inlineStr">
        <is>
          <t>VA</t>
        </is>
      </c>
      <c r="E1448" s="11" t="inlineStr">
        <is>
          <t>Washington, DC (Hagrstwn)</t>
        </is>
      </c>
      <c r="F1448" s="11" t="inlineStr">
        <is>
          <t>22060</t>
        </is>
      </c>
      <c r="G1448" s="11" t="inlineStr">
        <is>
          <t>Army</t>
        </is>
      </c>
      <c r="H1448" s="11" t="inlineStr">
        <is>
          <t>Print &amp; Publications</t>
        </is>
      </c>
      <c r="I1448" s="8" t="inlineStr">
        <is>
          <t>Golf Scorecard</t>
        </is>
      </c>
      <c r="J1448" s="11" t="inlineStr">
        <is>
          <t>4"w x 6"H</t>
        </is>
      </c>
      <c r="K1448" s="8" t="inlineStr">
        <is>
          <t>Your ad will appear on the golf course scorecard.</t>
        </is>
      </c>
      <c r="L1448" s="11" t="n">
        <v>1</v>
      </c>
      <c r="M1448" s="12" t="n">
        <v>100</v>
      </c>
      <c r="N1448" s="12" t="n">
        <v>300</v>
      </c>
      <c r="O1448" s="12" t="n">
        <v>350</v>
      </c>
      <c r="P1448" s="12" t="n">
        <v>900</v>
      </c>
      <c r="Q1448" s="12" t="n">
        <v>0</v>
      </c>
      <c r="R1448" s="13">
        <f>IF(ISNUMBER(M1448),ROUND(M1448/(1-Settings!$B$2)/Settings!$B$3,0)*Settings!$B$3,"")</f>
        <v/>
      </c>
      <c r="S1448" s="13">
        <f>IF(ISNUMBER(N1448),ROUND(N1448/(1-Settings!$B$2)/Settings!$B$3,0)*Settings!$B$3,"")</f>
        <v/>
      </c>
      <c r="T1448" s="13">
        <f>IF(ISNUMBER(O1448),ROUND(O1448/(1-Settings!$B$2)/Settings!$B$3,0)*Settings!$B$3,"")</f>
        <v/>
      </c>
      <c r="U1448" s="13">
        <f>IF(ISNUMBER(P1448),ROUND(P1448/(1-Settings!$B$2)/Settings!$B$3,0)*Settings!$B$3,"")</f>
        <v/>
      </c>
      <c r="V1448" s="13">
        <f>IF(ISNUMBER(Q1448),ROUND(Q1448/(1-Settings!$B$2)/Settings!$B$3,0)*Settings!$B$3,"")</f>
        <v/>
      </c>
      <c r="W1448" s="14" t="n">
        <v>4614</v>
      </c>
      <c r="X1448" s="14" t="n">
        <v>8875</v>
      </c>
      <c r="Y1448" s="11" t="inlineStr"/>
      <c r="Z1448" s="11" t="inlineStr"/>
      <c r="AA1448" s="8" t="inlineStr">
        <is>
          <t>Inventory master 6/2026 lists Golf Scorecard Ad at $4,500 (6 mo)</t>
        </is>
      </c>
      <c r="AB1448" s="8" t="inlineStr"/>
      <c r="AC1448" s="11" t="inlineStr">
        <is>
          <t>MasterMilitaryOnBaseList 12.2.25 NS.xlsx</t>
        </is>
      </c>
      <c r="AD1448" s="11" t="inlineStr">
        <is>
          <t>Fort Belvoir MWR Advertising FY26.pdf</t>
        </is>
      </c>
      <c r="AE1448" s="15" t="inlineStr">
        <is>
          <t>Open in Box</t>
        </is>
      </c>
      <c r="AF1448" s="15" t="inlineStr">
        <is>
          <t>Open in Box</t>
        </is>
      </c>
    </row>
    <row r="1449">
      <c r="A1449" s="11" t="inlineStr">
        <is>
          <t>VA-FORTBELV-003</t>
        </is>
      </c>
      <c r="B1449" s="8" t="inlineStr">
        <is>
          <t>Fort Belvoir</t>
        </is>
      </c>
      <c r="C1449" s="11" t="inlineStr"/>
      <c r="D1449" s="11" t="inlineStr">
        <is>
          <t>VA</t>
        </is>
      </c>
      <c r="E1449" s="11" t="inlineStr">
        <is>
          <t>Washington, DC (Hagrstwn)</t>
        </is>
      </c>
      <c r="F1449" s="11" t="inlineStr">
        <is>
          <t>22060</t>
        </is>
      </c>
      <c r="G1449" s="11" t="inlineStr">
        <is>
          <t>Army</t>
        </is>
      </c>
      <c r="H1449" s="11" t="inlineStr">
        <is>
          <t>Standard Media</t>
        </is>
      </c>
      <c r="I1449" s="8" t="inlineStr">
        <is>
          <t>Banners</t>
        </is>
      </c>
      <c r="J1449" s="11" t="inlineStr">
        <is>
          <t>6'W x 3'H</t>
        </is>
      </c>
      <c r="K1449" s="8" t="inlineStr">
        <is>
          <t>Your ad will appear at or in an approved installation facility.</t>
        </is>
      </c>
      <c r="L1449" s="11" t="n">
        <v>1</v>
      </c>
      <c r="M1449" s="12" t="n">
        <v>250</v>
      </c>
      <c r="N1449" s="12" t="n">
        <v>750</v>
      </c>
      <c r="O1449" s="12" t="n">
        <v>1500</v>
      </c>
      <c r="P1449" s="12" t="n">
        <v>3000</v>
      </c>
      <c r="Q1449" s="12" t="n">
        <v>200</v>
      </c>
      <c r="R1449" s="13">
        <f>IF(ISNUMBER(M1449),ROUND(M1449/(1-Settings!$B$2)/Settings!$B$3,0)*Settings!$B$3,"")</f>
        <v/>
      </c>
      <c r="S1449" s="13">
        <f>IF(ISNUMBER(N1449),ROUND(N1449/(1-Settings!$B$2)/Settings!$B$3,0)*Settings!$B$3,"")</f>
        <v/>
      </c>
      <c r="T1449" s="13">
        <f>IF(ISNUMBER(O1449),ROUND(O1449/(1-Settings!$B$2)/Settings!$B$3,0)*Settings!$B$3,"")</f>
        <v/>
      </c>
      <c r="U1449" s="13">
        <f>IF(ISNUMBER(P1449),ROUND(P1449/(1-Settings!$B$2)/Settings!$B$3,0)*Settings!$B$3,"")</f>
        <v/>
      </c>
      <c r="V1449" s="13">
        <f>IF(ISNUMBER(Q1449),ROUND(Q1449/(1-Settings!$B$2)/Settings!$B$3,0)*Settings!$B$3,"")</f>
        <v/>
      </c>
      <c r="W1449" s="14" t="n">
        <v>4614</v>
      </c>
      <c r="X1449" s="14" t="n">
        <v>8875</v>
      </c>
      <c r="Y1449" s="11" t="inlineStr"/>
      <c r="Z1449" s="11" t="inlineStr"/>
      <c r="AA1449" s="8" t="inlineStr"/>
      <c r="AB1449" s="8" t="inlineStr"/>
      <c r="AC1449" s="11" t="inlineStr">
        <is>
          <t>MasterMilitaryOnBaseList 12.2.25 NS.xlsx</t>
        </is>
      </c>
      <c r="AD1449" s="11" t="inlineStr">
        <is>
          <t>Fort Belvoir MWR Advertising FY26.pdf</t>
        </is>
      </c>
      <c r="AE1449" s="15" t="inlineStr">
        <is>
          <t>Open in Box</t>
        </is>
      </c>
      <c r="AF1449" s="15" t="inlineStr">
        <is>
          <t>Open in Box</t>
        </is>
      </c>
    </row>
    <row r="1450">
      <c r="A1450" s="11" t="inlineStr">
        <is>
          <t>VA-FORTBELV-004</t>
        </is>
      </c>
      <c r="B1450" s="8" t="inlineStr">
        <is>
          <t>Fort Belvoir</t>
        </is>
      </c>
      <c r="C1450" s="11" t="inlineStr"/>
      <c r="D1450" s="11" t="inlineStr">
        <is>
          <t>VA</t>
        </is>
      </c>
      <c r="E1450" s="11" t="inlineStr">
        <is>
          <t>Washington, DC (Hagrstwn)</t>
        </is>
      </c>
      <c r="F1450" s="11" t="inlineStr">
        <is>
          <t>22060</t>
        </is>
      </c>
      <c r="G1450" s="11" t="inlineStr">
        <is>
          <t>Army</t>
        </is>
      </c>
      <c r="H1450" s="11" t="inlineStr">
        <is>
          <t>Standard Media</t>
        </is>
      </c>
      <c r="I1450" s="8" t="inlineStr">
        <is>
          <t>Posters</t>
        </is>
      </c>
      <c r="J1450" s="11" t="inlineStr">
        <is>
          <t>2'W x 3'H</t>
        </is>
      </c>
      <c r="K1450" s="8" t="inlineStr">
        <is>
          <t>Your ad will appear in an approved installation facility.</t>
        </is>
      </c>
      <c r="L1450" s="11" t="n">
        <v>1</v>
      </c>
      <c r="M1450" s="12" t="n">
        <v>150</v>
      </c>
      <c r="N1450" s="12" t="n">
        <v>450</v>
      </c>
      <c r="O1450" s="12" t="n">
        <v>900</v>
      </c>
      <c r="P1450" s="12" t="n">
        <v>1800</v>
      </c>
      <c r="Q1450" s="12" t="n">
        <v>100</v>
      </c>
      <c r="R1450" s="13">
        <f>IF(ISNUMBER(M1450),ROUND(M1450/(1-Settings!$B$2)/Settings!$B$3,0)*Settings!$B$3,"")</f>
        <v/>
      </c>
      <c r="S1450" s="13">
        <f>IF(ISNUMBER(N1450),ROUND(N1450/(1-Settings!$B$2)/Settings!$B$3,0)*Settings!$B$3,"")</f>
        <v/>
      </c>
      <c r="T1450" s="13">
        <f>IF(ISNUMBER(O1450),ROUND(O1450/(1-Settings!$B$2)/Settings!$B$3,0)*Settings!$B$3,"")</f>
        <v/>
      </c>
      <c r="U1450" s="13">
        <f>IF(ISNUMBER(P1450),ROUND(P1450/(1-Settings!$B$2)/Settings!$B$3,0)*Settings!$B$3,"")</f>
        <v/>
      </c>
      <c r="V1450" s="13">
        <f>IF(ISNUMBER(Q1450),ROUND(Q1450/(1-Settings!$B$2)/Settings!$B$3,0)*Settings!$B$3,"")</f>
        <v/>
      </c>
      <c r="W1450" s="14" t="n">
        <v>4614</v>
      </c>
      <c r="X1450" s="14" t="n">
        <v>8875</v>
      </c>
      <c r="Y1450" s="11" t="inlineStr"/>
      <c r="Z1450" s="11" t="inlineStr"/>
      <c r="AA1450" s="8" t="inlineStr"/>
      <c r="AB1450" s="8" t="inlineStr"/>
      <c r="AC1450" s="11" t="inlineStr">
        <is>
          <t>MasterMilitaryOnBaseList 12.2.25 NS.xlsx</t>
        </is>
      </c>
      <c r="AD1450" s="11" t="inlineStr">
        <is>
          <t>Fort Belvoir MWR Advertising FY26.pdf</t>
        </is>
      </c>
      <c r="AE1450" s="15" t="inlineStr">
        <is>
          <t>Open in Box</t>
        </is>
      </c>
      <c r="AF1450" s="15" t="inlineStr">
        <is>
          <t>Open in Box</t>
        </is>
      </c>
    </row>
    <row r="1451">
      <c r="A1451" s="11" t="inlineStr">
        <is>
          <t>VA-FORTBELV-005</t>
        </is>
      </c>
      <c r="B1451" s="8" t="inlineStr">
        <is>
          <t>Fort Belvoir</t>
        </is>
      </c>
      <c r="C1451" s="11" t="inlineStr"/>
      <c r="D1451" s="11" t="inlineStr">
        <is>
          <t>VA</t>
        </is>
      </c>
      <c r="E1451" s="11" t="inlineStr">
        <is>
          <t>Washington, DC (Hagrstwn)</t>
        </is>
      </c>
      <c r="F1451" s="11" t="inlineStr">
        <is>
          <t>22060</t>
        </is>
      </c>
      <c r="G1451" s="11" t="inlineStr">
        <is>
          <t>Army</t>
        </is>
      </c>
      <c r="H1451" s="11" t="inlineStr">
        <is>
          <t>Standard Media</t>
        </is>
      </c>
      <c r="I1451" s="8" t="inlineStr">
        <is>
          <t>Vertical Banner</t>
        </is>
      </c>
      <c r="J1451" s="11" t="inlineStr">
        <is>
          <t>33"W x 78"H</t>
        </is>
      </c>
      <c r="K1451" s="8" t="inlineStr">
        <is>
          <t>Your ad will appear in an approved installation facility.</t>
        </is>
      </c>
      <c r="L1451" s="11" t="n">
        <v>1</v>
      </c>
      <c r="M1451" s="12" t="n">
        <v>200</v>
      </c>
      <c r="N1451" s="12" t="n">
        <v>600</v>
      </c>
      <c r="O1451" s="12" t="n">
        <v>1200</v>
      </c>
      <c r="P1451" s="12" t="n">
        <v>2400</v>
      </c>
      <c r="Q1451" s="12" t="n">
        <v>200</v>
      </c>
      <c r="R1451" s="13">
        <f>IF(ISNUMBER(M1451),ROUND(M1451/(1-Settings!$B$2)/Settings!$B$3,0)*Settings!$B$3,"")</f>
        <v/>
      </c>
      <c r="S1451" s="13">
        <f>IF(ISNUMBER(N1451),ROUND(N1451/(1-Settings!$B$2)/Settings!$B$3,0)*Settings!$B$3,"")</f>
        <v/>
      </c>
      <c r="T1451" s="13">
        <f>IF(ISNUMBER(O1451),ROUND(O1451/(1-Settings!$B$2)/Settings!$B$3,0)*Settings!$B$3,"")</f>
        <v/>
      </c>
      <c r="U1451" s="13">
        <f>IF(ISNUMBER(P1451),ROUND(P1451/(1-Settings!$B$2)/Settings!$B$3,0)*Settings!$B$3,"")</f>
        <v/>
      </c>
      <c r="V1451" s="13">
        <f>IF(ISNUMBER(Q1451),ROUND(Q1451/(1-Settings!$B$2)/Settings!$B$3,0)*Settings!$B$3,"")</f>
        <v/>
      </c>
      <c r="W1451" s="14" t="n">
        <v>4614</v>
      </c>
      <c r="X1451" s="14" t="n">
        <v>8875</v>
      </c>
      <c r="Y1451" s="11" t="inlineStr"/>
      <c r="Z1451" s="11" t="inlineStr"/>
      <c r="AA1451" s="8" t="inlineStr"/>
      <c r="AB1451" s="8" t="inlineStr"/>
      <c r="AC1451" s="11" t="inlineStr">
        <is>
          <t>MasterMilitaryOnBaseList 12.2.25 NS.xlsx</t>
        </is>
      </c>
      <c r="AD1451" s="11" t="inlineStr">
        <is>
          <t>Fort Belvoir MWR Advertising FY26.pdf</t>
        </is>
      </c>
      <c r="AE1451" s="15" t="inlineStr">
        <is>
          <t>Open in Box</t>
        </is>
      </c>
      <c r="AF1451" s="15" t="inlineStr">
        <is>
          <t>Open in Box</t>
        </is>
      </c>
    </row>
    <row r="1452">
      <c r="A1452" s="11" t="inlineStr">
        <is>
          <t>VA-FORTBELV-008</t>
        </is>
      </c>
      <c r="B1452" s="8" t="inlineStr">
        <is>
          <t>Fort Belvoir</t>
        </is>
      </c>
      <c r="C1452" s="11" t="inlineStr"/>
      <c r="D1452" s="11" t="inlineStr">
        <is>
          <t>VA</t>
        </is>
      </c>
      <c r="E1452" s="11" t="inlineStr">
        <is>
          <t>Washington, DC (Hagrstwn)</t>
        </is>
      </c>
      <c r="F1452" s="11" t="inlineStr"/>
      <c r="G1452" s="11" t="inlineStr">
        <is>
          <t>Army</t>
        </is>
      </c>
      <c r="H1452" s="11" t="inlineStr">
        <is>
          <t>Web &amp; Email</t>
        </is>
      </c>
      <c r="I1452" s="8" t="inlineStr">
        <is>
          <t>Web Ad</t>
        </is>
      </c>
      <c r="J1452" s="11" t="inlineStr"/>
      <c r="K1452" s="8" t="inlineStr">
        <is>
          <t>Your ad will appear on the installation MWR / FSS website.</t>
        </is>
      </c>
      <c r="L1452" s="11" t="n">
        <v>6</v>
      </c>
      <c r="M1452" s="12" t="n"/>
      <c r="N1452" s="12" t="n"/>
      <c r="O1452" s="12" t="n">
        <v>1800</v>
      </c>
      <c r="P1452" s="12" t="n"/>
      <c r="Q1452" s="12" t="n"/>
      <c r="R1452" s="13">
        <f>IF(ISNUMBER(M1452),ROUND(M1452/(1-Settings!$B$2)/Settings!$B$3,0)*Settings!$B$3,"")</f>
        <v/>
      </c>
      <c r="S1452" s="13">
        <f>IF(ISNUMBER(N1452),ROUND(N1452/(1-Settings!$B$2)/Settings!$B$3,0)*Settings!$B$3,"")</f>
        <v/>
      </c>
      <c r="T1452" s="13">
        <f>IF(ISNUMBER(O1452),ROUND(O1452/(1-Settings!$B$2)/Settings!$B$3,0)*Settings!$B$3,"")</f>
        <v/>
      </c>
      <c r="U1452" s="13">
        <f>IF(ISNUMBER(P1452),ROUND(P1452/(1-Settings!$B$2)/Settings!$B$3,0)*Settings!$B$3,"")</f>
        <v/>
      </c>
      <c r="V1452" s="13">
        <f>IF(ISNUMBER(Q1452),ROUND(Q1452/(1-Settings!$B$2)/Settings!$B$3,0)*Settings!$B$3,"")</f>
        <v/>
      </c>
      <c r="W1452" s="14" t="n">
        <v>4614</v>
      </c>
      <c r="X1452" s="14" t="n">
        <v>8875</v>
      </c>
      <c r="Y1452" s="11" t="inlineStr">
        <is>
          <t>2026</t>
        </is>
      </c>
      <c r="Z1452" s="11" t="inlineStr">
        <is>
          <t>2026-06</t>
        </is>
      </c>
      <c r="AA1452" s="8" t="inlineStr">
        <is>
          <t>6-month commitment</t>
        </is>
      </c>
      <c r="AB1452" s="8" t="inlineStr"/>
      <c r="AC1452" s="11" t="inlineStr">
        <is>
          <t>Military - National Publication Inventory Master_June 2026.xlsx</t>
        </is>
      </c>
      <c r="AD1452" s="11" t="inlineStr">
        <is>
          <t>Fort Belvoir MWR Advertising FY26.pdf</t>
        </is>
      </c>
      <c r="AE1452" s="15" t="inlineStr">
        <is>
          <t>Open in Box</t>
        </is>
      </c>
      <c r="AF1452" s="15" t="inlineStr">
        <is>
          <t>Open in Box</t>
        </is>
      </c>
    </row>
    <row r="1453">
      <c r="A1453" s="11" t="inlineStr">
        <is>
          <t>VA-FORTEUST-001</t>
        </is>
      </c>
      <c r="B1453" s="8" t="inlineStr">
        <is>
          <t>Fort Eustis</t>
        </is>
      </c>
      <c r="C1453" s="11" t="inlineStr"/>
      <c r="D1453" s="11" t="inlineStr">
        <is>
          <t>VA</t>
        </is>
      </c>
      <c r="E1453" s="11" t="inlineStr">
        <is>
          <t>Norfolk-Portsmth-Newpt Nws</t>
        </is>
      </c>
      <c r="F1453" s="11" t="inlineStr">
        <is>
          <t>23604</t>
        </is>
      </c>
      <c r="G1453" s="11" t="inlineStr">
        <is>
          <t>Army</t>
        </is>
      </c>
      <c r="H1453" s="11" t="inlineStr">
        <is>
          <t>Digital</t>
        </is>
      </c>
      <c r="I1453" s="8" t="inlineStr">
        <is>
          <t>Digital Monitor Network</t>
        </is>
      </c>
      <c r="J1453" s="11" t="inlineStr">
        <is>
          <t>1920pxW x 1080pxH</t>
        </is>
      </c>
      <c r="K1453" s="8" t="inlineStr">
        <is>
          <t>Your ad will appear on 13 digital monitors in approved installation facilities and 24 digital bowling scoring monitors.</t>
        </is>
      </c>
      <c r="L1453" s="11" t="n">
        <v>1</v>
      </c>
      <c r="M1453" s="12" t="n">
        <v>300</v>
      </c>
      <c r="N1453" s="12" t="n">
        <v>810</v>
      </c>
      <c r="O1453" s="12" t="n">
        <v>1440</v>
      </c>
      <c r="P1453" s="12" t="n">
        <v>2700</v>
      </c>
      <c r="Q1453" s="12" t="n">
        <v>0</v>
      </c>
      <c r="R1453" s="13">
        <f>IF(ISNUMBER(M1453),ROUND(M1453/(1-Settings!$B$2)/Settings!$B$3,0)*Settings!$B$3,"")</f>
        <v/>
      </c>
      <c r="S1453" s="13">
        <f>IF(ISNUMBER(N1453),ROUND(N1453/(1-Settings!$B$2)/Settings!$B$3,0)*Settings!$B$3,"")</f>
        <v/>
      </c>
      <c r="T1453" s="13">
        <f>IF(ISNUMBER(O1453),ROUND(O1453/(1-Settings!$B$2)/Settings!$B$3,0)*Settings!$B$3,"")</f>
        <v/>
      </c>
      <c r="U1453" s="13">
        <f>IF(ISNUMBER(P1453),ROUND(P1453/(1-Settings!$B$2)/Settings!$B$3,0)*Settings!$B$3,"")</f>
        <v/>
      </c>
      <c r="V1453" s="13">
        <f>IF(ISNUMBER(Q1453),ROUND(Q1453/(1-Settings!$B$2)/Settings!$B$3,0)*Settings!$B$3,"")</f>
        <v/>
      </c>
      <c r="W1453" s="14" t="n">
        <v>5645</v>
      </c>
      <c r="X1453" s="14" t="n">
        <v>8490</v>
      </c>
      <c r="Y1453" s="11" t="inlineStr"/>
      <c r="Z1453" s="11" t="inlineStr"/>
      <c r="AA1453" s="8" t="inlineStr">
        <is>
          <t>Inventory master 6/2026 lists Digital Monitor Network at $350 (1 mo)</t>
        </is>
      </c>
      <c r="AB1453" s="8" t="inlineStr"/>
      <c r="AC1453" s="11" t="inlineStr">
        <is>
          <t>MasterMilitaryOnBaseList 12.2.25 NS.xlsx</t>
        </is>
      </c>
      <c r="AD1453" s="11" t="inlineStr">
        <is>
          <t>2026 06 19 Summer Bash.jpg</t>
        </is>
      </c>
      <c r="AE1453" s="15" t="inlineStr">
        <is>
          <t>Open in Box</t>
        </is>
      </c>
      <c r="AF1453" s="15" t="inlineStr">
        <is>
          <t>Open in Box</t>
        </is>
      </c>
    </row>
    <row r="1454">
      <c r="A1454" s="11" t="inlineStr">
        <is>
          <t>VA-FORTEUST-007</t>
        </is>
      </c>
      <c r="B1454" s="8" t="inlineStr">
        <is>
          <t>Fort Eustis</t>
        </is>
      </c>
      <c r="C1454" s="11" t="inlineStr"/>
      <c r="D1454" s="11" t="inlineStr">
        <is>
          <t>VA</t>
        </is>
      </c>
      <c r="E1454" s="11" t="inlineStr">
        <is>
          <t>Norfolk-Portsmth-Newpt Nws</t>
        </is>
      </c>
      <c r="F1454" s="11" t="inlineStr">
        <is>
          <t>23604</t>
        </is>
      </c>
      <c r="G1454" s="11" t="inlineStr">
        <is>
          <t>Army</t>
        </is>
      </c>
      <c r="H1454" s="11" t="inlineStr">
        <is>
          <t>Large Format</t>
        </is>
      </c>
      <c r="I1454" s="8" t="inlineStr">
        <is>
          <t>Banners - Installation Gate</t>
        </is>
      </c>
      <c r="J1454" s="11" t="inlineStr">
        <is>
          <t>6'W x 3'H</t>
        </is>
      </c>
      <c r="K1454" s="8" t="inlineStr">
        <is>
          <t>Your ad will appear at an approved installation facility.</t>
        </is>
      </c>
      <c r="L1454" s="11" t="n">
        <v>3</v>
      </c>
      <c r="M1454" s="12" t="n"/>
      <c r="N1454" s="12" t="n">
        <v>650</v>
      </c>
      <c r="O1454" s="12" t="n">
        <v>1125</v>
      </c>
      <c r="P1454" s="12" t="n">
        <v>2000</v>
      </c>
      <c r="Q1454" s="12" t="n">
        <v>200</v>
      </c>
      <c r="R1454" s="13">
        <f>IF(ISNUMBER(M1454),ROUND(M1454/(1-Settings!$B$2)/Settings!$B$3,0)*Settings!$B$3,"")</f>
        <v/>
      </c>
      <c r="S1454" s="13">
        <f>IF(ISNUMBER(N1454),ROUND(N1454/(1-Settings!$B$2)/Settings!$B$3,0)*Settings!$B$3,"")</f>
        <v/>
      </c>
      <c r="T1454" s="13">
        <f>IF(ISNUMBER(O1454),ROUND(O1454/(1-Settings!$B$2)/Settings!$B$3,0)*Settings!$B$3,"")</f>
        <v/>
      </c>
      <c r="U1454" s="13">
        <f>IF(ISNUMBER(P1454),ROUND(P1454/(1-Settings!$B$2)/Settings!$B$3,0)*Settings!$B$3,"")</f>
        <v/>
      </c>
      <c r="V1454" s="13">
        <f>IF(ISNUMBER(Q1454),ROUND(Q1454/(1-Settings!$B$2)/Settings!$B$3,0)*Settings!$B$3,"")</f>
        <v/>
      </c>
      <c r="W1454" s="14" t="n">
        <v>5645</v>
      </c>
      <c r="X1454" s="14" t="n">
        <v>8490</v>
      </c>
      <c r="Y1454" s="11" t="inlineStr"/>
      <c r="Z1454" s="11" t="inlineStr"/>
      <c r="AA1454" s="8" t="inlineStr"/>
      <c r="AB1454" s="16" t="inlineStr">
        <is>
          <t>Source formula errors</t>
        </is>
      </c>
      <c r="AC1454" s="11" t="inlineStr">
        <is>
          <t>MasterMilitaryOnBaseList 12.2.25 NS.xlsx</t>
        </is>
      </c>
      <c r="AD1454" s="11" t="inlineStr">
        <is>
          <t>2026 06 19 Summer Bash.jpg</t>
        </is>
      </c>
      <c r="AE1454" s="15" t="inlineStr">
        <is>
          <t>Open in Box</t>
        </is>
      </c>
      <c r="AF1454" s="15" t="inlineStr">
        <is>
          <t>Open in Box</t>
        </is>
      </c>
    </row>
    <row r="1455">
      <c r="A1455" s="11" t="inlineStr">
        <is>
          <t>VA-FORTEUST-008</t>
        </is>
      </c>
      <c r="B1455" s="8" t="inlineStr">
        <is>
          <t>Fort Eustis</t>
        </is>
      </c>
      <c r="C1455" s="11" t="inlineStr"/>
      <c r="D1455" s="11" t="inlineStr">
        <is>
          <t>VA</t>
        </is>
      </c>
      <c r="E1455" s="11" t="inlineStr">
        <is>
          <t>Norfolk-Portsmth-Newpt Nws</t>
        </is>
      </c>
      <c r="F1455" s="11" t="inlineStr">
        <is>
          <t>23604</t>
        </is>
      </c>
      <c r="G1455" s="11" t="inlineStr">
        <is>
          <t>Army</t>
        </is>
      </c>
      <c r="H1455" s="11" t="inlineStr">
        <is>
          <t>Large Format</t>
        </is>
      </c>
      <c r="I1455" s="8" t="inlineStr">
        <is>
          <t>Counter Wrap</t>
        </is>
      </c>
      <c r="J1455" s="11" t="inlineStr">
        <is>
          <t>TBD</t>
        </is>
      </c>
      <c r="K1455" s="8" t="inlineStr">
        <is>
          <t>Your ad will appear at an approved installation facility.</t>
        </is>
      </c>
      <c r="L1455" s="11" t="n">
        <v>6</v>
      </c>
      <c r="M1455" s="12" t="n"/>
      <c r="N1455" s="12" t="n"/>
      <c r="O1455" s="12" t="n">
        <v>3360</v>
      </c>
      <c r="P1455" s="12" t="n">
        <v>6300</v>
      </c>
      <c r="Q1455" s="12" t="n"/>
      <c r="R1455" s="13">
        <f>IF(ISNUMBER(M1455),ROUND(M1455/(1-Settings!$B$2)/Settings!$B$3,0)*Settings!$B$3,"")</f>
        <v/>
      </c>
      <c r="S1455" s="13">
        <f>IF(ISNUMBER(N1455),ROUND(N1455/(1-Settings!$B$2)/Settings!$B$3,0)*Settings!$B$3,"")</f>
        <v/>
      </c>
      <c r="T1455" s="13">
        <f>IF(ISNUMBER(O1455),ROUND(O1455/(1-Settings!$B$2)/Settings!$B$3,0)*Settings!$B$3,"")</f>
        <v/>
      </c>
      <c r="U1455" s="13">
        <f>IF(ISNUMBER(P1455),ROUND(P1455/(1-Settings!$B$2)/Settings!$B$3,0)*Settings!$B$3,"")</f>
        <v/>
      </c>
      <c r="V1455" s="13">
        <f>IF(ISNUMBER(Q1455),ROUND(Q1455/(1-Settings!$B$2)/Settings!$B$3,0)*Settings!$B$3,"")</f>
        <v/>
      </c>
      <c r="W1455" s="14" t="n">
        <v>5645</v>
      </c>
      <c r="X1455" s="14" t="n">
        <v>8490</v>
      </c>
      <c r="Y1455" s="11" t="inlineStr"/>
      <c r="Z1455" s="11" t="inlineStr"/>
      <c r="AA1455" s="8" t="inlineStr"/>
      <c r="AB1455" s="16" t="inlineStr">
        <is>
          <t>Source formula errors</t>
        </is>
      </c>
      <c r="AC1455" s="11" t="inlineStr">
        <is>
          <t>MasterMilitaryOnBaseList 12.2.25 NS.xlsx</t>
        </is>
      </c>
      <c r="AD1455" s="11" t="inlineStr">
        <is>
          <t>2026 06 19 Summer Bash.jpg</t>
        </is>
      </c>
      <c r="AE1455" s="15" t="inlineStr">
        <is>
          <t>Open in Box</t>
        </is>
      </c>
      <c r="AF1455" s="15" t="inlineStr">
        <is>
          <t>Open in Box</t>
        </is>
      </c>
    </row>
    <row r="1456">
      <c r="A1456" s="11" t="inlineStr">
        <is>
          <t>VA-FORTEUST-009</t>
        </is>
      </c>
      <c r="B1456" s="8" t="inlineStr">
        <is>
          <t>Fort Eustis</t>
        </is>
      </c>
      <c r="C1456" s="11" t="inlineStr"/>
      <c r="D1456" s="11" t="inlineStr">
        <is>
          <t>VA</t>
        </is>
      </c>
      <c r="E1456" s="11" t="inlineStr">
        <is>
          <t>Norfolk-Portsmth-Newpt Nws</t>
        </is>
      </c>
      <c r="F1456" s="11" t="inlineStr">
        <is>
          <t>23604</t>
        </is>
      </c>
      <c r="G1456" s="11" t="inlineStr">
        <is>
          <t>Army</t>
        </is>
      </c>
      <c r="H1456" s="11" t="inlineStr">
        <is>
          <t>Large Format</t>
        </is>
      </c>
      <c r="I1456" s="8" t="inlineStr">
        <is>
          <t>Indoor Banner - Large</t>
        </is>
      </c>
      <c r="J1456" s="11" t="inlineStr">
        <is>
          <t>12'W x 4'H</t>
        </is>
      </c>
      <c r="K1456" s="8" t="inlineStr">
        <is>
          <t>Your ad will appear at an approved installation facility.</t>
        </is>
      </c>
      <c r="L1456" s="11" t="n">
        <v>3</v>
      </c>
      <c r="M1456" s="12" t="n"/>
      <c r="N1456" s="12" t="n">
        <v>1225</v>
      </c>
      <c r="O1456" s="12" t="n">
        <v>2200</v>
      </c>
      <c r="P1456" s="12" t="n">
        <v>3600</v>
      </c>
      <c r="Q1456" s="12" t="n"/>
      <c r="R1456" s="13">
        <f>IF(ISNUMBER(M1456),ROUND(M1456/(1-Settings!$B$2)/Settings!$B$3,0)*Settings!$B$3,"")</f>
        <v/>
      </c>
      <c r="S1456" s="13">
        <f>IF(ISNUMBER(N1456),ROUND(N1456/(1-Settings!$B$2)/Settings!$B$3,0)*Settings!$B$3,"")</f>
        <v/>
      </c>
      <c r="T1456" s="13">
        <f>IF(ISNUMBER(O1456),ROUND(O1456/(1-Settings!$B$2)/Settings!$B$3,0)*Settings!$B$3,"")</f>
        <v/>
      </c>
      <c r="U1456" s="13">
        <f>IF(ISNUMBER(P1456),ROUND(P1456/(1-Settings!$B$2)/Settings!$B$3,0)*Settings!$B$3,"")</f>
        <v/>
      </c>
      <c r="V1456" s="13">
        <f>IF(ISNUMBER(Q1456),ROUND(Q1456/(1-Settings!$B$2)/Settings!$B$3,0)*Settings!$B$3,"")</f>
        <v/>
      </c>
      <c r="W1456" s="14" t="n">
        <v>5645</v>
      </c>
      <c r="X1456" s="14" t="n">
        <v>8490</v>
      </c>
      <c r="Y1456" s="11" t="inlineStr"/>
      <c r="Z1456" s="11" t="inlineStr"/>
      <c r="AA1456" s="8" t="inlineStr"/>
      <c r="AB1456" s="16" t="inlineStr">
        <is>
          <t>Source formula errors</t>
        </is>
      </c>
      <c r="AC1456" s="11" t="inlineStr">
        <is>
          <t>MasterMilitaryOnBaseList 12.2.25 NS.xlsx</t>
        </is>
      </c>
      <c r="AD1456" s="11" t="inlineStr">
        <is>
          <t>2026 06 19 Summer Bash.jpg</t>
        </is>
      </c>
      <c r="AE1456" s="15" t="inlineStr">
        <is>
          <t>Open in Box</t>
        </is>
      </c>
      <c r="AF1456" s="15" t="inlineStr">
        <is>
          <t>Open in Box</t>
        </is>
      </c>
    </row>
    <row r="1457">
      <c r="A1457" s="11" t="inlineStr">
        <is>
          <t>VA-FORTEUST-010</t>
        </is>
      </c>
      <c r="B1457" s="8" t="inlineStr">
        <is>
          <t>Fort Eustis</t>
        </is>
      </c>
      <c r="C1457" s="11" t="inlineStr"/>
      <c r="D1457" s="11" t="inlineStr">
        <is>
          <t>VA</t>
        </is>
      </c>
      <c r="E1457" s="11" t="inlineStr">
        <is>
          <t>Norfolk-Portsmth-Newpt Nws</t>
        </is>
      </c>
      <c r="F1457" s="11" t="inlineStr">
        <is>
          <t>23604</t>
        </is>
      </c>
      <c r="G1457" s="11" t="inlineStr">
        <is>
          <t>Army</t>
        </is>
      </c>
      <c r="H1457" s="11" t="inlineStr">
        <is>
          <t>Large Format</t>
        </is>
      </c>
      <c r="I1457" s="8" t="inlineStr">
        <is>
          <t>Large Banners - Installation Gate</t>
        </is>
      </c>
      <c r="J1457" s="11" t="inlineStr">
        <is>
          <t>8'W x 4'H</t>
        </is>
      </c>
      <c r="K1457" s="8" t="inlineStr">
        <is>
          <t>Your ad will appear at an approved installation facility.</t>
        </is>
      </c>
      <c r="L1457" s="11" t="n">
        <v>3</v>
      </c>
      <c r="M1457" s="12" t="n"/>
      <c r="N1457" s="12" t="n">
        <v>1325</v>
      </c>
      <c r="O1457" s="12" t="n">
        <v>2300</v>
      </c>
      <c r="P1457" s="12" t="n">
        <v>3700</v>
      </c>
      <c r="Q1457" s="12" t="n">
        <v>350</v>
      </c>
      <c r="R1457" s="13">
        <f>IF(ISNUMBER(M1457),ROUND(M1457/(1-Settings!$B$2)/Settings!$B$3,0)*Settings!$B$3,"")</f>
        <v/>
      </c>
      <c r="S1457" s="13">
        <f>IF(ISNUMBER(N1457),ROUND(N1457/(1-Settings!$B$2)/Settings!$B$3,0)*Settings!$B$3,"")</f>
        <v/>
      </c>
      <c r="T1457" s="13">
        <f>IF(ISNUMBER(O1457),ROUND(O1457/(1-Settings!$B$2)/Settings!$B$3,0)*Settings!$B$3,"")</f>
        <v/>
      </c>
      <c r="U1457" s="13">
        <f>IF(ISNUMBER(P1457),ROUND(P1457/(1-Settings!$B$2)/Settings!$B$3,0)*Settings!$B$3,"")</f>
        <v/>
      </c>
      <c r="V1457" s="13">
        <f>IF(ISNUMBER(Q1457),ROUND(Q1457/(1-Settings!$B$2)/Settings!$B$3,0)*Settings!$B$3,"")</f>
        <v/>
      </c>
      <c r="W1457" s="14" t="n">
        <v>5645</v>
      </c>
      <c r="X1457" s="14" t="n">
        <v>8490</v>
      </c>
      <c r="Y1457" s="11" t="inlineStr"/>
      <c r="Z1457" s="11" t="inlineStr"/>
      <c r="AA1457" s="8" t="inlineStr"/>
      <c r="AB1457" s="16" t="inlineStr">
        <is>
          <t>Source formula errors</t>
        </is>
      </c>
      <c r="AC1457" s="11" t="inlineStr">
        <is>
          <t>MasterMilitaryOnBaseList 12.2.25 NS.xlsx</t>
        </is>
      </c>
      <c r="AD1457" s="11" t="inlineStr">
        <is>
          <t>2026 06 19 Summer Bash.jpg</t>
        </is>
      </c>
      <c r="AE1457" s="15" t="inlineStr">
        <is>
          <t>Open in Box</t>
        </is>
      </c>
      <c r="AF1457" s="15" t="inlineStr">
        <is>
          <t>Open in Box</t>
        </is>
      </c>
    </row>
    <row r="1458">
      <c r="A1458" s="11" t="inlineStr">
        <is>
          <t>VA-FORTEUST-011</t>
        </is>
      </c>
      <c r="B1458" s="8" t="inlineStr">
        <is>
          <t>Fort Eustis</t>
        </is>
      </c>
      <c r="C1458" s="11" t="inlineStr"/>
      <c r="D1458" s="11" t="inlineStr">
        <is>
          <t>VA</t>
        </is>
      </c>
      <c r="E1458" s="11" t="inlineStr">
        <is>
          <t>Norfolk-Portsmth-Newpt Nws</t>
        </is>
      </c>
      <c r="F1458" s="11" t="inlineStr">
        <is>
          <t>23604</t>
        </is>
      </c>
      <c r="G1458" s="11" t="inlineStr">
        <is>
          <t>Army</t>
        </is>
      </c>
      <c r="H1458" s="11" t="inlineStr">
        <is>
          <t>Large Format</t>
        </is>
      </c>
      <c r="I1458" s="8" t="inlineStr">
        <is>
          <t>Large Banners - Outdoor</t>
        </is>
      </c>
      <c r="J1458" s="11" t="inlineStr">
        <is>
          <t>8'W x 4'H</t>
        </is>
      </c>
      <c r="K1458" s="8" t="inlineStr">
        <is>
          <t>Your ad will appear at an approved installation facility.</t>
        </is>
      </c>
      <c r="L1458" s="11" t="n">
        <v>1</v>
      </c>
      <c r="M1458" s="12" t="n">
        <v>600</v>
      </c>
      <c r="N1458" s="12" t="n">
        <v>1225</v>
      </c>
      <c r="O1458" s="12" t="n">
        <v>2200</v>
      </c>
      <c r="P1458" s="12" t="n">
        <v>3600</v>
      </c>
      <c r="Q1458" s="12" t="n">
        <v>350</v>
      </c>
      <c r="R1458" s="13">
        <f>IF(ISNUMBER(M1458),ROUND(M1458/(1-Settings!$B$2)/Settings!$B$3,0)*Settings!$B$3,"")</f>
        <v/>
      </c>
      <c r="S1458" s="13">
        <f>IF(ISNUMBER(N1458),ROUND(N1458/(1-Settings!$B$2)/Settings!$B$3,0)*Settings!$B$3,"")</f>
        <v/>
      </c>
      <c r="T1458" s="13">
        <f>IF(ISNUMBER(O1458),ROUND(O1458/(1-Settings!$B$2)/Settings!$B$3,0)*Settings!$B$3,"")</f>
        <v/>
      </c>
      <c r="U1458" s="13">
        <f>IF(ISNUMBER(P1458),ROUND(P1458/(1-Settings!$B$2)/Settings!$B$3,0)*Settings!$B$3,"")</f>
        <v/>
      </c>
      <c r="V1458" s="13">
        <f>IF(ISNUMBER(Q1458),ROUND(Q1458/(1-Settings!$B$2)/Settings!$B$3,0)*Settings!$B$3,"")</f>
        <v/>
      </c>
      <c r="W1458" s="14" t="n">
        <v>5645</v>
      </c>
      <c r="X1458" s="14" t="n">
        <v>8490</v>
      </c>
      <c r="Y1458" s="11" t="inlineStr"/>
      <c r="Z1458" s="11" t="inlineStr"/>
      <c r="AA1458" s="8" t="inlineStr"/>
      <c r="AB1458" s="8" t="inlineStr"/>
      <c r="AC1458" s="11" t="inlineStr">
        <is>
          <t>MasterMilitaryOnBaseList 12.2.25 NS.xlsx</t>
        </is>
      </c>
      <c r="AD1458" s="11" t="inlineStr">
        <is>
          <t>2026 06 19 Summer Bash.jpg</t>
        </is>
      </c>
      <c r="AE1458" s="15" t="inlineStr">
        <is>
          <t>Open in Box</t>
        </is>
      </c>
      <c r="AF1458" s="15" t="inlineStr">
        <is>
          <t>Open in Box</t>
        </is>
      </c>
    </row>
    <row r="1459">
      <c r="A1459" s="11" t="inlineStr">
        <is>
          <t>VA-FORTEUST-012</t>
        </is>
      </c>
      <c r="B1459" s="8" t="inlineStr">
        <is>
          <t>Fort Eustis</t>
        </is>
      </c>
      <c r="C1459" s="11" t="inlineStr"/>
      <c r="D1459" s="11" t="inlineStr">
        <is>
          <t>VA</t>
        </is>
      </c>
      <c r="E1459" s="11" t="inlineStr">
        <is>
          <t>Norfolk-Portsmth-Newpt Nws</t>
        </is>
      </c>
      <c r="F1459" s="11" t="inlineStr">
        <is>
          <t>23604</t>
        </is>
      </c>
      <c r="G1459" s="11" t="inlineStr">
        <is>
          <t>Army</t>
        </is>
      </c>
      <c r="H1459" s="11" t="inlineStr">
        <is>
          <t>Large Format</t>
        </is>
      </c>
      <c r="I1459" s="8" t="inlineStr">
        <is>
          <t>Window Decal</t>
        </is>
      </c>
      <c r="J1459" s="11" t="inlineStr">
        <is>
          <t>TBD</t>
        </is>
      </c>
      <c r="K1459" s="8" t="inlineStr">
        <is>
          <t>Your ad will appear at an approved installation facility.</t>
        </is>
      </c>
      <c r="L1459" s="11" t="n">
        <v>1</v>
      </c>
      <c r="M1459" s="12" t="n">
        <v>75</v>
      </c>
      <c r="N1459" s="12" t="n">
        <v>175</v>
      </c>
      <c r="O1459" s="12" t="n">
        <v>375</v>
      </c>
      <c r="P1459" s="12" t="n">
        <v>850</v>
      </c>
      <c r="Q1459" s="12" t="n"/>
      <c r="R1459" s="13">
        <f>IF(ISNUMBER(M1459),ROUND(M1459/(1-Settings!$B$2)/Settings!$B$3,0)*Settings!$B$3,"")</f>
        <v/>
      </c>
      <c r="S1459" s="13">
        <f>IF(ISNUMBER(N1459),ROUND(N1459/(1-Settings!$B$2)/Settings!$B$3,0)*Settings!$B$3,"")</f>
        <v/>
      </c>
      <c r="T1459" s="13">
        <f>IF(ISNUMBER(O1459),ROUND(O1459/(1-Settings!$B$2)/Settings!$B$3,0)*Settings!$B$3,"")</f>
        <v/>
      </c>
      <c r="U1459" s="13">
        <f>IF(ISNUMBER(P1459),ROUND(P1459/(1-Settings!$B$2)/Settings!$B$3,0)*Settings!$B$3,"")</f>
        <v/>
      </c>
      <c r="V1459" s="13">
        <f>IF(ISNUMBER(Q1459),ROUND(Q1459/(1-Settings!$B$2)/Settings!$B$3,0)*Settings!$B$3,"")</f>
        <v/>
      </c>
      <c r="W1459" s="14" t="n">
        <v>5645</v>
      </c>
      <c r="X1459" s="14" t="n">
        <v>8490</v>
      </c>
      <c r="Y1459" s="11" t="inlineStr"/>
      <c r="Z1459" s="11" t="inlineStr"/>
      <c r="AA1459" s="8" t="inlineStr"/>
      <c r="AB1459" s="8" t="inlineStr"/>
      <c r="AC1459" s="11" t="inlineStr">
        <is>
          <t>MasterMilitaryOnBaseList 12.2.25 NS.xlsx</t>
        </is>
      </c>
      <c r="AD1459" s="11" t="inlineStr">
        <is>
          <t>2026 06 19 Summer Bash.jpg</t>
        </is>
      </c>
      <c r="AE1459" s="15" t="inlineStr">
        <is>
          <t>Open in Box</t>
        </is>
      </c>
      <c r="AF1459" s="15" t="inlineStr">
        <is>
          <t>Open in Box</t>
        </is>
      </c>
    </row>
    <row r="1460">
      <c r="A1460" s="11" t="inlineStr">
        <is>
          <t>VA-FORTEUST-013</t>
        </is>
      </c>
      <c r="B1460" s="8" t="inlineStr">
        <is>
          <t>Fort Eustis</t>
        </is>
      </c>
      <c r="C1460" s="11" t="inlineStr"/>
      <c r="D1460" s="11" t="inlineStr">
        <is>
          <t>VA</t>
        </is>
      </c>
      <c r="E1460" s="11" t="inlineStr">
        <is>
          <t>Norfolk-Portsmth-Newpt Nws</t>
        </is>
      </c>
      <c r="F1460" s="11" t="inlineStr">
        <is>
          <t>23604</t>
        </is>
      </c>
      <c r="G1460" s="11" t="inlineStr">
        <is>
          <t>Army</t>
        </is>
      </c>
      <c r="H1460" s="11" t="inlineStr">
        <is>
          <t>Large Format</t>
        </is>
      </c>
      <c r="I1460" s="8" t="inlineStr">
        <is>
          <t>Windowscape</t>
        </is>
      </c>
      <c r="J1460" s="11" t="inlineStr">
        <is>
          <t>6"W x 18"H</t>
        </is>
      </c>
      <c r="K1460" s="8" t="inlineStr">
        <is>
          <t>Your ad will appear at an approved installation facility.</t>
        </is>
      </c>
      <c r="L1460" s="11" t="n">
        <v>6</v>
      </c>
      <c r="M1460" s="12" t="n"/>
      <c r="N1460" s="12" t="n"/>
      <c r="O1460" s="12" t="n">
        <v>1900</v>
      </c>
      <c r="P1460" s="12" t="n">
        <v>3700</v>
      </c>
      <c r="Q1460" s="12" t="n"/>
      <c r="R1460" s="13">
        <f>IF(ISNUMBER(M1460),ROUND(M1460/(1-Settings!$B$2)/Settings!$B$3,0)*Settings!$B$3,"")</f>
        <v/>
      </c>
      <c r="S1460" s="13">
        <f>IF(ISNUMBER(N1460),ROUND(N1460/(1-Settings!$B$2)/Settings!$B$3,0)*Settings!$B$3,"")</f>
        <v/>
      </c>
      <c r="T1460" s="13">
        <f>IF(ISNUMBER(O1460),ROUND(O1460/(1-Settings!$B$2)/Settings!$B$3,0)*Settings!$B$3,"")</f>
        <v/>
      </c>
      <c r="U1460" s="13">
        <f>IF(ISNUMBER(P1460),ROUND(P1460/(1-Settings!$B$2)/Settings!$B$3,0)*Settings!$B$3,"")</f>
        <v/>
      </c>
      <c r="V1460" s="13">
        <f>IF(ISNUMBER(Q1460),ROUND(Q1460/(1-Settings!$B$2)/Settings!$B$3,0)*Settings!$B$3,"")</f>
        <v/>
      </c>
      <c r="W1460" s="14" t="n">
        <v>5645</v>
      </c>
      <c r="X1460" s="14" t="n">
        <v>8490</v>
      </c>
      <c r="Y1460" s="11" t="inlineStr"/>
      <c r="Z1460" s="11" t="inlineStr"/>
      <c r="AA1460" s="8" t="inlineStr"/>
      <c r="AB1460" s="16" t="inlineStr">
        <is>
          <t>Source formula errors</t>
        </is>
      </c>
      <c r="AC1460" s="11" t="inlineStr">
        <is>
          <t>MasterMilitaryOnBaseList 12.2.25 NS.xlsx</t>
        </is>
      </c>
      <c r="AD1460" s="11" t="inlineStr">
        <is>
          <t>2026 06 19 Summer Bash.jpg</t>
        </is>
      </c>
      <c r="AE1460" s="15" t="inlineStr">
        <is>
          <t>Open in Box</t>
        </is>
      </c>
      <c r="AF1460" s="15" t="inlineStr">
        <is>
          <t>Open in Box</t>
        </is>
      </c>
    </row>
    <row r="1461">
      <c r="A1461" s="11" t="inlineStr">
        <is>
          <t>VA-FORTEUST-014</t>
        </is>
      </c>
      <c r="B1461" s="8" t="inlineStr">
        <is>
          <t>Fort Eustis</t>
        </is>
      </c>
      <c r="C1461" s="11" t="inlineStr"/>
      <c r="D1461" s="11" t="inlineStr">
        <is>
          <t>VA</t>
        </is>
      </c>
      <c r="E1461" s="11" t="inlineStr">
        <is>
          <t>Norfolk-Portsmth-Newpt Nws</t>
        </is>
      </c>
      <c r="F1461" s="11" t="inlineStr">
        <is>
          <t>23604</t>
        </is>
      </c>
      <c r="G1461" s="11" t="inlineStr">
        <is>
          <t>Army</t>
        </is>
      </c>
      <c r="H1461" s="11" t="inlineStr">
        <is>
          <t>Print &amp; Publications</t>
        </is>
      </c>
      <c r="I1461" s="8" t="inlineStr">
        <is>
          <t>Golf Scorecard Signage</t>
        </is>
      </c>
      <c r="J1461" s="11" t="inlineStr">
        <is>
          <t>3"W x 4"H</t>
        </is>
      </c>
      <c r="K1461" s="8" t="inlineStr">
        <is>
          <t>Your ad will appear in large format inside the top right of all golf scorecards.</t>
        </is>
      </c>
      <c r="L1461" s="11" t="n">
        <v>12</v>
      </c>
      <c r="M1461" s="12" t="n"/>
      <c r="N1461" s="12" t="n"/>
      <c r="O1461" s="12" t="n"/>
      <c r="P1461" s="12" t="n">
        <v>1100</v>
      </c>
      <c r="Q1461" s="12" t="n">
        <v>0</v>
      </c>
      <c r="R1461" s="13">
        <f>IF(ISNUMBER(M1461),ROUND(M1461/(1-Settings!$B$2)/Settings!$B$3,0)*Settings!$B$3,"")</f>
        <v/>
      </c>
      <c r="S1461" s="13">
        <f>IF(ISNUMBER(N1461),ROUND(N1461/(1-Settings!$B$2)/Settings!$B$3,0)*Settings!$B$3,"")</f>
        <v/>
      </c>
      <c r="T1461" s="13">
        <f>IF(ISNUMBER(O1461),ROUND(O1461/(1-Settings!$B$2)/Settings!$B$3,0)*Settings!$B$3,"")</f>
        <v/>
      </c>
      <c r="U1461" s="13">
        <f>IF(ISNUMBER(P1461),ROUND(P1461/(1-Settings!$B$2)/Settings!$B$3,0)*Settings!$B$3,"")</f>
        <v/>
      </c>
      <c r="V1461" s="13">
        <f>IF(ISNUMBER(Q1461),ROUND(Q1461/(1-Settings!$B$2)/Settings!$B$3,0)*Settings!$B$3,"")</f>
        <v/>
      </c>
      <c r="W1461" s="14" t="n">
        <v>5645</v>
      </c>
      <c r="X1461" s="14" t="n">
        <v>8490</v>
      </c>
      <c r="Y1461" s="11" t="inlineStr"/>
      <c r="Z1461" s="11" t="inlineStr"/>
      <c r="AA1461" s="8" t="inlineStr"/>
      <c r="AB1461" s="16" t="inlineStr">
        <is>
          <t>Source formula errors</t>
        </is>
      </c>
      <c r="AC1461" s="11" t="inlineStr">
        <is>
          <t>MasterMilitaryOnBaseList 12.2.25 NS.xlsx</t>
        </is>
      </c>
      <c r="AD1461" s="11" t="inlineStr">
        <is>
          <t>2026 06 19 Summer Bash.jpg</t>
        </is>
      </c>
      <c r="AE1461" s="15" t="inlineStr">
        <is>
          <t>Open in Box</t>
        </is>
      </c>
      <c r="AF1461" s="15" t="inlineStr">
        <is>
          <t>Open in Box</t>
        </is>
      </c>
    </row>
    <row r="1462">
      <c r="A1462" s="11" t="inlineStr">
        <is>
          <t>VA-FORTEUST-017</t>
        </is>
      </c>
      <c r="B1462" s="8" t="inlineStr">
        <is>
          <t>Fort Eustis</t>
        </is>
      </c>
      <c r="C1462" s="11" t="inlineStr"/>
      <c r="D1462" s="11" t="inlineStr">
        <is>
          <t>VA</t>
        </is>
      </c>
      <c r="E1462" s="11" t="inlineStr">
        <is>
          <t>Norfolk-Portsmth-Newpt Nws</t>
        </is>
      </c>
      <c r="F1462" s="11" t="inlineStr"/>
      <c r="G1462" s="11" t="inlineStr">
        <is>
          <t>Army</t>
        </is>
      </c>
      <c r="H1462" s="11" t="inlineStr">
        <is>
          <t>Print &amp; Publications</t>
        </is>
      </c>
      <c r="I1462" s="8" t="inlineStr">
        <is>
          <t>Magazine Ad</t>
        </is>
      </c>
      <c r="J1462" s="11" t="inlineStr"/>
      <c r="K1462" s="8" t="inlineStr">
        <is>
          <t>Your ad will appear in the installation magazine.</t>
        </is>
      </c>
      <c r="L1462" s="11" t="n">
        <v>1</v>
      </c>
      <c r="M1462" s="12" t="n">
        <v>150</v>
      </c>
      <c r="N1462" s="12" t="n"/>
      <c r="O1462" s="12" t="n"/>
      <c r="P1462" s="12" t="n"/>
      <c r="Q1462" s="12" t="n"/>
      <c r="R1462" s="13">
        <f>IF(ISNUMBER(M1462),ROUND(M1462/(1-Settings!$B$2)/Settings!$B$3,0)*Settings!$B$3,"")</f>
        <v/>
      </c>
      <c r="S1462" s="13">
        <f>IF(ISNUMBER(N1462),ROUND(N1462/(1-Settings!$B$2)/Settings!$B$3,0)*Settings!$B$3,"")</f>
        <v/>
      </c>
      <c r="T1462" s="13">
        <f>IF(ISNUMBER(O1462),ROUND(O1462/(1-Settings!$B$2)/Settings!$B$3,0)*Settings!$B$3,"")</f>
        <v/>
      </c>
      <c r="U1462" s="13">
        <f>IF(ISNUMBER(P1462),ROUND(P1462/(1-Settings!$B$2)/Settings!$B$3,0)*Settings!$B$3,"")</f>
        <v/>
      </c>
      <c r="V1462" s="13">
        <f>IF(ISNUMBER(Q1462),ROUND(Q1462/(1-Settings!$B$2)/Settings!$B$3,0)*Settings!$B$3,"")</f>
        <v/>
      </c>
      <c r="W1462" s="14" t="n">
        <v>5645</v>
      </c>
      <c r="X1462" s="14" t="n">
        <v>8490</v>
      </c>
      <c r="Y1462" s="11" t="inlineStr">
        <is>
          <t>2026</t>
        </is>
      </c>
      <c r="Z1462" s="11" t="inlineStr">
        <is>
          <t>2026-06</t>
        </is>
      </c>
      <c r="AA1462" s="8" t="inlineStr">
        <is>
          <t>Price is bi-monthly &amp; printed bi-monthly Cost is for entire month Printed bi-monthly</t>
        </is>
      </c>
      <c r="AB1462" s="8" t="inlineStr"/>
      <c r="AC1462" s="11" t="inlineStr">
        <is>
          <t>Military - National Publication Inventory Master_June 2026.xlsx</t>
        </is>
      </c>
      <c r="AD1462" s="11" t="inlineStr">
        <is>
          <t>2026 06 19 Summer Bash.jpg</t>
        </is>
      </c>
      <c r="AE1462" s="15" t="inlineStr">
        <is>
          <t>Open in Box</t>
        </is>
      </c>
      <c r="AF1462" s="15" t="inlineStr">
        <is>
          <t>Open in Box</t>
        </is>
      </c>
    </row>
    <row r="1463">
      <c r="A1463" s="11" t="inlineStr">
        <is>
          <t>VA-FORTEUST-015</t>
        </is>
      </c>
      <c r="B1463" s="8" t="inlineStr">
        <is>
          <t>Fort Eustis</t>
        </is>
      </c>
      <c r="C1463" s="11" t="inlineStr"/>
      <c r="D1463" s="11" t="inlineStr">
        <is>
          <t>VA</t>
        </is>
      </c>
      <c r="E1463" s="11" t="inlineStr">
        <is>
          <t>Norfolk-Portsmth-Newpt Nws</t>
        </is>
      </c>
      <c r="F1463" s="11" t="inlineStr">
        <is>
          <t>23604</t>
        </is>
      </c>
      <c r="G1463" s="11" t="inlineStr">
        <is>
          <t>Army</t>
        </is>
      </c>
      <c r="H1463" s="11" t="inlineStr">
        <is>
          <t>Print &amp; Publications</t>
        </is>
      </c>
      <c r="I1463" s="8" t="inlineStr">
        <is>
          <t>Newsletter</t>
        </is>
      </c>
      <c r="J1463" s="11" t="inlineStr">
        <is>
          <t>5.5"W x 8.5H</t>
        </is>
      </c>
      <c r="K1463" s="8" t="inlineStr">
        <is>
          <t>Your ad will appear in the bi-monthly newsletter that is published in paper Fort Eustis wide and online.</t>
        </is>
      </c>
      <c r="L1463" s="11" t="n">
        <v>6</v>
      </c>
      <c r="M1463" s="12" t="n"/>
      <c r="N1463" s="12" t="n"/>
      <c r="O1463" s="12" t="n">
        <v>330</v>
      </c>
      <c r="P1463" s="12" t="n">
        <v>660</v>
      </c>
      <c r="Q1463" s="12" t="n">
        <v>0</v>
      </c>
      <c r="R1463" s="13">
        <f>IF(ISNUMBER(M1463),ROUND(M1463/(1-Settings!$B$2)/Settings!$B$3,0)*Settings!$B$3,"")</f>
        <v/>
      </c>
      <c r="S1463" s="13">
        <f>IF(ISNUMBER(N1463),ROUND(N1463/(1-Settings!$B$2)/Settings!$B$3,0)*Settings!$B$3,"")</f>
        <v/>
      </c>
      <c r="T1463" s="13">
        <f>IF(ISNUMBER(O1463),ROUND(O1463/(1-Settings!$B$2)/Settings!$B$3,0)*Settings!$B$3,"")</f>
        <v/>
      </c>
      <c r="U1463" s="13">
        <f>IF(ISNUMBER(P1463),ROUND(P1463/(1-Settings!$B$2)/Settings!$B$3,0)*Settings!$B$3,"")</f>
        <v/>
      </c>
      <c r="V1463" s="13">
        <f>IF(ISNUMBER(Q1463),ROUND(Q1463/(1-Settings!$B$2)/Settings!$B$3,0)*Settings!$B$3,"")</f>
        <v/>
      </c>
      <c r="W1463" s="14" t="n">
        <v>5645</v>
      </c>
      <c r="X1463" s="14" t="n">
        <v>8490</v>
      </c>
      <c r="Y1463" s="11" t="inlineStr"/>
      <c r="Z1463" s="11" t="inlineStr"/>
      <c r="AA1463" s="8" t="inlineStr">
        <is>
          <t>Inventory master 6/2026 lists Weekly E-Newsletter Ad at $50 (1 mo)</t>
        </is>
      </c>
      <c r="AB1463" s="16" t="inlineStr">
        <is>
          <t>Source formula errors</t>
        </is>
      </c>
      <c r="AC1463" s="11" t="inlineStr">
        <is>
          <t>MasterMilitaryOnBaseList 12.2.25 NS.xlsx</t>
        </is>
      </c>
      <c r="AD1463" s="11" t="inlineStr">
        <is>
          <t>2026 06 19 Summer Bash.jpg</t>
        </is>
      </c>
      <c r="AE1463" s="15" t="inlineStr">
        <is>
          <t>Open in Box</t>
        </is>
      </c>
      <c r="AF1463" s="15" t="inlineStr">
        <is>
          <t>Open in Box</t>
        </is>
      </c>
    </row>
    <row r="1464">
      <c r="A1464" s="11" t="inlineStr">
        <is>
          <t>VA-FORTEUST-002</t>
        </is>
      </c>
      <c r="B1464" s="8" t="inlineStr">
        <is>
          <t>Fort Eustis</t>
        </is>
      </c>
      <c r="C1464" s="11" t="inlineStr"/>
      <c r="D1464" s="11" t="inlineStr">
        <is>
          <t>VA</t>
        </is>
      </c>
      <c r="E1464" s="11" t="inlineStr">
        <is>
          <t>Norfolk-Portsmth-Newpt Nws</t>
        </is>
      </c>
      <c r="F1464" s="11" t="inlineStr">
        <is>
          <t>23604</t>
        </is>
      </c>
      <c r="G1464" s="11" t="inlineStr">
        <is>
          <t>Army</t>
        </is>
      </c>
      <c r="H1464" s="11" t="inlineStr">
        <is>
          <t>Standard Media</t>
        </is>
      </c>
      <c r="I1464" s="8" t="inlineStr">
        <is>
          <t>Banners - Outdoor</t>
        </is>
      </c>
      <c r="J1464" s="11" t="inlineStr">
        <is>
          <t>6'W x 3'H</t>
        </is>
      </c>
      <c r="K1464" s="8" t="inlineStr">
        <is>
          <t>Your ad will appear at an approved installation facility.</t>
        </is>
      </c>
      <c r="L1464" s="11" t="n">
        <v>1</v>
      </c>
      <c r="M1464" s="12" t="n">
        <v>300</v>
      </c>
      <c r="N1464" s="12" t="n">
        <v>550</v>
      </c>
      <c r="O1464" s="12" t="n">
        <v>1025</v>
      </c>
      <c r="P1464" s="12" t="n">
        <v>1900</v>
      </c>
      <c r="Q1464" s="12" t="n">
        <v>200</v>
      </c>
      <c r="R1464" s="13">
        <f>IF(ISNUMBER(M1464),ROUND(M1464/(1-Settings!$B$2)/Settings!$B$3,0)*Settings!$B$3,"")</f>
        <v/>
      </c>
      <c r="S1464" s="13">
        <f>IF(ISNUMBER(N1464),ROUND(N1464/(1-Settings!$B$2)/Settings!$B$3,0)*Settings!$B$3,"")</f>
        <v/>
      </c>
      <c r="T1464" s="13">
        <f>IF(ISNUMBER(O1464),ROUND(O1464/(1-Settings!$B$2)/Settings!$B$3,0)*Settings!$B$3,"")</f>
        <v/>
      </c>
      <c r="U1464" s="13">
        <f>IF(ISNUMBER(P1464),ROUND(P1464/(1-Settings!$B$2)/Settings!$B$3,0)*Settings!$B$3,"")</f>
        <v/>
      </c>
      <c r="V1464" s="13">
        <f>IF(ISNUMBER(Q1464),ROUND(Q1464/(1-Settings!$B$2)/Settings!$B$3,0)*Settings!$B$3,"")</f>
        <v/>
      </c>
      <c r="W1464" s="14" t="n">
        <v>5645</v>
      </c>
      <c r="X1464" s="14" t="n">
        <v>8490</v>
      </c>
      <c r="Y1464" s="11" t="inlineStr"/>
      <c r="Z1464" s="11" t="inlineStr"/>
      <c r="AA1464" s="8" t="inlineStr"/>
      <c r="AB1464" s="8" t="inlineStr"/>
      <c r="AC1464" s="11" t="inlineStr">
        <is>
          <t>MasterMilitaryOnBaseList 12.2.25 NS.xlsx</t>
        </is>
      </c>
      <c r="AD1464" s="11" t="inlineStr">
        <is>
          <t>2026 06 19 Summer Bash.jpg</t>
        </is>
      </c>
      <c r="AE1464" s="15" t="inlineStr">
        <is>
          <t>Open in Box</t>
        </is>
      </c>
      <c r="AF1464" s="15" t="inlineStr">
        <is>
          <t>Open in Box</t>
        </is>
      </c>
    </row>
    <row r="1465">
      <c r="A1465" s="11" t="inlineStr">
        <is>
          <t>VA-FORTEUST-003</t>
        </is>
      </c>
      <c r="B1465" s="8" t="inlineStr">
        <is>
          <t>Fort Eustis</t>
        </is>
      </c>
      <c r="C1465" s="11" t="inlineStr"/>
      <c r="D1465" s="11" t="inlineStr">
        <is>
          <t>VA</t>
        </is>
      </c>
      <c r="E1465" s="11" t="inlineStr">
        <is>
          <t>Norfolk-Portsmth-Newpt Nws</t>
        </is>
      </c>
      <c r="F1465" s="11" t="inlineStr">
        <is>
          <t>23604</t>
        </is>
      </c>
      <c r="G1465" s="11" t="inlineStr">
        <is>
          <t>Army</t>
        </is>
      </c>
      <c r="H1465" s="11" t="inlineStr">
        <is>
          <t>Standard Media</t>
        </is>
      </c>
      <c r="I1465" s="8" t="inlineStr">
        <is>
          <t>Indoor Banner</t>
        </is>
      </c>
      <c r="J1465" s="11" t="inlineStr">
        <is>
          <t>6"W x 3"H</t>
        </is>
      </c>
      <c r="K1465" s="8" t="inlineStr">
        <is>
          <t>Your ad will appear at an approved installation facility.</t>
        </is>
      </c>
      <c r="L1465" s="11" t="n">
        <v>1</v>
      </c>
      <c r="M1465" s="12" t="n">
        <v>300</v>
      </c>
      <c r="N1465" s="12" t="n">
        <v>810</v>
      </c>
      <c r="O1465" s="12" t="n">
        <v>1440</v>
      </c>
      <c r="P1465" s="12" t="n">
        <v>2700</v>
      </c>
      <c r="Q1465" s="12" t="n">
        <v>200</v>
      </c>
      <c r="R1465" s="13">
        <f>IF(ISNUMBER(M1465),ROUND(M1465/(1-Settings!$B$2)/Settings!$B$3,0)*Settings!$B$3,"")</f>
        <v/>
      </c>
      <c r="S1465" s="13">
        <f>IF(ISNUMBER(N1465),ROUND(N1465/(1-Settings!$B$2)/Settings!$B$3,0)*Settings!$B$3,"")</f>
        <v/>
      </c>
      <c r="T1465" s="13">
        <f>IF(ISNUMBER(O1465),ROUND(O1465/(1-Settings!$B$2)/Settings!$B$3,0)*Settings!$B$3,"")</f>
        <v/>
      </c>
      <c r="U1465" s="13">
        <f>IF(ISNUMBER(P1465),ROUND(P1465/(1-Settings!$B$2)/Settings!$B$3,0)*Settings!$B$3,"")</f>
        <v/>
      </c>
      <c r="V1465" s="13">
        <f>IF(ISNUMBER(Q1465),ROUND(Q1465/(1-Settings!$B$2)/Settings!$B$3,0)*Settings!$B$3,"")</f>
        <v/>
      </c>
      <c r="W1465" s="14" t="n">
        <v>5645</v>
      </c>
      <c r="X1465" s="14" t="n">
        <v>8490</v>
      </c>
      <c r="Y1465" s="11" t="inlineStr"/>
      <c r="Z1465" s="11" t="inlineStr"/>
      <c r="AA1465" s="8" t="inlineStr"/>
      <c r="AB1465" s="8" t="inlineStr"/>
      <c r="AC1465" s="11" t="inlineStr">
        <is>
          <t>MasterMilitaryOnBaseList 12.2.25 NS.xlsx</t>
        </is>
      </c>
      <c r="AD1465" s="11" t="inlineStr">
        <is>
          <t>2026 06 19 Summer Bash.jpg</t>
        </is>
      </c>
      <c r="AE1465" s="15" t="inlineStr">
        <is>
          <t>Open in Box</t>
        </is>
      </c>
      <c r="AF1465" s="15" t="inlineStr">
        <is>
          <t>Open in Box</t>
        </is>
      </c>
    </row>
    <row r="1466">
      <c r="A1466" s="11" t="inlineStr">
        <is>
          <t>VA-FORTEUST-004</t>
        </is>
      </c>
      <c r="B1466" s="8" t="inlineStr">
        <is>
          <t>Fort Eustis</t>
        </is>
      </c>
      <c r="C1466" s="11" t="inlineStr"/>
      <c r="D1466" s="11" t="inlineStr">
        <is>
          <t>VA</t>
        </is>
      </c>
      <c r="E1466" s="11" t="inlineStr">
        <is>
          <t>Norfolk-Portsmth-Newpt Nws</t>
        </is>
      </c>
      <c r="F1466" s="11" t="inlineStr">
        <is>
          <t>23604</t>
        </is>
      </c>
      <c r="G1466" s="11" t="inlineStr">
        <is>
          <t>Army</t>
        </is>
      </c>
      <c r="H1466" s="11" t="inlineStr">
        <is>
          <t>Standard Media</t>
        </is>
      </c>
      <c r="I1466" s="8" t="inlineStr">
        <is>
          <t>Posters</t>
        </is>
      </c>
      <c r="J1466" s="11" t="inlineStr">
        <is>
          <t>22"W x 28"H</t>
        </is>
      </c>
      <c r="K1466" s="8" t="inlineStr">
        <is>
          <t>Your ad will appear at an approved installation facility.</t>
        </is>
      </c>
      <c r="L1466" s="11" t="n">
        <v>1</v>
      </c>
      <c r="M1466" s="12" t="n">
        <v>150</v>
      </c>
      <c r="N1466" s="12" t="n">
        <v>400</v>
      </c>
      <c r="O1466" s="12" t="n">
        <v>700</v>
      </c>
      <c r="P1466" s="12" t="n">
        <v>1300</v>
      </c>
      <c r="Q1466" s="12" t="n">
        <v>100</v>
      </c>
      <c r="R1466" s="13">
        <f>IF(ISNUMBER(M1466),ROUND(M1466/(1-Settings!$B$2)/Settings!$B$3,0)*Settings!$B$3,"")</f>
        <v/>
      </c>
      <c r="S1466" s="13">
        <f>IF(ISNUMBER(N1466),ROUND(N1466/(1-Settings!$B$2)/Settings!$B$3,0)*Settings!$B$3,"")</f>
        <v/>
      </c>
      <c r="T1466" s="13">
        <f>IF(ISNUMBER(O1466),ROUND(O1466/(1-Settings!$B$2)/Settings!$B$3,0)*Settings!$B$3,"")</f>
        <v/>
      </c>
      <c r="U1466" s="13">
        <f>IF(ISNUMBER(P1466),ROUND(P1466/(1-Settings!$B$2)/Settings!$B$3,0)*Settings!$B$3,"")</f>
        <v/>
      </c>
      <c r="V1466" s="13">
        <f>IF(ISNUMBER(Q1466),ROUND(Q1466/(1-Settings!$B$2)/Settings!$B$3,0)*Settings!$B$3,"")</f>
        <v/>
      </c>
      <c r="W1466" s="14" t="n">
        <v>5645</v>
      </c>
      <c r="X1466" s="14" t="n">
        <v>8490</v>
      </c>
      <c r="Y1466" s="11" t="inlineStr"/>
      <c r="Z1466" s="11" t="inlineStr"/>
      <c r="AA1466" s="8" t="inlineStr"/>
      <c r="AB1466" s="8" t="inlineStr"/>
      <c r="AC1466" s="11" t="inlineStr">
        <is>
          <t>MasterMilitaryOnBaseList 12.2.25 NS.xlsx</t>
        </is>
      </c>
      <c r="AD1466" s="11" t="inlineStr">
        <is>
          <t>2026 06 19 Summer Bash.jpg</t>
        </is>
      </c>
      <c r="AE1466" s="15" t="inlineStr">
        <is>
          <t>Open in Box</t>
        </is>
      </c>
      <c r="AF1466" s="15" t="inlineStr">
        <is>
          <t>Open in Box</t>
        </is>
      </c>
    </row>
    <row r="1467">
      <c r="A1467" s="11" t="inlineStr">
        <is>
          <t>VA-FORTEUST-005</t>
        </is>
      </c>
      <c r="B1467" s="8" t="inlineStr">
        <is>
          <t>Fort Eustis</t>
        </is>
      </c>
      <c r="C1467" s="11" t="inlineStr"/>
      <c r="D1467" s="11" t="inlineStr">
        <is>
          <t>VA</t>
        </is>
      </c>
      <c r="E1467" s="11" t="inlineStr">
        <is>
          <t>Norfolk-Portsmth-Newpt Nws</t>
        </is>
      </c>
      <c r="F1467" s="11" t="inlineStr">
        <is>
          <t>23604</t>
        </is>
      </c>
      <c r="G1467" s="11" t="inlineStr">
        <is>
          <t>Army</t>
        </is>
      </c>
      <c r="H1467" s="11" t="inlineStr">
        <is>
          <t>Standard Media</t>
        </is>
      </c>
      <c r="I1467" s="8" t="inlineStr">
        <is>
          <t>Table Tents</t>
        </is>
      </c>
      <c r="J1467" s="11" t="inlineStr">
        <is>
          <t>TBD</t>
        </is>
      </c>
      <c r="K1467" s="8" t="inlineStr">
        <is>
          <t>Your ad will appear on 20 tables.</t>
        </is>
      </c>
      <c r="L1467" s="11" t="n">
        <v>1</v>
      </c>
      <c r="M1467" s="12" t="n">
        <v>235</v>
      </c>
      <c r="N1467" s="12" t="n">
        <v>610</v>
      </c>
      <c r="O1467" s="12" t="n">
        <v>1085</v>
      </c>
      <c r="P1467" s="12" t="n">
        <v>2025</v>
      </c>
      <c r="Q1467" s="12" t="n"/>
      <c r="R1467" s="13">
        <f>IF(ISNUMBER(M1467),ROUND(M1467/(1-Settings!$B$2)/Settings!$B$3,0)*Settings!$B$3,"")</f>
        <v/>
      </c>
      <c r="S1467" s="13">
        <f>IF(ISNUMBER(N1467),ROUND(N1467/(1-Settings!$B$2)/Settings!$B$3,0)*Settings!$B$3,"")</f>
        <v/>
      </c>
      <c r="T1467" s="13">
        <f>IF(ISNUMBER(O1467),ROUND(O1467/(1-Settings!$B$2)/Settings!$B$3,0)*Settings!$B$3,"")</f>
        <v/>
      </c>
      <c r="U1467" s="13">
        <f>IF(ISNUMBER(P1467),ROUND(P1467/(1-Settings!$B$2)/Settings!$B$3,0)*Settings!$B$3,"")</f>
        <v/>
      </c>
      <c r="V1467" s="13">
        <f>IF(ISNUMBER(Q1467),ROUND(Q1467/(1-Settings!$B$2)/Settings!$B$3,0)*Settings!$B$3,"")</f>
        <v/>
      </c>
      <c r="W1467" s="14" t="n">
        <v>5645</v>
      </c>
      <c r="X1467" s="14" t="n">
        <v>8490</v>
      </c>
      <c r="Y1467" s="11" t="inlineStr"/>
      <c r="Z1467" s="11" t="inlineStr"/>
      <c r="AA1467" s="8" t="inlineStr"/>
      <c r="AB1467" s="8" t="inlineStr"/>
      <c r="AC1467" s="11" t="inlineStr">
        <is>
          <t>MasterMilitaryOnBaseList 12.2.25 NS.xlsx</t>
        </is>
      </c>
      <c r="AD1467" s="11" t="inlineStr">
        <is>
          <t>2026 06 19 Summer Bash.jpg</t>
        </is>
      </c>
      <c r="AE1467" s="15" t="inlineStr">
        <is>
          <t>Open in Box</t>
        </is>
      </c>
      <c r="AF1467" s="15" t="inlineStr">
        <is>
          <t>Open in Box</t>
        </is>
      </c>
    </row>
    <row r="1468">
      <c r="A1468" s="11" t="inlineStr">
        <is>
          <t>VA-FORTEUST-006</t>
        </is>
      </c>
      <c r="B1468" s="8" t="inlineStr">
        <is>
          <t>Fort Eustis</t>
        </is>
      </c>
      <c r="C1468" s="11" t="inlineStr"/>
      <c r="D1468" s="11" t="inlineStr">
        <is>
          <t>VA</t>
        </is>
      </c>
      <c r="E1468" s="11" t="inlineStr">
        <is>
          <t>Norfolk-Portsmth-Newpt Nws</t>
        </is>
      </c>
      <c r="F1468" s="11" t="inlineStr">
        <is>
          <t>23604</t>
        </is>
      </c>
      <c r="G1468" s="11" t="inlineStr">
        <is>
          <t>Army</t>
        </is>
      </c>
      <c r="H1468" s="11" t="inlineStr">
        <is>
          <t>Standard Media</t>
        </is>
      </c>
      <c r="I1468" s="8" t="inlineStr">
        <is>
          <t>Vertical Indoor Banner</t>
        </is>
      </c>
      <c r="J1468" s="11" t="inlineStr">
        <is>
          <t>2'W x 6'H</t>
        </is>
      </c>
      <c r="K1468" s="8" t="inlineStr">
        <is>
          <t>Your ad will appear at an approved installation facility.</t>
        </is>
      </c>
      <c r="L1468" s="11" t="n">
        <v>1</v>
      </c>
      <c r="M1468" s="12" t="n">
        <v>340</v>
      </c>
      <c r="N1468" s="12" t="n">
        <v>920</v>
      </c>
      <c r="O1468" s="12" t="n">
        <v>1635</v>
      </c>
      <c r="P1468" s="12" t="n">
        <v>3060</v>
      </c>
      <c r="Q1468" s="12" t="n">
        <v>200</v>
      </c>
      <c r="R1468" s="13">
        <f>IF(ISNUMBER(M1468),ROUND(M1468/(1-Settings!$B$2)/Settings!$B$3,0)*Settings!$B$3,"")</f>
        <v/>
      </c>
      <c r="S1468" s="13">
        <f>IF(ISNUMBER(N1468),ROUND(N1468/(1-Settings!$B$2)/Settings!$B$3,0)*Settings!$B$3,"")</f>
        <v/>
      </c>
      <c r="T1468" s="13">
        <f>IF(ISNUMBER(O1468),ROUND(O1468/(1-Settings!$B$2)/Settings!$B$3,0)*Settings!$B$3,"")</f>
        <v/>
      </c>
      <c r="U1468" s="13">
        <f>IF(ISNUMBER(P1468),ROUND(P1468/(1-Settings!$B$2)/Settings!$B$3,0)*Settings!$B$3,"")</f>
        <v/>
      </c>
      <c r="V1468" s="13">
        <f>IF(ISNUMBER(Q1468),ROUND(Q1468/(1-Settings!$B$2)/Settings!$B$3,0)*Settings!$B$3,"")</f>
        <v/>
      </c>
      <c r="W1468" s="14" t="n">
        <v>5645</v>
      </c>
      <c r="X1468" s="14" t="n">
        <v>8490</v>
      </c>
      <c r="Y1468" s="11" t="inlineStr"/>
      <c r="Z1468" s="11" t="inlineStr"/>
      <c r="AA1468" s="8" t="inlineStr"/>
      <c r="AB1468" s="8" t="inlineStr"/>
      <c r="AC1468" s="11" t="inlineStr">
        <is>
          <t>MasterMilitaryOnBaseList 12.2.25 NS.xlsx</t>
        </is>
      </c>
      <c r="AD1468" s="11" t="inlineStr">
        <is>
          <t>2026 06 19 Summer Bash.jpg</t>
        </is>
      </c>
      <c r="AE1468" s="15" t="inlineStr">
        <is>
          <t>Open in Box</t>
        </is>
      </c>
      <c r="AF1468" s="15" t="inlineStr">
        <is>
          <t>Open in Box</t>
        </is>
      </c>
    </row>
    <row r="1469">
      <c r="A1469" s="11" t="inlineStr">
        <is>
          <t>VA-FORTEUST-016</t>
        </is>
      </c>
      <c r="B1469" s="8" t="inlineStr">
        <is>
          <t>Fort Eustis</t>
        </is>
      </c>
      <c r="C1469" s="11" t="inlineStr"/>
      <c r="D1469" s="11" t="inlineStr">
        <is>
          <t>VA</t>
        </is>
      </c>
      <c r="E1469" s="11" t="inlineStr">
        <is>
          <t>Norfolk-Portsmth-Newpt Nws</t>
        </is>
      </c>
      <c r="F1469" s="11" t="inlineStr"/>
      <c r="G1469" s="11" t="inlineStr">
        <is>
          <t>Army</t>
        </is>
      </c>
      <c r="H1469" s="11" t="inlineStr">
        <is>
          <t>Web &amp; Email</t>
        </is>
      </c>
      <c r="I1469" s="8" t="inlineStr">
        <is>
          <t>Web Ad</t>
        </is>
      </c>
      <c r="J1469" s="11" t="inlineStr"/>
      <c r="K1469" s="8" t="inlineStr">
        <is>
          <t>Your ad will appear on the installation MWR / FSS website.</t>
        </is>
      </c>
      <c r="L1469" s="11" t="n">
        <v>1</v>
      </c>
      <c r="M1469" s="12" t="n">
        <v>200</v>
      </c>
      <c r="N1469" s="12" t="n"/>
      <c r="O1469" s="12" t="n"/>
      <c r="P1469" s="12" t="n"/>
      <c r="Q1469" s="12" t="n"/>
      <c r="R1469" s="13">
        <f>IF(ISNUMBER(M1469),ROUND(M1469/(1-Settings!$B$2)/Settings!$B$3,0)*Settings!$B$3,"")</f>
        <v/>
      </c>
      <c r="S1469" s="13">
        <f>IF(ISNUMBER(N1469),ROUND(N1469/(1-Settings!$B$2)/Settings!$B$3,0)*Settings!$B$3,"")</f>
        <v/>
      </c>
      <c r="T1469" s="13">
        <f>IF(ISNUMBER(O1469),ROUND(O1469/(1-Settings!$B$2)/Settings!$B$3,0)*Settings!$B$3,"")</f>
        <v/>
      </c>
      <c r="U1469" s="13">
        <f>IF(ISNUMBER(P1469),ROUND(P1469/(1-Settings!$B$2)/Settings!$B$3,0)*Settings!$B$3,"")</f>
        <v/>
      </c>
      <c r="V1469" s="13">
        <f>IF(ISNUMBER(Q1469),ROUND(Q1469/(1-Settings!$B$2)/Settings!$B$3,0)*Settings!$B$3,"")</f>
        <v/>
      </c>
      <c r="W1469" s="14" t="n">
        <v>5645</v>
      </c>
      <c r="X1469" s="14" t="n">
        <v>8490</v>
      </c>
      <c r="Y1469" s="11" t="inlineStr">
        <is>
          <t>2026</t>
        </is>
      </c>
      <c r="Z1469" s="11" t="inlineStr">
        <is>
          <t>2026-06</t>
        </is>
      </c>
      <c r="AA1469" s="8" t="inlineStr">
        <is>
          <t>Price is bi-monthly &amp; printed bi-monthly Cost is for entire month Printed bi-monthly</t>
        </is>
      </c>
      <c r="AB1469" s="8" t="inlineStr"/>
      <c r="AC1469" s="11" t="inlineStr">
        <is>
          <t>Military - National Publication Inventory Master_June 2026.xlsx</t>
        </is>
      </c>
      <c r="AD1469" s="11" t="inlineStr">
        <is>
          <t>2026 06 19 Summer Bash.jpg</t>
        </is>
      </c>
      <c r="AE1469" s="15" t="inlineStr">
        <is>
          <t>Open in Box</t>
        </is>
      </c>
      <c r="AF1469" s="15" t="inlineStr">
        <is>
          <t>Open in Box</t>
        </is>
      </c>
    </row>
    <row r="1470">
      <c r="A1470" s="11" t="inlineStr">
        <is>
          <t>VA-FORTGREG-001</t>
        </is>
      </c>
      <c r="B1470" s="8" t="inlineStr">
        <is>
          <t>Fort Gregg-Adams</t>
        </is>
      </c>
      <c r="C1470" s="11" t="inlineStr">
        <is>
          <t>Fort Lee</t>
        </is>
      </c>
      <c r="D1470" s="11" t="inlineStr">
        <is>
          <t>VA</t>
        </is>
      </c>
      <c r="E1470" s="11" t="inlineStr">
        <is>
          <t>Richmond-Petersburg</t>
        </is>
      </c>
      <c r="F1470" s="11" t="inlineStr">
        <is>
          <t>23801</t>
        </is>
      </c>
      <c r="G1470" s="11" t="inlineStr">
        <is>
          <t>Army</t>
        </is>
      </c>
      <c r="H1470" s="11" t="inlineStr">
        <is>
          <t>Digital</t>
        </is>
      </c>
      <c r="I1470" s="8" t="inlineStr">
        <is>
          <t>Digital Billboards</t>
        </is>
      </c>
      <c r="J1470" s="11" t="inlineStr">
        <is>
          <t>TBD</t>
        </is>
      </c>
      <c r="K1470" s="8" t="inlineStr">
        <is>
          <t>Your ad will appear on 3 digital billboards at installation gates.</t>
        </is>
      </c>
      <c r="L1470" s="11" t="n">
        <v>1</v>
      </c>
      <c r="M1470" s="12" t="n">
        <v>1000</v>
      </c>
      <c r="N1470" s="12" t="n">
        <v>3000</v>
      </c>
      <c r="O1470" s="12" t="n">
        <v>6000</v>
      </c>
      <c r="P1470" s="12" t="n">
        <v>12000</v>
      </c>
      <c r="Q1470" s="12" t="n">
        <v>0</v>
      </c>
      <c r="R1470" s="13">
        <f>IF(ISNUMBER(M1470),ROUND(M1470/(1-Settings!$B$2)/Settings!$B$3,0)*Settings!$B$3,"")</f>
        <v/>
      </c>
      <c r="S1470" s="13">
        <f>IF(ISNUMBER(N1470),ROUND(N1470/(1-Settings!$B$2)/Settings!$B$3,0)*Settings!$B$3,"")</f>
        <v/>
      </c>
      <c r="T1470" s="13">
        <f>IF(ISNUMBER(O1470),ROUND(O1470/(1-Settings!$B$2)/Settings!$B$3,0)*Settings!$B$3,"")</f>
        <v/>
      </c>
      <c r="U1470" s="13">
        <f>IF(ISNUMBER(P1470),ROUND(P1470/(1-Settings!$B$2)/Settings!$B$3,0)*Settings!$B$3,"")</f>
        <v/>
      </c>
      <c r="V1470" s="13">
        <f>IF(ISNUMBER(Q1470),ROUND(Q1470/(1-Settings!$B$2)/Settings!$B$3,0)*Settings!$B$3,"")</f>
        <v/>
      </c>
      <c r="W1470" s="14" t="n">
        <v>8469</v>
      </c>
      <c r="X1470" s="14" t="n">
        <v>9316</v>
      </c>
      <c r="Y1470" s="11" t="inlineStr"/>
      <c r="Z1470" s="11" t="inlineStr"/>
      <c r="AA1470" s="8" t="inlineStr"/>
      <c r="AB1470" s="8" t="inlineStr"/>
      <c r="AC1470" s="11" t="inlineStr">
        <is>
          <t>MasterMilitaryOnBaseList 12.2.25 NS.xlsx</t>
        </is>
      </c>
      <c r="AD1470" s="11" t="inlineStr">
        <is>
          <t>2026 Sponsorship and Advertising Offerings.pdf</t>
        </is>
      </c>
      <c r="AE1470" s="15" t="inlineStr">
        <is>
          <t>Open in Box</t>
        </is>
      </c>
      <c r="AF1470" s="15" t="inlineStr">
        <is>
          <t>Open in Box</t>
        </is>
      </c>
    </row>
    <row r="1471">
      <c r="A1471" s="11" t="inlineStr">
        <is>
          <t>VA-FORTGREG-002</t>
        </is>
      </c>
      <c r="B1471" s="8" t="inlineStr">
        <is>
          <t>Fort Gregg-Adams</t>
        </is>
      </c>
      <c r="C1471" s="11" t="inlineStr">
        <is>
          <t>Fort Lee</t>
        </is>
      </c>
      <c r="D1471" s="11" t="inlineStr">
        <is>
          <t>VA</t>
        </is>
      </c>
      <c r="E1471" s="11" t="inlineStr">
        <is>
          <t>Richmond-Petersburg</t>
        </is>
      </c>
      <c r="F1471" s="11" t="inlineStr">
        <is>
          <t>23801</t>
        </is>
      </c>
      <c r="G1471" s="11" t="inlineStr">
        <is>
          <t>Army</t>
        </is>
      </c>
      <c r="H1471" s="11" t="inlineStr">
        <is>
          <t>Digital</t>
        </is>
      </c>
      <c r="I1471" s="8" t="inlineStr">
        <is>
          <t>Digital Monitor Network</t>
        </is>
      </c>
      <c r="J1471" s="11" t="inlineStr">
        <is>
          <t>TBD</t>
        </is>
      </c>
      <c r="K1471" s="8" t="inlineStr">
        <is>
          <t>Your ad will appear on 40 monitors in approved installation facilities.</t>
        </is>
      </c>
      <c r="L1471" s="11" t="n">
        <v>1</v>
      </c>
      <c r="M1471" s="12" t="n">
        <v>500</v>
      </c>
      <c r="N1471" s="12" t="n">
        <v>1500</v>
      </c>
      <c r="O1471" s="12" t="n">
        <v>3000</v>
      </c>
      <c r="P1471" s="12" t="n">
        <v>6000</v>
      </c>
      <c r="Q1471" s="12" t="n">
        <v>0</v>
      </c>
      <c r="R1471" s="13">
        <f>IF(ISNUMBER(M1471),ROUND(M1471/(1-Settings!$B$2)/Settings!$B$3,0)*Settings!$B$3,"")</f>
        <v/>
      </c>
      <c r="S1471" s="13">
        <f>IF(ISNUMBER(N1471),ROUND(N1471/(1-Settings!$B$2)/Settings!$B$3,0)*Settings!$B$3,"")</f>
        <v/>
      </c>
      <c r="T1471" s="13">
        <f>IF(ISNUMBER(O1471),ROUND(O1471/(1-Settings!$B$2)/Settings!$B$3,0)*Settings!$B$3,"")</f>
        <v/>
      </c>
      <c r="U1471" s="13">
        <f>IF(ISNUMBER(P1471),ROUND(P1471/(1-Settings!$B$2)/Settings!$B$3,0)*Settings!$B$3,"")</f>
        <v/>
      </c>
      <c r="V1471" s="13">
        <f>IF(ISNUMBER(Q1471),ROUND(Q1471/(1-Settings!$B$2)/Settings!$B$3,0)*Settings!$B$3,"")</f>
        <v/>
      </c>
      <c r="W1471" s="14" t="n">
        <v>8469</v>
      </c>
      <c r="X1471" s="14" t="n">
        <v>9316</v>
      </c>
      <c r="Y1471" s="11" t="inlineStr"/>
      <c r="Z1471" s="11" t="inlineStr"/>
      <c r="AA1471" s="8" t="inlineStr"/>
      <c r="AB1471" s="8" t="inlineStr"/>
      <c r="AC1471" s="11" t="inlineStr">
        <is>
          <t>MasterMilitaryOnBaseList 12.2.25 NS.xlsx</t>
        </is>
      </c>
      <c r="AD1471" s="11" t="inlineStr">
        <is>
          <t>2026 Sponsorship and Advertising Offerings.pdf</t>
        </is>
      </c>
      <c r="AE1471" s="15" t="inlineStr">
        <is>
          <t>Open in Box</t>
        </is>
      </c>
      <c r="AF1471" s="15" t="inlineStr">
        <is>
          <t>Open in Box</t>
        </is>
      </c>
    </row>
    <row r="1472">
      <c r="A1472" s="11" t="inlineStr">
        <is>
          <t>VA-FORTGREG-005</t>
        </is>
      </c>
      <c r="B1472" s="8" t="inlineStr">
        <is>
          <t>Fort Gregg-Adams</t>
        </is>
      </c>
      <c r="C1472" s="11" t="inlineStr">
        <is>
          <t>Fort Lee</t>
        </is>
      </c>
      <c r="D1472" s="11" t="inlineStr">
        <is>
          <t>VA</t>
        </is>
      </c>
      <c r="E1472" s="11" t="inlineStr">
        <is>
          <t>Richmond-Petersburg</t>
        </is>
      </c>
      <c r="F1472" s="11" t="inlineStr">
        <is>
          <t>23801</t>
        </is>
      </c>
      <c r="G1472" s="11" t="inlineStr">
        <is>
          <t>Army</t>
        </is>
      </c>
      <c r="H1472" s="11" t="inlineStr">
        <is>
          <t>Print &amp; Publications</t>
        </is>
      </c>
      <c r="I1472" s="8" t="inlineStr">
        <is>
          <t>Newcomers Guide</t>
        </is>
      </c>
      <c r="J1472" s="11" t="inlineStr">
        <is>
          <t>TBD</t>
        </is>
      </c>
      <c r="K1472" s="8" t="inlineStr">
        <is>
          <t>Your ad will appear in the quarterly newcomers guide.</t>
        </is>
      </c>
      <c r="L1472" s="11" t="n">
        <v>3</v>
      </c>
      <c r="M1472" s="12" t="n"/>
      <c r="N1472" s="12" t="n">
        <v>1500</v>
      </c>
      <c r="O1472" s="12" t="n">
        <v>3000</v>
      </c>
      <c r="P1472" s="12" t="n">
        <v>6000</v>
      </c>
      <c r="Q1472" s="12" t="n"/>
      <c r="R1472" s="13">
        <f>IF(ISNUMBER(M1472),ROUND(M1472/(1-Settings!$B$2)/Settings!$B$3,0)*Settings!$B$3,"")</f>
        <v/>
      </c>
      <c r="S1472" s="13">
        <f>IF(ISNUMBER(N1472),ROUND(N1472/(1-Settings!$B$2)/Settings!$B$3,0)*Settings!$B$3,"")</f>
        <v/>
      </c>
      <c r="T1472" s="13">
        <f>IF(ISNUMBER(O1472),ROUND(O1472/(1-Settings!$B$2)/Settings!$B$3,0)*Settings!$B$3,"")</f>
        <v/>
      </c>
      <c r="U1472" s="13">
        <f>IF(ISNUMBER(P1472),ROUND(P1472/(1-Settings!$B$2)/Settings!$B$3,0)*Settings!$B$3,"")</f>
        <v/>
      </c>
      <c r="V1472" s="13">
        <f>IF(ISNUMBER(Q1472),ROUND(Q1472/(1-Settings!$B$2)/Settings!$B$3,0)*Settings!$B$3,"")</f>
        <v/>
      </c>
      <c r="W1472" s="14" t="n">
        <v>8469</v>
      </c>
      <c r="X1472" s="14" t="n">
        <v>9316</v>
      </c>
      <c r="Y1472" s="11" t="inlineStr"/>
      <c r="Z1472" s="11" t="inlineStr"/>
      <c r="AA1472" s="8" t="inlineStr"/>
      <c r="AB1472" s="16" t="inlineStr">
        <is>
          <t>Source formula errors</t>
        </is>
      </c>
      <c r="AC1472" s="11" t="inlineStr">
        <is>
          <t>MasterMilitaryOnBaseList 12.2.25 NS.xlsx</t>
        </is>
      </c>
      <c r="AD1472" s="11" t="inlineStr">
        <is>
          <t>2026 Sponsorship and Advertising Offerings.pdf</t>
        </is>
      </c>
      <c r="AE1472" s="15" t="inlineStr">
        <is>
          <t>Open in Box</t>
        </is>
      </c>
      <c r="AF1472" s="15" t="inlineStr">
        <is>
          <t>Open in Box</t>
        </is>
      </c>
    </row>
    <row r="1473">
      <c r="A1473" s="11" t="inlineStr">
        <is>
          <t>VA-FORTGREG-003</t>
        </is>
      </c>
      <c r="B1473" s="8" t="inlineStr">
        <is>
          <t>Fort Gregg-Adams</t>
        </is>
      </c>
      <c r="C1473" s="11" t="inlineStr">
        <is>
          <t>Fort Lee</t>
        </is>
      </c>
      <c r="D1473" s="11" t="inlineStr">
        <is>
          <t>VA</t>
        </is>
      </c>
      <c r="E1473" s="11" t="inlineStr">
        <is>
          <t>Richmond-Petersburg</t>
        </is>
      </c>
      <c r="F1473" s="11" t="inlineStr">
        <is>
          <t>23801</t>
        </is>
      </c>
      <c r="G1473" s="11" t="inlineStr">
        <is>
          <t>Army</t>
        </is>
      </c>
      <c r="H1473" s="11" t="inlineStr">
        <is>
          <t>Standard Media</t>
        </is>
      </c>
      <c r="I1473" s="8" t="inlineStr">
        <is>
          <t>Banner</t>
        </is>
      </c>
      <c r="J1473" s="11" t="inlineStr">
        <is>
          <t>TBD</t>
        </is>
      </c>
      <c r="K1473" s="8" t="inlineStr">
        <is>
          <t>Your ad will appear at an approved installation facility.</t>
        </is>
      </c>
      <c r="L1473" s="11" t="n"/>
      <c r="M1473" s="12" t="n"/>
      <c r="N1473" s="12" t="n"/>
      <c r="O1473" s="12" t="n"/>
      <c r="P1473" s="12" t="n"/>
      <c r="Q1473" s="12" t="n"/>
      <c r="R1473" s="13">
        <f>IF(ISNUMBER(M1473),ROUND(M1473/(1-Settings!$B$2)/Settings!$B$3,0)*Settings!$B$3,"")</f>
        <v/>
      </c>
      <c r="S1473" s="13">
        <f>IF(ISNUMBER(N1473),ROUND(N1473/(1-Settings!$B$2)/Settings!$B$3,0)*Settings!$B$3,"")</f>
        <v/>
      </c>
      <c r="T1473" s="13">
        <f>IF(ISNUMBER(O1473),ROUND(O1473/(1-Settings!$B$2)/Settings!$B$3,0)*Settings!$B$3,"")</f>
        <v/>
      </c>
      <c r="U1473" s="13">
        <f>IF(ISNUMBER(P1473),ROUND(P1473/(1-Settings!$B$2)/Settings!$B$3,0)*Settings!$B$3,"")</f>
        <v/>
      </c>
      <c r="V1473" s="13">
        <f>IF(ISNUMBER(Q1473),ROUND(Q1473/(1-Settings!$B$2)/Settings!$B$3,0)*Settings!$B$3,"")</f>
        <v/>
      </c>
      <c r="W1473" s="14" t="n">
        <v>8469</v>
      </c>
      <c r="X1473" s="14" t="n">
        <v>9316</v>
      </c>
      <c r="Y1473" s="11" t="inlineStr"/>
      <c r="Z1473" s="11" t="inlineStr"/>
      <c r="AA1473" s="8" t="inlineStr"/>
      <c r="AB1473" s="16" t="inlineStr">
        <is>
          <t>No price on file - inquire; Source formula errors</t>
        </is>
      </c>
      <c r="AC1473" s="11" t="inlineStr">
        <is>
          <t>MasterMilitaryOnBaseList 12.2.25 NS.xlsx</t>
        </is>
      </c>
      <c r="AD1473" s="11" t="inlineStr">
        <is>
          <t>2026 Sponsorship and Advertising Offerings.pdf</t>
        </is>
      </c>
      <c r="AE1473" s="15" t="inlineStr">
        <is>
          <t>Open in Box</t>
        </is>
      </c>
      <c r="AF1473" s="15" t="inlineStr">
        <is>
          <t>Open in Box</t>
        </is>
      </c>
    </row>
    <row r="1474">
      <c r="A1474" s="11" t="inlineStr">
        <is>
          <t>VA-FORTGREG-004</t>
        </is>
      </c>
      <c r="B1474" s="8" t="inlineStr">
        <is>
          <t>Fort Gregg-Adams</t>
        </is>
      </c>
      <c r="C1474" s="11" t="inlineStr">
        <is>
          <t>Fort Lee</t>
        </is>
      </c>
      <c r="D1474" s="11" t="inlineStr">
        <is>
          <t>VA</t>
        </is>
      </c>
      <c r="E1474" s="11" t="inlineStr">
        <is>
          <t>Richmond-Petersburg</t>
        </is>
      </c>
      <c r="F1474" s="11" t="inlineStr">
        <is>
          <t>23801</t>
        </is>
      </c>
      <c r="G1474" s="11" t="inlineStr">
        <is>
          <t>Army</t>
        </is>
      </c>
      <c r="H1474" s="11" t="inlineStr">
        <is>
          <t>Standard Media</t>
        </is>
      </c>
      <c r="I1474" s="8" t="inlineStr">
        <is>
          <t>Poster</t>
        </is>
      </c>
      <c r="J1474" s="11" t="inlineStr">
        <is>
          <t>TBD</t>
        </is>
      </c>
      <c r="K1474" s="8" t="inlineStr">
        <is>
          <t>Your ad will appear at an approved installation facility.</t>
        </is>
      </c>
      <c r="L1474" s="11" t="n">
        <v>1</v>
      </c>
      <c r="M1474" s="12" t="n">
        <v>300</v>
      </c>
      <c r="N1474" s="12" t="n">
        <v>900</v>
      </c>
      <c r="O1474" s="12" t="n">
        <v>1800</v>
      </c>
      <c r="P1474" s="12" t="n">
        <v>3600</v>
      </c>
      <c r="Q1474" s="12" t="n">
        <v>100</v>
      </c>
      <c r="R1474" s="13">
        <f>IF(ISNUMBER(M1474),ROUND(M1474/(1-Settings!$B$2)/Settings!$B$3,0)*Settings!$B$3,"")</f>
        <v/>
      </c>
      <c r="S1474" s="13">
        <f>IF(ISNUMBER(N1474),ROUND(N1474/(1-Settings!$B$2)/Settings!$B$3,0)*Settings!$B$3,"")</f>
        <v/>
      </c>
      <c r="T1474" s="13">
        <f>IF(ISNUMBER(O1474),ROUND(O1474/(1-Settings!$B$2)/Settings!$B$3,0)*Settings!$B$3,"")</f>
        <v/>
      </c>
      <c r="U1474" s="13">
        <f>IF(ISNUMBER(P1474),ROUND(P1474/(1-Settings!$B$2)/Settings!$B$3,0)*Settings!$B$3,"")</f>
        <v/>
      </c>
      <c r="V1474" s="13">
        <f>IF(ISNUMBER(Q1474),ROUND(Q1474/(1-Settings!$B$2)/Settings!$B$3,0)*Settings!$B$3,"")</f>
        <v/>
      </c>
      <c r="W1474" s="14" t="n">
        <v>8469</v>
      </c>
      <c r="X1474" s="14" t="n">
        <v>9316</v>
      </c>
      <c r="Y1474" s="11" t="inlineStr"/>
      <c r="Z1474" s="11" t="inlineStr"/>
      <c r="AA1474" s="8" t="inlineStr"/>
      <c r="AB1474" s="8" t="inlineStr"/>
      <c r="AC1474" s="11" t="inlineStr">
        <is>
          <t>MasterMilitaryOnBaseList 12.2.25 NS.xlsx</t>
        </is>
      </c>
      <c r="AD1474" s="11" t="inlineStr">
        <is>
          <t>2026 Sponsorship and Advertising Offerings.pdf</t>
        </is>
      </c>
      <c r="AE1474" s="15" t="inlineStr">
        <is>
          <t>Open in Box</t>
        </is>
      </c>
      <c r="AF1474" s="15" t="inlineStr">
        <is>
          <t>Open in Box</t>
        </is>
      </c>
    </row>
    <row r="1475">
      <c r="A1475" s="11" t="inlineStr">
        <is>
          <t>VA-FORTGREG-006</t>
        </is>
      </c>
      <c r="B1475" s="8" t="inlineStr">
        <is>
          <t>Fort Gregg-Adams</t>
        </is>
      </c>
      <c r="C1475" s="11" t="inlineStr"/>
      <c r="D1475" s="11" t="inlineStr">
        <is>
          <t>VA</t>
        </is>
      </c>
      <c r="E1475" s="11" t="inlineStr">
        <is>
          <t>Richmond-Petersburg</t>
        </is>
      </c>
      <c r="F1475" s="11" t="inlineStr"/>
      <c r="G1475" s="11" t="inlineStr">
        <is>
          <t>Army</t>
        </is>
      </c>
      <c r="H1475" s="11" t="inlineStr">
        <is>
          <t>Web &amp; Email</t>
        </is>
      </c>
      <c r="I1475" s="8" t="inlineStr">
        <is>
          <t>Web Ad</t>
        </is>
      </c>
      <c r="J1475" s="11" t="inlineStr"/>
      <c r="K1475" s="8" t="inlineStr">
        <is>
          <t>Your ad will appear on the installation MWR / FSS website.</t>
        </is>
      </c>
      <c r="L1475" s="11" t="n">
        <v>1</v>
      </c>
      <c r="M1475" s="12" t="n">
        <v>500</v>
      </c>
      <c r="N1475" s="12" t="n"/>
      <c r="O1475" s="12" t="n"/>
      <c r="P1475" s="12" t="n"/>
      <c r="Q1475" s="12" t="n"/>
      <c r="R1475" s="13">
        <f>IF(ISNUMBER(M1475),ROUND(M1475/(1-Settings!$B$2)/Settings!$B$3,0)*Settings!$B$3,"")</f>
        <v/>
      </c>
      <c r="S1475" s="13">
        <f>IF(ISNUMBER(N1475),ROUND(N1475/(1-Settings!$B$2)/Settings!$B$3,0)*Settings!$B$3,"")</f>
        <v/>
      </c>
      <c r="T1475" s="13">
        <f>IF(ISNUMBER(O1475),ROUND(O1475/(1-Settings!$B$2)/Settings!$B$3,0)*Settings!$B$3,"")</f>
        <v/>
      </c>
      <c r="U1475" s="13">
        <f>IF(ISNUMBER(P1475),ROUND(P1475/(1-Settings!$B$2)/Settings!$B$3,0)*Settings!$B$3,"")</f>
        <v/>
      </c>
      <c r="V1475" s="13">
        <f>IF(ISNUMBER(Q1475),ROUND(Q1475/(1-Settings!$B$2)/Settings!$B$3,0)*Settings!$B$3,"")</f>
        <v/>
      </c>
      <c r="W1475" s="14" t="n">
        <v>8469</v>
      </c>
      <c r="X1475" s="14" t="n">
        <v>9316</v>
      </c>
      <c r="Y1475" s="11" t="inlineStr">
        <is>
          <t>2026</t>
        </is>
      </c>
      <c r="Z1475" s="11" t="inlineStr">
        <is>
          <t>2026-06</t>
        </is>
      </c>
      <c r="AA1475" s="8" t="inlineStr"/>
      <c r="AB1475" s="8" t="inlineStr"/>
      <c r="AC1475" s="11" t="inlineStr">
        <is>
          <t>Military - National Publication Inventory Master_June 2026.xlsx</t>
        </is>
      </c>
      <c r="AD1475" s="11" t="inlineStr">
        <is>
          <t>2026 Sponsorship and Advertising Offerings.pdf</t>
        </is>
      </c>
      <c r="AE1475" s="15" t="inlineStr">
        <is>
          <t>Open in Box</t>
        </is>
      </c>
      <c r="AF1475" s="15" t="inlineStr">
        <is>
          <t>Open in Box</t>
        </is>
      </c>
    </row>
    <row r="1476">
      <c r="A1476" s="11" t="inlineStr">
        <is>
          <t>VA-JBMHHFOR-001</t>
        </is>
      </c>
      <c r="B1476" s="8" t="inlineStr">
        <is>
          <t>JBMHH - Fort Myer</t>
        </is>
      </c>
      <c r="C1476" s="11" t="inlineStr"/>
      <c r="D1476" s="11" t="inlineStr">
        <is>
          <t>VA</t>
        </is>
      </c>
      <c r="E1476" s="11" t="inlineStr">
        <is>
          <t>Washington, DC</t>
        </is>
      </c>
      <c r="F1476" s="11" t="inlineStr"/>
      <c r="G1476" s="11" t="inlineStr">
        <is>
          <t>Army / Marine Corps</t>
        </is>
      </c>
      <c r="H1476" s="11" t="inlineStr">
        <is>
          <t>Digital</t>
        </is>
      </c>
      <c r="I1476" s="8" t="inlineStr">
        <is>
          <t>Bowling Scoring Monitors</t>
        </is>
      </c>
      <c r="J1476" s="11" t="inlineStr">
        <is>
          <t>20 screens</t>
        </is>
      </c>
      <c r="K1476" s="8" t="inlineStr">
        <is>
          <t>Your ad will appear on the 20-screen scoring monitors in the installation bowling center.</t>
        </is>
      </c>
      <c r="L1476" s="11" t="n">
        <v>1</v>
      </c>
      <c r="M1476" s="12" t="n">
        <v>300</v>
      </c>
      <c r="N1476" s="12" t="n"/>
      <c r="O1476" s="12" t="n"/>
      <c r="P1476" s="12" t="n"/>
      <c r="Q1476" s="12" t="n"/>
      <c r="R1476" s="13">
        <f>IF(ISNUMBER(M1476),ROUND(M1476/(1-Settings!$B$2)/Settings!$B$3,0)*Settings!$B$3,"")</f>
        <v/>
      </c>
      <c r="S1476" s="13">
        <f>IF(ISNUMBER(N1476),ROUND(N1476/(1-Settings!$B$2)/Settings!$B$3,0)*Settings!$B$3,"")</f>
        <v/>
      </c>
      <c r="T1476" s="13">
        <f>IF(ISNUMBER(O1476),ROUND(O1476/(1-Settings!$B$2)/Settings!$B$3,0)*Settings!$B$3,"")</f>
        <v/>
      </c>
      <c r="U1476" s="13">
        <f>IF(ISNUMBER(P1476),ROUND(P1476/(1-Settings!$B$2)/Settings!$B$3,0)*Settings!$B$3,"")</f>
        <v/>
      </c>
      <c r="V1476" s="13">
        <f>IF(ISNUMBER(Q1476),ROUND(Q1476/(1-Settings!$B$2)/Settings!$B$3,0)*Settings!$B$3,"")</f>
        <v/>
      </c>
      <c r="W1476" s="14" t="n">
        <v>2133</v>
      </c>
      <c r="X1476" s="14" t="n">
        <v>2650</v>
      </c>
      <c r="Y1476" s="11" t="inlineStr">
        <is>
          <t>2026</t>
        </is>
      </c>
      <c r="Z1476" s="11" t="inlineStr">
        <is>
          <t>2026-06</t>
        </is>
      </c>
      <c r="AA1476" s="8" t="inlineStr"/>
      <c r="AB1476" s="8" t="inlineStr"/>
      <c r="AC1476" s="11" t="inlineStr">
        <is>
          <t>Military - National Digital Inventory Master 6.3.26.xlsx</t>
        </is>
      </c>
      <c r="AD1476" s="11" t="inlineStr">
        <is>
          <t>Henderson Hall New Marquees specs for 2026. Size is now 256 x 72.docx</t>
        </is>
      </c>
      <c r="AE1476" s="15" t="inlineStr">
        <is>
          <t>Open in Box</t>
        </is>
      </c>
      <c r="AF1476" s="15" t="inlineStr">
        <is>
          <t>Open in Box</t>
        </is>
      </c>
    </row>
    <row r="1477">
      <c r="A1477" s="11" t="inlineStr">
        <is>
          <t>VA-JBMHHFOR-003</t>
        </is>
      </c>
      <c r="B1477" s="8" t="inlineStr">
        <is>
          <t>JBMHH - Fort Myer</t>
        </is>
      </c>
      <c r="C1477" s="11" t="inlineStr"/>
      <c r="D1477" s="11" t="inlineStr">
        <is>
          <t>VA</t>
        </is>
      </c>
      <c r="E1477" s="11" t="inlineStr">
        <is>
          <t>Washington, DC</t>
        </is>
      </c>
      <c r="F1477" s="11" t="inlineStr"/>
      <c r="G1477" s="11" t="inlineStr">
        <is>
          <t>Army / Marine Corps</t>
        </is>
      </c>
      <c r="H1477" s="11" t="inlineStr">
        <is>
          <t>Print &amp; Publications</t>
        </is>
      </c>
      <c r="I1477" s="8" t="inlineStr">
        <is>
          <t>Magazine Ad</t>
        </is>
      </c>
      <c r="J1477" s="11" t="inlineStr"/>
      <c r="K1477" s="8" t="inlineStr">
        <is>
          <t>Your ad will appear in the installation magazine.</t>
        </is>
      </c>
      <c r="L1477" s="11" t="n">
        <v>3</v>
      </c>
      <c r="M1477" s="12" t="n"/>
      <c r="N1477" s="12" t="n">
        <v>750</v>
      </c>
      <c r="O1477" s="12" t="n"/>
      <c r="P1477" s="12" t="n"/>
      <c r="Q1477" s="12" t="n"/>
      <c r="R1477" s="13">
        <f>IF(ISNUMBER(M1477),ROUND(M1477/(1-Settings!$B$2)/Settings!$B$3,0)*Settings!$B$3,"")</f>
        <v/>
      </c>
      <c r="S1477" s="13">
        <f>IF(ISNUMBER(N1477),ROUND(N1477/(1-Settings!$B$2)/Settings!$B$3,0)*Settings!$B$3,"")</f>
        <v/>
      </c>
      <c r="T1477" s="13">
        <f>IF(ISNUMBER(O1477),ROUND(O1477/(1-Settings!$B$2)/Settings!$B$3,0)*Settings!$B$3,"")</f>
        <v/>
      </c>
      <c r="U1477" s="13">
        <f>IF(ISNUMBER(P1477),ROUND(P1477/(1-Settings!$B$2)/Settings!$B$3,0)*Settings!$B$3,"")</f>
        <v/>
      </c>
      <c r="V1477" s="13">
        <f>IF(ISNUMBER(Q1477),ROUND(Q1477/(1-Settings!$B$2)/Settings!$B$3,0)*Settings!$B$3,"")</f>
        <v/>
      </c>
      <c r="W1477" s="14" t="n">
        <v>2133</v>
      </c>
      <c r="X1477" s="14" t="n">
        <v>2650</v>
      </c>
      <c r="Y1477" s="11" t="inlineStr">
        <is>
          <t>2026</t>
        </is>
      </c>
      <c r="Z1477" s="11" t="inlineStr">
        <is>
          <t>2026-06</t>
        </is>
      </c>
      <c r="AA1477" s="8" t="inlineStr">
        <is>
          <t>Sold quarterly</t>
        </is>
      </c>
      <c r="AB1477" s="8" t="inlineStr"/>
      <c r="AC1477" s="11" t="inlineStr">
        <is>
          <t>Military - National Publication Inventory Master_June 2026.xlsx</t>
        </is>
      </c>
      <c r="AD1477" s="11" t="inlineStr">
        <is>
          <t>Henderson Hall New Marquees specs for 2026. Size is now 256 x 72.docx</t>
        </is>
      </c>
      <c r="AE1477" s="15" t="inlineStr">
        <is>
          <t>Open in Box</t>
        </is>
      </c>
      <c r="AF1477" s="15" t="inlineStr">
        <is>
          <t>Open in Box</t>
        </is>
      </c>
    </row>
    <row r="1478">
      <c r="A1478" s="11" t="inlineStr">
        <is>
          <t>VA-JBMHHFOR-002</t>
        </is>
      </c>
      <c r="B1478" s="8" t="inlineStr">
        <is>
          <t>JBMHH - Fort Myer</t>
        </is>
      </c>
      <c r="C1478" s="11" t="inlineStr"/>
      <c r="D1478" s="11" t="inlineStr">
        <is>
          <t>VA</t>
        </is>
      </c>
      <c r="E1478" s="11" t="inlineStr">
        <is>
          <t>Washington, DC</t>
        </is>
      </c>
      <c r="F1478" s="11" t="inlineStr"/>
      <c r="G1478" s="11" t="inlineStr">
        <is>
          <t>Army / Marine Corps</t>
        </is>
      </c>
      <c r="H1478" s="11" t="inlineStr">
        <is>
          <t>Web &amp; Email</t>
        </is>
      </c>
      <c r="I1478" s="8" t="inlineStr">
        <is>
          <t>Web Ad</t>
        </is>
      </c>
      <c r="J1478" s="11" t="inlineStr"/>
      <c r="K1478" s="8" t="inlineStr">
        <is>
          <t>Your ad will appear on the installation MWR / FSS website.</t>
        </is>
      </c>
      <c r="L1478" s="11" t="n">
        <v>3</v>
      </c>
      <c r="M1478" s="12" t="n"/>
      <c r="N1478" s="12" t="n">
        <v>1000</v>
      </c>
      <c r="O1478" s="12" t="n"/>
      <c r="P1478" s="12" t="n"/>
      <c r="Q1478" s="12" t="n"/>
      <c r="R1478" s="13">
        <f>IF(ISNUMBER(M1478),ROUND(M1478/(1-Settings!$B$2)/Settings!$B$3,0)*Settings!$B$3,"")</f>
        <v/>
      </c>
      <c r="S1478" s="13">
        <f>IF(ISNUMBER(N1478),ROUND(N1478/(1-Settings!$B$2)/Settings!$B$3,0)*Settings!$B$3,"")</f>
        <v/>
      </c>
      <c r="T1478" s="13">
        <f>IF(ISNUMBER(O1478),ROUND(O1478/(1-Settings!$B$2)/Settings!$B$3,0)*Settings!$B$3,"")</f>
        <v/>
      </c>
      <c r="U1478" s="13">
        <f>IF(ISNUMBER(P1478),ROUND(P1478/(1-Settings!$B$2)/Settings!$B$3,0)*Settings!$B$3,"")</f>
        <v/>
      </c>
      <c r="V1478" s="13">
        <f>IF(ISNUMBER(Q1478),ROUND(Q1478/(1-Settings!$B$2)/Settings!$B$3,0)*Settings!$B$3,"")</f>
        <v/>
      </c>
      <c r="W1478" s="14" t="n">
        <v>2133</v>
      </c>
      <c r="X1478" s="14" t="n">
        <v>2650</v>
      </c>
      <c r="Y1478" s="11" t="inlineStr">
        <is>
          <t>2026</t>
        </is>
      </c>
      <c r="Z1478" s="11" t="inlineStr">
        <is>
          <t>2026-06</t>
        </is>
      </c>
      <c r="AA1478" s="8" t="inlineStr">
        <is>
          <t>Sold quarterly</t>
        </is>
      </c>
      <c r="AB1478" s="8" t="inlineStr"/>
      <c r="AC1478" s="11" t="inlineStr">
        <is>
          <t>Military - National Publication Inventory Master_June 2026.xlsx</t>
        </is>
      </c>
      <c r="AD1478" s="11" t="inlineStr">
        <is>
          <t>Henderson Hall New Marquees specs for 2026. Size is now 256 x 72.docx</t>
        </is>
      </c>
      <c r="AE1478" s="15" t="inlineStr">
        <is>
          <t>Open in Box</t>
        </is>
      </c>
      <c r="AF1478" s="15" t="inlineStr">
        <is>
          <t>Open in Box</t>
        </is>
      </c>
    </row>
    <row r="1479">
      <c r="A1479" s="11" t="inlineStr">
        <is>
          <t>VA-JBMHHHEN-002</t>
        </is>
      </c>
      <c r="B1479" s="8" t="inlineStr">
        <is>
          <t>JBMHH - Henderson Hall</t>
        </is>
      </c>
      <c r="C1479" s="11" t="inlineStr"/>
      <c r="D1479" s="11" t="inlineStr">
        <is>
          <t>VA</t>
        </is>
      </c>
      <c r="E1479" s="11" t="inlineStr">
        <is>
          <t>Washington, DC</t>
        </is>
      </c>
      <c r="F1479" s="11" t="inlineStr"/>
      <c r="G1479" s="11" t="inlineStr">
        <is>
          <t>Army / Marine Corps</t>
        </is>
      </c>
      <c r="H1479" s="11" t="inlineStr">
        <is>
          <t>Digital</t>
        </is>
      </c>
      <c r="I1479" s="8" t="inlineStr">
        <is>
          <t>Digital Marquee</t>
        </is>
      </c>
      <c r="J1479" s="11" t="inlineStr">
        <is>
          <t>1 screens</t>
        </is>
      </c>
      <c r="K1479" s="8" t="inlineStr">
        <is>
          <t>Your ad will appear on the 1-screen digital marquee(s) on the installation.</t>
        </is>
      </c>
      <c r="L1479" s="11" t="n">
        <v>1</v>
      </c>
      <c r="M1479" s="12" t="n">
        <v>1500</v>
      </c>
      <c r="N1479" s="12" t="n"/>
      <c r="O1479" s="12" t="n"/>
      <c r="P1479" s="12" t="n"/>
      <c r="Q1479" s="12" t="n"/>
      <c r="R1479" s="13">
        <f>IF(ISNUMBER(M1479),ROUND(M1479/(1-Settings!$B$2)/Settings!$B$3,0)*Settings!$B$3,"")</f>
        <v/>
      </c>
      <c r="S1479" s="13">
        <f>IF(ISNUMBER(N1479),ROUND(N1479/(1-Settings!$B$2)/Settings!$B$3,0)*Settings!$B$3,"")</f>
        <v/>
      </c>
      <c r="T1479" s="13">
        <f>IF(ISNUMBER(O1479),ROUND(O1479/(1-Settings!$B$2)/Settings!$B$3,0)*Settings!$B$3,"")</f>
        <v/>
      </c>
      <c r="U1479" s="13">
        <f>IF(ISNUMBER(P1479),ROUND(P1479/(1-Settings!$B$2)/Settings!$B$3,0)*Settings!$B$3,"")</f>
        <v/>
      </c>
      <c r="V1479" s="13">
        <f>IF(ISNUMBER(Q1479),ROUND(Q1479/(1-Settings!$B$2)/Settings!$B$3,0)*Settings!$B$3,"")</f>
        <v/>
      </c>
      <c r="W1479" s="14" t="n">
        <v>1424</v>
      </c>
      <c r="X1479" s="14" t="n">
        <v>1774</v>
      </c>
      <c r="Y1479" s="11" t="inlineStr">
        <is>
          <t>2026</t>
        </is>
      </c>
      <c r="Z1479" s="11" t="inlineStr">
        <is>
          <t>2026-06</t>
        </is>
      </c>
      <c r="AA1479" s="8" t="inlineStr"/>
      <c r="AB1479" s="8" t="inlineStr"/>
      <c r="AC1479" s="11" t="inlineStr">
        <is>
          <t>Military - National Digital Inventory Master 6.3.26.xlsx</t>
        </is>
      </c>
      <c r="AD1479" s="11" t="inlineStr">
        <is>
          <t>Henderson Hall New Marquees specs for 2026. Size is now 256 x 72.docx</t>
        </is>
      </c>
      <c r="AE1479" s="15" t="inlineStr">
        <is>
          <t>Open in Box</t>
        </is>
      </c>
      <c r="AF1479" s="15" t="inlineStr">
        <is>
          <t>Open in Box</t>
        </is>
      </c>
    </row>
    <row r="1480">
      <c r="A1480" s="11" t="inlineStr">
        <is>
          <t>VA-JBMHHHEN-001</t>
        </is>
      </c>
      <c r="B1480" s="8" t="inlineStr">
        <is>
          <t>JBMHH - Henderson Hall</t>
        </is>
      </c>
      <c r="C1480" s="11" t="inlineStr"/>
      <c r="D1480" s="11" t="inlineStr">
        <is>
          <t>VA</t>
        </is>
      </c>
      <c r="E1480" s="11" t="inlineStr">
        <is>
          <t>Washington, DC</t>
        </is>
      </c>
      <c r="F1480" s="11" t="inlineStr"/>
      <c r="G1480" s="11" t="inlineStr">
        <is>
          <t>Army / Marine Corps</t>
        </is>
      </c>
      <c r="H1480" s="11" t="inlineStr">
        <is>
          <t>Digital</t>
        </is>
      </c>
      <c r="I1480" s="8" t="inlineStr">
        <is>
          <t>Digital Monitor Network</t>
        </is>
      </c>
      <c r="J1480" s="11" t="inlineStr">
        <is>
          <t>3 screens</t>
        </is>
      </c>
      <c r="K1480" s="8" t="inlineStr">
        <is>
          <t>Your ad will appear on the 3-screen digital monitor network in approved installation facilities.</t>
        </is>
      </c>
      <c r="L1480" s="11" t="n">
        <v>1</v>
      </c>
      <c r="M1480" s="12" t="n">
        <v>500</v>
      </c>
      <c r="N1480" s="12" t="n"/>
      <c r="O1480" s="12" t="n"/>
      <c r="P1480" s="12" t="n"/>
      <c r="Q1480" s="12" t="n"/>
      <c r="R1480" s="13">
        <f>IF(ISNUMBER(M1480),ROUND(M1480/(1-Settings!$B$2)/Settings!$B$3,0)*Settings!$B$3,"")</f>
        <v/>
      </c>
      <c r="S1480" s="13">
        <f>IF(ISNUMBER(N1480),ROUND(N1480/(1-Settings!$B$2)/Settings!$B$3,0)*Settings!$B$3,"")</f>
        <v/>
      </c>
      <c r="T1480" s="13">
        <f>IF(ISNUMBER(O1480),ROUND(O1480/(1-Settings!$B$2)/Settings!$B$3,0)*Settings!$B$3,"")</f>
        <v/>
      </c>
      <c r="U1480" s="13">
        <f>IF(ISNUMBER(P1480),ROUND(P1480/(1-Settings!$B$2)/Settings!$B$3,0)*Settings!$B$3,"")</f>
        <v/>
      </c>
      <c r="V1480" s="13">
        <f>IF(ISNUMBER(Q1480),ROUND(Q1480/(1-Settings!$B$2)/Settings!$B$3,0)*Settings!$B$3,"")</f>
        <v/>
      </c>
      <c r="W1480" s="14" t="n">
        <v>1424</v>
      </c>
      <c r="X1480" s="14" t="n">
        <v>1774</v>
      </c>
      <c r="Y1480" s="11" t="inlineStr">
        <is>
          <t>2026</t>
        </is>
      </c>
      <c r="Z1480" s="11" t="inlineStr">
        <is>
          <t>2026-06</t>
        </is>
      </c>
      <c r="AA1480" s="8" t="inlineStr"/>
      <c r="AB1480" s="8" t="inlineStr"/>
      <c r="AC1480" s="11" t="inlineStr">
        <is>
          <t>Military - National Digital Inventory Master 6.3.26.xlsx</t>
        </is>
      </c>
      <c r="AD1480" s="11" t="inlineStr">
        <is>
          <t>Henderson Hall New Marquees specs for 2026. Size is now 256 x 72.docx</t>
        </is>
      </c>
      <c r="AE1480" s="15" t="inlineStr">
        <is>
          <t>Open in Box</t>
        </is>
      </c>
      <c r="AF1480" s="15" t="inlineStr">
        <is>
          <t>Open in Box</t>
        </is>
      </c>
    </row>
    <row r="1481">
      <c r="A1481" s="11" t="inlineStr">
        <is>
          <t>VA-JBMHHHEN-003</t>
        </is>
      </c>
      <c r="B1481" s="8" t="inlineStr">
        <is>
          <t>JBMHH - Henderson Hall</t>
        </is>
      </c>
      <c r="C1481" s="11" t="inlineStr"/>
      <c r="D1481" s="11" t="inlineStr">
        <is>
          <t>VA</t>
        </is>
      </c>
      <c r="E1481" s="11" t="inlineStr">
        <is>
          <t>Washington, DC</t>
        </is>
      </c>
      <c r="F1481" s="11" t="inlineStr"/>
      <c r="G1481" s="11" t="inlineStr">
        <is>
          <t>Army / Marine Corps</t>
        </is>
      </c>
      <c r="H1481" s="11" t="inlineStr">
        <is>
          <t>Web &amp; Email</t>
        </is>
      </c>
      <c r="I1481" s="8" t="inlineStr">
        <is>
          <t>Web Ad</t>
        </is>
      </c>
      <c r="J1481" s="11" t="inlineStr"/>
      <c r="K1481" s="8" t="inlineStr">
        <is>
          <t>Your ad will appear on the installation MWR / FSS website.</t>
        </is>
      </c>
      <c r="L1481" s="11" t="n">
        <v>3</v>
      </c>
      <c r="M1481" s="12" t="n"/>
      <c r="N1481" s="12" t="n">
        <v>3000</v>
      </c>
      <c r="O1481" s="12" t="n"/>
      <c r="P1481" s="12" t="n"/>
      <c r="Q1481" s="12" t="n"/>
      <c r="R1481" s="13">
        <f>IF(ISNUMBER(M1481),ROUND(M1481/(1-Settings!$B$2)/Settings!$B$3,0)*Settings!$B$3,"")</f>
        <v/>
      </c>
      <c r="S1481" s="13">
        <f>IF(ISNUMBER(N1481),ROUND(N1481/(1-Settings!$B$2)/Settings!$B$3,0)*Settings!$B$3,"")</f>
        <v/>
      </c>
      <c r="T1481" s="13">
        <f>IF(ISNUMBER(O1481),ROUND(O1481/(1-Settings!$B$2)/Settings!$B$3,0)*Settings!$B$3,"")</f>
        <v/>
      </c>
      <c r="U1481" s="13">
        <f>IF(ISNUMBER(P1481),ROUND(P1481/(1-Settings!$B$2)/Settings!$B$3,0)*Settings!$B$3,"")</f>
        <v/>
      </c>
      <c r="V1481" s="13">
        <f>IF(ISNUMBER(Q1481),ROUND(Q1481/(1-Settings!$B$2)/Settings!$B$3,0)*Settings!$B$3,"")</f>
        <v/>
      </c>
      <c r="W1481" s="14" t="n">
        <v>1424</v>
      </c>
      <c r="X1481" s="14" t="n">
        <v>1774</v>
      </c>
      <c r="Y1481" s="11" t="inlineStr">
        <is>
          <t>2026</t>
        </is>
      </c>
      <c r="Z1481" s="11" t="inlineStr">
        <is>
          <t>2026-06</t>
        </is>
      </c>
      <c r="AA1481" s="8" t="inlineStr">
        <is>
          <t>Sold quarterly</t>
        </is>
      </c>
      <c r="AB1481" s="8" t="inlineStr"/>
      <c r="AC1481" s="11" t="inlineStr">
        <is>
          <t>Military - National Publication Inventory Master_June 2026.xlsx</t>
        </is>
      </c>
      <c r="AD1481" s="11" t="inlineStr">
        <is>
          <t>Henderson Hall New Marquees specs for 2026. Size is now 256 x 72.docx</t>
        </is>
      </c>
      <c r="AE1481" s="15" t="inlineStr">
        <is>
          <t>Open in Box</t>
        </is>
      </c>
      <c r="AF1481" s="15" t="inlineStr">
        <is>
          <t>Open in Box</t>
        </is>
      </c>
    </row>
    <row r="1482">
      <c r="A1482" s="11" t="inlineStr">
        <is>
          <t>VA-JEBLITTL-001</t>
        </is>
      </c>
      <c r="B1482" s="8" t="inlineStr">
        <is>
          <t>JEB - Little Creek</t>
        </is>
      </c>
      <c r="C1482" s="11" t="inlineStr"/>
      <c r="D1482" s="11" t="inlineStr">
        <is>
          <t>VA</t>
        </is>
      </c>
      <c r="E1482" s="11" t="inlineStr">
        <is>
          <t>Norfolk-Portsmouth-Newport News, VA</t>
        </is>
      </c>
      <c r="F1482" s="11" t="inlineStr"/>
      <c r="G1482" s="11" t="inlineStr">
        <is>
          <t>Navy</t>
        </is>
      </c>
      <c r="H1482" s="11" t="inlineStr">
        <is>
          <t>Digital</t>
        </is>
      </c>
      <c r="I1482" s="8" t="inlineStr">
        <is>
          <t>Bowling Scoring Monitors</t>
        </is>
      </c>
      <c r="J1482" s="11" t="inlineStr">
        <is>
          <t>32 screens</t>
        </is>
      </c>
      <c r="K1482" s="8" t="inlineStr">
        <is>
          <t>Your ad will appear on the 32-screen scoring monitors in the installation bowling center.</t>
        </is>
      </c>
      <c r="L1482" s="11" t="n">
        <v>1</v>
      </c>
      <c r="M1482" s="12" t="n">
        <v>400</v>
      </c>
      <c r="N1482" s="12" t="n"/>
      <c r="O1482" s="12" t="n"/>
      <c r="P1482" s="12" t="n"/>
      <c r="Q1482" s="12" t="n"/>
      <c r="R1482" s="13">
        <f>IF(ISNUMBER(M1482),ROUND(M1482/(1-Settings!$B$2)/Settings!$B$3,0)*Settings!$B$3,"")</f>
        <v/>
      </c>
      <c r="S1482" s="13">
        <f>IF(ISNUMBER(N1482),ROUND(N1482/(1-Settings!$B$2)/Settings!$B$3,0)*Settings!$B$3,"")</f>
        <v/>
      </c>
      <c r="T1482" s="13">
        <f>IF(ISNUMBER(O1482),ROUND(O1482/(1-Settings!$B$2)/Settings!$B$3,0)*Settings!$B$3,"")</f>
        <v/>
      </c>
      <c r="U1482" s="13">
        <f>IF(ISNUMBER(P1482),ROUND(P1482/(1-Settings!$B$2)/Settings!$B$3,0)*Settings!$B$3,"")</f>
        <v/>
      </c>
      <c r="V1482" s="13">
        <f>IF(ISNUMBER(Q1482),ROUND(Q1482/(1-Settings!$B$2)/Settings!$B$3,0)*Settings!$B$3,"")</f>
        <v/>
      </c>
      <c r="W1482" s="14" t="n">
        <v>1045</v>
      </c>
      <c r="X1482" s="14" t="n">
        <v>887</v>
      </c>
      <c r="Y1482" s="11" t="inlineStr">
        <is>
          <t>2026</t>
        </is>
      </c>
      <c r="Z1482" s="11" t="inlineStr">
        <is>
          <t>2026-06</t>
        </is>
      </c>
      <c r="AA1482" s="8" t="inlineStr"/>
      <c r="AB1482" s="8" t="inlineStr"/>
      <c r="AC1482" s="11" t="inlineStr">
        <is>
          <t>Military - National Digital Inventory Master 6.3.26.xlsx</t>
        </is>
      </c>
      <c r="AD1482" s="11" t="inlineStr">
        <is>
          <t>FY26-27 ADVERTISING ASSETS_NRMA.xlsx</t>
        </is>
      </c>
      <c r="AE1482" s="15" t="inlineStr">
        <is>
          <t>Open in Box</t>
        </is>
      </c>
      <c r="AF1482" s="15" t="inlineStr">
        <is>
          <t>Open in Box</t>
        </is>
      </c>
    </row>
    <row r="1483">
      <c r="A1483" s="11" t="inlineStr">
        <is>
          <t>VA-JEBLITTL-002</t>
        </is>
      </c>
      <c r="B1483" s="8" t="inlineStr">
        <is>
          <t>JEB - Little Creek</t>
        </is>
      </c>
      <c r="C1483" s="11" t="inlineStr"/>
      <c r="D1483" s="11" t="inlineStr">
        <is>
          <t>VA</t>
        </is>
      </c>
      <c r="E1483" s="11" t="inlineStr">
        <is>
          <t>Norfolk-Portsmouth-Newport News, VA</t>
        </is>
      </c>
      <c r="F1483" s="11" t="inlineStr"/>
      <c r="G1483" s="11" t="inlineStr">
        <is>
          <t>Navy</t>
        </is>
      </c>
      <c r="H1483" s="11" t="inlineStr">
        <is>
          <t>Digital</t>
        </is>
      </c>
      <c r="I1483" s="8" t="inlineStr">
        <is>
          <t>Movie Theater Ad</t>
        </is>
      </c>
      <c r="J1483" s="11" t="inlineStr">
        <is>
          <t>1 screens</t>
        </is>
      </c>
      <c r="K1483" s="8" t="inlineStr">
        <is>
          <t>Your ad will appear on screen before movies at the installation theater (1-screen screens).</t>
        </is>
      </c>
      <c r="L1483" s="11" t="n">
        <v>1</v>
      </c>
      <c r="M1483" s="12" t="n">
        <v>250</v>
      </c>
      <c r="N1483" s="12" t="n"/>
      <c r="O1483" s="12" t="n"/>
      <c r="P1483" s="12" t="n"/>
      <c r="Q1483" s="12" t="n"/>
      <c r="R1483" s="13">
        <f>IF(ISNUMBER(M1483),ROUND(M1483/(1-Settings!$B$2)/Settings!$B$3,0)*Settings!$B$3,"")</f>
        <v/>
      </c>
      <c r="S1483" s="13">
        <f>IF(ISNUMBER(N1483),ROUND(N1483/(1-Settings!$B$2)/Settings!$B$3,0)*Settings!$B$3,"")</f>
        <v/>
      </c>
      <c r="T1483" s="13">
        <f>IF(ISNUMBER(O1483),ROUND(O1483/(1-Settings!$B$2)/Settings!$B$3,0)*Settings!$B$3,"")</f>
        <v/>
      </c>
      <c r="U1483" s="13">
        <f>IF(ISNUMBER(P1483),ROUND(P1483/(1-Settings!$B$2)/Settings!$B$3,0)*Settings!$B$3,"")</f>
        <v/>
      </c>
      <c r="V1483" s="13">
        <f>IF(ISNUMBER(Q1483),ROUND(Q1483/(1-Settings!$B$2)/Settings!$B$3,0)*Settings!$B$3,"")</f>
        <v/>
      </c>
      <c r="W1483" s="14" t="n">
        <v>1045</v>
      </c>
      <c r="X1483" s="14" t="n">
        <v>887</v>
      </c>
      <c r="Y1483" s="11" t="inlineStr">
        <is>
          <t>2026</t>
        </is>
      </c>
      <c r="Z1483" s="11" t="inlineStr">
        <is>
          <t>2026-06</t>
        </is>
      </c>
      <c r="AA1483" s="8" t="inlineStr"/>
      <c r="AB1483" s="8" t="inlineStr"/>
      <c r="AC1483" s="11" t="inlineStr">
        <is>
          <t>Military - National Digital Inventory Master 6.3.26.xlsx</t>
        </is>
      </c>
      <c r="AD1483" s="11" t="inlineStr">
        <is>
          <t>FY26-27 ADVERTISING ASSETS_NRMA.xlsx</t>
        </is>
      </c>
      <c r="AE1483" s="15" t="inlineStr">
        <is>
          <t>Open in Box</t>
        </is>
      </c>
      <c r="AF1483" s="15" t="inlineStr">
        <is>
          <t>Open in Box</t>
        </is>
      </c>
    </row>
    <row r="1484">
      <c r="A1484" s="11" t="inlineStr">
        <is>
          <t>VA-JEBLITTL-003</t>
        </is>
      </c>
      <c r="B1484" s="8" t="inlineStr">
        <is>
          <t>JEB - Little Creek</t>
        </is>
      </c>
      <c r="C1484" s="11" t="inlineStr"/>
      <c r="D1484" s="11" t="inlineStr">
        <is>
          <t>VA</t>
        </is>
      </c>
      <c r="E1484" s="11" t="inlineStr">
        <is>
          <t>Norfolk-Portsmouth-Newport News, VA</t>
        </is>
      </c>
      <c r="F1484" s="11" t="inlineStr"/>
      <c r="G1484" s="11" t="inlineStr">
        <is>
          <t>Navy</t>
        </is>
      </c>
      <c r="H1484" s="11" t="inlineStr">
        <is>
          <t>Print &amp; Publications</t>
        </is>
      </c>
      <c r="I1484" s="8" t="inlineStr">
        <is>
          <t>Golf Scorecard Ad</t>
        </is>
      </c>
      <c r="J1484" s="11" t="inlineStr"/>
      <c r="K1484" s="8" t="inlineStr">
        <is>
          <t>Your ad will appear on the golf course scorecard.</t>
        </is>
      </c>
      <c r="L1484" s="11" t="n">
        <v>12</v>
      </c>
      <c r="M1484" s="12" t="n"/>
      <c r="N1484" s="12" t="n"/>
      <c r="O1484" s="12" t="n"/>
      <c r="P1484" s="12" t="n">
        <v>500</v>
      </c>
      <c r="Q1484" s="12" t="n"/>
      <c r="R1484" s="13">
        <f>IF(ISNUMBER(M1484),ROUND(M1484/(1-Settings!$B$2)/Settings!$B$3,0)*Settings!$B$3,"")</f>
        <v/>
      </c>
      <c r="S1484" s="13">
        <f>IF(ISNUMBER(N1484),ROUND(N1484/(1-Settings!$B$2)/Settings!$B$3,0)*Settings!$B$3,"")</f>
        <v/>
      </c>
      <c r="T1484" s="13">
        <f>IF(ISNUMBER(O1484),ROUND(O1484/(1-Settings!$B$2)/Settings!$B$3,0)*Settings!$B$3,"")</f>
        <v/>
      </c>
      <c r="U1484" s="13">
        <f>IF(ISNUMBER(P1484),ROUND(P1484/(1-Settings!$B$2)/Settings!$B$3,0)*Settings!$B$3,"")</f>
        <v/>
      </c>
      <c r="V1484" s="13">
        <f>IF(ISNUMBER(Q1484),ROUND(Q1484/(1-Settings!$B$2)/Settings!$B$3,0)*Settings!$B$3,"")</f>
        <v/>
      </c>
      <c r="W1484" s="14" t="n">
        <v>1045</v>
      </c>
      <c r="X1484" s="14" t="n">
        <v>887</v>
      </c>
      <c r="Y1484" s="11" t="inlineStr">
        <is>
          <t>2026</t>
        </is>
      </c>
      <c r="Z1484" s="11" t="inlineStr">
        <is>
          <t>2026-06</t>
        </is>
      </c>
      <c r="AA1484" s="8" t="inlineStr">
        <is>
          <t>Annual</t>
        </is>
      </c>
      <c r="AB1484" s="8" t="inlineStr"/>
      <c r="AC1484" s="11" t="inlineStr">
        <is>
          <t>Military - National Publication Inventory Master_June 2026.xlsx</t>
        </is>
      </c>
      <c r="AD1484" s="11" t="inlineStr">
        <is>
          <t>FY26-27 ADVERTISING ASSETS_NRMA.xlsx</t>
        </is>
      </c>
      <c r="AE1484" s="15" t="inlineStr">
        <is>
          <t>Open in Box</t>
        </is>
      </c>
      <c r="AF1484" s="15" t="inlineStr">
        <is>
          <t>Open in Box</t>
        </is>
      </c>
    </row>
    <row r="1485">
      <c r="A1485" s="11" t="inlineStr">
        <is>
          <t>VA-LANGLEYA-001</t>
        </is>
      </c>
      <c r="B1485" s="8" t="inlineStr">
        <is>
          <t>Langley Air Force Base</t>
        </is>
      </c>
      <c r="C1485" s="11" t="inlineStr"/>
      <c r="D1485" s="11" t="inlineStr">
        <is>
          <t>VA</t>
        </is>
      </c>
      <c r="E1485" s="11" t="inlineStr">
        <is>
          <t>Norfolk-Portsmouth-Newport News, VA</t>
        </is>
      </c>
      <c r="F1485" s="11" t="inlineStr"/>
      <c r="G1485" s="11" t="inlineStr">
        <is>
          <t>Air Force</t>
        </is>
      </c>
      <c r="H1485" s="11" t="inlineStr">
        <is>
          <t>Digital</t>
        </is>
      </c>
      <c r="I1485" s="8" t="inlineStr">
        <is>
          <t>Digital Monitor Network</t>
        </is>
      </c>
      <c r="J1485" s="11" t="inlineStr">
        <is>
          <t>15 screens</t>
        </is>
      </c>
      <c r="K1485" s="8" t="inlineStr">
        <is>
          <t>Your ad will appear on the 15-screen digital monitor network in approved installation facilities.</t>
        </is>
      </c>
      <c r="L1485" s="11" t="n">
        <v>1</v>
      </c>
      <c r="M1485" s="12" t="n">
        <v>300</v>
      </c>
      <c r="N1485" s="12" t="n"/>
      <c r="O1485" s="12" t="n"/>
      <c r="P1485" s="12" t="n"/>
      <c r="Q1485" s="12" t="n"/>
      <c r="R1485" s="13">
        <f>IF(ISNUMBER(M1485),ROUND(M1485/(1-Settings!$B$2)/Settings!$B$3,0)*Settings!$B$3,"")</f>
        <v/>
      </c>
      <c r="S1485" s="13">
        <f>IF(ISNUMBER(N1485),ROUND(N1485/(1-Settings!$B$2)/Settings!$B$3,0)*Settings!$B$3,"")</f>
        <v/>
      </c>
      <c r="T1485" s="13">
        <f>IF(ISNUMBER(O1485),ROUND(O1485/(1-Settings!$B$2)/Settings!$B$3,0)*Settings!$B$3,"")</f>
        <v/>
      </c>
      <c r="U1485" s="13">
        <f>IF(ISNUMBER(P1485),ROUND(P1485/(1-Settings!$B$2)/Settings!$B$3,0)*Settings!$B$3,"")</f>
        <v/>
      </c>
      <c r="V1485" s="13">
        <f>IF(ISNUMBER(Q1485),ROUND(Q1485/(1-Settings!$B$2)/Settings!$B$3,0)*Settings!$B$3,"")</f>
        <v/>
      </c>
      <c r="W1485" s="14" t="n">
        <v>7243</v>
      </c>
      <c r="X1485" s="14" t="n">
        <v>9549</v>
      </c>
      <c r="Y1485" s="11" t="inlineStr">
        <is>
          <t>2026</t>
        </is>
      </c>
      <c r="Z1485" s="11" t="inlineStr">
        <is>
          <t>2026-06</t>
        </is>
      </c>
      <c r="AA1485" s="8" t="inlineStr"/>
      <c r="AB1485" s="8" t="inlineStr"/>
      <c r="AC1485" s="11" t="inlineStr">
        <is>
          <t>Military - National Digital Inventory Master 6.3.26.xlsx</t>
        </is>
      </c>
      <c r="AD1485" s="11" t="inlineStr">
        <is>
          <t>Langley AFB Advertising Guide 2026.pdf</t>
        </is>
      </c>
      <c r="AE1485" s="15" t="inlineStr">
        <is>
          <t>Open in Box</t>
        </is>
      </c>
      <c r="AF1485" s="15" t="inlineStr">
        <is>
          <t>Open in Box</t>
        </is>
      </c>
    </row>
    <row r="1486">
      <c r="A1486" s="11" t="inlineStr">
        <is>
          <t>VA-LANGLEYA-005</t>
        </is>
      </c>
      <c r="B1486" s="8" t="inlineStr">
        <is>
          <t>Langley Air Force Base</t>
        </is>
      </c>
      <c r="C1486" s="11" t="inlineStr"/>
      <c r="D1486" s="11" t="inlineStr">
        <is>
          <t>VA</t>
        </is>
      </c>
      <c r="E1486" s="11" t="inlineStr">
        <is>
          <t>Norfolk-Portsmouth-Newport News, VA</t>
        </is>
      </c>
      <c r="F1486" s="11" t="inlineStr"/>
      <c r="G1486" s="11" t="inlineStr">
        <is>
          <t>Air Force</t>
        </is>
      </c>
      <c r="H1486" s="11" t="inlineStr">
        <is>
          <t>Print &amp; Publications</t>
        </is>
      </c>
      <c r="I1486" s="8" t="inlineStr">
        <is>
          <t>Golf Scorecard Ad</t>
        </is>
      </c>
      <c r="J1486" s="11" t="inlineStr"/>
      <c r="K1486" s="8" t="inlineStr">
        <is>
          <t>Your ad will appear on the golf course scorecard.</t>
        </is>
      </c>
      <c r="L1486" s="11" t="n">
        <v>12</v>
      </c>
      <c r="M1486" s="12" t="n"/>
      <c r="N1486" s="12" t="n"/>
      <c r="O1486" s="12" t="n"/>
      <c r="P1486" s="12" t="n">
        <v>600</v>
      </c>
      <c r="Q1486" s="12" t="n"/>
      <c r="R1486" s="13">
        <f>IF(ISNUMBER(M1486),ROUND(M1486/(1-Settings!$B$2)/Settings!$B$3,0)*Settings!$B$3,"")</f>
        <v/>
      </c>
      <c r="S1486" s="13">
        <f>IF(ISNUMBER(N1486),ROUND(N1486/(1-Settings!$B$2)/Settings!$B$3,0)*Settings!$B$3,"")</f>
        <v/>
      </c>
      <c r="T1486" s="13">
        <f>IF(ISNUMBER(O1486),ROUND(O1486/(1-Settings!$B$2)/Settings!$B$3,0)*Settings!$B$3,"")</f>
        <v/>
      </c>
      <c r="U1486" s="13">
        <f>IF(ISNUMBER(P1486),ROUND(P1486/(1-Settings!$B$2)/Settings!$B$3,0)*Settings!$B$3,"")</f>
        <v/>
      </c>
      <c r="V1486" s="13">
        <f>IF(ISNUMBER(Q1486),ROUND(Q1486/(1-Settings!$B$2)/Settings!$B$3,0)*Settings!$B$3,"")</f>
        <v/>
      </c>
      <c r="W1486" s="14" t="n">
        <v>7243</v>
      </c>
      <c r="X1486" s="14" t="n">
        <v>9549</v>
      </c>
      <c r="Y1486" s="11" t="inlineStr">
        <is>
          <t>2026</t>
        </is>
      </c>
      <c r="Z1486" s="11" t="inlineStr">
        <is>
          <t>2026-06</t>
        </is>
      </c>
      <c r="AA1486" s="8" t="inlineStr">
        <is>
          <t>Annual</t>
        </is>
      </c>
      <c r="AB1486" s="8" t="inlineStr"/>
      <c r="AC1486" s="11" t="inlineStr">
        <is>
          <t>Military - National Publication Inventory Master_June 2026.xlsx</t>
        </is>
      </c>
      <c r="AD1486" s="11" t="inlineStr">
        <is>
          <t>Langley AFB Advertising Guide 2026.pdf</t>
        </is>
      </c>
      <c r="AE1486" s="15" t="inlineStr">
        <is>
          <t>Open in Box</t>
        </is>
      </c>
      <c r="AF1486" s="15" t="inlineStr">
        <is>
          <t>Open in Box</t>
        </is>
      </c>
    </row>
    <row r="1487">
      <c r="A1487" s="11" t="inlineStr">
        <is>
          <t>VA-LANGLEYA-004</t>
        </is>
      </c>
      <c r="B1487" s="8" t="inlineStr">
        <is>
          <t>Langley Air Force Base</t>
        </is>
      </c>
      <c r="C1487" s="11" t="inlineStr"/>
      <c r="D1487" s="11" t="inlineStr">
        <is>
          <t>VA</t>
        </is>
      </c>
      <c r="E1487" s="11" t="inlineStr">
        <is>
          <t>Norfolk-Portsmouth-Newport News, VA</t>
        </is>
      </c>
      <c r="F1487" s="11" t="inlineStr"/>
      <c r="G1487" s="11" t="inlineStr">
        <is>
          <t>Air Force</t>
        </is>
      </c>
      <c r="H1487" s="11" t="inlineStr">
        <is>
          <t>Print &amp; Publications</t>
        </is>
      </c>
      <c r="I1487" s="8" t="inlineStr">
        <is>
          <t>Magazine Ad</t>
        </is>
      </c>
      <c r="J1487" s="11" t="inlineStr"/>
      <c r="K1487" s="8" t="inlineStr">
        <is>
          <t>Your ad will appear in the installation magazine.</t>
        </is>
      </c>
      <c r="L1487" s="11" t="n">
        <v>12</v>
      </c>
      <c r="M1487" s="12" t="n"/>
      <c r="N1487" s="12" t="n"/>
      <c r="O1487" s="12" t="n"/>
      <c r="P1487" s="12" t="n">
        <v>55</v>
      </c>
      <c r="Q1487" s="12" t="n"/>
      <c r="R1487" s="13">
        <f>IF(ISNUMBER(M1487),ROUND(M1487/(1-Settings!$B$2)/Settings!$B$3,0)*Settings!$B$3,"")</f>
        <v/>
      </c>
      <c r="S1487" s="13">
        <f>IF(ISNUMBER(N1487),ROUND(N1487/(1-Settings!$B$2)/Settings!$B$3,0)*Settings!$B$3,"")</f>
        <v/>
      </c>
      <c r="T1487" s="13">
        <f>IF(ISNUMBER(O1487),ROUND(O1487/(1-Settings!$B$2)/Settings!$B$3,0)*Settings!$B$3,"")</f>
        <v/>
      </c>
      <c r="U1487" s="13">
        <f>IF(ISNUMBER(P1487),ROUND(P1487/(1-Settings!$B$2)/Settings!$B$3,0)*Settings!$B$3,"")</f>
        <v/>
      </c>
      <c r="V1487" s="13">
        <f>IF(ISNUMBER(Q1487),ROUND(Q1487/(1-Settings!$B$2)/Settings!$B$3,0)*Settings!$B$3,"")</f>
        <v/>
      </c>
      <c r="W1487" s="14" t="n">
        <v>7243</v>
      </c>
      <c r="X1487" s="14" t="n">
        <v>9549</v>
      </c>
      <c r="Y1487" s="11" t="inlineStr">
        <is>
          <t>2026</t>
        </is>
      </c>
      <c r="Z1487" s="11" t="inlineStr">
        <is>
          <t>2026-06</t>
        </is>
      </c>
      <c r="AA1487" s="8" t="inlineStr">
        <is>
          <t>Annual</t>
        </is>
      </c>
      <c r="AB1487" s="8" t="inlineStr"/>
      <c r="AC1487" s="11" t="inlineStr">
        <is>
          <t>Military - National Publication Inventory Master_June 2026.xlsx</t>
        </is>
      </c>
      <c r="AD1487" s="11" t="inlineStr">
        <is>
          <t>Langley AFB Advertising Guide 2026.pdf</t>
        </is>
      </c>
      <c r="AE1487" s="15" t="inlineStr">
        <is>
          <t>Open in Box</t>
        </is>
      </c>
      <c r="AF1487" s="15" t="inlineStr">
        <is>
          <t>Open in Box</t>
        </is>
      </c>
    </row>
    <row r="1488">
      <c r="A1488" s="11" t="inlineStr">
        <is>
          <t>VA-LANGLEYA-003</t>
        </is>
      </c>
      <c r="B1488" s="8" t="inlineStr">
        <is>
          <t>Langley Air Force Base</t>
        </is>
      </c>
      <c r="C1488" s="11" t="inlineStr"/>
      <c r="D1488" s="11" t="inlineStr">
        <is>
          <t>VA</t>
        </is>
      </c>
      <c r="E1488" s="11" t="inlineStr">
        <is>
          <t>Norfolk-Portsmouth-Newport News, VA</t>
        </is>
      </c>
      <c r="F1488" s="11" t="inlineStr"/>
      <c r="G1488" s="11" t="inlineStr">
        <is>
          <t>Air Force</t>
        </is>
      </c>
      <c r="H1488" s="11" t="inlineStr">
        <is>
          <t>Web &amp; Email</t>
        </is>
      </c>
      <c r="I1488" s="8" t="inlineStr">
        <is>
          <t>Web Ad</t>
        </is>
      </c>
      <c r="J1488" s="11" t="inlineStr"/>
      <c r="K1488" s="8" t="inlineStr">
        <is>
          <t>Your ad will appear on the installation MWR / FSS website.</t>
        </is>
      </c>
      <c r="L1488" s="11" t="n">
        <v>12</v>
      </c>
      <c r="M1488" s="12" t="n"/>
      <c r="N1488" s="12" t="n"/>
      <c r="O1488" s="12" t="n"/>
      <c r="P1488" s="12" t="n">
        <v>315</v>
      </c>
      <c r="Q1488" s="12" t="n"/>
      <c r="R1488" s="13">
        <f>IF(ISNUMBER(M1488),ROUND(M1488/(1-Settings!$B$2)/Settings!$B$3,0)*Settings!$B$3,"")</f>
        <v/>
      </c>
      <c r="S1488" s="13">
        <f>IF(ISNUMBER(N1488),ROUND(N1488/(1-Settings!$B$2)/Settings!$B$3,0)*Settings!$B$3,"")</f>
        <v/>
      </c>
      <c r="T1488" s="13">
        <f>IF(ISNUMBER(O1488),ROUND(O1488/(1-Settings!$B$2)/Settings!$B$3,0)*Settings!$B$3,"")</f>
        <v/>
      </c>
      <c r="U1488" s="13">
        <f>IF(ISNUMBER(P1488),ROUND(P1488/(1-Settings!$B$2)/Settings!$B$3,0)*Settings!$B$3,"")</f>
        <v/>
      </c>
      <c r="V1488" s="13">
        <f>IF(ISNUMBER(Q1488),ROUND(Q1488/(1-Settings!$B$2)/Settings!$B$3,0)*Settings!$B$3,"")</f>
        <v/>
      </c>
      <c r="W1488" s="14" t="n">
        <v>7243</v>
      </c>
      <c r="X1488" s="14" t="n">
        <v>9549</v>
      </c>
      <c r="Y1488" s="11" t="inlineStr">
        <is>
          <t>2026</t>
        </is>
      </c>
      <c r="Z1488" s="11" t="inlineStr">
        <is>
          <t>2026-06</t>
        </is>
      </c>
      <c r="AA1488" s="8" t="inlineStr">
        <is>
          <t>Annual</t>
        </is>
      </c>
      <c r="AB1488" s="8" t="inlineStr"/>
      <c r="AC1488" s="11" t="inlineStr">
        <is>
          <t>Military - National Publication Inventory Master_June 2026.xlsx</t>
        </is>
      </c>
      <c r="AD1488" s="11" t="inlineStr">
        <is>
          <t>Langley AFB Advertising Guide 2026.pdf</t>
        </is>
      </c>
      <c r="AE1488" s="15" t="inlineStr">
        <is>
          <t>Open in Box</t>
        </is>
      </c>
      <c r="AF1488" s="15" t="inlineStr">
        <is>
          <t>Open in Box</t>
        </is>
      </c>
    </row>
    <row r="1489">
      <c r="A1489" s="11" t="inlineStr">
        <is>
          <t>VA-LANGLEYA-002</t>
        </is>
      </c>
      <c r="B1489" s="8" t="inlineStr">
        <is>
          <t>Langley Air Force Base</t>
        </is>
      </c>
      <c r="C1489" s="11" t="inlineStr"/>
      <c r="D1489" s="11" t="inlineStr">
        <is>
          <t>VA</t>
        </is>
      </c>
      <c r="E1489" s="11" t="inlineStr">
        <is>
          <t>Norfolk-Portsmouth-Newport News, VA</t>
        </is>
      </c>
      <c r="F1489" s="11" t="inlineStr"/>
      <c r="G1489" s="11" t="inlineStr">
        <is>
          <t>Air Force</t>
        </is>
      </c>
      <c r="H1489" s="11" t="inlineStr">
        <is>
          <t>Web &amp; Email</t>
        </is>
      </c>
      <c r="I1489" s="8" t="inlineStr">
        <is>
          <t>Weekly E-Newsletter Ad</t>
        </is>
      </c>
      <c r="J1489" s="11" t="inlineStr"/>
      <c r="K1489" s="8" t="inlineStr">
        <is>
          <t>Your ad will appear in the weekly e-newsletter emailed to the installation community.</t>
        </is>
      </c>
      <c r="L1489" s="11" t="n">
        <v>12</v>
      </c>
      <c r="M1489" s="12" t="n"/>
      <c r="N1489" s="12" t="n"/>
      <c r="O1489" s="12" t="n"/>
      <c r="P1489" s="12" t="n">
        <v>100</v>
      </c>
      <c r="Q1489" s="12" t="n"/>
      <c r="R1489" s="13">
        <f>IF(ISNUMBER(M1489),ROUND(M1489/(1-Settings!$B$2)/Settings!$B$3,0)*Settings!$B$3,"")</f>
        <v/>
      </c>
      <c r="S1489" s="13">
        <f>IF(ISNUMBER(N1489),ROUND(N1489/(1-Settings!$B$2)/Settings!$B$3,0)*Settings!$B$3,"")</f>
        <v/>
      </c>
      <c r="T1489" s="13">
        <f>IF(ISNUMBER(O1489),ROUND(O1489/(1-Settings!$B$2)/Settings!$B$3,0)*Settings!$B$3,"")</f>
        <v/>
      </c>
      <c r="U1489" s="13">
        <f>IF(ISNUMBER(P1489),ROUND(P1489/(1-Settings!$B$2)/Settings!$B$3,0)*Settings!$B$3,"")</f>
        <v/>
      </c>
      <c r="V1489" s="13">
        <f>IF(ISNUMBER(Q1489),ROUND(Q1489/(1-Settings!$B$2)/Settings!$B$3,0)*Settings!$B$3,"")</f>
        <v/>
      </c>
      <c r="W1489" s="14" t="n">
        <v>7243</v>
      </c>
      <c r="X1489" s="14" t="n">
        <v>9549</v>
      </c>
      <c r="Y1489" s="11" t="inlineStr">
        <is>
          <t>2026</t>
        </is>
      </c>
      <c r="Z1489" s="11" t="inlineStr">
        <is>
          <t>2026-06</t>
        </is>
      </c>
      <c r="AA1489" s="8" t="inlineStr">
        <is>
          <t>Annual</t>
        </is>
      </c>
      <c r="AB1489" s="8" t="inlineStr"/>
      <c r="AC1489" s="11" t="inlineStr">
        <is>
          <t>Military - National Publication Inventory Master_June 2026.xlsx</t>
        </is>
      </c>
      <c r="AD1489" s="11" t="inlineStr">
        <is>
          <t>Langley AFB Advertising Guide 2026.pdf</t>
        </is>
      </c>
      <c r="AE1489" s="15" t="inlineStr">
        <is>
          <t>Open in Box</t>
        </is>
      </c>
      <c r="AF1489" s="15" t="inlineStr">
        <is>
          <t>Open in Box</t>
        </is>
      </c>
    </row>
    <row r="1490">
      <c r="A1490" s="11" t="inlineStr">
        <is>
          <t>VA-NASOCEAN-001</t>
        </is>
      </c>
      <c r="B1490" s="8" t="inlineStr">
        <is>
          <t>NAS Oceana</t>
        </is>
      </c>
      <c r="C1490" s="11" t="inlineStr"/>
      <c r="D1490" s="11" t="inlineStr">
        <is>
          <t>VA</t>
        </is>
      </c>
      <c r="E1490" s="11" t="inlineStr">
        <is>
          <t>Norfolk-Portsmouth-Newport News, VA</t>
        </is>
      </c>
      <c r="F1490" s="11" t="inlineStr"/>
      <c r="G1490" s="11" t="inlineStr">
        <is>
          <t>Navy</t>
        </is>
      </c>
      <c r="H1490" s="11" t="inlineStr">
        <is>
          <t>Digital</t>
        </is>
      </c>
      <c r="I1490" s="8" t="inlineStr">
        <is>
          <t>Bowling Scoring Monitors</t>
        </is>
      </c>
      <c r="J1490" s="11" t="inlineStr">
        <is>
          <t>16 screens</t>
        </is>
      </c>
      <c r="K1490" s="8" t="inlineStr">
        <is>
          <t>Your ad will appear on the 16-screen scoring monitors in the installation bowling center.</t>
        </is>
      </c>
      <c r="L1490" s="11" t="n">
        <v>1</v>
      </c>
      <c r="M1490" s="12" t="n">
        <v>400</v>
      </c>
      <c r="N1490" s="12" t="n"/>
      <c r="O1490" s="12" t="n"/>
      <c r="P1490" s="12" t="n"/>
      <c r="Q1490" s="12" t="n"/>
      <c r="R1490" s="13">
        <f>IF(ISNUMBER(M1490),ROUND(M1490/(1-Settings!$B$2)/Settings!$B$3,0)*Settings!$B$3,"")</f>
        <v/>
      </c>
      <c r="S1490" s="13">
        <f>IF(ISNUMBER(N1490),ROUND(N1490/(1-Settings!$B$2)/Settings!$B$3,0)*Settings!$B$3,"")</f>
        <v/>
      </c>
      <c r="T1490" s="13">
        <f>IF(ISNUMBER(O1490),ROUND(O1490/(1-Settings!$B$2)/Settings!$B$3,0)*Settings!$B$3,"")</f>
        <v/>
      </c>
      <c r="U1490" s="13">
        <f>IF(ISNUMBER(P1490),ROUND(P1490/(1-Settings!$B$2)/Settings!$B$3,0)*Settings!$B$3,"")</f>
        <v/>
      </c>
      <c r="V1490" s="13">
        <f>IF(ISNUMBER(Q1490),ROUND(Q1490/(1-Settings!$B$2)/Settings!$B$3,0)*Settings!$B$3,"")</f>
        <v/>
      </c>
      <c r="W1490" s="14" t="n">
        <v>5711</v>
      </c>
      <c r="X1490" s="14" t="n">
        <v>6755</v>
      </c>
      <c r="Y1490" s="11" t="inlineStr">
        <is>
          <t>2026</t>
        </is>
      </c>
      <c r="Z1490" s="11" t="inlineStr">
        <is>
          <t>2026-06</t>
        </is>
      </c>
      <c r="AA1490" s="8" t="inlineStr"/>
      <c r="AB1490" s="8" t="inlineStr"/>
      <c r="AC1490" s="11" t="inlineStr">
        <is>
          <t>Military - National Digital Inventory Master 6.3.26.xlsx</t>
        </is>
      </c>
      <c r="AD1490" s="11" t="inlineStr">
        <is>
          <t>FY26-27 ADVERTISING ASSETS_NRMA.xlsx</t>
        </is>
      </c>
      <c r="AE1490" s="15" t="inlineStr">
        <is>
          <t>Open in Box</t>
        </is>
      </c>
      <c r="AF1490" s="15" t="inlineStr">
        <is>
          <t>Open in Box</t>
        </is>
      </c>
    </row>
    <row r="1491">
      <c r="A1491" s="11" t="inlineStr">
        <is>
          <t>VA-NASOCEAN-002</t>
        </is>
      </c>
      <c r="B1491" s="8" t="inlineStr">
        <is>
          <t>NAS Oceana</t>
        </is>
      </c>
      <c r="C1491" s="11" t="inlineStr"/>
      <c r="D1491" s="11" t="inlineStr">
        <is>
          <t>VA</t>
        </is>
      </c>
      <c r="E1491" s="11" t="inlineStr">
        <is>
          <t>Norfolk-Portsmouth-Newport News, VA</t>
        </is>
      </c>
      <c r="F1491" s="11" t="inlineStr"/>
      <c r="G1491" s="11" t="inlineStr">
        <is>
          <t>Navy</t>
        </is>
      </c>
      <c r="H1491" s="11" t="inlineStr">
        <is>
          <t>Digital</t>
        </is>
      </c>
      <c r="I1491" s="8" t="inlineStr">
        <is>
          <t>Movie Theater Ad</t>
        </is>
      </c>
      <c r="J1491" s="11" t="inlineStr">
        <is>
          <t>1 screens</t>
        </is>
      </c>
      <c r="K1491" s="8" t="inlineStr">
        <is>
          <t>Your ad will appear on screen before movies at the installation theater (1-screen screens).</t>
        </is>
      </c>
      <c r="L1491" s="11" t="n">
        <v>1</v>
      </c>
      <c r="M1491" s="12" t="n">
        <v>250</v>
      </c>
      <c r="N1491" s="12" t="n"/>
      <c r="O1491" s="12" t="n"/>
      <c r="P1491" s="12" t="n"/>
      <c r="Q1491" s="12" t="n"/>
      <c r="R1491" s="13">
        <f>IF(ISNUMBER(M1491),ROUND(M1491/(1-Settings!$B$2)/Settings!$B$3,0)*Settings!$B$3,"")</f>
        <v/>
      </c>
      <c r="S1491" s="13">
        <f>IF(ISNUMBER(N1491),ROUND(N1491/(1-Settings!$B$2)/Settings!$B$3,0)*Settings!$B$3,"")</f>
        <v/>
      </c>
      <c r="T1491" s="13">
        <f>IF(ISNUMBER(O1491),ROUND(O1491/(1-Settings!$B$2)/Settings!$B$3,0)*Settings!$B$3,"")</f>
        <v/>
      </c>
      <c r="U1491" s="13">
        <f>IF(ISNUMBER(P1491),ROUND(P1491/(1-Settings!$B$2)/Settings!$B$3,0)*Settings!$B$3,"")</f>
        <v/>
      </c>
      <c r="V1491" s="13">
        <f>IF(ISNUMBER(Q1491),ROUND(Q1491/(1-Settings!$B$2)/Settings!$B$3,0)*Settings!$B$3,"")</f>
        <v/>
      </c>
      <c r="W1491" s="14" t="n">
        <v>5711</v>
      </c>
      <c r="X1491" s="14" t="n">
        <v>6755</v>
      </c>
      <c r="Y1491" s="11" t="inlineStr">
        <is>
          <t>2026</t>
        </is>
      </c>
      <c r="Z1491" s="11" t="inlineStr">
        <is>
          <t>2026-06</t>
        </is>
      </c>
      <c r="AA1491" s="8" t="inlineStr"/>
      <c r="AB1491" s="8" t="inlineStr"/>
      <c r="AC1491" s="11" t="inlineStr">
        <is>
          <t>Military - National Digital Inventory Master 6.3.26.xlsx</t>
        </is>
      </c>
      <c r="AD1491" s="11" t="inlineStr">
        <is>
          <t>FY26-27 ADVERTISING ASSETS_NRMA.xlsx</t>
        </is>
      </c>
      <c r="AE1491" s="15" t="inlineStr">
        <is>
          <t>Open in Box</t>
        </is>
      </c>
      <c r="AF1491" s="15" t="inlineStr">
        <is>
          <t>Open in Box</t>
        </is>
      </c>
    </row>
    <row r="1492">
      <c r="A1492" s="11" t="inlineStr">
        <is>
          <t>VA-NASOCEAN-003</t>
        </is>
      </c>
      <c r="B1492" s="8" t="inlineStr">
        <is>
          <t>NAS Oceana</t>
        </is>
      </c>
      <c r="C1492" s="11" t="inlineStr"/>
      <c r="D1492" s="11" t="inlineStr">
        <is>
          <t>VA</t>
        </is>
      </c>
      <c r="E1492" s="11" t="inlineStr">
        <is>
          <t>Norfolk-Portsmouth-Newport News, VA</t>
        </is>
      </c>
      <c r="F1492" s="11" t="inlineStr"/>
      <c r="G1492" s="11" t="inlineStr">
        <is>
          <t>Navy</t>
        </is>
      </c>
      <c r="H1492" s="11" t="inlineStr">
        <is>
          <t>Print &amp; Publications</t>
        </is>
      </c>
      <c r="I1492" s="8" t="inlineStr">
        <is>
          <t>Golf Scorecard Ad</t>
        </is>
      </c>
      <c r="J1492" s="11" t="inlineStr"/>
      <c r="K1492" s="8" t="inlineStr">
        <is>
          <t>Your ad will appear on the golf course scorecard.</t>
        </is>
      </c>
      <c r="L1492" s="11" t="n">
        <v>12</v>
      </c>
      <c r="M1492" s="12" t="n"/>
      <c r="N1492" s="12" t="n"/>
      <c r="O1492" s="12" t="n"/>
      <c r="P1492" s="12" t="n">
        <v>500</v>
      </c>
      <c r="Q1492" s="12" t="n"/>
      <c r="R1492" s="13">
        <f>IF(ISNUMBER(M1492),ROUND(M1492/(1-Settings!$B$2)/Settings!$B$3,0)*Settings!$B$3,"")</f>
        <v/>
      </c>
      <c r="S1492" s="13">
        <f>IF(ISNUMBER(N1492),ROUND(N1492/(1-Settings!$B$2)/Settings!$B$3,0)*Settings!$B$3,"")</f>
        <v/>
      </c>
      <c r="T1492" s="13">
        <f>IF(ISNUMBER(O1492),ROUND(O1492/(1-Settings!$B$2)/Settings!$B$3,0)*Settings!$B$3,"")</f>
        <v/>
      </c>
      <c r="U1492" s="13">
        <f>IF(ISNUMBER(P1492),ROUND(P1492/(1-Settings!$B$2)/Settings!$B$3,0)*Settings!$B$3,"")</f>
        <v/>
      </c>
      <c r="V1492" s="13">
        <f>IF(ISNUMBER(Q1492),ROUND(Q1492/(1-Settings!$B$2)/Settings!$B$3,0)*Settings!$B$3,"")</f>
        <v/>
      </c>
      <c r="W1492" s="14" t="n">
        <v>5711</v>
      </c>
      <c r="X1492" s="14" t="n">
        <v>6755</v>
      </c>
      <c r="Y1492" s="11" t="inlineStr">
        <is>
          <t>2026</t>
        </is>
      </c>
      <c r="Z1492" s="11" t="inlineStr">
        <is>
          <t>2026-06</t>
        </is>
      </c>
      <c r="AA1492" s="8" t="inlineStr">
        <is>
          <t>Annual</t>
        </is>
      </c>
      <c r="AB1492" s="8" t="inlineStr"/>
      <c r="AC1492" s="11" t="inlineStr">
        <is>
          <t>Military - National Publication Inventory Master_June 2026.xlsx</t>
        </is>
      </c>
      <c r="AD1492" s="11" t="inlineStr">
        <is>
          <t>FY26-27 ADVERTISING ASSETS_NRMA.xlsx</t>
        </is>
      </c>
      <c r="AE1492" s="15" t="inlineStr">
        <is>
          <t>Open in Box</t>
        </is>
      </c>
      <c r="AF1492" s="15" t="inlineStr">
        <is>
          <t>Open in Box</t>
        </is>
      </c>
    </row>
    <row r="1493">
      <c r="A1493" s="11" t="inlineStr">
        <is>
          <t>VA-NSWDAHLG-001</t>
        </is>
      </c>
      <c r="B1493" s="8" t="inlineStr">
        <is>
          <t>NSW Dahlgren</t>
        </is>
      </c>
      <c r="C1493" s="11" t="inlineStr"/>
      <c r="D1493" s="11" t="inlineStr">
        <is>
          <t>VA</t>
        </is>
      </c>
      <c r="E1493" s="11" t="inlineStr">
        <is>
          <t>Washington, DC</t>
        </is>
      </c>
      <c r="F1493" s="11" t="inlineStr"/>
      <c r="G1493" s="11" t="inlineStr">
        <is>
          <t>Navy</t>
        </is>
      </c>
      <c r="H1493" s="11" t="inlineStr">
        <is>
          <t>Web &amp; Email</t>
        </is>
      </c>
      <c r="I1493" s="8" t="inlineStr">
        <is>
          <t>Monthly E-Newsletter Ad</t>
        </is>
      </c>
      <c r="J1493" s="11" t="inlineStr"/>
      <c r="K1493" s="8" t="inlineStr">
        <is>
          <t>Your ad will appear in the monthly e-newsletter emailed to the installation community.</t>
        </is>
      </c>
      <c r="L1493" s="11" t="n">
        <v>1</v>
      </c>
      <c r="M1493" s="12" t="n">
        <v>600</v>
      </c>
      <c r="N1493" s="12" t="n"/>
      <c r="O1493" s="12" t="n"/>
      <c r="P1493" s="12" t="n"/>
      <c r="Q1493" s="12" t="n"/>
      <c r="R1493" s="13">
        <f>IF(ISNUMBER(M1493),ROUND(M1493/(1-Settings!$B$2)/Settings!$B$3,0)*Settings!$B$3,"")</f>
        <v/>
      </c>
      <c r="S1493" s="13">
        <f>IF(ISNUMBER(N1493),ROUND(N1493/(1-Settings!$B$2)/Settings!$B$3,0)*Settings!$B$3,"")</f>
        <v/>
      </c>
      <c r="T1493" s="13">
        <f>IF(ISNUMBER(O1493),ROUND(O1493/(1-Settings!$B$2)/Settings!$B$3,0)*Settings!$B$3,"")</f>
        <v/>
      </c>
      <c r="U1493" s="13">
        <f>IF(ISNUMBER(P1493),ROUND(P1493/(1-Settings!$B$2)/Settings!$B$3,0)*Settings!$B$3,"")</f>
        <v/>
      </c>
      <c r="V1493" s="13">
        <f>IF(ISNUMBER(Q1493),ROUND(Q1493/(1-Settings!$B$2)/Settings!$B$3,0)*Settings!$B$3,"")</f>
        <v/>
      </c>
      <c r="W1493" s="14" t="n">
        <v>9500</v>
      </c>
      <c r="X1493" s="14" t="n">
        <v>3350</v>
      </c>
      <c r="Y1493" s="11" t="inlineStr">
        <is>
          <t>2026</t>
        </is>
      </c>
      <c r="Z1493" s="11" t="inlineStr">
        <is>
          <t>2026-06</t>
        </is>
      </c>
      <c r="AA1493" s="8" t="inlineStr"/>
      <c r="AB1493" s="8" t="inlineStr"/>
      <c r="AC1493" s="11" t="inlineStr">
        <is>
          <t>Military - National Publication Inventory Master_June 2026.xlsx</t>
        </is>
      </c>
      <c r="AD1493" s="11" t="inlineStr">
        <is>
          <t>FY26-27 ADVERTISING ASSETS_NRMA.xlsx</t>
        </is>
      </c>
      <c r="AE1493" s="15" t="inlineStr">
        <is>
          <t>Open in Box</t>
        </is>
      </c>
      <c r="AF1493" s="15" t="inlineStr">
        <is>
          <t>Open in Box</t>
        </is>
      </c>
    </row>
    <row r="1494">
      <c r="A1494" s="11" t="inlineStr">
        <is>
          <t>VA-NSWDAHLG-002</t>
        </is>
      </c>
      <c r="B1494" s="8" t="inlineStr">
        <is>
          <t>NSW Dahlgren</t>
        </is>
      </c>
      <c r="C1494" s="11" t="inlineStr"/>
      <c r="D1494" s="11" t="inlineStr">
        <is>
          <t>VA</t>
        </is>
      </c>
      <c r="E1494" s="11" t="inlineStr">
        <is>
          <t>Washington, DC</t>
        </is>
      </c>
      <c r="F1494" s="11" t="inlineStr"/>
      <c r="G1494" s="11" t="inlineStr">
        <is>
          <t>Navy</t>
        </is>
      </c>
      <c r="H1494" s="11" t="inlineStr">
        <is>
          <t>Web &amp; Email</t>
        </is>
      </c>
      <c r="I1494" s="8" t="inlineStr">
        <is>
          <t>Web Ad</t>
        </is>
      </c>
      <c r="J1494" s="11" t="inlineStr"/>
      <c r="K1494" s="8" t="inlineStr">
        <is>
          <t>Your ad will appear on the installation MWR / FSS website.</t>
        </is>
      </c>
      <c r="L1494" s="11" t="n">
        <v>1</v>
      </c>
      <c r="M1494" s="12" t="n">
        <v>500</v>
      </c>
      <c r="N1494" s="12" t="n"/>
      <c r="O1494" s="12" t="n"/>
      <c r="P1494" s="12" t="n"/>
      <c r="Q1494" s="12" t="n"/>
      <c r="R1494" s="13">
        <f>IF(ISNUMBER(M1494),ROUND(M1494/(1-Settings!$B$2)/Settings!$B$3,0)*Settings!$B$3,"")</f>
        <v/>
      </c>
      <c r="S1494" s="13">
        <f>IF(ISNUMBER(N1494),ROUND(N1494/(1-Settings!$B$2)/Settings!$B$3,0)*Settings!$B$3,"")</f>
        <v/>
      </c>
      <c r="T1494" s="13">
        <f>IF(ISNUMBER(O1494),ROUND(O1494/(1-Settings!$B$2)/Settings!$B$3,0)*Settings!$B$3,"")</f>
        <v/>
      </c>
      <c r="U1494" s="13">
        <f>IF(ISNUMBER(P1494),ROUND(P1494/(1-Settings!$B$2)/Settings!$B$3,0)*Settings!$B$3,"")</f>
        <v/>
      </c>
      <c r="V1494" s="13">
        <f>IF(ISNUMBER(Q1494),ROUND(Q1494/(1-Settings!$B$2)/Settings!$B$3,0)*Settings!$B$3,"")</f>
        <v/>
      </c>
      <c r="W1494" s="14" t="n">
        <v>9500</v>
      </c>
      <c r="X1494" s="14" t="n">
        <v>3350</v>
      </c>
      <c r="Y1494" s="11" t="inlineStr">
        <is>
          <t>2026</t>
        </is>
      </c>
      <c r="Z1494" s="11" t="inlineStr">
        <is>
          <t>2026-06</t>
        </is>
      </c>
      <c r="AA1494" s="8" t="inlineStr"/>
      <c r="AB1494" s="8" t="inlineStr"/>
      <c r="AC1494" s="11" t="inlineStr">
        <is>
          <t>Military - National Publication Inventory Master_June 2026.xlsx</t>
        </is>
      </c>
      <c r="AD1494" s="11" t="inlineStr">
        <is>
          <t>FY26-27 ADVERTISING ASSETS_NRMA.xlsx</t>
        </is>
      </c>
      <c r="AE1494" s="15" t="inlineStr">
        <is>
          <t>Open in Box</t>
        </is>
      </c>
      <c r="AF1494" s="15" t="inlineStr">
        <is>
          <t>Open in Box</t>
        </is>
      </c>
    </row>
    <row r="1495">
      <c r="A1495" s="11" t="inlineStr">
        <is>
          <t>VA-NAVALSTA-001</t>
        </is>
      </c>
      <c r="B1495" s="8" t="inlineStr">
        <is>
          <t>Naval Station Norfolk</t>
        </is>
      </c>
      <c r="C1495" s="11" t="inlineStr"/>
      <c r="D1495" s="11" t="inlineStr">
        <is>
          <t>VA</t>
        </is>
      </c>
      <c r="E1495" s="11" t="inlineStr">
        <is>
          <t>Norfolk-Portsmouth-Newport News, VA</t>
        </is>
      </c>
      <c r="F1495" s="11" t="inlineStr"/>
      <c r="G1495" s="11" t="inlineStr">
        <is>
          <t>Navy</t>
        </is>
      </c>
      <c r="H1495" s="11" t="inlineStr">
        <is>
          <t>Digital</t>
        </is>
      </c>
      <c r="I1495" s="8" t="inlineStr">
        <is>
          <t>Bowling Scoring Monitors</t>
        </is>
      </c>
      <c r="J1495" s="11" t="inlineStr">
        <is>
          <t>16 screens</t>
        </is>
      </c>
      <c r="K1495" s="8" t="inlineStr">
        <is>
          <t>Your ad will appear on the 16-screen scoring monitors in the installation bowling center.</t>
        </is>
      </c>
      <c r="L1495" s="11" t="n">
        <v>1</v>
      </c>
      <c r="M1495" s="12" t="n">
        <v>400</v>
      </c>
      <c r="N1495" s="12" t="n"/>
      <c r="O1495" s="12" t="n"/>
      <c r="P1495" s="12" t="n"/>
      <c r="Q1495" s="12" t="n"/>
      <c r="R1495" s="13">
        <f>IF(ISNUMBER(M1495),ROUND(M1495/(1-Settings!$B$2)/Settings!$B$3,0)*Settings!$B$3,"")</f>
        <v/>
      </c>
      <c r="S1495" s="13">
        <f>IF(ISNUMBER(N1495),ROUND(N1495/(1-Settings!$B$2)/Settings!$B$3,0)*Settings!$B$3,"")</f>
        <v/>
      </c>
      <c r="T1495" s="13">
        <f>IF(ISNUMBER(O1495),ROUND(O1495/(1-Settings!$B$2)/Settings!$B$3,0)*Settings!$B$3,"")</f>
        <v/>
      </c>
      <c r="U1495" s="13">
        <f>IF(ISNUMBER(P1495),ROUND(P1495/(1-Settings!$B$2)/Settings!$B$3,0)*Settings!$B$3,"")</f>
        <v/>
      </c>
      <c r="V1495" s="13">
        <f>IF(ISNUMBER(Q1495),ROUND(Q1495/(1-Settings!$B$2)/Settings!$B$3,0)*Settings!$B$3,"")</f>
        <v/>
      </c>
      <c r="W1495" s="14" t="n">
        <v>47368</v>
      </c>
      <c r="X1495" s="14" t="n">
        <v>53525</v>
      </c>
      <c r="Y1495" s="11" t="inlineStr">
        <is>
          <t>2026</t>
        </is>
      </c>
      <c r="Z1495" s="11" t="inlineStr">
        <is>
          <t>2026-06</t>
        </is>
      </c>
      <c r="AA1495" s="8" t="inlineStr"/>
      <c r="AB1495" s="8" t="inlineStr"/>
      <c r="AC1495" s="11" t="inlineStr">
        <is>
          <t>Military - National Digital Inventory Master 6.3.26.xlsx</t>
        </is>
      </c>
      <c r="AD1495" s="11" t="inlineStr">
        <is>
          <t>FY26-27 ADVERTISING ASSETS_NRMA.xlsx</t>
        </is>
      </c>
      <c r="AE1495" s="15" t="inlineStr">
        <is>
          <t>Open in Box</t>
        </is>
      </c>
      <c r="AF1495" s="15" t="inlineStr">
        <is>
          <t>Open in Box</t>
        </is>
      </c>
    </row>
    <row r="1496">
      <c r="A1496" s="11" t="inlineStr">
        <is>
          <t>VA-PORTSMOU-002</t>
        </is>
      </c>
      <c r="B1496" s="8" t="inlineStr">
        <is>
          <t>Portsmouth Coast Guard Integrated Support Command</t>
        </is>
      </c>
      <c r="C1496" s="11" t="inlineStr"/>
      <c r="D1496" s="11" t="inlineStr">
        <is>
          <t>VA</t>
        </is>
      </c>
      <c r="E1496" s="11" t="inlineStr">
        <is>
          <t>Norfolk-Portsmouth-Newport News, VA</t>
        </is>
      </c>
      <c r="F1496" s="11" t="inlineStr"/>
      <c r="G1496" s="11" t="inlineStr">
        <is>
          <t>Coast Guard</t>
        </is>
      </c>
      <c r="H1496" s="11" t="inlineStr">
        <is>
          <t>Digital</t>
        </is>
      </c>
      <c r="I1496" s="8" t="inlineStr">
        <is>
          <t>Digital Marquee</t>
        </is>
      </c>
      <c r="J1496" s="11" t="inlineStr"/>
      <c r="K1496" s="8" t="inlineStr">
        <is>
          <t>Your ad will appear on the digital marquee(s) on the installation.</t>
        </is>
      </c>
      <c r="L1496" s="11" t="n">
        <v>1</v>
      </c>
      <c r="M1496" s="12" t="n">
        <v>1000</v>
      </c>
      <c r="N1496" s="12" t="n"/>
      <c r="O1496" s="12" t="n"/>
      <c r="P1496" s="12" t="n"/>
      <c r="Q1496" s="12" t="n"/>
      <c r="R1496" s="13">
        <f>IF(ISNUMBER(M1496),ROUND(M1496/(1-Settings!$B$2)/Settings!$B$3,0)*Settings!$B$3,"")</f>
        <v/>
      </c>
      <c r="S1496" s="13">
        <f>IF(ISNUMBER(N1496),ROUND(N1496/(1-Settings!$B$2)/Settings!$B$3,0)*Settings!$B$3,"")</f>
        <v/>
      </c>
      <c r="T1496" s="13">
        <f>IF(ISNUMBER(O1496),ROUND(O1496/(1-Settings!$B$2)/Settings!$B$3,0)*Settings!$B$3,"")</f>
        <v/>
      </c>
      <c r="U1496" s="13">
        <f>IF(ISNUMBER(P1496),ROUND(P1496/(1-Settings!$B$2)/Settings!$B$3,0)*Settings!$B$3,"")</f>
        <v/>
      </c>
      <c r="V1496" s="13">
        <f>IF(ISNUMBER(Q1496),ROUND(Q1496/(1-Settings!$B$2)/Settings!$B$3,0)*Settings!$B$3,"")</f>
        <v/>
      </c>
      <c r="W1496" s="14" t="n"/>
      <c r="X1496" s="14" t="n"/>
      <c r="Y1496" s="11" t="inlineStr">
        <is>
          <t>2026</t>
        </is>
      </c>
      <c r="Z1496" s="11" t="inlineStr">
        <is>
          <t>2026-06</t>
        </is>
      </c>
      <c r="AA1496" s="8" t="inlineStr"/>
      <c r="AB1496" s="8" t="inlineStr"/>
      <c r="AC1496" s="11" t="inlineStr">
        <is>
          <t>Military - National Digital Inventory Master 6.3.26.xlsx</t>
        </is>
      </c>
      <c r="AD1496" s="11" t="inlineStr">
        <is>
          <t>CSC MWR Media Kit Sponsorship &amp; Advertising Guide.pdf</t>
        </is>
      </c>
      <c r="AE1496" s="15" t="inlineStr">
        <is>
          <t>Open in Box</t>
        </is>
      </c>
      <c r="AF1496" s="15" t="inlineStr">
        <is>
          <t>Open in Box</t>
        </is>
      </c>
    </row>
    <row r="1497">
      <c r="A1497" s="11" t="inlineStr">
        <is>
          <t>VA-PORTSMOU-001</t>
        </is>
      </c>
      <c r="B1497" s="8" t="inlineStr">
        <is>
          <t>Portsmouth Coast Guard Integrated Support Command</t>
        </is>
      </c>
      <c r="C1497" s="11" t="inlineStr"/>
      <c r="D1497" s="11" t="inlineStr">
        <is>
          <t>VA</t>
        </is>
      </c>
      <c r="E1497" s="11" t="inlineStr">
        <is>
          <t>Norfolk-Portsmouth-Newport News, VA</t>
        </is>
      </c>
      <c r="F1497" s="11" t="inlineStr"/>
      <c r="G1497" s="11" t="inlineStr">
        <is>
          <t>Coast Guard</t>
        </is>
      </c>
      <c r="H1497" s="11" t="inlineStr">
        <is>
          <t>Digital</t>
        </is>
      </c>
      <c r="I1497" s="8" t="inlineStr">
        <is>
          <t>Digital Monitor Network</t>
        </is>
      </c>
      <c r="J1497" s="11" t="inlineStr"/>
      <c r="K1497" s="8" t="inlineStr">
        <is>
          <t>Your ad will appear on the digital monitor network in approved installation facilities.</t>
        </is>
      </c>
      <c r="L1497" s="11" t="n">
        <v>1</v>
      </c>
      <c r="M1497" s="12" t="n">
        <v>450</v>
      </c>
      <c r="N1497" s="12" t="n"/>
      <c r="O1497" s="12" t="n"/>
      <c r="P1497" s="12" t="n"/>
      <c r="Q1497" s="12" t="n"/>
      <c r="R1497" s="13">
        <f>IF(ISNUMBER(M1497),ROUND(M1497/(1-Settings!$B$2)/Settings!$B$3,0)*Settings!$B$3,"")</f>
        <v/>
      </c>
      <c r="S1497" s="13">
        <f>IF(ISNUMBER(N1497),ROUND(N1497/(1-Settings!$B$2)/Settings!$B$3,0)*Settings!$B$3,"")</f>
        <v/>
      </c>
      <c r="T1497" s="13">
        <f>IF(ISNUMBER(O1497),ROUND(O1497/(1-Settings!$B$2)/Settings!$B$3,0)*Settings!$B$3,"")</f>
        <v/>
      </c>
      <c r="U1497" s="13">
        <f>IF(ISNUMBER(P1497),ROUND(P1497/(1-Settings!$B$2)/Settings!$B$3,0)*Settings!$B$3,"")</f>
        <v/>
      </c>
      <c r="V1497" s="13">
        <f>IF(ISNUMBER(Q1497),ROUND(Q1497/(1-Settings!$B$2)/Settings!$B$3,0)*Settings!$B$3,"")</f>
        <v/>
      </c>
      <c r="W1497" s="14" t="n"/>
      <c r="X1497" s="14" t="n"/>
      <c r="Y1497" s="11" t="inlineStr">
        <is>
          <t>2026</t>
        </is>
      </c>
      <c r="Z1497" s="11" t="inlineStr">
        <is>
          <t>2026-06</t>
        </is>
      </c>
      <c r="AA1497" s="8" t="inlineStr"/>
      <c r="AB1497" s="8" t="inlineStr"/>
      <c r="AC1497" s="11" t="inlineStr">
        <is>
          <t>Military - National Digital Inventory Master 6.3.26.xlsx</t>
        </is>
      </c>
      <c r="AD1497" s="11" t="inlineStr">
        <is>
          <t>CSC MWR Media Kit Sponsorship &amp; Advertising Guide.pdf</t>
        </is>
      </c>
      <c r="AE1497" s="15" t="inlineStr">
        <is>
          <t>Open in Box</t>
        </is>
      </c>
      <c r="AF1497" s="15" t="inlineStr">
        <is>
          <t>Open in Box</t>
        </is>
      </c>
    </row>
    <row r="1498">
      <c r="A1498" s="11" t="inlineStr">
        <is>
          <t>VA-QUANTICO-001</t>
        </is>
      </c>
      <c r="B1498" s="8" t="inlineStr">
        <is>
          <t>Quantico</t>
        </is>
      </c>
      <c r="C1498" s="11" t="inlineStr"/>
      <c r="D1498" s="11" t="inlineStr">
        <is>
          <t>VA</t>
        </is>
      </c>
      <c r="E1498" s="11" t="inlineStr">
        <is>
          <t>Washington, DC</t>
        </is>
      </c>
      <c r="F1498" s="11" t="inlineStr"/>
      <c r="G1498" s="11" t="inlineStr">
        <is>
          <t>Marines</t>
        </is>
      </c>
      <c r="H1498" s="11" t="inlineStr">
        <is>
          <t>Digital</t>
        </is>
      </c>
      <c r="I1498" s="8" t="inlineStr">
        <is>
          <t>Digital Monitor Network</t>
        </is>
      </c>
      <c r="J1498" s="11" t="inlineStr">
        <is>
          <t>8 screens</t>
        </is>
      </c>
      <c r="K1498" s="8" t="inlineStr">
        <is>
          <t>Your ad will appear on the 8-screen digital monitor network in approved installation facilities.</t>
        </is>
      </c>
      <c r="L1498" s="11" t="n">
        <v>1</v>
      </c>
      <c r="M1498" s="12" t="n">
        <v>550</v>
      </c>
      <c r="N1498" s="12" t="n"/>
      <c r="O1498" s="12" t="n"/>
      <c r="P1498" s="12" t="n"/>
      <c r="Q1498" s="12" t="n"/>
      <c r="R1498" s="13">
        <f>IF(ISNUMBER(M1498),ROUND(M1498/(1-Settings!$B$2)/Settings!$B$3,0)*Settings!$B$3,"")</f>
        <v/>
      </c>
      <c r="S1498" s="13">
        <f>IF(ISNUMBER(N1498),ROUND(N1498/(1-Settings!$B$2)/Settings!$B$3,0)*Settings!$B$3,"")</f>
        <v/>
      </c>
      <c r="T1498" s="13">
        <f>IF(ISNUMBER(O1498),ROUND(O1498/(1-Settings!$B$2)/Settings!$B$3,0)*Settings!$B$3,"")</f>
        <v/>
      </c>
      <c r="U1498" s="13">
        <f>IF(ISNUMBER(P1498),ROUND(P1498/(1-Settings!$B$2)/Settings!$B$3,0)*Settings!$B$3,"")</f>
        <v/>
      </c>
      <c r="V1498" s="13">
        <f>IF(ISNUMBER(Q1498),ROUND(Q1498/(1-Settings!$B$2)/Settings!$B$3,0)*Settings!$B$3,"")</f>
        <v/>
      </c>
      <c r="W1498" s="14" t="n">
        <v>8409</v>
      </c>
      <c r="X1498" s="14" t="n">
        <v>10876</v>
      </c>
      <c r="Y1498" s="11" t="inlineStr">
        <is>
          <t>2026</t>
        </is>
      </c>
      <c r="Z1498" s="11" t="inlineStr">
        <is>
          <t>2026-06</t>
        </is>
      </c>
      <c r="AA1498" s="8" t="inlineStr"/>
      <c r="AB1498" s="8" t="inlineStr"/>
      <c r="AC1498" s="11" t="inlineStr">
        <is>
          <t>Military - National Digital Inventory Master 6.3.26.xlsx</t>
        </is>
      </c>
      <c r="AD1498" s="11" t="inlineStr">
        <is>
          <t>Independence Day Celebration Details Screenshot 2026-05-11 102733.png</t>
        </is>
      </c>
      <c r="AE1498" s="15" t="inlineStr">
        <is>
          <t>Open in Box</t>
        </is>
      </c>
      <c r="AF1498" s="15" t="inlineStr">
        <is>
          <t>Open in Box</t>
        </is>
      </c>
    </row>
    <row r="1499">
      <c r="A1499" s="11" t="inlineStr">
        <is>
          <t>VA-QUANTICO-002</t>
        </is>
      </c>
      <c r="B1499" s="8" t="inlineStr">
        <is>
          <t>Quantico</t>
        </is>
      </c>
      <c r="C1499" s="11" t="inlineStr"/>
      <c r="D1499" s="11" t="inlineStr">
        <is>
          <t>VA</t>
        </is>
      </c>
      <c r="E1499" s="11" t="inlineStr">
        <is>
          <t>Washington, DC</t>
        </is>
      </c>
      <c r="F1499" s="11" t="inlineStr"/>
      <c r="G1499" s="11" t="inlineStr">
        <is>
          <t>Marines</t>
        </is>
      </c>
      <c r="H1499" s="11" t="inlineStr">
        <is>
          <t>Digital</t>
        </is>
      </c>
      <c r="I1499" s="8" t="inlineStr">
        <is>
          <t>Movie Theater Ad</t>
        </is>
      </c>
      <c r="J1499" s="11" t="inlineStr">
        <is>
          <t>1 screens</t>
        </is>
      </c>
      <c r="K1499" s="8" t="inlineStr">
        <is>
          <t>Your ad will appear on screen before movies at the installation theater (1-screen screens).</t>
        </is>
      </c>
      <c r="L1499" s="11" t="n">
        <v>1</v>
      </c>
      <c r="M1499" s="12" t="n">
        <v>220</v>
      </c>
      <c r="N1499" s="12" t="n"/>
      <c r="O1499" s="12" t="n"/>
      <c r="P1499" s="12" t="n"/>
      <c r="Q1499" s="12" t="n"/>
      <c r="R1499" s="13">
        <f>IF(ISNUMBER(M1499),ROUND(M1499/(1-Settings!$B$2)/Settings!$B$3,0)*Settings!$B$3,"")</f>
        <v/>
      </c>
      <c r="S1499" s="13">
        <f>IF(ISNUMBER(N1499),ROUND(N1499/(1-Settings!$B$2)/Settings!$B$3,0)*Settings!$B$3,"")</f>
        <v/>
      </c>
      <c r="T1499" s="13">
        <f>IF(ISNUMBER(O1499),ROUND(O1499/(1-Settings!$B$2)/Settings!$B$3,0)*Settings!$B$3,"")</f>
        <v/>
      </c>
      <c r="U1499" s="13">
        <f>IF(ISNUMBER(P1499),ROUND(P1499/(1-Settings!$B$2)/Settings!$B$3,0)*Settings!$B$3,"")</f>
        <v/>
      </c>
      <c r="V1499" s="13">
        <f>IF(ISNUMBER(Q1499),ROUND(Q1499/(1-Settings!$B$2)/Settings!$B$3,0)*Settings!$B$3,"")</f>
        <v/>
      </c>
      <c r="W1499" s="14" t="n">
        <v>8409</v>
      </c>
      <c r="X1499" s="14" t="n">
        <v>10876</v>
      </c>
      <c r="Y1499" s="11" t="inlineStr">
        <is>
          <t>2026</t>
        </is>
      </c>
      <c r="Z1499" s="11" t="inlineStr">
        <is>
          <t>2026-06</t>
        </is>
      </c>
      <c r="AA1499" s="8" t="inlineStr"/>
      <c r="AB1499" s="8" t="inlineStr"/>
      <c r="AC1499" s="11" t="inlineStr">
        <is>
          <t>Military - National Digital Inventory Master 6.3.26.xlsx</t>
        </is>
      </c>
      <c r="AD1499" s="11" t="inlineStr">
        <is>
          <t>Independence Day Celebration Details Screenshot 2026-05-11 102733.png</t>
        </is>
      </c>
      <c r="AE1499" s="15" t="inlineStr">
        <is>
          <t>Open in Box</t>
        </is>
      </c>
      <c r="AF1499" s="15" t="inlineStr">
        <is>
          <t>Open in Box</t>
        </is>
      </c>
    </row>
    <row r="1500">
      <c r="A1500" s="11" t="inlineStr">
        <is>
          <t>VA-QUANTICO-003</t>
        </is>
      </c>
      <c r="B1500" s="8" t="inlineStr">
        <is>
          <t>Quantico</t>
        </is>
      </c>
      <c r="C1500" s="11" t="inlineStr"/>
      <c r="D1500" s="11" t="inlineStr">
        <is>
          <t>VA</t>
        </is>
      </c>
      <c r="E1500" s="11" t="inlineStr">
        <is>
          <t>Washington, DC</t>
        </is>
      </c>
      <c r="F1500" s="11" t="inlineStr"/>
      <c r="G1500" s="11" t="inlineStr">
        <is>
          <t>Marines</t>
        </is>
      </c>
      <c r="H1500" s="11" t="inlineStr">
        <is>
          <t>Web &amp; Email</t>
        </is>
      </c>
      <c r="I1500" s="8" t="inlineStr">
        <is>
          <t>Monthly E-Newsletter Ad</t>
        </is>
      </c>
      <c r="J1500" s="11" t="inlineStr"/>
      <c r="K1500" s="8" t="inlineStr">
        <is>
          <t>Your ad will appear in the monthly e-newsletter emailed to the installation community.</t>
        </is>
      </c>
      <c r="L1500" s="11" t="n">
        <v>1</v>
      </c>
      <c r="M1500" s="12" t="n">
        <v>100</v>
      </c>
      <c r="N1500" s="12" t="n"/>
      <c r="O1500" s="12" t="n"/>
      <c r="P1500" s="12" t="n"/>
      <c r="Q1500" s="12" t="n"/>
      <c r="R1500" s="13">
        <f>IF(ISNUMBER(M1500),ROUND(M1500/(1-Settings!$B$2)/Settings!$B$3,0)*Settings!$B$3,"")</f>
        <v/>
      </c>
      <c r="S1500" s="13">
        <f>IF(ISNUMBER(N1500),ROUND(N1500/(1-Settings!$B$2)/Settings!$B$3,0)*Settings!$B$3,"")</f>
        <v/>
      </c>
      <c r="T1500" s="13">
        <f>IF(ISNUMBER(O1500),ROUND(O1500/(1-Settings!$B$2)/Settings!$B$3,0)*Settings!$B$3,"")</f>
        <v/>
      </c>
      <c r="U1500" s="13">
        <f>IF(ISNUMBER(P1500),ROUND(P1500/(1-Settings!$B$2)/Settings!$B$3,0)*Settings!$B$3,"")</f>
        <v/>
      </c>
      <c r="V1500" s="13">
        <f>IF(ISNUMBER(Q1500),ROUND(Q1500/(1-Settings!$B$2)/Settings!$B$3,0)*Settings!$B$3,"")</f>
        <v/>
      </c>
      <c r="W1500" s="14" t="n">
        <v>8409</v>
      </c>
      <c r="X1500" s="14" t="n">
        <v>10876</v>
      </c>
      <c r="Y1500" s="11" t="inlineStr">
        <is>
          <t>2026</t>
        </is>
      </c>
      <c r="Z1500" s="11" t="inlineStr">
        <is>
          <t>2026-06</t>
        </is>
      </c>
      <c r="AA1500" s="8" t="inlineStr">
        <is>
          <t>Distro’d bi-monthly Cost gets you (4) emails Print 2x/year</t>
        </is>
      </c>
      <c r="AB1500" s="8" t="inlineStr"/>
      <c r="AC1500" s="11" t="inlineStr">
        <is>
          <t>Military - National Publication Inventory Master_June 2026.xlsx</t>
        </is>
      </c>
      <c r="AD1500" s="11" t="inlineStr">
        <is>
          <t>Independence Day Celebration Details Screenshot 2026-05-11 102733.png</t>
        </is>
      </c>
      <c r="AE1500" s="15" t="inlineStr">
        <is>
          <t>Open in Box</t>
        </is>
      </c>
      <c r="AF1500" s="15" t="inlineStr">
        <is>
          <t>Open in Box</t>
        </is>
      </c>
    </row>
    <row r="1501">
      <c r="A1501" s="11" t="inlineStr">
        <is>
          <t>VA-QUANTICO-004</t>
        </is>
      </c>
      <c r="B1501" s="8" t="inlineStr">
        <is>
          <t>Quantico</t>
        </is>
      </c>
      <c r="C1501" s="11" t="inlineStr"/>
      <c r="D1501" s="11" t="inlineStr">
        <is>
          <t>VA</t>
        </is>
      </c>
      <c r="E1501" s="11" t="inlineStr">
        <is>
          <t>Washington, DC</t>
        </is>
      </c>
      <c r="F1501" s="11" t="inlineStr"/>
      <c r="G1501" s="11" t="inlineStr">
        <is>
          <t>Marines</t>
        </is>
      </c>
      <c r="H1501" s="11" t="inlineStr">
        <is>
          <t>Web &amp; Email</t>
        </is>
      </c>
      <c r="I1501" s="8" t="inlineStr">
        <is>
          <t>Web Ad</t>
        </is>
      </c>
      <c r="J1501" s="11" t="inlineStr"/>
      <c r="K1501" s="8" t="inlineStr">
        <is>
          <t>Your ad will appear on the installation MWR / FSS website.</t>
        </is>
      </c>
      <c r="L1501" s="11" t="n">
        <v>1</v>
      </c>
      <c r="M1501" s="12" t="n">
        <v>1100</v>
      </c>
      <c r="N1501" s="12" t="n"/>
      <c r="O1501" s="12" t="n"/>
      <c r="P1501" s="12" t="n"/>
      <c r="Q1501" s="12" t="n"/>
      <c r="R1501" s="13">
        <f>IF(ISNUMBER(M1501),ROUND(M1501/(1-Settings!$B$2)/Settings!$B$3,0)*Settings!$B$3,"")</f>
        <v/>
      </c>
      <c r="S1501" s="13">
        <f>IF(ISNUMBER(N1501),ROUND(N1501/(1-Settings!$B$2)/Settings!$B$3,0)*Settings!$B$3,"")</f>
        <v/>
      </c>
      <c r="T1501" s="13">
        <f>IF(ISNUMBER(O1501),ROUND(O1501/(1-Settings!$B$2)/Settings!$B$3,0)*Settings!$B$3,"")</f>
        <v/>
      </c>
      <c r="U1501" s="13">
        <f>IF(ISNUMBER(P1501),ROUND(P1501/(1-Settings!$B$2)/Settings!$B$3,0)*Settings!$B$3,"")</f>
        <v/>
      </c>
      <c r="V1501" s="13">
        <f>IF(ISNUMBER(Q1501),ROUND(Q1501/(1-Settings!$B$2)/Settings!$B$3,0)*Settings!$B$3,"")</f>
        <v/>
      </c>
      <c r="W1501" s="14" t="n">
        <v>8409</v>
      </c>
      <c r="X1501" s="14" t="n">
        <v>10876</v>
      </c>
      <c r="Y1501" s="11" t="inlineStr">
        <is>
          <t>2026</t>
        </is>
      </c>
      <c r="Z1501" s="11" t="inlineStr">
        <is>
          <t>2026-06</t>
        </is>
      </c>
      <c r="AA1501" s="8" t="inlineStr">
        <is>
          <t>Distro’d bi-monthly Cost gets you (4) emails Print 2x/year</t>
        </is>
      </c>
      <c r="AB1501" s="8" t="inlineStr"/>
      <c r="AC1501" s="11" t="inlineStr">
        <is>
          <t>Military - National Publication Inventory Master_June 2026.xlsx</t>
        </is>
      </c>
      <c r="AD1501" s="11" t="inlineStr">
        <is>
          <t>Independence Day Celebration Details Screenshot 2026-05-11 102733.png</t>
        </is>
      </c>
      <c r="AE1501" s="15" t="inlineStr">
        <is>
          <t>Open in Box</t>
        </is>
      </c>
      <c r="AF1501" s="15" t="inlineStr">
        <is>
          <t>Open in Box</t>
        </is>
      </c>
    </row>
    <row r="1502">
      <c r="A1502" s="11" t="inlineStr">
        <is>
          <t>VA-WPNSTAYO-001</t>
        </is>
      </c>
      <c r="B1502" s="8" t="inlineStr">
        <is>
          <t>WPNSTA Yorktown</t>
        </is>
      </c>
      <c r="C1502" s="11" t="inlineStr"/>
      <c r="D1502" s="11" t="inlineStr">
        <is>
          <t>VA</t>
        </is>
      </c>
      <c r="E1502" s="11" t="inlineStr">
        <is>
          <t>Norfolk-Portsmouth-Newport News, VA</t>
        </is>
      </c>
      <c r="F1502" s="11" t="inlineStr"/>
      <c r="G1502" s="11" t="inlineStr">
        <is>
          <t>Navy</t>
        </is>
      </c>
      <c r="H1502" s="11" t="inlineStr">
        <is>
          <t>Digital</t>
        </is>
      </c>
      <c r="I1502" s="8" t="inlineStr">
        <is>
          <t>Bowling Scoring Monitors</t>
        </is>
      </c>
      <c r="J1502" s="11" t="inlineStr">
        <is>
          <t>6 screens</t>
        </is>
      </c>
      <c r="K1502" s="8" t="inlineStr">
        <is>
          <t>Your ad will appear on the 6-screen scoring monitors in the installation bowling center.</t>
        </is>
      </c>
      <c r="L1502" s="11" t="n">
        <v>1</v>
      </c>
      <c r="M1502" s="12" t="n">
        <v>350</v>
      </c>
      <c r="N1502" s="12" t="n"/>
      <c r="O1502" s="12" t="n"/>
      <c r="P1502" s="12" t="n"/>
      <c r="Q1502" s="12" t="n"/>
      <c r="R1502" s="13">
        <f>IF(ISNUMBER(M1502),ROUND(M1502/(1-Settings!$B$2)/Settings!$B$3,0)*Settings!$B$3,"")</f>
        <v/>
      </c>
      <c r="S1502" s="13">
        <f>IF(ISNUMBER(N1502),ROUND(N1502/(1-Settings!$B$2)/Settings!$B$3,0)*Settings!$B$3,"")</f>
        <v/>
      </c>
      <c r="T1502" s="13">
        <f>IF(ISNUMBER(O1502),ROUND(O1502/(1-Settings!$B$2)/Settings!$B$3,0)*Settings!$B$3,"")</f>
        <v/>
      </c>
      <c r="U1502" s="13">
        <f>IF(ISNUMBER(P1502),ROUND(P1502/(1-Settings!$B$2)/Settings!$B$3,0)*Settings!$B$3,"")</f>
        <v/>
      </c>
      <c r="V1502" s="13">
        <f>IF(ISNUMBER(Q1502),ROUND(Q1502/(1-Settings!$B$2)/Settings!$B$3,0)*Settings!$B$3,"")</f>
        <v/>
      </c>
      <c r="W1502" s="14" t="n">
        <v>1311</v>
      </c>
      <c r="X1502" s="14" t="n">
        <v>1405</v>
      </c>
      <c r="Y1502" s="11" t="inlineStr">
        <is>
          <t>2026</t>
        </is>
      </c>
      <c r="Z1502" s="11" t="inlineStr">
        <is>
          <t>2026-06</t>
        </is>
      </c>
      <c r="AA1502" s="8" t="inlineStr"/>
      <c r="AB1502" s="8" t="inlineStr"/>
      <c r="AC1502" s="11" t="inlineStr">
        <is>
          <t>Military - National Digital Inventory Master 6.3.26.xlsx</t>
        </is>
      </c>
      <c r="AD1502" s="11" t="inlineStr">
        <is>
          <t>FY26-27 ADVERTISING ASSETS_NRMA.xlsx</t>
        </is>
      </c>
      <c r="AE1502" s="15" t="inlineStr">
        <is>
          <t>Open in Box</t>
        </is>
      </c>
      <c r="AF1502" s="15" t="inlineStr">
        <is>
          <t>Open in Box</t>
        </is>
      </c>
    </row>
    <row r="1503">
      <c r="A1503" s="11" t="inlineStr">
        <is>
          <t>VA-YORKTOWN-002</t>
        </is>
      </c>
      <c r="B1503" s="8" t="inlineStr">
        <is>
          <t>Yorktown Navy Weapon Station</t>
        </is>
      </c>
      <c r="C1503" s="11" t="inlineStr"/>
      <c r="D1503" s="11" t="inlineStr">
        <is>
          <t>VA</t>
        </is>
      </c>
      <c r="E1503" s="11" t="inlineStr">
        <is>
          <t>Norfolk-Portsmth-Newpt Nws</t>
        </is>
      </c>
      <c r="F1503" s="11" t="inlineStr"/>
      <c r="G1503" s="11" t="inlineStr">
        <is>
          <t>Navy</t>
        </is>
      </c>
      <c r="H1503" s="11" t="inlineStr">
        <is>
          <t>Digital</t>
        </is>
      </c>
      <c r="I1503" s="8" t="inlineStr">
        <is>
          <t>Digital Monitor Network</t>
        </is>
      </c>
      <c r="J1503" s="11" t="inlineStr"/>
      <c r="K1503" s="8" t="inlineStr">
        <is>
          <t>Your ad will appear on the digital monitor network in approved installation facilities.</t>
        </is>
      </c>
      <c r="L1503" s="11" t="n">
        <v>1</v>
      </c>
      <c r="M1503" s="12" t="n">
        <v>750</v>
      </c>
      <c r="N1503" s="12" t="n"/>
      <c r="O1503" s="12" t="n"/>
      <c r="P1503" s="12" t="n"/>
      <c r="Q1503" s="12" t="n"/>
      <c r="R1503" s="13">
        <f>IF(ISNUMBER(M1503),ROUND(M1503/(1-Settings!$B$2)/Settings!$B$3,0)*Settings!$B$3,"")</f>
        <v/>
      </c>
      <c r="S1503" s="13">
        <f>IF(ISNUMBER(N1503),ROUND(N1503/(1-Settings!$B$2)/Settings!$B$3,0)*Settings!$B$3,"")</f>
        <v/>
      </c>
      <c r="T1503" s="13">
        <f>IF(ISNUMBER(O1503),ROUND(O1503/(1-Settings!$B$2)/Settings!$B$3,0)*Settings!$B$3,"")</f>
        <v/>
      </c>
      <c r="U1503" s="13">
        <f>IF(ISNUMBER(P1503),ROUND(P1503/(1-Settings!$B$2)/Settings!$B$3,0)*Settings!$B$3,"")</f>
        <v/>
      </c>
      <c r="V1503" s="13">
        <f>IF(ISNUMBER(Q1503),ROUND(Q1503/(1-Settings!$B$2)/Settings!$B$3,0)*Settings!$B$3,"")</f>
        <v/>
      </c>
      <c r="W1503" s="14" t="n"/>
      <c r="X1503" s="14" t="n"/>
      <c r="Y1503" s="11" t="inlineStr">
        <is>
          <t>2026</t>
        </is>
      </c>
      <c r="Z1503" s="11" t="inlineStr">
        <is>
          <t>2026-06</t>
        </is>
      </c>
      <c r="AA1503" s="8" t="inlineStr"/>
      <c r="AB1503" s="8" t="inlineStr"/>
      <c r="AC1503" s="11" t="inlineStr">
        <is>
          <t>Military - National Digital Inventory Master 6.3.26.xlsx</t>
        </is>
      </c>
      <c r="AD1503" s="11" t="inlineStr">
        <is>
          <t>Pricing.docx</t>
        </is>
      </c>
      <c r="AE1503" s="15" t="inlineStr">
        <is>
          <t>Open in Box</t>
        </is>
      </c>
      <c r="AF1503" s="15" t="inlineStr">
        <is>
          <t>Open in Box</t>
        </is>
      </c>
    </row>
    <row r="1504">
      <c r="A1504" s="11" t="inlineStr">
        <is>
          <t>VA-YORKTOWN-003</t>
        </is>
      </c>
      <c r="B1504" s="8" t="inlineStr">
        <is>
          <t>Yorktown Navy Weapon Station</t>
        </is>
      </c>
      <c r="C1504" s="11" t="inlineStr"/>
      <c r="D1504" s="11" t="inlineStr">
        <is>
          <t>VA</t>
        </is>
      </c>
      <c r="E1504" s="11" t="inlineStr">
        <is>
          <t>Norfolk-Portsmth-Newpt Nws</t>
        </is>
      </c>
      <c r="F1504" s="11" t="inlineStr"/>
      <c r="G1504" s="11" t="inlineStr">
        <is>
          <t>Navy</t>
        </is>
      </c>
      <c r="H1504" s="11" t="inlineStr">
        <is>
          <t>Digital</t>
        </is>
      </c>
      <c r="I1504" s="8" t="inlineStr">
        <is>
          <t>Movie Theater Ad</t>
        </is>
      </c>
      <c r="J1504" s="11" t="inlineStr"/>
      <c r="K1504" s="8" t="inlineStr">
        <is>
          <t>Your ad will appear on screen before movies at the installation theater (screens).</t>
        </is>
      </c>
      <c r="L1504" s="11" t="n">
        <v>1</v>
      </c>
      <c r="M1504" s="12" t="n">
        <v>250</v>
      </c>
      <c r="N1504" s="12" t="n"/>
      <c r="O1504" s="12" t="n"/>
      <c r="P1504" s="12" t="n"/>
      <c r="Q1504" s="12" t="n"/>
      <c r="R1504" s="13">
        <f>IF(ISNUMBER(M1504),ROUND(M1504/(1-Settings!$B$2)/Settings!$B$3,0)*Settings!$B$3,"")</f>
        <v/>
      </c>
      <c r="S1504" s="13">
        <f>IF(ISNUMBER(N1504),ROUND(N1504/(1-Settings!$B$2)/Settings!$B$3,0)*Settings!$B$3,"")</f>
        <v/>
      </c>
      <c r="T1504" s="13">
        <f>IF(ISNUMBER(O1504),ROUND(O1504/(1-Settings!$B$2)/Settings!$B$3,0)*Settings!$B$3,"")</f>
        <v/>
      </c>
      <c r="U1504" s="13">
        <f>IF(ISNUMBER(P1504),ROUND(P1504/(1-Settings!$B$2)/Settings!$B$3,0)*Settings!$B$3,"")</f>
        <v/>
      </c>
      <c r="V1504" s="13">
        <f>IF(ISNUMBER(Q1504),ROUND(Q1504/(1-Settings!$B$2)/Settings!$B$3,0)*Settings!$B$3,"")</f>
        <v/>
      </c>
      <c r="W1504" s="14" t="n"/>
      <c r="X1504" s="14" t="n"/>
      <c r="Y1504" s="11" t="inlineStr">
        <is>
          <t>2026</t>
        </is>
      </c>
      <c r="Z1504" s="11" t="inlineStr">
        <is>
          <t>2026-06</t>
        </is>
      </c>
      <c r="AA1504" s="8" t="inlineStr"/>
      <c r="AB1504" s="8" t="inlineStr"/>
      <c r="AC1504" s="11" t="inlineStr">
        <is>
          <t>Military - National Digital Inventory Master 6.3.26.xlsx</t>
        </is>
      </c>
      <c r="AD1504" s="11" t="inlineStr">
        <is>
          <t>Pricing.docx</t>
        </is>
      </c>
      <c r="AE1504" s="15" t="inlineStr">
        <is>
          <t>Open in Box</t>
        </is>
      </c>
      <c r="AF1504" s="15" t="inlineStr">
        <is>
          <t>Open in Box</t>
        </is>
      </c>
    </row>
    <row r="1505">
      <c r="A1505" s="11" t="inlineStr">
        <is>
          <t>VA-YORKTOWN-001</t>
        </is>
      </c>
      <c r="B1505" s="8" t="inlineStr">
        <is>
          <t>Yorktown Navy Weapon Station</t>
        </is>
      </c>
      <c r="C1505" s="11" t="inlineStr">
        <is>
          <t>WPNSTA Yorktown</t>
        </is>
      </c>
      <c r="D1505" s="11" t="inlineStr">
        <is>
          <t>VA</t>
        </is>
      </c>
      <c r="E1505" s="11" t="inlineStr">
        <is>
          <t>Norfolk-Portsmth-Newpt Nws</t>
        </is>
      </c>
      <c r="F1505" s="11" t="inlineStr">
        <is>
          <t>23691</t>
        </is>
      </c>
      <c r="G1505" s="11" t="inlineStr">
        <is>
          <t>Navy</t>
        </is>
      </c>
      <c r="H1505" s="11" t="inlineStr">
        <is>
          <t>Standard Media</t>
        </is>
      </c>
      <c r="I1505" s="8" t="inlineStr">
        <is>
          <t>Banner</t>
        </is>
      </c>
      <c r="J1505" s="11" t="inlineStr">
        <is>
          <t>8' x 4' (vinyl, no hems or grommets)</t>
        </is>
      </c>
      <c r="K1505" s="8" t="inlineStr">
        <is>
          <t>Your ad will appear at or in an approved installation facility.</t>
        </is>
      </c>
      <c r="L1505" s="11" t="n"/>
      <c r="M1505" s="12" t="n"/>
      <c r="N1505" s="12" t="n"/>
      <c r="O1505" s="12" t="n"/>
      <c r="P1505" s="12" t="n"/>
      <c r="Q1505" s="12" t="n"/>
      <c r="R1505" s="13">
        <f>IF(ISNUMBER(M1505),ROUND(M1505/(1-Settings!$B$2)/Settings!$B$3,0)*Settings!$B$3,"")</f>
        <v/>
      </c>
      <c r="S1505" s="13">
        <f>IF(ISNUMBER(N1505),ROUND(N1505/(1-Settings!$B$2)/Settings!$B$3,0)*Settings!$B$3,"")</f>
        <v/>
      </c>
      <c r="T1505" s="13">
        <f>IF(ISNUMBER(O1505),ROUND(O1505/(1-Settings!$B$2)/Settings!$B$3,0)*Settings!$B$3,"")</f>
        <v/>
      </c>
      <c r="U1505" s="13">
        <f>IF(ISNUMBER(P1505),ROUND(P1505/(1-Settings!$B$2)/Settings!$B$3,0)*Settings!$B$3,"")</f>
        <v/>
      </c>
      <c r="V1505" s="13">
        <f>IF(ISNUMBER(Q1505),ROUND(Q1505/(1-Settings!$B$2)/Settings!$B$3,0)*Settings!$B$3,"")</f>
        <v/>
      </c>
      <c r="W1505" s="14" t="n">
        <v>1311</v>
      </c>
      <c r="X1505" s="14" t="n">
        <v>1405</v>
      </c>
      <c r="Y1505" s="11" t="inlineStr"/>
      <c r="Z1505" s="11" t="inlineStr"/>
      <c r="AA1505" s="8" t="inlineStr"/>
      <c r="AB1505" s="16" t="inlineStr">
        <is>
          <t>No price on file - inquire</t>
        </is>
      </c>
      <c r="AC1505" s="11" t="inlineStr">
        <is>
          <t>MasterMilitaryOnBaseList 12.2.25 NS.xlsx</t>
        </is>
      </c>
      <c r="AD1505" s="11" t="inlineStr">
        <is>
          <t>Pricing.docx</t>
        </is>
      </c>
      <c r="AE1505" s="15" t="inlineStr">
        <is>
          <t>Open in Box</t>
        </is>
      </c>
      <c r="AF1505" s="15" t="inlineStr">
        <is>
          <t>Open in Box</t>
        </is>
      </c>
    </row>
    <row r="1506">
      <c r="A1506" s="11" t="inlineStr">
        <is>
          <t>WA-JBLM-003</t>
        </is>
      </c>
      <c r="B1506" s="8" t="inlineStr">
        <is>
          <t>JBLM</t>
        </is>
      </c>
      <c r="C1506" s="11" t="inlineStr"/>
      <c r="D1506" s="11" t="inlineStr">
        <is>
          <t>WA</t>
        </is>
      </c>
      <c r="E1506" s="11" t="inlineStr">
        <is>
          <t>Seattle-Tacoma</t>
        </is>
      </c>
      <c r="F1506" s="11" t="inlineStr"/>
      <c r="G1506" s="11" t="inlineStr">
        <is>
          <t>Air Force / Army</t>
        </is>
      </c>
      <c r="H1506" s="11" t="inlineStr">
        <is>
          <t>Digital</t>
        </is>
      </c>
      <c r="I1506" s="8" t="inlineStr">
        <is>
          <t>Bowling Scoring Monitors</t>
        </is>
      </c>
      <c r="J1506" s="11" t="inlineStr">
        <is>
          <t>40 screens</t>
        </is>
      </c>
      <c r="K1506" s="8" t="inlineStr">
        <is>
          <t>Your ad will appear on the 40-screen scoring monitors in the installation bowling center.</t>
        </is>
      </c>
      <c r="L1506" s="11" t="n">
        <v>1</v>
      </c>
      <c r="M1506" s="12" t="n">
        <v>302</v>
      </c>
      <c r="N1506" s="12" t="n"/>
      <c r="O1506" s="12" t="n"/>
      <c r="P1506" s="12" t="n"/>
      <c r="Q1506" s="12" t="n"/>
      <c r="R1506" s="13">
        <f>IF(ISNUMBER(M1506),ROUND(M1506/(1-Settings!$B$2)/Settings!$B$3,0)*Settings!$B$3,"")</f>
        <v/>
      </c>
      <c r="S1506" s="13">
        <f>IF(ISNUMBER(N1506),ROUND(N1506/(1-Settings!$B$2)/Settings!$B$3,0)*Settings!$B$3,"")</f>
        <v/>
      </c>
      <c r="T1506" s="13">
        <f>IF(ISNUMBER(O1506),ROUND(O1506/(1-Settings!$B$2)/Settings!$B$3,0)*Settings!$B$3,"")</f>
        <v/>
      </c>
      <c r="U1506" s="13">
        <f>IF(ISNUMBER(P1506),ROUND(P1506/(1-Settings!$B$2)/Settings!$B$3,0)*Settings!$B$3,"")</f>
        <v/>
      </c>
      <c r="V1506" s="13">
        <f>IF(ISNUMBER(Q1506),ROUND(Q1506/(1-Settings!$B$2)/Settings!$B$3,0)*Settings!$B$3,"")</f>
        <v/>
      </c>
      <c r="W1506" s="14" t="n">
        <v>29453</v>
      </c>
      <c r="X1506" s="14" t="n">
        <v>39953</v>
      </c>
      <c r="Y1506" s="11" t="inlineStr">
        <is>
          <t>2026</t>
        </is>
      </c>
      <c r="Z1506" s="11" t="inlineStr">
        <is>
          <t>2026-06</t>
        </is>
      </c>
      <c r="AA1506" s="8" t="inlineStr"/>
      <c r="AB1506" s="8" t="inlineStr"/>
      <c r="AC1506" s="11" t="inlineStr">
        <is>
          <t>Military - National Digital Inventory Master 6.3.26.xlsx</t>
        </is>
      </c>
      <c r="AD1506" s="11" t="inlineStr">
        <is>
          <t>FY26 Advertising Rate Sheet V.2.pdf</t>
        </is>
      </c>
      <c r="AE1506" s="15" t="inlineStr">
        <is>
          <t>Open in Box</t>
        </is>
      </c>
      <c r="AF1506" s="15" t="inlineStr">
        <is>
          <t>Open in Box</t>
        </is>
      </c>
    </row>
    <row r="1507">
      <c r="A1507" s="11" t="inlineStr">
        <is>
          <t>WA-JBLM-002</t>
        </is>
      </c>
      <c r="B1507" s="8" t="inlineStr">
        <is>
          <t>JBLM</t>
        </is>
      </c>
      <c r="C1507" s="11" t="inlineStr"/>
      <c r="D1507" s="11" t="inlineStr">
        <is>
          <t>WA</t>
        </is>
      </c>
      <c r="E1507" s="11" t="inlineStr">
        <is>
          <t>Seattle-Tacoma</t>
        </is>
      </c>
      <c r="F1507" s="11" t="inlineStr"/>
      <c r="G1507" s="11" t="inlineStr">
        <is>
          <t>Air Force / Army</t>
        </is>
      </c>
      <c r="H1507" s="11" t="inlineStr">
        <is>
          <t>Digital</t>
        </is>
      </c>
      <c r="I1507" s="8" t="inlineStr">
        <is>
          <t>Digital Monitor Network</t>
        </is>
      </c>
      <c r="J1507" s="11" t="inlineStr">
        <is>
          <t>55 screens</t>
        </is>
      </c>
      <c r="K1507" s="8" t="inlineStr">
        <is>
          <t>Your ad will appear on the 55-screen digital monitor network in approved installation facilities.</t>
        </is>
      </c>
      <c r="L1507" s="11" t="n">
        <v>1</v>
      </c>
      <c r="M1507" s="12" t="n">
        <v>810</v>
      </c>
      <c r="N1507" s="12" t="n"/>
      <c r="O1507" s="12" t="n"/>
      <c r="P1507" s="12" t="n"/>
      <c r="Q1507" s="12" t="n"/>
      <c r="R1507" s="13">
        <f>IF(ISNUMBER(M1507),ROUND(M1507/(1-Settings!$B$2)/Settings!$B$3,0)*Settings!$B$3,"")</f>
        <v/>
      </c>
      <c r="S1507" s="13">
        <f>IF(ISNUMBER(N1507),ROUND(N1507/(1-Settings!$B$2)/Settings!$B$3,0)*Settings!$B$3,"")</f>
        <v/>
      </c>
      <c r="T1507" s="13">
        <f>IF(ISNUMBER(O1507),ROUND(O1507/(1-Settings!$B$2)/Settings!$B$3,0)*Settings!$B$3,"")</f>
        <v/>
      </c>
      <c r="U1507" s="13">
        <f>IF(ISNUMBER(P1507),ROUND(P1507/(1-Settings!$B$2)/Settings!$B$3,0)*Settings!$B$3,"")</f>
        <v/>
      </c>
      <c r="V1507" s="13">
        <f>IF(ISNUMBER(Q1507),ROUND(Q1507/(1-Settings!$B$2)/Settings!$B$3,0)*Settings!$B$3,"")</f>
        <v/>
      </c>
      <c r="W1507" s="14" t="n">
        <v>29453</v>
      </c>
      <c r="X1507" s="14" t="n">
        <v>39953</v>
      </c>
      <c r="Y1507" s="11" t="inlineStr">
        <is>
          <t>2026</t>
        </is>
      </c>
      <c r="Z1507" s="11" t="inlineStr">
        <is>
          <t>2026-06</t>
        </is>
      </c>
      <c r="AA1507" s="8" t="inlineStr">
        <is>
          <t>Inventory master 6/2026 lists Digital Marquee at $827 (1 mo)</t>
        </is>
      </c>
      <c r="AB1507" s="8" t="inlineStr"/>
      <c r="AC1507" s="11" t="inlineStr">
        <is>
          <t>Military - National Digital Inventory Master 6.3.26.xlsx</t>
        </is>
      </c>
      <c r="AD1507" s="11" t="inlineStr">
        <is>
          <t>FY26 Advertising Rate Sheet V.2.pdf</t>
        </is>
      </c>
      <c r="AE1507" s="15" t="inlineStr">
        <is>
          <t>Open in Box</t>
        </is>
      </c>
      <c r="AF1507" s="15" t="inlineStr">
        <is>
          <t>Open in Box</t>
        </is>
      </c>
    </row>
    <row r="1508">
      <c r="A1508" s="11" t="inlineStr">
        <is>
          <t>WA-JBLM-001</t>
        </is>
      </c>
      <c r="B1508" s="8" t="inlineStr">
        <is>
          <t>JBLM</t>
        </is>
      </c>
      <c r="C1508" s="11" t="inlineStr">
        <is>
          <t>Joint Base Lewis-McChord / Fort Lewis</t>
        </is>
      </c>
      <c r="D1508" s="11" t="inlineStr">
        <is>
          <t>WA</t>
        </is>
      </c>
      <c r="E1508" s="11" t="inlineStr">
        <is>
          <t>Seattle-Tacoma</t>
        </is>
      </c>
      <c r="F1508" s="11" t="inlineStr">
        <is>
          <t>98438</t>
        </is>
      </c>
      <c r="G1508" s="11" t="inlineStr">
        <is>
          <t>Air Force / Army</t>
        </is>
      </c>
      <c r="H1508" s="11" t="inlineStr">
        <is>
          <t>Print &amp; Publications</t>
        </is>
      </c>
      <c r="I1508" s="8" t="inlineStr">
        <is>
          <t>Magazine</t>
        </is>
      </c>
      <c r="J1508" s="11" t="inlineStr">
        <is>
          <t>5.5"W x 8.25"H</t>
        </is>
      </c>
      <c r="K1508" s="8" t="inlineStr">
        <is>
          <t>Your full page ad will appear in a single edition of EXPLORE JBLM distributed in approved installation facilities.</t>
        </is>
      </c>
      <c r="L1508" s="11" t="n">
        <v>1</v>
      </c>
      <c r="M1508" s="12" t="n">
        <v>840</v>
      </c>
      <c r="N1508" s="12" t="n"/>
      <c r="O1508" s="12" t="n"/>
      <c r="P1508" s="12" t="n"/>
      <c r="Q1508" s="12" t="n">
        <v>0</v>
      </c>
      <c r="R1508" s="13">
        <f>IF(ISNUMBER(M1508),ROUND(M1508/(1-Settings!$B$2)/Settings!$B$3,0)*Settings!$B$3,"")</f>
        <v/>
      </c>
      <c r="S1508" s="13">
        <f>IF(ISNUMBER(N1508),ROUND(N1508/(1-Settings!$B$2)/Settings!$B$3,0)*Settings!$B$3,"")</f>
        <v/>
      </c>
      <c r="T1508" s="13">
        <f>IF(ISNUMBER(O1508),ROUND(O1508/(1-Settings!$B$2)/Settings!$B$3,0)*Settings!$B$3,"")</f>
        <v/>
      </c>
      <c r="U1508" s="13">
        <f>IF(ISNUMBER(P1508),ROUND(P1508/(1-Settings!$B$2)/Settings!$B$3,0)*Settings!$B$3,"")</f>
        <v/>
      </c>
      <c r="V1508" s="13">
        <f>IF(ISNUMBER(Q1508),ROUND(Q1508/(1-Settings!$B$2)/Settings!$B$3,0)*Settings!$B$3,"")</f>
        <v/>
      </c>
      <c r="W1508" s="14" t="n">
        <v>29453</v>
      </c>
      <c r="X1508" s="14" t="n">
        <v>39953</v>
      </c>
      <c r="Y1508" s="11" t="inlineStr"/>
      <c r="Z1508" s="11" t="inlineStr"/>
      <c r="AA1508" s="8" t="inlineStr">
        <is>
          <t>Inventory master 6/2026 lists Magazine Ad at $4,236 (3 mo)</t>
        </is>
      </c>
      <c r="AB1508" s="16" t="inlineStr">
        <is>
          <t>Source formula errors</t>
        </is>
      </c>
      <c r="AC1508" s="11" t="inlineStr">
        <is>
          <t>MasterMilitaryOnBaseList 12.2.25 NS.xlsx</t>
        </is>
      </c>
      <c r="AD1508" s="11" t="inlineStr">
        <is>
          <t>FY26 Advertising Rate Sheet V.2.pdf</t>
        </is>
      </c>
      <c r="AE1508" s="15" t="inlineStr">
        <is>
          <t>Open in Box</t>
        </is>
      </c>
      <c r="AF1508" s="15" t="inlineStr">
        <is>
          <t>Open in Box</t>
        </is>
      </c>
    </row>
    <row r="1509">
      <c r="A1509" s="11" t="inlineStr">
        <is>
          <t>WA-JBLM-004</t>
        </is>
      </c>
      <c r="B1509" s="8" t="inlineStr">
        <is>
          <t>JBLM</t>
        </is>
      </c>
      <c r="C1509" s="11" t="inlineStr"/>
      <c r="D1509" s="11" t="inlineStr">
        <is>
          <t>WA</t>
        </is>
      </c>
      <c r="E1509" s="11" t="inlineStr">
        <is>
          <t>Seattle-Tacoma</t>
        </is>
      </c>
      <c r="F1509" s="11" t="inlineStr"/>
      <c r="G1509" s="11" t="inlineStr">
        <is>
          <t>Air Force / Army</t>
        </is>
      </c>
      <c r="H1509" s="11" t="inlineStr">
        <is>
          <t>Web &amp; Email</t>
        </is>
      </c>
      <c r="I1509" s="8" t="inlineStr">
        <is>
          <t>Monthly E-Newsletter Ad</t>
        </is>
      </c>
      <c r="J1509" s="11" t="inlineStr"/>
      <c r="K1509" s="8" t="inlineStr">
        <is>
          <t>Your ad will appear in the monthly e-newsletter emailed to the installation community.</t>
        </is>
      </c>
      <c r="L1509" s="11" t="n">
        <v>3</v>
      </c>
      <c r="M1509" s="12" t="n"/>
      <c r="N1509" s="12" t="n">
        <v>945</v>
      </c>
      <c r="O1509" s="12" t="n"/>
      <c r="P1509" s="12" t="n"/>
      <c r="Q1509" s="12" t="n"/>
      <c r="R1509" s="13">
        <f>IF(ISNUMBER(M1509),ROUND(M1509/(1-Settings!$B$2)/Settings!$B$3,0)*Settings!$B$3,"")</f>
        <v/>
      </c>
      <c r="S1509" s="13">
        <f>IF(ISNUMBER(N1509),ROUND(N1509/(1-Settings!$B$2)/Settings!$B$3,0)*Settings!$B$3,"")</f>
        <v/>
      </c>
      <c r="T1509" s="13">
        <f>IF(ISNUMBER(O1509),ROUND(O1509/(1-Settings!$B$2)/Settings!$B$3,0)*Settings!$B$3,"")</f>
        <v/>
      </c>
      <c r="U1509" s="13">
        <f>IF(ISNUMBER(P1509),ROUND(P1509/(1-Settings!$B$2)/Settings!$B$3,0)*Settings!$B$3,"")</f>
        <v/>
      </c>
      <c r="V1509" s="13">
        <f>IF(ISNUMBER(Q1509),ROUND(Q1509/(1-Settings!$B$2)/Settings!$B$3,0)*Settings!$B$3,"")</f>
        <v/>
      </c>
      <c r="W1509" s="14" t="n">
        <v>29453</v>
      </c>
      <c r="X1509" s="14" t="n">
        <v>39953</v>
      </c>
      <c r="Y1509" s="11" t="inlineStr">
        <is>
          <t>2026</t>
        </is>
      </c>
      <c r="Z1509" s="11" t="inlineStr">
        <is>
          <t>2026-06</t>
        </is>
      </c>
      <c r="AA1509" s="8" t="inlineStr">
        <is>
          <t>3-month commitment</t>
        </is>
      </c>
      <c r="AB1509" s="8" t="inlineStr"/>
      <c r="AC1509" s="11" t="inlineStr">
        <is>
          <t>Military - National Publication Inventory Master_June 2026.xlsx</t>
        </is>
      </c>
      <c r="AD1509" s="11" t="inlineStr">
        <is>
          <t>FY26 Advertising Rate Sheet V.2.pdf</t>
        </is>
      </c>
      <c r="AE1509" s="15" t="inlineStr">
        <is>
          <t>Open in Box</t>
        </is>
      </c>
      <c r="AF1509" s="15" t="inlineStr">
        <is>
          <t>Open in Box</t>
        </is>
      </c>
    </row>
    <row r="1510">
      <c r="A1510" s="11" t="inlineStr">
        <is>
          <t>WA-JBLM-005</t>
        </is>
      </c>
      <c r="B1510" s="8" t="inlineStr">
        <is>
          <t>JBLM</t>
        </is>
      </c>
      <c r="C1510" s="11" t="inlineStr"/>
      <c r="D1510" s="11" t="inlineStr">
        <is>
          <t>WA</t>
        </is>
      </c>
      <c r="E1510" s="11" t="inlineStr">
        <is>
          <t>Seattle-Tacoma</t>
        </is>
      </c>
      <c r="F1510" s="11" t="inlineStr"/>
      <c r="G1510" s="11" t="inlineStr">
        <is>
          <t>Air Force / Army</t>
        </is>
      </c>
      <c r="H1510" s="11" t="inlineStr">
        <is>
          <t>Web &amp; Email</t>
        </is>
      </c>
      <c r="I1510" s="8" t="inlineStr">
        <is>
          <t>Web Ad</t>
        </is>
      </c>
      <c r="J1510" s="11" t="inlineStr"/>
      <c r="K1510" s="8" t="inlineStr">
        <is>
          <t>Your ad will appear on the installation MWR / FSS website.</t>
        </is>
      </c>
      <c r="L1510" s="11" t="n">
        <v>3</v>
      </c>
      <c r="M1510" s="12" t="n"/>
      <c r="N1510" s="12" t="n">
        <v>5907</v>
      </c>
      <c r="O1510" s="12" t="n"/>
      <c r="P1510" s="12" t="n"/>
      <c r="Q1510" s="12" t="n"/>
      <c r="R1510" s="13">
        <f>IF(ISNUMBER(M1510),ROUND(M1510/(1-Settings!$B$2)/Settings!$B$3,0)*Settings!$B$3,"")</f>
        <v/>
      </c>
      <c r="S1510" s="13">
        <f>IF(ISNUMBER(N1510),ROUND(N1510/(1-Settings!$B$2)/Settings!$B$3,0)*Settings!$B$3,"")</f>
        <v/>
      </c>
      <c r="T1510" s="13">
        <f>IF(ISNUMBER(O1510),ROUND(O1510/(1-Settings!$B$2)/Settings!$B$3,0)*Settings!$B$3,"")</f>
        <v/>
      </c>
      <c r="U1510" s="13">
        <f>IF(ISNUMBER(P1510),ROUND(P1510/(1-Settings!$B$2)/Settings!$B$3,0)*Settings!$B$3,"")</f>
        <v/>
      </c>
      <c r="V1510" s="13">
        <f>IF(ISNUMBER(Q1510),ROUND(Q1510/(1-Settings!$B$2)/Settings!$B$3,0)*Settings!$B$3,"")</f>
        <v/>
      </c>
      <c r="W1510" s="14" t="n">
        <v>29453</v>
      </c>
      <c r="X1510" s="14" t="n">
        <v>39953</v>
      </c>
      <c r="Y1510" s="11" t="inlineStr">
        <is>
          <t>2026</t>
        </is>
      </c>
      <c r="Z1510" s="11" t="inlineStr">
        <is>
          <t>2026-06</t>
        </is>
      </c>
      <c r="AA1510" s="8" t="inlineStr">
        <is>
          <t>3-month commitment</t>
        </is>
      </c>
      <c r="AB1510" s="8" t="inlineStr"/>
      <c r="AC1510" s="11" t="inlineStr">
        <is>
          <t>Military - National Publication Inventory Master_June 2026.xlsx</t>
        </is>
      </c>
      <c r="AD1510" s="11" t="inlineStr">
        <is>
          <t>FY26 Advertising Rate Sheet V.2.pdf</t>
        </is>
      </c>
      <c r="AE1510" s="15" t="inlineStr">
        <is>
          <t>Open in Box</t>
        </is>
      </c>
      <c r="AF1510" s="15" t="inlineStr">
        <is>
          <t>Open in Box</t>
        </is>
      </c>
    </row>
    <row r="1511">
      <c r="A1511" s="11" t="inlineStr">
        <is>
          <t>WA-JBLMMCCH-001</t>
        </is>
      </c>
      <c r="B1511" s="8" t="inlineStr">
        <is>
          <t>JBLM - McChord AFB</t>
        </is>
      </c>
      <c r="C1511" s="11" t="inlineStr">
        <is>
          <t>Joint Base Lewis-McChord</t>
        </is>
      </c>
      <c r="D1511" s="11" t="inlineStr">
        <is>
          <t>WA</t>
        </is>
      </c>
      <c r="E1511" s="11" t="inlineStr">
        <is>
          <t>Seattle-Tacoma</t>
        </is>
      </c>
      <c r="F1511" s="11" t="inlineStr">
        <is>
          <t>98438</t>
        </is>
      </c>
      <c r="G1511" s="11" t="inlineStr">
        <is>
          <t>Air Force</t>
        </is>
      </c>
      <c r="H1511" s="11" t="inlineStr">
        <is>
          <t>Digital</t>
        </is>
      </c>
      <c r="I1511" s="8" t="inlineStr">
        <is>
          <t>Bowling Scoring Monitors</t>
        </is>
      </c>
      <c r="J1511" s="11" t="inlineStr">
        <is>
          <t>1920pxW x 1080pxH</t>
        </is>
      </c>
      <c r="K1511" s="8" t="inlineStr">
        <is>
          <t>Your ad will appear on digital bowling scoring monitors.</t>
        </is>
      </c>
      <c r="L1511" s="11" t="n">
        <v>1</v>
      </c>
      <c r="M1511" s="12" t="n">
        <v>302</v>
      </c>
      <c r="N1511" s="12" t="n">
        <v>813</v>
      </c>
      <c r="O1511" s="12" t="n">
        <v>1535</v>
      </c>
      <c r="P1511" s="12" t="n">
        <v>2900</v>
      </c>
      <c r="Q1511" s="12" t="n">
        <v>0</v>
      </c>
      <c r="R1511" s="13">
        <f>IF(ISNUMBER(M1511),ROUND(M1511/(1-Settings!$B$2)/Settings!$B$3,0)*Settings!$B$3,"")</f>
        <v/>
      </c>
      <c r="S1511" s="13">
        <f>IF(ISNUMBER(N1511),ROUND(N1511/(1-Settings!$B$2)/Settings!$B$3,0)*Settings!$B$3,"")</f>
        <v/>
      </c>
      <c r="T1511" s="13">
        <f>IF(ISNUMBER(O1511),ROUND(O1511/(1-Settings!$B$2)/Settings!$B$3,0)*Settings!$B$3,"")</f>
        <v/>
      </c>
      <c r="U1511" s="13">
        <f>IF(ISNUMBER(P1511),ROUND(P1511/(1-Settings!$B$2)/Settings!$B$3,0)*Settings!$B$3,"")</f>
        <v/>
      </c>
      <c r="V1511" s="13">
        <f>IF(ISNUMBER(Q1511),ROUND(Q1511/(1-Settings!$B$2)/Settings!$B$3,0)*Settings!$B$3,"")</f>
        <v/>
      </c>
      <c r="W1511" s="14" t="n">
        <v>29453</v>
      </c>
      <c r="X1511" s="14" t="n">
        <v>39953</v>
      </c>
      <c r="Y1511" s="11" t="inlineStr"/>
      <c r="Z1511" s="11" t="inlineStr"/>
      <c r="AA1511" s="8" t="inlineStr"/>
      <c r="AB1511" s="8" t="inlineStr"/>
      <c r="AC1511" s="11" t="inlineStr">
        <is>
          <t>MasterMilitaryOnBaseList 12.2.25 NS.xlsx</t>
        </is>
      </c>
      <c r="AD1511" s="11" t="inlineStr">
        <is>
          <t>FY26 Advertising Rate Sheet V.2.pdf</t>
        </is>
      </c>
      <c r="AE1511" s="15" t="inlineStr">
        <is>
          <t>Open in Box</t>
        </is>
      </c>
      <c r="AF1511" s="15" t="inlineStr">
        <is>
          <t>Open in Box</t>
        </is>
      </c>
    </row>
    <row r="1512">
      <c r="A1512" s="11" t="inlineStr">
        <is>
          <t>WA-JBLMMCCH-002</t>
        </is>
      </c>
      <c r="B1512" s="8" t="inlineStr">
        <is>
          <t>JBLM - McChord AFB</t>
        </is>
      </c>
      <c r="C1512" s="11" t="inlineStr">
        <is>
          <t>Joint Base Lewis-McChord</t>
        </is>
      </c>
      <c r="D1512" s="11" t="inlineStr">
        <is>
          <t>WA</t>
        </is>
      </c>
      <c r="E1512" s="11" t="inlineStr">
        <is>
          <t>Seattle-Tacoma</t>
        </is>
      </c>
      <c r="F1512" s="11" t="inlineStr">
        <is>
          <t>98438</t>
        </is>
      </c>
      <c r="G1512" s="11" t="inlineStr">
        <is>
          <t>Air Force</t>
        </is>
      </c>
      <c r="H1512" s="11" t="inlineStr">
        <is>
          <t>Digital</t>
        </is>
      </c>
      <c r="I1512" s="8" t="inlineStr">
        <is>
          <t>Digital Monitor Network</t>
        </is>
      </c>
      <c r="J1512" s="11" t="inlineStr">
        <is>
          <t>1920pxW x 1080pxH</t>
        </is>
      </c>
      <c r="K1512" s="8" t="inlineStr">
        <is>
          <t>Your ad will appear on 60 digital monitors in approved installation facilities.</t>
        </is>
      </c>
      <c r="L1512" s="11" t="n">
        <v>1</v>
      </c>
      <c r="M1512" s="12" t="n">
        <v>810</v>
      </c>
      <c r="N1512" s="12" t="n">
        <v>2188</v>
      </c>
      <c r="O1512" s="12" t="n">
        <v>4132</v>
      </c>
      <c r="P1512" s="12" t="n">
        <v>7779</v>
      </c>
      <c r="Q1512" s="12" t="n">
        <v>0</v>
      </c>
      <c r="R1512" s="13">
        <f>IF(ISNUMBER(M1512),ROUND(M1512/(1-Settings!$B$2)/Settings!$B$3,0)*Settings!$B$3,"")</f>
        <v/>
      </c>
      <c r="S1512" s="13">
        <f>IF(ISNUMBER(N1512),ROUND(N1512/(1-Settings!$B$2)/Settings!$B$3,0)*Settings!$B$3,"")</f>
        <v/>
      </c>
      <c r="T1512" s="13">
        <f>IF(ISNUMBER(O1512),ROUND(O1512/(1-Settings!$B$2)/Settings!$B$3,0)*Settings!$B$3,"")</f>
        <v/>
      </c>
      <c r="U1512" s="13">
        <f>IF(ISNUMBER(P1512),ROUND(P1512/(1-Settings!$B$2)/Settings!$B$3,0)*Settings!$B$3,"")</f>
        <v/>
      </c>
      <c r="V1512" s="13">
        <f>IF(ISNUMBER(Q1512),ROUND(Q1512/(1-Settings!$B$2)/Settings!$B$3,0)*Settings!$B$3,"")</f>
        <v/>
      </c>
      <c r="W1512" s="14" t="n">
        <v>29453</v>
      </c>
      <c r="X1512" s="14" t="n">
        <v>39953</v>
      </c>
      <c r="Y1512" s="11" t="inlineStr"/>
      <c r="Z1512" s="11" t="inlineStr"/>
      <c r="AA1512" s="8" t="inlineStr"/>
      <c r="AB1512" s="8" t="inlineStr"/>
      <c r="AC1512" s="11" t="inlineStr">
        <is>
          <t>MasterMilitaryOnBaseList 12.2.25 NS.xlsx</t>
        </is>
      </c>
      <c r="AD1512" s="11" t="inlineStr">
        <is>
          <t>FY26 Advertising Rate Sheet V.2.pdf</t>
        </is>
      </c>
      <c r="AE1512" s="15" t="inlineStr">
        <is>
          <t>Open in Box</t>
        </is>
      </c>
      <c r="AF1512" s="15" t="inlineStr">
        <is>
          <t>Open in Box</t>
        </is>
      </c>
    </row>
    <row r="1513">
      <c r="A1513" s="11" t="inlineStr">
        <is>
          <t>WA-JBLMMCCH-003</t>
        </is>
      </c>
      <c r="B1513" s="8" t="inlineStr">
        <is>
          <t>JBLM - McChord AFB</t>
        </is>
      </c>
      <c r="C1513" s="11" t="inlineStr">
        <is>
          <t>Joint Base Lewis-McChord</t>
        </is>
      </c>
      <c r="D1513" s="11" t="inlineStr">
        <is>
          <t>WA</t>
        </is>
      </c>
      <c r="E1513" s="11" t="inlineStr">
        <is>
          <t>Seattle-Tacoma</t>
        </is>
      </c>
      <c r="F1513" s="11" t="inlineStr">
        <is>
          <t>98438</t>
        </is>
      </c>
      <c r="G1513" s="11" t="inlineStr">
        <is>
          <t>Air Force</t>
        </is>
      </c>
      <c r="H1513" s="11" t="inlineStr">
        <is>
          <t>Digital</t>
        </is>
      </c>
      <c r="I1513" s="8" t="inlineStr">
        <is>
          <t>Marquee</t>
        </is>
      </c>
      <c r="J1513" s="11" t="inlineStr">
        <is>
          <t>160pxW x 64pxH and 288pxW x 115pxH</t>
        </is>
      </c>
      <c r="K1513" s="8" t="inlineStr">
        <is>
          <t>Your ad will rotate on 6 roadside digital marquees.</t>
        </is>
      </c>
      <c r="L1513" s="11" t="n">
        <v>1</v>
      </c>
      <c r="M1513" s="12" t="n">
        <v>827</v>
      </c>
      <c r="N1513" s="12" t="n">
        <v>2232</v>
      </c>
      <c r="O1513" s="12" t="n">
        <v>4464</v>
      </c>
      <c r="P1513" s="12" t="n">
        <v>8928</v>
      </c>
      <c r="Q1513" s="12" t="n">
        <v>0</v>
      </c>
      <c r="R1513" s="13">
        <f>IF(ISNUMBER(M1513),ROUND(M1513/(1-Settings!$B$2)/Settings!$B$3,0)*Settings!$B$3,"")</f>
        <v/>
      </c>
      <c r="S1513" s="13">
        <f>IF(ISNUMBER(N1513),ROUND(N1513/(1-Settings!$B$2)/Settings!$B$3,0)*Settings!$B$3,"")</f>
        <v/>
      </c>
      <c r="T1513" s="13">
        <f>IF(ISNUMBER(O1513),ROUND(O1513/(1-Settings!$B$2)/Settings!$B$3,0)*Settings!$B$3,"")</f>
        <v/>
      </c>
      <c r="U1513" s="13">
        <f>IF(ISNUMBER(P1513),ROUND(P1513/(1-Settings!$B$2)/Settings!$B$3,0)*Settings!$B$3,"")</f>
        <v/>
      </c>
      <c r="V1513" s="13">
        <f>IF(ISNUMBER(Q1513),ROUND(Q1513/(1-Settings!$B$2)/Settings!$B$3,0)*Settings!$B$3,"")</f>
        <v/>
      </c>
      <c r="W1513" s="14" t="n">
        <v>29453</v>
      </c>
      <c r="X1513" s="14" t="n">
        <v>39953</v>
      </c>
      <c r="Y1513" s="11" t="inlineStr"/>
      <c r="Z1513" s="11" t="inlineStr"/>
      <c r="AA1513" s="8" t="inlineStr"/>
      <c r="AB1513" s="8" t="inlineStr"/>
      <c r="AC1513" s="11" t="inlineStr">
        <is>
          <t>MasterMilitaryOnBaseList 12.2.25 NS.xlsx</t>
        </is>
      </c>
      <c r="AD1513" s="11" t="inlineStr">
        <is>
          <t>FY26 Advertising Rate Sheet V.2.pdf</t>
        </is>
      </c>
      <c r="AE1513" s="15" t="inlineStr">
        <is>
          <t>Open in Box</t>
        </is>
      </c>
      <c r="AF1513" s="15" t="inlineStr">
        <is>
          <t>Open in Box</t>
        </is>
      </c>
    </row>
    <row r="1514">
      <c r="A1514" s="11" t="inlineStr">
        <is>
          <t>WA-JBLMMCCH-007</t>
        </is>
      </c>
      <c r="B1514" s="8" t="inlineStr">
        <is>
          <t>JBLM - McChord AFB</t>
        </is>
      </c>
      <c r="C1514" s="11" t="inlineStr">
        <is>
          <t>Joint Base Lewis-McChord</t>
        </is>
      </c>
      <c r="D1514" s="11" t="inlineStr">
        <is>
          <t>WA</t>
        </is>
      </c>
      <c r="E1514" s="11" t="inlineStr">
        <is>
          <t>Seattle-Tacoma</t>
        </is>
      </c>
      <c r="F1514" s="11" t="inlineStr">
        <is>
          <t>98438</t>
        </is>
      </c>
      <c r="G1514" s="11" t="inlineStr">
        <is>
          <t>Air Force</t>
        </is>
      </c>
      <c r="H1514" s="11" t="inlineStr">
        <is>
          <t>Large Format</t>
        </is>
      </c>
      <c r="I1514" s="8" t="inlineStr">
        <is>
          <t>Fence Banner</t>
        </is>
      </c>
      <c r="J1514" s="11" t="inlineStr">
        <is>
          <t>10'W x 4'H</t>
        </is>
      </c>
      <c r="K1514" s="8" t="inlineStr">
        <is>
          <t>Your ad will appear at an approved installation facility.</t>
        </is>
      </c>
      <c r="L1514" s="11" t="n">
        <v>1</v>
      </c>
      <c r="M1514" s="12" t="n">
        <v>1934</v>
      </c>
      <c r="N1514" s="12" t="n">
        <v>3479</v>
      </c>
      <c r="O1514" s="12" t="n">
        <v>5800</v>
      </c>
      <c r="P1514" s="12" t="n">
        <v>8351</v>
      </c>
      <c r="Q1514" s="12" t="n">
        <v>500</v>
      </c>
      <c r="R1514" s="13">
        <f>IF(ISNUMBER(M1514),ROUND(M1514/(1-Settings!$B$2)/Settings!$B$3,0)*Settings!$B$3,"")</f>
        <v/>
      </c>
      <c r="S1514" s="13">
        <f>IF(ISNUMBER(N1514),ROUND(N1514/(1-Settings!$B$2)/Settings!$B$3,0)*Settings!$B$3,"")</f>
        <v/>
      </c>
      <c r="T1514" s="13">
        <f>IF(ISNUMBER(O1514),ROUND(O1514/(1-Settings!$B$2)/Settings!$B$3,0)*Settings!$B$3,"")</f>
        <v/>
      </c>
      <c r="U1514" s="13">
        <f>IF(ISNUMBER(P1514),ROUND(P1514/(1-Settings!$B$2)/Settings!$B$3,0)*Settings!$B$3,"")</f>
        <v/>
      </c>
      <c r="V1514" s="13">
        <f>IF(ISNUMBER(Q1514),ROUND(Q1514/(1-Settings!$B$2)/Settings!$B$3,0)*Settings!$B$3,"")</f>
        <v/>
      </c>
      <c r="W1514" s="14" t="n">
        <v>29453</v>
      </c>
      <c r="X1514" s="14" t="n">
        <v>39953</v>
      </c>
      <c r="Y1514" s="11" t="inlineStr"/>
      <c r="Z1514" s="11" t="inlineStr"/>
      <c r="AA1514" s="8" t="inlineStr"/>
      <c r="AB1514" s="8" t="inlineStr"/>
      <c r="AC1514" s="11" t="inlineStr">
        <is>
          <t>MasterMilitaryOnBaseList 12.2.25 NS.xlsx</t>
        </is>
      </c>
      <c r="AD1514" s="11" t="inlineStr">
        <is>
          <t>FY26 Advertising Rate Sheet V.2.pdf</t>
        </is>
      </c>
      <c r="AE1514" s="15" t="inlineStr">
        <is>
          <t>Open in Box</t>
        </is>
      </c>
      <c r="AF1514" s="15" t="inlineStr">
        <is>
          <t>Open in Box</t>
        </is>
      </c>
    </row>
    <row r="1515">
      <c r="A1515" s="11" t="inlineStr">
        <is>
          <t>WA-JBLMMCCH-008</t>
        </is>
      </c>
      <c r="B1515" s="8" t="inlineStr">
        <is>
          <t>JBLM - McChord AFB</t>
        </is>
      </c>
      <c r="C1515" s="11" t="inlineStr">
        <is>
          <t>Joint Base Lewis-McChord</t>
        </is>
      </c>
      <c r="D1515" s="11" t="inlineStr">
        <is>
          <t>WA</t>
        </is>
      </c>
      <c r="E1515" s="11" t="inlineStr">
        <is>
          <t>Seattle-Tacoma</t>
        </is>
      </c>
      <c r="F1515" s="11" t="inlineStr">
        <is>
          <t>98438</t>
        </is>
      </c>
      <c r="G1515" s="11" t="inlineStr">
        <is>
          <t>Air Force</t>
        </is>
      </c>
      <c r="H1515" s="11" t="inlineStr">
        <is>
          <t>Large Format</t>
        </is>
      </c>
      <c r="I1515" s="8" t="inlineStr">
        <is>
          <t>Large Fence Banner</t>
        </is>
      </c>
      <c r="J1515" s="11" t="inlineStr">
        <is>
          <t>20'W x 4'H</t>
        </is>
      </c>
      <c r="K1515" s="8" t="inlineStr">
        <is>
          <t>Your ad will appear at an approved installation facility.</t>
        </is>
      </c>
      <c r="L1515" s="11" t="n">
        <v>1</v>
      </c>
      <c r="M1515" s="12" t="n">
        <v>2280</v>
      </c>
      <c r="N1515" s="12" t="n">
        <v>4104</v>
      </c>
      <c r="O1515" s="12" t="n">
        <v>6841</v>
      </c>
      <c r="P1515" s="12" t="n">
        <v>9881</v>
      </c>
      <c r="Q1515" s="12" t="n">
        <v>1000</v>
      </c>
      <c r="R1515" s="13">
        <f>IF(ISNUMBER(M1515),ROUND(M1515/(1-Settings!$B$2)/Settings!$B$3,0)*Settings!$B$3,"")</f>
        <v/>
      </c>
      <c r="S1515" s="13">
        <f>IF(ISNUMBER(N1515),ROUND(N1515/(1-Settings!$B$2)/Settings!$B$3,0)*Settings!$B$3,"")</f>
        <v/>
      </c>
      <c r="T1515" s="13">
        <f>IF(ISNUMBER(O1515),ROUND(O1515/(1-Settings!$B$2)/Settings!$B$3,0)*Settings!$B$3,"")</f>
        <v/>
      </c>
      <c r="U1515" s="13">
        <f>IF(ISNUMBER(P1515),ROUND(P1515/(1-Settings!$B$2)/Settings!$B$3,0)*Settings!$B$3,"")</f>
        <v/>
      </c>
      <c r="V1515" s="13">
        <f>IF(ISNUMBER(Q1515),ROUND(Q1515/(1-Settings!$B$2)/Settings!$B$3,0)*Settings!$B$3,"")</f>
        <v/>
      </c>
      <c r="W1515" s="14" t="n">
        <v>29453</v>
      </c>
      <c r="X1515" s="14" t="n">
        <v>39953</v>
      </c>
      <c r="Y1515" s="11" t="inlineStr"/>
      <c r="Z1515" s="11" t="inlineStr"/>
      <c r="AA1515" s="8" t="inlineStr"/>
      <c r="AB1515" s="8" t="inlineStr"/>
      <c r="AC1515" s="11" t="inlineStr">
        <is>
          <t>MasterMilitaryOnBaseList 12.2.25 NS.xlsx</t>
        </is>
      </c>
      <c r="AD1515" s="11" t="inlineStr">
        <is>
          <t>FY26 Advertising Rate Sheet V.2.pdf</t>
        </is>
      </c>
      <c r="AE1515" s="15" t="inlineStr">
        <is>
          <t>Open in Box</t>
        </is>
      </c>
      <c r="AF1515" s="15" t="inlineStr">
        <is>
          <t>Open in Box</t>
        </is>
      </c>
    </row>
    <row r="1516">
      <c r="A1516" s="11" t="inlineStr">
        <is>
          <t>WA-JBLMMCCH-009</t>
        </is>
      </c>
      <c r="B1516" s="8" t="inlineStr">
        <is>
          <t>JBLM - McChord AFB</t>
        </is>
      </c>
      <c r="C1516" s="11" t="inlineStr">
        <is>
          <t>Joint Base Lewis-McChord</t>
        </is>
      </c>
      <c r="D1516" s="11" t="inlineStr">
        <is>
          <t>WA</t>
        </is>
      </c>
      <c r="E1516" s="11" t="inlineStr">
        <is>
          <t>Seattle-Tacoma</t>
        </is>
      </c>
      <c r="F1516" s="11" t="inlineStr">
        <is>
          <t>98438</t>
        </is>
      </c>
      <c r="G1516" s="11" t="inlineStr">
        <is>
          <t>Air Force</t>
        </is>
      </c>
      <c r="H1516" s="11" t="inlineStr">
        <is>
          <t>Large Format</t>
        </is>
      </c>
      <c r="I1516" s="8" t="inlineStr">
        <is>
          <t>Window / Counter Wrap</t>
        </is>
      </c>
      <c r="J1516" s="11" t="inlineStr">
        <is>
          <t>Varies</t>
        </is>
      </c>
      <c r="K1516" s="8" t="inlineStr">
        <is>
          <t>Your ad will appear on the counter or window of an approved installation facility.</t>
        </is>
      </c>
      <c r="L1516" s="11" t="n">
        <v>6</v>
      </c>
      <c r="M1516" s="12" t="n"/>
      <c r="N1516" s="12" t="n"/>
      <c r="O1516" s="12" t="n">
        <v>6251</v>
      </c>
      <c r="P1516" s="12" t="n">
        <v>10419</v>
      </c>
      <c r="Q1516" s="12" t="n"/>
      <c r="R1516" s="13">
        <f>IF(ISNUMBER(M1516),ROUND(M1516/(1-Settings!$B$2)/Settings!$B$3,0)*Settings!$B$3,"")</f>
        <v/>
      </c>
      <c r="S1516" s="13">
        <f>IF(ISNUMBER(N1516),ROUND(N1516/(1-Settings!$B$2)/Settings!$B$3,0)*Settings!$B$3,"")</f>
        <v/>
      </c>
      <c r="T1516" s="13">
        <f>IF(ISNUMBER(O1516),ROUND(O1516/(1-Settings!$B$2)/Settings!$B$3,0)*Settings!$B$3,"")</f>
        <v/>
      </c>
      <c r="U1516" s="13">
        <f>IF(ISNUMBER(P1516),ROUND(P1516/(1-Settings!$B$2)/Settings!$B$3,0)*Settings!$B$3,"")</f>
        <v/>
      </c>
      <c r="V1516" s="13">
        <f>IF(ISNUMBER(Q1516),ROUND(Q1516/(1-Settings!$B$2)/Settings!$B$3,0)*Settings!$B$3,"")</f>
        <v/>
      </c>
      <c r="W1516" s="14" t="n">
        <v>29453</v>
      </c>
      <c r="X1516" s="14" t="n">
        <v>39953</v>
      </c>
      <c r="Y1516" s="11" t="inlineStr"/>
      <c r="Z1516" s="11" t="inlineStr"/>
      <c r="AA1516" s="8" t="inlineStr"/>
      <c r="AB1516" s="16" t="inlineStr">
        <is>
          <t>Source formula errors</t>
        </is>
      </c>
      <c r="AC1516" s="11" t="inlineStr">
        <is>
          <t>MasterMilitaryOnBaseList 12.2.25 NS.xlsx</t>
        </is>
      </c>
      <c r="AD1516" s="11" t="inlineStr">
        <is>
          <t>FY26 Advertising Rate Sheet V.2.pdf</t>
        </is>
      </c>
      <c r="AE1516" s="15" t="inlineStr">
        <is>
          <t>Open in Box</t>
        </is>
      </c>
      <c r="AF1516" s="15" t="inlineStr">
        <is>
          <t>Open in Box</t>
        </is>
      </c>
    </row>
    <row r="1517">
      <c r="A1517" s="11" t="inlineStr">
        <is>
          <t>WA-JBLMMCCH-010</t>
        </is>
      </c>
      <c r="B1517" s="8" t="inlineStr">
        <is>
          <t>JBLM - McChord AFB</t>
        </is>
      </c>
      <c r="C1517" s="11" t="inlineStr">
        <is>
          <t>Joint Base Lewis-McChord</t>
        </is>
      </c>
      <c r="D1517" s="11" t="inlineStr">
        <is>
          <t>WA</t>
        </is>
      </c>
      <c r="E1517" s="11" t="inlineStr">
        <is>
          <t>Seattle-Tacoma</t>
        </is>
      </c>
      <c r="F1517" s="11" t="inlineStr">
        <is>
          <t>98438</t>
        </is>
      </c>
      <c r="G1517" s="11" t="inlineStr">
        <is>
          <t>Air Force</t>
        </is>
      </c>
      <c r="H1517" s="11" t="inlineStr">
        <is>
          <t>Print &amp; Publications</t>
        </is>
      </c>
      <c r="I1517" s="8" t="inlineStr">
        <is>
          <t>Newsletter</t>
        </is>
      </c>
      <c r="J1517" s="11" t="inlineStr">
        <is>
          <t>300pxW x 250pxH</t>
        </is>
      </c>
      <c r="K1517" s="8" t="inlineStr">
        <is>
          <t>Your ad will appearin the installation newsletter.</t>
        </is>
      </c>
      <c r="L1517" s="11" t="n">
        <v>1</v>
      </c>
      <c r="M1517" s="12" t="n">
        <v>300</v>
      </c>
      <c r="N1517" s="12" t="n">
        <v>750</v>
      </c>
      <c r="O1517" s="12" t="n">
        <v>1200</v>
      </c>
      <c r="P1517" s="12" t="n">
        <v>2000</v>
      </c>
      <c r="Q1517" s="12" t="n">
        <v>0</v>
      </c>
      <c r="R1517" s="13">
        <f>IF(ISNUMBER(M1517),ROUND(M1517/(1-Settings!$B$2)/Settings!$B$3,0)*Settings!$B$3,"")</f>
        <v/>
      </c>
      <c r="S1517" s="13">
        <f>IF(ISNUMBER(N1517),ROUND(N1517/(1-Settings!$B$2)/Settings!$B$3,0)*Settings!$B$3,"")</f>
        <v/>
      </c>
      <c r="T1517" s="13">
        <f>IF(ISNUMBER(O1517),ROUND(O1517/(1-Settings!$B$2)/Settings!$B$3,0)*Settings!$B$3,"")</f>
        <v/>
      </c>
      <c r="U1517" s="13">
        <f>IF(ISNUMBER(P1517),ROUND(P1517/(1-Settings!$B$2)/Settings!$B$3,0)*Settings!$B$3,"")</f>
        <v/>
      </c>
      <c r="V1517" s="13">
        <f>IF(ISNUMBER(Q1517),ROUND(Q1517/(1-Settings!$B$2)/Settings!$B$3,0)*Settings!$B$3,"")</f>
        <v/>
      </c>
      <c r="W1517" s="14" t="n">
        <v>29453</v>
      </c>
      <c r="X1517" s="14" t="n">
        <v>39953</v>
      </c>
      <c r="Y1517" s="11" t="inlineStr"/>
      <c r="Z1517" s="11" t="inlineStr"/>
      <c r="AA1517" s="8" t="inlineStr"/>
      <c r="AB1517" s="8" t="inlineStr"/>
      <c r="AC1517" s="11" t="inlineStr">
        <is>
          <t>MasterMilitaryOnBaseList 12.2.25 NS.xlsx</t>
        </is>
      </c>
      <c r="AD1517" s="11" t="inlineStr">
        <is>
          <t>FY26 Advertising Rate Sheet V.2.pdf</t>
        </is>
      </c>
      <c r="AE1517" s="15" t="inlineStr">
        <is>
          <t>Open in Box</t>
        </is>
      </c>
      <c r="AF1517" s="15" t="inlineStr">
        <is>
          <t>Open in Box</t>
        </is>
      </c>
    </row>
    <row r="1518">
      <c r="A1518" s="11" t="inlineStr">
        <is>
          <t>WA-JBLMMCCH-011</t>
        </is>
      </c>
      <c r="B1518" s="8" t="inlineStr">
        <is>
          <t>JBLM - McChord AFB</t>
        </is>
      </c>
      <c r="C1518" s="11" t="inlineStr">
        <is>
          <t>Joint Base Lewis-McChord</t>
        </is>
      </c>
      <c r="D1518" s="11" t="inlineStr">
        <is>
          <t>WA</t>
        </is>
      </c>
      <c r="E1518" s="11" t="inlineStr">
        <is>
          <t>Seattle-Tacoma</t>
        </is>
      </c>
      <c r="F1518" s="11" t="inlineStr">
        <is>
          <t>98438</t>
        </is>
      </c>
      <c r="G1518" s="11" t="inlineStr">
        <is>
          <t>Air Force</t>
        </is>
      </c>
      <c r="H1518" s="11" t="inlineStr">
        <is>
          <t>Sponsorship &amp; Other</t>
        </is>
      </c>
      <c r="I1518" s="8" t="inlineStr">
        <is>
          <t>Computer Background</t>
        </is>
      </c>
      <c r="J1518" s="11" t="inlineStr">
        <is>
          <t>1920pxW x 1080pxH</t>
        </is>
      </c>
      <c r="K1518" s="8" t="inlineStr">
        <is>
          <t>Your ad will appear as the computer background.</t>
        </is>
      </c>
      <c r="L1518" s="11" t="n">
        <v>12</v>
      </c>
      <c r="M1518" s="12" t="n"/>
      <c r="N1518" s="12" t="n"/>
      <c r="O1518" s="12" t="n"/>
      <c r="P1518" s="12" t="n">
        <v>3307</v>
      </c>
      <c r="Q1518" s="12" t="n">
        <v>0</v>
      </c>
      <c r="R1518" s="13">
        <f>IF(ISNUMBER(M1518),ROUND(M1518/(1-Settings!$B$2)/Settings!$B$3,0)*Settings!$B$3,"")</f>
        <v/>
      </c>
      <c r="S1518" s="13">
        <f>IF(ISNUMBER(N1518),ROUND(N1518/(1-Settings!$B$2)/Settings!$B$3,0)*Settings!$B$3,"")</f>
        <v/>
      </c>
      <c r="T1518" s="13">
        <f>IF(ISNUMBER(O1518),ROUND(O1518/(1-Settings!$B$2)/Settings!$B$3,0)*Settings!$B$3,"")</f>
        <v/>
      </c>
      <c r="U1518" s="13">
        <f>IF(ISNUMBER(P1518),ROUND(P1518/(1-Settings!$B$2)/Settings!$B$3,0)*Settings!$B$3,"")</f>
        <v/>
      </c>
      <c r="V1518" s="13">
        <f>IF(ISNUMBER(Q1518),ROUND(Q1518/(1-Settings!$B$2)/Settings!$B$3,0)*Settings!$B$3,"")</f>
        <v/>
      </c>
      <c r="W1518" s="14" t="n">
        <v>29453</v>
      </c>
      <c r="X1518" s="14" t="n">
        <v>39953</v>
      </c>
      <c r="Y1518" s="11" t="inlineStr"/>
      <c r="Z1518" s="11" t="inlineStr"/>
      <c r="AA1518" s="8" t="inlineStr"/>
      <c r="AB1518" s="16" t="inlineStr">
        <is>
          <t>Source formula errors</t>
        </is>
      </c>
      <c r="AC1518" s="11" t="inlineStr">
        <is>
          <t>MasterMilitaryOnBaseList 12.2.25 NS.xlsx</t>
        </is>
      </c>
      <c r="AD1518" s="11" t="inlineStr">
        <is>
          <t>FY26 Advertising Rate Sheet V.2.pdf</t>
        </is>
      </c>
      <c r="AE1518" s="15" t="inlineStr">
        <is>
          <t>Open in Box</t>
        </is>
      </c>
      <c r="AF1518" s="15" t="inlineStr">
        <is>
          <t>Open in Box</t>
        </is>
      </c>
    </row>
    <row r="1519">
      <c r="A1519" s="11" t="inlineStr">
        <is>
          <t>WA-JBLMMCCH-004</t>
        </is>
      </c>
      <c r="B1519" s="8" t="inlineStr">
        <is>
          <t>JBLM - McChord AFB</t>
        </is>
      </c>
      <c r="C1519" s="11" t="inlineStr">
        <is>
          <t>Joint Base Lewis-McChord</t>
        </is>
      </c>
      <c r="D1519" s="11" t="inlineStr">
        <is>
          <t>WA</t>
        </is>
      </c>
      <c r="E1519" s="11" t="inlineStr">
        <is>
          <t>Seattle-Tacoma</t>
        </is>
      </c>
      <c r="F1519" s="11" t="inlineStr">
        <is>
          <t>98438</t>
        </is>
      </c>
      <c r="G1519" s="11" t="inlineStr">
        <is>
          <t>Air Force</t>
        </is>
      </c>
      <c r="H1519" s="11" t="inlineStr">
        <is>
          <t>Standard Media</t>
        </is>
      </c>
      <c r="I1519" s="8" t="inlineStr">
        <is>
          <t>Banners</t>
        </is>
      </c>
      <c r="J1519" s="11" t="inlineStr">
        <is>
          <t>2'W x 6'H</t>
        </is>
      </c>
      <c r="K1519" s="8" t="inlineStr">
        <is>
          <t>Your ad will appear in an approved installation facility.</t>
        </is>
      </c>
      <c r="L1519" s="11" t="n">
        <v>1</v>
      </c>
      <c r="M1519" s="12" t="n">
        <v>868</v>
      </c>
      <c r="N1519" s="12" t="n">
        <v>2343</v>
      </c>
      <c r="O1519" s="12" t="n">
        <v>4427</v>
      </c>
      <c r="P1519" s="12" t="n">
        <v>8334</v>
      </c>
      <c r="Q1519" s="12" t="n">
        <v>200</v>
      </c>
      <c r="R1519" s="13">
        <f>IF(ISNUMBER(M1519),ROUND(M1519/(1-Settings!$B$2)/Settings!$B$3,0)*Settings!$B$3,"")</f>
        <v/>
      </c>
      <c r="S1519" s="13">
        <f>IF(ISNUMBER(N1519),ROUND(N1519/(1-Settings!$B$2)/Settings!$B$3,0)*Settings!$B$3,"")</f>
        <v/>
      </c>
      <c r="T1519" s="13">
        <f>IF(ISNUMBER(O1519),ROUND(O1519/(1-Settings!$B$2)/Settings!$B$3,0)*Settings!$B$3,"")</f>
        <v/>
      </c>
      <c r="U1519" s="13">
        <f>IF(ISNUMBER(P1519),ROUND(P1519/(1-Settings!$B$2)/Settings!$B$3,0)*Settings!$B$3,"")</f>
        <v/>
      </c>
      <c r="V1519" s="13">
        <f>IF(ISNUMBER(Q1519),ROUND(Q1519/(1-Settings!$B$2)/Settings!$B$3,0)*Settings!$B$3,"")</f>
        <v/>
      </c>
      <c r="W1519" s="14" t="n">
        <v>29453</v>
      </c>
      <c r="X1519" s="14" t="n">
        <v>39953</v>
      </c>
      <c r="Y1519" s="11" t="inlineStr"/>
      <c r="Z1519" s="11" t="inlineStr"/>
      <c r="AA1519" s="8" t="inlineStr"/>
      <c r="AB1519" s="8" t="inlineStr"/>
      <c r="AC1519" s="11" t="inlineStr">
        <is>
          <t>MasterMilitaryOnBaseList 12.2.25 NS.xlsx</t>
        </is>
      </c>
      <c r="AD1519" s="11" t="inlineStr">
        <is>
          <t>FY26 Advertising Rate Sheet V.2.pdf</t>
        </is>
      </c>
      <c r="AE1519" s="15" t="inlineStr">
        <is>
          <t>Open in Box</t>
        </is>
      </c>
      <c r="AF1519" s="15" t="inlineStr">
        <is>
          <t>Open in Box</t>
        </is>
      </c>
    </row>
    <row r="1520">
      <c r="A1520" s="11" t="inlineStr">
        <is>
          <t>WA-JBLMMCCH-005</t>
        </is>
      </c>
      <c r="B1520" s="8" t="inlineStr">
        <is>
          <t>JBLM - McChord AFB</t>
        </is>
      </c>
      <c r="C1520" s="11" t="inlineStr">
        <is>
          <t>Joint Base Lewis-McChord</t>
        </is>
      </c>
      <c r="D1520" s="11" t="inlineStr">
        <is>
          <t>WA</t>
        </is>
      </c>
      <c r="E1520" s="11" t="inlineStr">
        <is>
          <t>Seattle-Tacoma</t>
        </is>
      </c>
      <c r="F1520" s="11" t="inlineStr">
        <is>
          <t>98438</t>
        </is>
      </c>
      <c r="G1520" s="11" t="inlineStr">
        <is>
          <t>Air Force</t>
        </is>
      </c>
      <c r="H1520" s="11" t="inlineStr">
        <is>
          <t>Standard Media</t>
        </is>
      </c>
      <c r="I1520" s="8" t="inlineStr">
        <is>
          <t>Colg Court Cart / Tee Market</t>
        </is>
      </c>
      <c r="J1520" s="11" t="inlineStr">
        <is>
          <t>Varies</t>
        </is>
      </c>
      <c r="K1520" s="8" t="inlineStr">
        <is>
          <t>Your ad will appear at both installation golf courses.</t>
        </is>
      </c>
      <c r="L1520" s="11" t="n">
        <v>12</v>
      </c>
      <c r="M1520" s="12" t="n"/>
      <c r="N1520" s="12" t="n"/>
      <c r="O1520" s="12" t="n"/>
      <c r="P1520" s="12" t="n">
        <v>6367</v>
      </c>
      <c r="Q1520" s="12" t="n"/>
      <c r="R1520" s="13">
        <f>IF(ISNUMBER(M1520),ROUND(M1520/(1-Settings!$B$2)/Settings!$B$3,0)*Settings!$B$3,"")</f>
        <v/>
      </c>
      <c r="S1520" s="13">
        <f>IF(ISNUMBER(N1520),ROUND(N1520/(1-Settings!$B$2)/Settings!$B$3,0)*Settings!$B$3,"")</f>
        <v/>
      </c>
      <c r="T1520" s="13">
        <f>IF(ISNUMBER(O1520),ROUND(O1520/(1-Settings!$B$2)/Settings!$B$3,0)*Settings!$B$3,"")</f>
        <v/>
      </c>
      <c r="U1520" s="13">
        <f>IF(ISNUMBER(P1520),ROUND(P1520/(1-Settings!$B$2)/Settings!$B$3,0)*Settings!$B$3,"")</f>
        <v/>
      </c>
      <c r="V1520" s="13">
        <f>IF(ISNUMBER(Q1520),ROUND(Q1520/(1-Settings!$B$2)/Settings!$B$3,0)*Settings!$B$3,"")</f>
        <v/>
      </c>
      <c r="W1520" s="14" t="n">
        <v>29453</v>
      </c>
      <c r="X1520" s="14" t="n">
        <v>39953</v>
      </c>
      <c r="Y1520" s="11" t="inlineStr"/>
      <c r="Z1520" s="11" t="inlineStr"/>
      <c r="AA1520" s="8" t="inlineStr"/>
      <c r="AB1520" s="16" t="inlineStr">
        <is>
          <t>Source formula errors</t>
        </is>
      </c>
      <c r="AC1520" s="11" t="inlineStr">
        <is>
          <t>MasterMilitaryOnBaseList 12.2.25 NS.xlsx</t>
        </is>
      </c>
      <c r="AD1520" s="11" t="inlineStr">
        <is>
          <t>FY26 Advertising Rate Sheet V.2.pdf</t>
        </is>
      </c>
      <c r="AE1520" s="15" t="inlineStr">
        <is>
          <t>Open in Box</t>
        </is>
      </c>
      <c r="AF1520" s="15" t="inlineStr">
        <is>
          <t>Open in Box</t>
        </is>
      </c>
    </row>
    <row r="1521">
      <c r="A1521" s="11" t="inlineStr">
        <is>
          <t>WA-JBLMMCCH-006</t>
        </is>
      </c>
      <c r="B1521" s="8" t="inlineStr">
        <is>
          <t>JBLM - McChord AFB</t>
        </is>
      </c>
      <c r="C1521" s="11" t="inlineStr">
        <is>
          <t>Joint Base Lewis-McChord</t>
        </is>
      </c>
      <c r="D1521" s="11" t="inlineStr">
        <is>
          <t>WA</t>
        </is>
      </c>
      <c r="E1521" s="11" t="inlineStr">
        <is>
          <t>Seattle-Tacoma</t>
        </is>
      </c>
      <c r="F1521" s="11" t="inlineStr">
        <is>
          <t>98438</t>
        </is>
      </c>
      <c r="G1521" s="11" t="inlineStr">
        <is>
          <t>Air Force</t>
        </is>
      </c>
      <c r="H1521" s="11" t="inlineStr">
        <is>
          <t>Standard Media</t>
        </is>
      </c>
      <c r="I1521" s="8" t="inlineStr">
        <is>
          <t>Posters</t>
        </is>
      </c>
      <c r="J1521" s="11" t="inlineStr">
        <is>
          <t>22"W x 28"H</t>
        </is>
      </c>
      <c r="K1521" s="8" t="inlineStr">
        <is>
          <t>Your ad will appear in an approved installation facility.</t>
        </is>
      </c>
      <c r="L1521" s="11" t="n">
        <v>1</v>
      </c>
      <c r="M1521" s="12" t="n">
        <v>348</v>
      </c>
      <c r="N1521" s="12" t="n">
        <v>938</v>
      </c>
      <c r="O1521" s="12" t="n">
        <v>1771</v>
      </c>
      <c r="P1521" s="12" t="n">
        <v>3277</v>
      </c>
      <c r="Q1521" s="12" t="n">
        <v>100</v>
      </c>
      <c r="R1521" s="13">
        <f>IF(ISNUMBER(M1521),ROUND(M1521/(1-Settings!$B$2)/Settings!$B$3,0)*Settings!$B$3,"")</f>
        <v/>
      </c>
      <c r="S1521" s="13">
        <f>IF(ISNUMBER(N1521),ROUND(N1521/(1-Settings!$B$2)/Settings!$B$3,0)*Settings!$B$3,"")</f>
        <v/>
      </c>
      <c r="T1521" s="13">
        <f>IF(ISNUMBER(O1521),ROUND(O1521/(1-Settings!$B$2)/Settings!$B$3,0)*Settings!$B$3,"")</f>
        <v/>
      </c>
      <c r="U1521" s="13">
        <f>IF(ISNUMBER(P1521),ROUND(P1521/(1-Settings!$B$2)/Settings!$B$3,0)*Settings!$B$3,"")</f>
        <v/>
      </c>
      <c r="V1521" s="13">
        <f>IF(ISNUMBER(Q1521),ROUND(Q1521/(1-Settings!$B$2)/Settings!$B$3,0)*Settings!$B$3,"")</f>
        <v/>
      </c>
      <c r="W1521" s="14" t="n">
        <v>29453</v>
      </c>
      <c r="X1521" s="14" t="n">
        <v>39953</v>
      </c>
      <c r="Y1521" s="11" t="inlineStr"/>
      <c r="Z1521" s="11" t="inlineStr"/>
      <c r="AA1521" s="8" t="inlineStr"/>
      <c r="AB1521" s="8" t="inlineStr"/>
      <c r="AC1521" s="11" t="inlineStr">
        <is>
          <t>MasterMilitaryOnBaseList 12.2.25 NS.xlsx</t>
        </is>
      </c>
      <c r="AD1521" s="11" t="inlineStr">
        <is>
          <t>FY26 Advertising Rate Sheet V.2.pdf</t>
        </is>
      </c>
      <c r="AE1521" s="15" t="inlineStr">
        <is>
          <t>Open in Box</t>
        </is>
      </c>
      <c r="AF1521" s="15" t="inlineStr">
        <is>
          <t>Open in Box</t>
        </is>
      </c>
    </row>
    <row r="1522">
      <c r="A1522" s="11" t="inlineStr">
        <is>
          <t>WA-NAVALAIR-001</t>
        </is>
      </c>
      <c r="B1522" s="8" t="inlineStr">
        <is>
          <t>Naval AIr Station Whidbey Island</t>
        </is>
      </c>
      <c r="C1522" s="11" t="inlineStr"/>
      <c r="D1522" s="11" t="inlineStr">
        <is>
          <t>WA</t>
        </is>
      </c>
      <c r="E1522" s="11" t="inlineStr">
        <is>
          <t>Seattle-Tacoma, WA</t>
        </is>
      </c>
      <c r="F1522" s="11" t="inlineStr"/>
      <c r="G1522" s="11" t="inlineStr">
        <is>
          <t>Navy</t>
        </is>
      </c>
      <c r="H1522" s="11" t="inlineStr">
        <is>
          <t>Digital</t>
        </is>
      </c>
      <c r="I1522" s="8" t="inlineStr">
        <is>
          <t>Movie Theater Ad</t>
        </is>
      </c>
      <c r="J1522" s="11" t="inlineStr">
        <is>
          <t>1 screens</t>
        </is>
      </c>
      <c r="K1522" s="8" t="inlineStr">
        <is>
          <t>Your ad will appear on screen before movies at the installation theater (1-screen screens).</t>
        </is>
      </c>
      <c r="L1522" s="11" t="n">
        <v>1</v>
      </c>
      <c r="M1522" s="12" t="n">
        <v>450</v>
      </c>
      <c r="N1522" s="12" t="n"/>
      <c r="O1522" s="12" t="n"/>
      <c r="P1522" s="12" t="n"/>
      <c r="Q1522" s="12" t="n"/>
      <c r="R1522" s="13">
        <f>IF(ISNUMBER(M1522),ROUND(M1522/(1-Settings!$B$2)/Settings!$B$3,0)*Settings!$B$3,"")</f>
        <v/>
      </c>
      <c r="S1522" s="13">
        <f>IF(ISNUMBER(N1522),ROUND(N1522/(1-Settings!$B$2)/Settings!$B$3,0)*Settings!$B$3,"")</f>
        <v/>
      </c>
      <c r="T1522" s="13">
        <f>IF(ISNUMBER(O1522),ROUND(O1522/(1-Settings!$B$2)/Settings!$B$3,0)*Settings!$B$3,"")</f>
        <v/>
      </c>
      <c r="U1522" s="13">
        <f>IF(ISNUMBER(P1522),ROUND(P1522/(1-Settings!$B$2)/Settings!$B$3,0)*Settings!$B$3,"")</f>
        <v/>
      </c>
      <c r="V1522" s="13">
        <f>IF(ISNUMBER(Q1522),ROUND(Q1522/(1-Settings!$B$2)/Settings!$B$3,0)*Settings!$B$3,"")</f>
        <v/>
      </c>
      <c r="W1522" s="14" t="n">
        <v>7304</v>
      </c>
      <c r="X1522" s="14" t="n">
        <v>8306</v>
      </c>
      <c r="Y1522" s="11" t="inlineStr">
        <is>
          <t>2026</t>
        </is>
      </c>
      <c r="Z1522" s="11" t="inlineStr">
        <is>
          <t>2026-06</t>
        </is>
      </c>
      <c r="AA1522" s="8" t="inlineStr"/>
      <c r="AB1522" s="8" t="inlineStr"/>
      <c r="AC1522" s="11" t="inlineStr">
        <is>
          <t>Military - National Digital Inventory Master 6.3.26.xlsx</t>
        </is>
      </c>
      <c r="AD1522" s="11" t="inlineStr">
        <is>
          <t>Monitor Pricing_Loop Times_Events - 9.24.26.pdf</t>
        </is>
      </c>
      <c r="AE1522" s="15" t="inlineStr">
        <is>
          <t>Open in Box</t>
        </is>
      </c>
      <c r="AF1522" s="15" t="inlineStr">
        <is>
          <t>Open in Box</t>
        </is>
      </c>
    </row>
    <row r="1523">
      <c r="A1523" s="11" t="inlineStr">
        <is>
          <t>WA-NAVALBAS-001</t>
        </is>
      </c>
      <c r="B1523" s="8" t="inlineStr">
        <is>
          <t>Naval Base Kitsap-Bangor</t>
        </is>
      </c>
      <c r="C1523" s="11" t="inlineStr"/>
      <c r="D1523" s="11" t="inlineStr">
        <is>
          <t>WA</t>
        </is>
      </c>
      <c r="E1523" s="11" t="inlineStr">
        <is>
          <t>Seattle-Tacoma, WA</t>
        </is>
      </c>
      <c r="F1523" s="11" t="inlineStr"/>
      <c r="G1523" s="11" t="inlineStr">
        <is>
          <t>Navy</t>
        </is>
      </c>
      <c r="H1523" s="11" t="inlineStr">
        <is>
          <t>Digital</t>
        </is>
      </c>
      <c r="I1523" s="8" t="inlineStr">
        <is>
          <t>Movie Theater Ad</t>
        </is>
      </c>
      <c r="J1523" s="11" t="inlineStr">
        <is>
          <t>1 screens</t>
        </is>
      </c>
      <c r="K1523" s="8" t="inlineStr">
        <is>
          <t>Your ad will appear on screen before movies at the installation theater (1-screen screens).</t>
        </is>
      </c>
      <c r="L1523" s="11" t="n">
        <v>1</v>
      </c>
      <c r="M1523" s="12" t="n">
        <v>475</v>
      </c>
      <c r="N1523" s="12" t="n"/>
      <c r="O1523" s="12" t="n"/>
      <c r="P1523" s="12" t="n"/>
      <c r="Q1523" s="12" t="n"/>
      <c r="R1523" s="13">
        <f>IF(ISNUMBER(M1523),ROUND(M1523/(1-Settings!$B$2)/Settings!$B$3,0)*Settings!$B$3,"")</f>
        <v/>
      </c>
      <c r="S1523" s="13">
        <f>IF(ISNUMBER(N1523),ROUND(N1523/(1-Settings!$B$2)/Settings!$B$3,0)*Settings!$B$3,"")</f>
        <v/>
      </c>
      <c r="T1523" s="13">
        <f>IF(ISNUMBER(O1523),ROUND(O1523/(1-Settings!$B$2)/Settings!$B$3,0)*Settings!$B$3,"")</f>
        <v/>
      </c>
      <c r="U1523" s="13">
        <f>IF(ISNUMBER(P1523),ROUND(P1523/(1-Settings!$B$2)/Settings!$B$3,0)*Settings!$B$3,"")</f>
        <v/>
      </c>
      <c r="V1523" s="13">
        <f>IF(ISNUMBER(Q1523),ROUND(Q1523/(1-Settings!$B$2)/Settings!$B$3,0)*Settings!$B$3,"")</f>
        <v/>
      </c>
      <c r="W1523" s="14" t="n">
        <v>5845</v>
      </c>
      <c r="X1523" s="14" t="n">
        <v>7325</v>
      </c>
      <c r="Y1523" s="11" t="inlineStr">
        <is>
          <t>2026</t>
        </is>
      </c>
      <c r="Z1523" s="11" t="inlineStr">
        <is>
          <t>2026-06</t>
        </is>
      </c>
      <c r="AA1523" s="8" t="inlineStr"/>
      <c r="AB1523" s="8" t="inlineStr"/>
      <c r="AC1523" s="11" t="inlineStr">
        <is>
          <t>Military - National Digital Inventory Master 6.3.26.xlsx</t>
        </is>
      </c>
      <c r="AD1523" s="11" t="inlineStr">
        <is>
          <t>Monitor Pricing_Loop Times_Events - 9.24.26.pdf</t>
        </is>
      </c>
      <c r="AE1523" s="15" t="inlineStr">
        <is>
          <t>Open in Box</t>
        </is>
      </c>
      <c r="AF1523" s="15" t="inlineStr">
        <is>
          <t>Open in Box</t>
        </is>
      </c>
    </row>
    <row r="1524">
      <c r="A1524" s="11" t="inlineStr">
        <is>
          <t>WA-NAVALBAS-002</t>
        </is>
      </c>
      <c r="B1524" s="8" t="inlineStr">
        <is>
          <t>Naval Base Kitsap-Bremerton</t>
        </is>
      </c>
      <c r="C1524" s="11" t="inlineStr"/>
      <c r="D1524" s="11" t="inlineStr">
        <is>
          <t>WA</t>
        </is>
      </c>
      <c r="E1524" s="11" t="inlineStr">
        <is>
          <t>Seattle-Tacoma, WA</t>
        </is>
      </c>
      <c r="F1524" s="11" t="inlineStr"/>
      <c r="G1524" s="11" t="inlineStr">
        <is>
          <t>Navy</t>
        </is>
      </c>
      <c r="H1524" s="11" t="inlineStr">
        <is>
          <t>Digital</t>
        </is>
      </c>
      <c r="I1524" s="8" t="inlineStr">
        <is>
          <t>Bowling Scoring Monitors</t>
        </is>
      </c>
      <c r="J1524" s="11" t="inlineStr">
        <is>
          <t>6 screens</t>
        </is>
      </c>
      <c r="K1524" s="8" t="inlineStr">
        <is>
          <t>Your ad will appear on the 6-screen scoring monitors in the installation bowling center.</t>
        </is>
      </c>
      <c r="L1524" s="11" t="n">
        <v>1</v>
      </c>
      <c r="M1524" s="12" t="n">
        <v>400</v>
      </c>
      <c r="N1524" s="12" t="n"/>
      <c r="O1524" s="12" t="n"/>
      <c r="P1524" s="12" t="n"/>
      <c r="Q1524" s="12" t="n"/>
      <c r="R1524" s="13">
        <f>IF(ISNUMBER(M1524),ROUND(M1524/(1-Settings!$B$2)/Settings!$B$3,0)*Settings!$B$3,"")</f>
        <v/>
      </c>
      <c r="S1524" s="13">
        <f>IF(ISNUMBER(N1524),ROUND(N1524/(1-Settings!$B$2)/Settings!$B$3,0)*Settings!$B$3,"")</f>
        <v/>
      </c>
      <c r="T1524" s="13">
        <f>IF(ISNUMBER(O1524),ROUND(O1524/(1-Settings!$B$2)/Settings!$B$3,0)*Settings!$B$3,"")</f>
        <v/>
      </c>
      <c r="U1524" s="13">
        <f>IF(ISNUMBER(P1524),ROUND(P1524/(1-Settings!$B$2)/Settings!$B$3,0)*Settings!$B$3,"")</f>
        <v/>
      </c>
      <c r="V1524" s="13">
        <f>IF(ISNUMBER(Q1524),ROUND(Q1524/(1-Settings!$B$2)/Settings!$B$3,0)*Settings!$B$3,"")</f>
        <v/>
      </c>
      <c r="W1524" s="14" t="n">
        <v>6892</v>
      </c>
      <c r="X1524" s="14" t="n">
        <v>6386</v>
      </c>
      <c r="Y1524" s="11" t="inlineStr">
        <is>
          <t>2026</t>
        </is>
      </c>
      <c r="Z1524" s="11" t="inlineStr">
        <is>
          <t>2026-06</t>
        </is>
      </c>
      <c r="AA1524" s="8" t="inlineStr"/>
      <c r="AB1524" s="8" t="inlineStr"/>
      <c r="AC1524" s="11" t="inlineStr">
        <is>
          <t>Military - National Digital Inventory Master 6.3.26.xlsx</t>
        </is>
      </c>
      <c r="AD1524" s="11" t="inlineStr">
        <is>
          <t>Monitor Pricing_Loop Times_Events - 9.24.26.pdf</t>
        </is>
      </c>
      <c r="AE1524" s="15" t="inlineStr">
        <is>
          <t>Open in Box</t>
        </is>
      </c>
      <c r="AF1524" s="15" t="inlineStr">
        <is>
          <t>Open in Box</t>
        </is>
      </c>
    </row>
    <row r="1525">
      <c r="A1525" s="11" t="inlineStr">
        <is>
          <t>WA-NAVALSTA-001</t>
        </is>
      </c>
      <c r="B1525" s="8" t="inlineStr">
        <is>
          <t>Naval Station Everett</t>
        </is>
      </c>
      <c r="C1525" s="11" t="inlineStr"/>
      <c r="D1525" s="11" t="inlineStr">
        <is>
          <t>WA</t>
        </is>
      </c>
      <c r="E1525" s="11" t="inlineStr">
        <is>
          <t>Seattle-Tacoma</t>
        </is>
      </c>
      <c r="F1525" s="11" t="inlineStr">
        <is>
          <t>98207</t>
        </is>
      </c>
      <c r="G1525" s="11" t="inlineStr">
        <is>
          <t>Navy</t>
        </is>
      </c>
      <c r="H1525" s="11" t="inlineStr">
        <is>
          <t>Digital</t>
        </is>
      </c>
      <c r="I1525" s="8" t="inlineStr">
        <is>
          <t>Digital Monitor Network</t>
        </is>
      </c>
      <c r="J1525" s="11" t="inlineStr">
        <is>
          <t>TBD</t>
        </is>
      </c>
      <c r="K1525" s="8" t="inlineStr">
        <is>
          <t>Your ad will appear on the digital monitor network in approved installation facilities.</t>
        </is>
      </c>
      <c r="L1525" s="11" t="n">
        <v>1</v>
      </c>
      <c r="M1525" s="12" t="n">
        <v>700</v>
      </c>
      <c r="N1525" s="12" t="n">
        <v>1800</v>
      </c>
      <c r="O1525" s="12" t="n">
        <v>3600</v>
      </c>
      <c r="P1525" s="12" t="n">
        <v>7200</v>
      </c>
      <c r="Q1525" s="12" t="n">
        <v>0</v>
      </c>
      <c r="R1525" s="13">
        <f>IF(ISNUMBER(M1525),ROUND(M1525/(1-Settings!$B$2)/Settings!$B$3,0)*Settings!$B$3,"")</f>
        <v/>
      </c>
      <c r="S1525" s="13">
        <f>IF(ISNUMBER(N1525),ROUND(N1525/(1-Settings!$B$2)/Settings!$B$3,0)*Settings!$B$3,"")</f>
        <v/>
      </c>
      <c r="T1525" s="13">
        <f>IF(ISNUMBER(O1525),ROUND(O1525/(1-Settings!$B$2)/Settings!$B$3,0)*Settings!$B$3,"")</f>
        <v/>
      </c>
      <c r="U1525" s="13">
        <f>IF(ISNUMBER(P1525),ROUND(P1525/(1-Settings!$B$2)/Settings!$B$3,0)*Settings!$B$3,"")</f>
        <v/>
      </c>
      <c r="V1525" s="13">
        <f>IF(ISNUMBER(Q1525),ROUND(Q1525/(1-Settings!$B$2)/Settings!$B$3,0)*Settings!$B$3,"")</f>
        <v/>
      </c>
      <c r="W1525" s="14" t="n">
        <v>2576</v>
      </c>
      <c r="X1525" s="14" t="n">
        <v>2846</v>
      </c>
      <c r="Y1525" s="11" t="inlineStr"/>
      <c r="Z1525" s="11" t="inlineStr"/>
      <c r="AA1525" s="8" t="inlineStr">
        <is>
          <t>Inventory master 6/2026 lists Digital Monitor Network at $5,500 (1 mo)</t>
        </is>
      </c>
      <c r="AB1525" s="8" t="inlineStr"/>
      <c r="AC1525" s="11" t="inlineStr">
        <is>
          <t>MasterMilitaryOnBaseList 12.2.25 NS.xlsx</t>
        </is>
      </c>
      <c r="AD1525" s="11" t="inlineStr">
        <is>
          <t>Monitor Pricing_Loop Times_Events - 9.24.26.pdf</t>
        </is>
      </c>
      <c r="AE1525" s="15" t="inlineStr">
        <is>
          <t>Open in Box</t>
        </is>
      </c>
      <c r="AF1525" s="15" t="inlineStr">
        <is>
          <t>Open in Box</t>
        </is>
      </c>
    </row>
    <row r="1526">
      <c r="A1526" s="11" t="inlineStr">
        <is>
          <t>WA-NAVALSTA-005</t>
        </is>
      </c>
      <c r="B1526" s="8" t="inlineStr">
        <is>
          <t>Naval Station Everett</t>
        </is>
      </c>
      <c r="C1526" s="11" t="inlineStr"/>
      <c r="D1526" s="11" t="inlineStr">
        <is>
          <t>WA</t>
        </is>
      </c>
      <c r="E1526" s="11" t="inlineStr">
        <is>
          <t>Seattle-Tacoma</t>
        </is>
      </c>
      <c r="F1526" s="11" t="inlineStr"/>
      <c r="G1526" s="11" t="inlineStr">
        <is>
          <t>Navy</t>
        </is>
      </c>
      <c r="H1526" s="11" t="inlineStr">
        <is>
          <t>Print &amp; Publications</t>
        </is>
      </c>
      <c r="I1526" s="8" t="inlineStr">
        <is>
          <t>Magazine Ad</t>
        </is>
      </c>
      <c r="J1526" s="11" t="inlineStr"/>
      <c r="K1526" s="8" t="inlineStr">
        <is>
          <t>Your ad will appear in the installation magazine.</t>
        </is>
      </c>
      <c r="L1526" s="11" t="n">
        <v>12</v>
      </c>
      <c r="M1526" s="12" t="n"/>
      <c r="N1526" s="12" t="n"/>
      <c r="O1526" s="12" t="n"/>
      <c r="P1526" s="12" t="n">
        <v>1800</v>
      </c>
      <c r="Q1526" s="12" t="n"/>
      <c r="R1526" s="13">
        <f>IF(ISNUMBER(M1526),ROUND(M1526/(1-Settings!$B$2)/Settings!$B$3,0)*Settings!$B$3,"")</f>
        <v/>
      </c>
      <c r="S1526" s="13">
        <f>IF(ISNUMBER(N1526),ROUND(N1526/(1-Settings!$B$2)/Settings!$B$3,0)*Settings!$B$3,"")</f>
        <v/>
      </c>
      <c r="T1526" s="13">
        <f>IF(ISNUMBER(O1526),ROUND(O1526/(1-Settings!$B$2)/Settings!$B$3,0)*Settings!$B$3,"")</f>
        <v/>
      </c>
      <c r="U1526" s="13">
        <f>IF(ISNUMBER(P1526),ROUND(P1526/(1-Settings!$B$2)/Settings!$B$3,0)*Settings!$B$3,"")</f>
        <v/>
      </c>
      <c r="V1526" s="13">
        <f>IF(ISNUMBER(Q1526),ROUND(Q1526/(1-Settings!$B$2)/Settings!$B$3,0)*Settings!$B$3,"")</f>
        <v/>
      </c>
      <c r="W1526" s="14" t="n">
        <v>22617</v>
      </c>
      <c r="X1526" s="14" t="n">
        <v>24863</v>
      </c>
      <c r="Y1526" s="11" t="inlineStr">
        <is>
          <t>2026</t>
        </is>
      </c>
      <c r="Z1526" s="11" t="inlineStr">
        <is>
          <t>2026-06</t>
        </is>
      </c>
      <c r="AA1526" s="8" t="inlineStr">
        <is>
          <t>Annual 12K printed 20K printed Printed 3x/year Golf Course Magazine 10K printed Printed bi-monthly; price is per issue Printed bi-monthly 1K printed Cost is for entire month Approx.. 20K printed</t>
        </is>
      </c>
      <c r="AB1526" s="8" t="inlineStr"/>
      <c r="AC1526" s="11" t="inlineStr">
        <is>
          <t>Military - National Publication Inventory Master_June 2026.xlsx</t>
        </is>
      </c>
      <c r="AD1526" s="11" t="inlineStr">
        <is>
          <t>Monitor Pricing_Loop Times_Events - 9.24.26.pdf</t>
        </is>
      </c>
      <c r="AE1526" s="15" t="inlineStr">
        <is>
          <t>Open in Box</t>
        </is>
      </c>
      <c r="AF1526" s="15" t="inlineStr">
        <is>
          <t>Open in Box</t>
        </is>
      </c>
    </row>
    <row r="1527">
      <c r="A1527" s="11" t="inlineStr">
        <is>
          <t>WA-NAVALSTA-002</t>
        </is>
      </c>
      <c r="B1527" s="8" t="inlineStr">
        <is>
          <t>Naval Station Everett</t>
        </is>
      </c>
      <c r="C1527" s="11" t="inlineStr"/>
      <c r="D1527" s="11" t="inlineStr">
        <is>
          <t>WA</t>
        </is>
      </c>
      <c r="E1527" s="11" t="inlineStr">
        <is>
          <t>Seattle-Tacoma</t>
        </is>
      </c>
      <c r="F1527" s="11" t="inlineStr">
        <is>
          <t>98207</t>
        </is>
      </c>
      <c r="G1527" s="11" t="inlineStr">
        <is>
          <t>Navy</t>
        </is>
      </c>
      <c r="H1527" s="11" t="inlineStr">
        <is>
          <t>Standard Media</t>
        </is>
      </c>
      <c r="I1527" s="8" t="inlineStr">
        <is>
          <t>Banners</t>
        </is>
      </c>
      <c r="J1527" s="11" t="inlineStr">
        <is>
          <t>TBD</t>
        </is>
      </c>
      <c r="K1527" s="8" t="inlineStr">
        <is>
          <t>Your ad will appear in an approved installation facility.</t>
        </is>
      </c>
      <c r="L1527" s="11" t="n">
        <v>1</v>
      </c>
      <c r="M1527" s="12" t="n">
        <v>400</v>
      </c>
      <c r="N1527" s="12" t="n">
        <v>1200</v>
      </c>
      <c r="O1527" s="12" t="n">
        <v>2400</v>
      </c>
      <c r="P1527" s="12" t="n">
        <v>4800</v>
      </c>
      <c r="Q1527" s="12" t="n"/>
      <c r="R1527" s="13">
        <f>IF(ISNUMBER(M1527),ROUND(M1527/(1-Settings!$B$2)/Settings!$B$3,0)*Settings!$B$3,"")</f>
        <v/>
      </c>
      <c r="S1527" s="13">
        <f>IF(ISNUMBER(N1527),ROUND(N1527/(1-Settings!$B$2)/Settings!$B$3,0)*Settings!$B$3,"")</f>
        <v/>
      </c>
      <c r="T1527" s="13">
        <f>IF(ISNUMBER(O1527),ROUND(O1527/(1-Settings!$B$2)/Settings!$B$3,0)*Settings!$B$3,"")</f>
        <v/>
      </c>
      <c r="U1527" s="13">
        <f>IF(ISNUMBER(P1527),ROUND(P1527/(1-Settings!$B$2)/Settings!$B$3,0)*Settings!$B$3,"")</f>
        <v/>
      </c>
      <c r="V1527" s="13">
        <f>IF(ISNUMBER(Q1527),ROUND(Q1527/(1-Settings!$B$2)/Settings!$B$3,0)*Settings!$B$3,"")</f>
        <v/>
      </c>
      <c r="W1527" s="14" t="n">
        <v>2576</v>
      </c>
      <c r="X1527" s="14" t="n">
        <v>2846</v>
      </c>
      <c r="Y1527" s="11" t="inlineStr"/>
      <c r="Z1527" s="11" t="inlineStr"/>
      <c r="AA1527" s="8" t="inlineStr"/>
      <c r="AB1527" s="8" t="inlineStr"/>
      <c r="AC1527" s="11" t="inlineStr">
        <is>
          <t>MasterMilitaryOnBaseList 12.2.25 NS.xlsx</t>
        </is>
      </c>
      <c r="AD1527" s="11" t="inlineStr">
        <is>
          <t>Monitor Pricing_Loop Times_Events - 9.24.26.pdf</t>
        </is>
      </c>
      <c r="AE1527" s="15" t="inlineStr">
        <is>
          <t>Open in Box</t>
        </is>
      </c>
      <c r="AF1527" s="15" t="inlineStr">
        <is>
          <t>Open in Box</t>
        </is>
      </c>
    </row>
    <row r="1528">
      <c r="A1528" s="11" t="inlineStr">
        <is>
          <t>WA-NAVALSTA-003</t>
        </is>
      </c>
      <c r="B1528" s="8" t="inlineStr">
        <is>
          <t>Naval Station Everett</t>
        </is>
      </c>
      <c r="C1528" s="11" t="inlineStr"/>
      <c r="D1528" s="11" t="inlineStr">
        <is>
          <t>WA</t>
        </is>
      </c>
      <c r="E1528" s="11" t="inlineStr">
        <is>
          <t>Seattle-Tacoma</t>
        </is>
      </c>
      <c r="F1528" s="11" t="inlineStr">
        <is>
          <t>98207</t>
        </is>
      </c>
      <c r="G1528" s="11" t="inlineStr">
        <is>
          <t>Navy</t>
        </is>
      </c>
      <c r="H1528" s="11" t="inlineStr">
        <is>
          <t>Standard Media</t>
        </is>
      </c>
      <c r="I1528" s="8" t="inlineStr">
        <is>
          <t>Posters</t>
        </is>
      </c>
      <c r="J1528" s="11" t="inlineStr">
        <is>
          <t>22"W x 28"H</t>
        </is>
      </c>
      <c r="K1528" s="8" t="inlineStr">
        <is>
          <t>Your ad will appear in an approved installation facility.</t>
        </is>
      </c>
      <c r="L1528" s="11" t="n">
        <v>1</v>
      </c>
      <c r="M1528" s="12" t="n">
        <v>300</v>
      </c>
      <c r="N1528" s="12" t="n">
        <v>900</v>
      </c>
      <c r="O1528" s="12" t="n">
        <v>1800</v>
      </c>
      <c r="P1528" s="12" t="n">
        <v>3600</v>
      </c>
      <c r="Q1528" s="12" t="n">
        <v>100</v>
      </c>
      <c r="R1528" s="13">
        <f>IF(ISNUMBER(M1528),ROUND(M1528/(1-Settings!$B$2)/Settings!$B$3,0)*Settings!$B$3,"")</f>
        <v/>
      </c>
      <c r="S1528" s="13">
        <f>IF(ISNUMBER(N1528),ROUND(N1528/(1-Settings!$B$2)/Settings!$B$3,0)*Settings!$B$3,"")</f>
        <v/>
      </c>
      <c r="T1528" s="13">
        <f>IF(ISNUMBER(O1528),ROUND(O1528/(1-Settings!$B$2)/Settings!$B$3,0)*Settings!$B$3,"")</f>
        <v/>
      </c>
      <c r="U1528" s="13">
        <f>IF(ISNUMBER(P1528),ROUND(P1528/(1-Settings!$B$2)/Settings!$B$3,0)*Settings!$B$3,"")</f>
        <v/>
      </c>
      <c r="V1528" s="13">
        <f>IF(ISNUMBER(Q1528),ROUND(Q1528/(1-Settings!$B$2)/Settings!$B$3,0)*Settings!$B$3,"")</f>
        <v/>
      </c>
      <c r="W1528" s="14" t="n">
        <v>2576</v>
      </c>
      <c r="X1528" s="14" t="n">
        <v>2846</v>
      </c>
      <c r="Y1528" s="11" t="inlineStr"/>
      <c r="Z1528" s="11" t="inlineStr"/>
      <c r="AA1528" s="8" t="inlineStr"/>
      <c r="AB1528" s="8" t="inlineStr"/>
      <c r="AC1528" s="11" t="inlineStr">
        <is>
          <t>MasterMilitaryOnBaseList 12.2.25 NS.xlsx</t>
        </is>
      </c>
      <c r="AD1528" s="11" t="inlineStr">
        <is>
          <t>Monitor Pricing_Loop Times_Events - 9.24.26.pdf</t>
        </is>
      </c>
      <c r="AE1528" s="15" t="inlineStr">
        <is>
          <t>Open in Box</t>
        </is>
      </c>
      <c r="AF1528" s="15" t="inlineStr">
        <is>
          <t>Open in Box</t>
        </is>
      </c>
    </row>
    <row r="1529">
      <c r="A1529" s="11" t="inlineStr">
        <is>
          <t>WA-NAVALSTA-004</t>
        </is>
      </c>
      <c r="B1529" s="8" t="inlineStr">
        <is>
          <t>Naval Station Everett</t>
        </is>
      </c>
      <c r="C1529" s="11" t="inlineStr"/>
      <c r="D1529" s="11" t="inlineStr">
        <is>
          <t>WA</t>
        </is>
      </c>
      <c r="E1529" s="11" t="inlineStr">
        <is>
          <t>Seattle-Tacoma</t>
        </is>
      </c>
      <c r="F1529" s="11" t="inlineStr"/>
      <c r="G1529" s="11" t="inlineStr">
        <is>
          <t>Navy</t>
        </is>
      </c>
      <c r="H1529" s="11" t="inlineStr">
        <is>
          <t>Web &amp; Email</t>
        </is>
      </c>
      <c r="I1529" s="8" t="inlineStr">
        <is>
          <t>Web Ad</t>
        </is>
      </c>
      <c r="J1529" s="11" t="inlineStr"/>
      <c r="K1529" s="8" t="inlineStr">
        <is>
          <t>Your ad will appear on the installation MWR / FSS website.</t>
        </is>
      </c>
      <c r="L1529" s="11" t="n">
        <v>12</v>
      </c>
      <c r="M1529" s="12" t="n"/>
      <c r="N1529" s="12" t="n"/>
      <c r="O1529" s="12" t="n"/>
      <c r="P1529" s="12" t="n">
        <v>500</v>
      </c>
      <c r="Q1529" s="12" t="n"/>
      <c r="R1529" s="13">
        <f>IF(ISNUMBER(M1529),ROUND(M1529/(1-Settings!$B$2)/Settings!$B$3,0)*Settings!$B$3,"")</f>
        <v/>
      </c>
      <c r="S1529" s="13">
        <f>IF(ISNUMBER(N1529),ROUND(N1529/(1-Settings!$B$2)/Settings!$B$3,0)*Settings!$B$3,"")</f>
        <v/>
      </c>
      <c r="T1529" s="13">
        <f>IF(ISNUMBER(O1529),ROUND(O1529/(1-Settings!$B$2)/Settings!$B$3,0)*Settings!$B$3,"")</f>
        <v/>
      </c>
      <c r="U1529" s="13">
        <f>IF(ISNUMBER(P1529),ROUND(P1529/(1-Settings!$B$2)/Settings!$B$3,0)*Settings!$B$3,"")</f>
        <v/>
      </c>
      <c r="V1529" s="13">
        <f>IF(ISNUMBER(Q1529),ROUND(Q1529/(1-Settings!$B$2)/Settings!$B$3,0)*Settings!$B$3,"")</f>
        <v/>
      </c>
      <c r="W1529" s="14" t="n">
        <v>22617</v>
      </c>
      <c r="X1529" s="14" t="n">
        <v>24863</v>
      </c>
      <c r="Y1529" s="11" t="inlineStr">
        <is>
          <t>2026</t>
        </is>
      </c>
      <c r="Z1529" s="11" t="inlineStr">
        <is>
          <t>2026-06</t>
        </is>
      </c>
      <c r="AA1529" s="8" t="inlineStr">
        <is>
          <t>Annual 12K printed 20K printed Printed 3x/year Golf Course Magazine 10K printed Printed bi-monthly; price is per issue Printed bi-monthly 1K printed Cost is for entire month Approx.. 20K printed</t>
        </is>
      </c>
      <c r="AB1529" s="8" t="inlineStr"/>
      <c r="AC1529" s="11" t="inlineStr">
        <is>
          <t>Military - National Publication Inventory Master_June 2026.xlsx</t>
        </is>
      </c>
      <c r="AD1529" s="11" t="inlineStr">
        <is>
          <t>Monitor Pricing_Loop Times_Events - 9.24.26.pdf</t>
        </is>
      </c>
      <c r="AE1529" s="15" t="inlineStr">
        <is>
          <t>Open in Box</t>
        </is>
      </c>
      <c r="AF1529" s="15" t="inlineStr">
        <is>
          <t>Open in Box</t>
        </is>
      </c>
    </row>
    <row r="1530">
      <c r="A1530" s="11" t="inlineStr">
        <is>
          <t>WI-FORTMCCO-001</t>
        </is>
      </c>
      <c r="B1530" s="8" t="inlineStr">
        <is>
          <t>Fort McCoy</t>
        </is>
      </c>
      <c r="C1530" s="11" t="inlineStr"/>
      <c r="D1530" s="11" t="inlineStr">
        <is>
          <t>WI</t>
        </is>
      </c>
      <c r="E1530" s="11" t="inlineStr">
        <is>
          <t>La Crosse-Eau Claire</t>
        </is>
      </c>
      <c r="F1530" s="11" t="inlineStr">
        <is>
          <t>54656</t>
        </is>
      </c>
      <c r="G1530" s="11" t="inlineStr">
        <is>
          <t>Army</t>
        </is>
      </c>
      <c r="H1530" s="11" t="inlineStr">
        <is>
          <t>Digital</t>
        </is>
      </c>
      <c r="I1530" s="8" t="inlineStr">
        <is>
          <t>Bowling Scoring Monitors</t>
        </is>
      </c>
      <c r="J1530" s="11" t="inlineStr">
        <is>
          <t>521pxW x 286pxH</t>
        </is>
      </c>
      <c r="K1530" s="8" t="inlineStr">
        <is>
          <t>Your ad will appear on 8 bowling center digital scoring monitors.</t>
        </is>
      </c>
      <c r="L1530" s="11" t="n">
        <v>3</v>
      </c>
      <c r="M1530" s="12" t="n"/>
      <c r="N1530" s="12" t="n">
        <v>250</v>
      </c>
      <c r="O1530" s="12" t="n">
        <v>500</v>
      </c>
      <c r="P1530" s="12" t="n">
        <v>1000</v>
      </c>
      <c r="Q1530" s="12" t="n">
        <v>0</v>
      </c>
      <c r="R1530" s="13">
        <f>IF(ISNUMBER(M1530),ROUND(M1530/(1-Settings!$B$2)/Settings!$B$3,0)*Settings!$B$3,"")</f>
        <v/>
      </c>
      <c r="S1530" s="13">
        <f>IF(ISNUMBER(N1530),ROUND(N1530/(1-Settings!$B$2)/Settings!$B$3,0)*Settings!$B$3,"")</f>
        <v/>
      </c>
      <c r="T1530" s="13">
        <f>IF(ISNUMBER(O1530),ROUND(O1530/(1-Settings!$B$2)/Settings!$B$3,0)*Settings!$B$3,"")</f>
        <v/>
      </c>
      <c r="U1530" s="13">
        <f>IF(ISNUMBER(P1530),ROUND(P1530/(1-Settings!$B$2)/Settings!$B$3,0)*Settings!$B$3,"")</f>
        <v/>
      </c>
      <c r="V1530" s="13">
        <f>IF(ISNUMBER(Q1530),ROUND(Q1530/(1-Settings!$B$2)/Settings!$B$3,0)*Settings!$B$3,"")</f>
        <v/>
      </c>
      <c r="W1530" s="14" t="n"/>
      <c r="X1530" s="14" t="n"/>
      <c r="Y1530" s="11" t="inlineStr"/>
      <c r="Z1530" s="11" t="inlineStr"/>
      <c r="AA1530" s="8" t="inlineStr"/>
      <c r="AB1530" s="16" t="inlineStr">
        <is>
          <t>Source formula errors</t>
        </is>
      </c>
      <c r="AC1530" s="11" t="inlineStr">
        <is>
          <t>MasterMilitaryOnBaseList 12.2.25 NS.xlsx</t>
        </is>
      </c>
      <c r="AD1530" s="11" t="inlineStr">
        <is>
          <t>Sponsor_Guide_2025.pdf</t>
        </is>
      </c>
      <c r="AE1530" s="15" t="inlineStr">
        <is>
          <t>Open in Box</t>
        </is>
      </c>
      <c r="AF1530" s="15" t="inlineStr">
        <is>
          <t>Open in Box</t>
        </is>
      </c>
    </row>
    <row r="1531">
      <c r="A1531" s="11" t="inlineStr">
        <is>
          <t>WI-FORTMCCO-002</t>
        </is>
      </c>
      <c r="B1531" s="8" t="inlineStr">
        <is>
          <t>Fort McCoy</t>
        </is>
      </c>
      <c r="C1531" s="11" t="inlineStr"/>
      <c r="D1531" s="11" t="inlineStr">
        <is>
          <t>WI</t>
        </is>
      </c>
      <c r="E1531" s="11" t="inlineStr">
        <is>
          <t>La Crosse-Eau Claire</t>
        </is>
      </c>
      <c r="F1531" s="11" t="inlineStr">
        <is>
          <t>54656</t>
        </is>
      </c>
      <c r="G1531" s="11" t="inlineStr">
        <is>
          <t>Army</t>
        </is>
      </c>
      <c r="H1531" s="11" t="inlineStr">
        <is>
          <t>Digital</t>
        </is>
      </c>
      <c r="I1531" s="8" t="inlineStr">
        <is>
          <t>Digital Monitor Network</t>
        </is>
      </c>
      <c r="J1531" s="11" t="inlineStr">
        <is>
          <t>1500pxW x 844pxH</t>
        </is>
      </c>
      <c r="K1531" s="8" t="inlineStr">
        <is>
          <t>Your ad will appear on digital monitors in approved installation facilities.</t>
        </is>
      </c>
      <c r="L1531" s="11" t="n">
        <v>3</v>
      </c>
      <c r="M1531" s="12" t="n"/>
      <c r="N1531" s="12" t="n">
        <v>500</v>
      </c>
      <c r="O1531" s="12" t="n">
        <v>900</v>
      </c>
      <c r="P1531" s="12" t="n">
        <v>1500</v>
      </c>
      <c r="Q1531" s="12" t="n">
        <v>0</v>
      </c>
      <c r="R1531" s="13">
        <f>IF(ISNUMBER(M1531),ROUND(M1531/(1-Settings!$B$2)/Settings!$B$3,0)*Settings!$B$3,"")</f>
        <v/>
      </c>
      <c r="S1531" s="13">
        <f>IF(ISNUMBER(N1531),ROUND(N1531/(1-Settings!$B$2)/Settings!$B$3,0)*Settings!$B$3,"")</f>
        <v/>
      </c>
      <c r="T1531" s="13">
        <f>IF(ISNUMBER(O1531),ROUND(O1531/(1-Settings!$B$2)/Settings!$B$3,0)*Settings!$B$3,"")</f>
        <v/>
      </c>
      <c r="U1531" s="13">
        <f>IF(ISNUMBER(P1531),ROUND(P1531/(1-Settings!$B$2)/Settings!$B$3,0)*Settings!$B$3,"")</f>
        <v/>
      </c>
      <c r="V1531" s="13">
        <f>IF(ISNUMBER(Q1531),ROUND(Q1531/(1-Settings!$B$2)/Settings!$B$3,0)*Settings!$B$3,"")</f>
        <v/>
      </c>
      <c r="W1531" s="14" t="n"/>
      <c r="X1531" s="14" t="n"/>
      <c r="Y1531" s="11" t="inlineStr"/>
      <c r="Z1531" s="11" t="inlineStr"/>
      <c r="AA1531" s="8" t="inlineStr"/>
      <c r="AB1531" s="16" t="inlineStr">
        <is>
          <t>Source formula errors</t>
        </is>
      </c>
      <c r="AC1531" s="11" t="inlineStr">
        <is>
          <t>MasterMilitaryOnBaseList 12.2.25 NS.xlsx</t>
        </is>
      </c>
      <c r="AD1531" s="11" t="inlineStr">
        <is>
          <t>Sponsor_Guide_2025.pdf</t>
        </is>
      </c>
      <c r="AE1531" s="15" t="inlineStr">
        <is>
          <t>Open in Box</t>
        </is>
      </c>
      <c r="AF1531" s="15" t="inlineStr">
        <is>
          <t>Open in Box</t>
        </is>
      </c>
    </row>
    <row r="1532">
      <c r="A1532" s="11" t="inlineStr">
        <is>
          <t>WI-FORTMCCO-003</t>
        </is>
      </c>
      <c r="B1532" s="8" t="inlineStr">
        <is>
          <t>Fort McCoy</t>
        </is>
      </c>
      <c r="C1532" s="11" t="inlineStr"/>
      <c r="D1532" s="11" t="inlineStr">
        <is>
          <t>WI</t>
        </is>
      </c>
      <c r="E1532" s="11" t="inlineStr">
        <is>
          <t>La Crosse-Eau Claire</t>
        </is>
      </c>
      <c r="F1532" s="11" t="inlineStr">
        <is>
          <t>54656</t>
        </is>
      </c>
      <c r="G1532" s="11" t="inlineStr">
        <is>
          <t>Army</t>
        </is>
      </c>
      <c r="H1532" s="11" t="inlineStr">
        <is>
          <t>Digital</t>
        </is>
      </c>
      <c r="I1532" s="8" t="inlineStr">
        <is>
          <t>Outdoor Marquee</t>
        </is>
      </c>
      <c r="J1532" s="11" t="inlineStr">
        <is>
          <t>Varies</t>
        </is>
      </c>
      <c r="K1532" s="8" t="inlineStr">
        <is>
          <t>Your ad will appear on 3 outdoor digital marquees.</t>
        </is>
      </c>
      <c r="L1532" s="11" t="n">
        <v>3</v>
      </c>
      <c r="M1532" s="12" t="n"/>
      <c r="N1532" s="12" t="n">
        <v>1250</v>
      </c>
      <c r="O1532" s="12" t="n">
        <v>2500</v>
      </c>
      <c r="P1532" s="12" t="n">
        <v>5000</v>
      </c>
      <c r="Q1532" s="12" t="n">
        <v>0</v>
      </c>
      <c r="R1532" s="13">
        <f>IF(ISNUMBER(M1532),ROUND(M1532/(1-Settings!$B$2)/Settings!$B$3,0)*Settings!$B$3,"")</f>
        <v/>
      </c>
      <c r="S1532" s="13">
        <f>IF(ISNUMBER(N1532),ROUND(N1532/(1-Settings!$B$2)/Settings!$B$3,0)*Settings!$B$3,"")</f>
        <v/>
      </c>
      <c r="T1532" s="13">
        <f>IF(ISNUMBER(O1532),ROUND(O1532/(1-Settings!$B$2)/Settings!$B$3,0)*Settings!$B$3,"")</f>
        <v/>
      </c>
      <c r="U1532" s="13">
        <f>IF(ISNUMBER(P1532),ROUND(P1532/(1-Settings!$B$2)/Settings!$B$3,0)*Settings!$B$3,"")</f>
        <v/>
      </c>
      <c r="V1532" s="13">
        <f>IF(ISNUMBER(Q1532),ROUND(Q1532/(1-Settings!$B$2)/Settings!$B$3,0)*Settings!$B$3,"")</f>
        <v/>
      </c>
      <c r="W1532" s="14" t="n"/>
      <c r="X1532" s="14" t="n"/>
      <c r="Y1532" s="11" t="inlineStr"/>
      <c r="Z1532" s="11" t="inlineStr"/>
      <c r="AA1532" s="8" t="inlineStr"/>
      <c r="AB1532" s="16" t="inlineStr">
        <is>
          <t>Source formula errors</t>
        </is>
      </c>
      <c r="AC1532" s="11" t="inlineStr">
        <is>
          <t>MasterMilitaryOnBaseList 12.2.25 NS.xlsx</t>
        </is>
      </c>
      <c r="AD1532" s="11" t="inlineStr">
        <is>
          <t>Sponsor_Guide_2025.pdf</t>
        </is>
      </c>
      <c r="AE1532" s="15" t="inlineStr">
        <is>
          <t>Open in Box</t>
        </is>
      </c>
      <c r="AF1532" s="15" t="inlineStr">
        <is>
          <t>Open in Box</t>
        </is>
      </c>
    </row>
    <row r="1533">
      <c r="A1533" s="11" t="inlineStr">
        <is>
          <t>WI-FORTMCCO-005</t>
        </is>
      </c>
      <c r="B1533" s="8" t="inlineStr">
        <is>
          <t>Fort McCoy</t>
        </is>
      </c>
      <c r="C1533" s="11" t="inlineStr"/>
      <c r="D1533" s="11" t="inlineStr">
        <is>
          <t>WI</t>
        </is>
      </c>
      <c r="E1533" s="11" t="inlineStr">
        <is>
          <t>La Crosse-Eau Claire</t>
        </is>
      </c>
      <c r="F1533" s="11" t="inlineStr">
        <is>
          <t>54656</t>
        </is>
      </c>
      <c r="G1533" s="11" t="inlineStr">
        <is>
          <t>Army</t>
        </is>
      </c>
      <c r="H1533" s="11" t="inlineStr">
        <is>
          <t>Print &amp; Publications</t>
        </is>
      </c>
      <c r="I1533" s="8" t="inlineStr">
        <is>
          <t>Flyer/Brochure</t>
        </is>
      </c>
      <c r="J1533" s="11" t="inlineStr">
        <is>
          <t>TBD</t>
        </is>
      </c>
      <c r="K1533" s="8" t="inlineStr">
        <is>
          <t>Your ad will appear in approved installation facilities.</t>
        </is>
      </c>
      <c r="L1533" s="11" t="n">
        <v>6</v>
      </c>
      <c r="M1533" s="12" t="n"/>
      <c r="N1533" s="12" t="n"/>
      <c r="O1533" s="12" t="n">
        <v>400</v>
      </c>
      <c r="P1533" s="12" t="n">
        <v>600</v>
      </c>
      <c r="Q1533" s="12" t="n"/>
      <c r="R1533" s="13">
        <f>IF(ISNUMBER(M1533),ROUND(M1533/(1-Settings!$B$2)/Settings!$B$3,0)*Settings!$B$3,"")</f>
        <v/>
      </c>
      <c r="S1533" s="13">
        <f>IF(ISNUMBER(N1533),ROUND(N1533/(1-Settings!$B$2)/Settings!$B$3,0)*Settings!$B$3,"")</f>
        <v/>
      </c>
      <c r="T1533" s="13">
        <f>IF(ISNUMBER(O1533),ROUND(O1533/(1-Settings!$B$2)/Settings!$B$3,0)*Settings!$B$3,"")</f>
        <v/>
      </c>
      <c r="U1533" s="13">
        <f>IF(ISNUMBER(P1533),ROUND(P1533/(1-Settings!$B$2)/Settings!$B$3,0)*Settings!$B$3,"")</f>
        <v/>
      </c>
      <c r="V1533" s="13">
        <f>IF(ISNUMBER(Q1533),ROUND(Q1533/(1-Settings!$B$2)/Settings!$B$3,0)*Settings!$B$3,"")</f>
        <v/>
      </c>
      <c r="W1533" s="14" t="n"/>
      <c r="X1533" s="14" t="n"/>
      <c r="Y1533" s="11" t="inlineStr"/>
      <c r="Z1533" s="11" t="inlineStr"/>
      <c r="AA1533" s="8" t="inlineStr"/>
      <c r="AB1533" s="16" t="inlineStr">
        <is>
          <t>Source formula errors</t>
        </is>
      </c>
      <c r="AC1533" s="11" t="inlineStr">
        <is>
          <t>MasterMilitaryOnBaseList 12.2.25 NS.xlsx</t>
        </is>
      </c>
      <c r="AD1533" s="11" t="inlineStr">
        <is>
          <t>Sponsor_Guide_2025.pdf</t>
        </is>
      </c>
      <c r="AE1533" s="15" t="inlineStr">
        <is>
          <t>Open in Box</t>
        </is>
      </c>
      <c r="AF1533" s="15" t="inlineStr">
        <is>
          <t>Open in Box</t>
        </is>
      </c>
    </row>
    <row r="1534">
      <c r="A1534" s="11" t="inlineStr">
        <is>
          <t>WI-FORTMCCO-006</t>
        </is>
      </c>
      <c r="B1534" s="8" t="inlineStr">
        <is>
          <t>Fort McCoy</t>
        </is>
      </c>
      <c r="C1534" s="11" t="inlineStr"/>
      <c r="D1534" s="11" t="inlineStr">
        <is>
          <t>WI</t>
        </is>
      </c>
      <c r="E1534" s="11" t="inlineStr">
        <is>
          <t>La Crosse-Eau Claire</t>
        </is>
      </c>
      <c r="F1534" s="11" t="inlineStr">
        <is>
          <t>54656</t>
        </is>
      </c>
      <c r="G1534" s="11" t="inlineStr">
        <is>
          <t>Army</t>
        </is>
      </c>
      <c r="H1534" s="11" t="inlineStr">
        <is>
          <t>Print &amp; Publications</t>
        </is>
      </c>
      <c r="I1534" s="8" t="inlineStr">
        <is>
          <t>Newsletter</t>
        </is>
      </c>
      <c r="J1534" s="11" t="inlineStr">
        <is>
          <t>400pxW x 1250pxH</t>
        </is>
      </c>
      <c r="K1534" s="8" t="inlineStr">
        <is>
          <t>Your ad will appear in the bi-weekly e-newsletter.</t>
        </is>
      </c>
      <c r="L1534" s="11" t="n">
        <v>1</v>
      </c>
      <c r="M1534" s="12" t="n">
        <v>400</v>
      </c>
      <c r="N1534" s="12" t="n">
        <v>1200</v>
      </c>
      <c r="O1534" s="12" t="n">
        <v>2400</v>
      </c>
      <c r="P1534" s="12" t="n">
        <v>4800</v>
      </c>
      <c r="Q1534" s="12" t="n">
        <v>0</v>
      </c>
      <c r="R1534" s="13">
        <f>IF(ISNUMBER(M1534),ROUND(M1534/(1-Settings!$B$2)/Settings!$B$3,0)*Settings!$B$3,"")</f>
        <v/>
      </c>
      <c r="S1534" s="13">
        <f>IF(ISNUMBER(N1534),ROUND(N1534/(1-Settings!$B$2)/Settings!$B$3,0)*Settings!$B$3,"")</f>
        <v/>
      </c>
      <c r="T1534" s="13">
        <f>IF(ISNUMBER(O1534),ROUND(O1534/(1-Settings!$B$2)/Settings!$B$3,0)*Settings!$B$3,"")</f>
        <v/>
      </c>
      <c r="U1534" s="13">
        <f>IF(ISNUMBER(P1534),ROUND(P1534/(1-Settings!$B$2)/Settings!$B$3,0)*Settings!$B$3,"")</f>
        <v/>
      </c>
      <c r="V1534" s="13">
        <f>IF(ISNUMBER(Q1534),ROUND(Q1534/(1-Settings!$B$2)/Settings!$B$3,0)*Settings!$B$3,"")</f>
        <v/>
      </c>
      <c r="W1534" s="14" t="n"/>
      <c r="X1534" s="14" t="n"/>
      <c r="Y1534" s="11" t="inlineStr"/>
      <c r="Z1534" s="11" t="inlineStr"/>
      <c r="AA1534" s="8" t="inlineStr"/>
      <c r="AB1534" s="8" t="inlineStr"/>
      <c r="AC1534" s="11" t="inlineStr">
        <is>
          <t>MasterMilitaryOnBaseList 12.2.25 NS.xlsx</t>
        </is>
      </c>
      <c r="AD1534" s="11" t="inlineStr">
        <is>
          <t>Sponsor_Guide_2025.pdf</t>
        </is>
      </c>
      <c r="AE1534" s="15" t="inlineStr">
        <is>
          <t>Open in Box</t>
        </is>
      </c>
      <c r="AF1534" s="15" t="inlineStr">
        <is>
          <t>Open in Box</t>
        </is>
      </c>
    </row>
    <row r="1535">
      <c r="A1535" s="11" t="inlineStr">
        <is>
          <t>WI-FORTMCCO-004</t>
        </is>
      </c>
      <c r="B1535" s="8" t="inlineStr">
        <is>
          <t>Fort McCoy</t>
        </is>
      </c>
      <c r="C1535" s="11" t="inlineStr"/>
      <c r="D1535" s="11" t="inlineStr">
        <is>
          <t>WI</t>
        </is>
      </c>
      <c r="E1535" s="11" t="inlineStr">
        <is>
          <t>La Crosse-Eau Claire</t>
        </is>
      </c>
      <c r="F1535" s="11" t="inlineStr">
        <is>
          <t>54656</t>
        </is>
      </c>
      <c r="G1535" s="11" t="inlineStr">
        <is>
          <t>Army</t>
        </is>
      </c>
      <c r="H1535" s="11" t="inlineStr">
        <is>
          <t>Standard Media</t>
        </is>
      </c>
      <c r="I1535" s="8" t="inlineStr">
        <is>
          <t>Banners</t>
        </is>
      </c>
      <c r="J1535" s="11" t="inlineStr">
        <is>
          <t>TBD</t>
        </is>
      </c>
      <c r="K1535" s="8" t="inlineStr">
        <is>
          <t>Your ad will appear at approved installation facilities.</t>
        </is>
      </c>
      <c r="L1535" s="11" t="n">
        <v>6</v>
      </c>
      <c r="M1535" s="12" t="n"/>
      <c r="N1535" s="12" t="n"/>
      <c r="O1535" s="12" t="n">
        <v>500</v>
      </c>
      <c r="P1535" s="12" t="n">
        <v>1000</v>
      </c>
      <c r="Q1535" s="12" t="n"/>
      <c r="R1535" s="13">
        <f>IF(ISNUMBER(M1535),ROUND(M1535/(1-Settings!$B$2)/Settings!$B$3,0)*Settings!$B$3,"")</f>
        <v/>
      </c>
      <c r="S1535" s="13">
        <f>IF(ISNUMBER(N1535),ROUND(N1535/(1-Settings!$B$2)/Settings!$B$3,0)*Settings!$B$3,"")</f>
        <v/>
      </c>
      <c r="T1535" s="13">
        <f>IF(ISNUMBER(O1535),ROUND(O1535/(1-Settings!$B$2)/Settings!$B$3,0)*Settings!$B$3,"")</f>
        <v/>
      </c>
      <c r="U1535" s="13">
        <f>IF(ISNUMBER(P1535),ROUND(P1535/(1-Settings!$B$2)/Settings!$B$3,0)*Settings!$B$3,"")</f>
        <v/>
      </c>
      <c r="V1535" s="13">
        <f>IF(ISNUMBER(Q1535),ROUND(Q1535/(1-Settings!$B$2)/Settings!$B$3,0)*Settings!$B$3,"")</f>
        <v/>
      </c>
      <c r="W1535" s="14" t="n"/>
      <c r="X1535" s="14" t="n"/>
      <c r="Y1535" s="11" t="inlineStr"/>
      <c r="Z1535" s="11" t="inlineStr"/>
      <c r="AA1535" s="8" t="inlineStr"/>
      <c r="AB1535" s="16" t="inlineStr">
        <is>
          <t>Source formula errors</t>
        </is>
      </c>
      <c r="AC1535" s="11" t="inlineStr">
        <is>
          <t>MasterMilitaryOnBaseList 12.2.25 NS.xlsx</t>
        </is>
      </c>
      <c r="AD1535" s="11" t="inlineStr">
        <is>
          <t>Sponsor_Guide_2025.pdf</t>
        </is>
      </c>
      <c r="AE1535" s="15" t="inlineStr">
        <is>
          <t>Open in Box</t>
        </is>
      </c>
      <c r="AF1535" s="15" t="inlineStr">
        <is>
          <t>Open in Box</t>
        </is>
      </c>
    </row>
  </sheetData>
  <hyperlinks>
    <hyperlink xmlns:r="http://schemas.openxmlformats.org/officeDocument/2006/relationships" ref="AE2" r:id="rId1"/>
    <hyperlink xmlns:r="http://schemas.openxmlformats.org/officeDocument/2006/relationships" ref="AF2" r:id="rId2"/>
    <hyperlink xmlns:r="http://schemas.openxmlformats.org/officeDocument/2006/relationships" ref="AE3" r:id="rId3"/>
    <hyperlink xmlns:r="http://schemas.openxmlformats.org/officeDocument/2006/relationships" ref="AF3" r:id="rId4"/>
    <hyperlink xmlns:r="http://schemas.openxmlformats.org/officeDocument/2006/relationships" ref="AE4" r:id="rId5"/>
    <hyperlink xmlns:r="http://schemas.openxmlformats.org/officeDocument/2006/relationships" ref="AF4" r:id="rId6"/>
    <hyperlink xmlns:r="http://schemas.openxmlformats.org/officeDocument/2006/relationships" ref="AE5" r:id="rId7"/>
    <hyperlink xmlns:r="http://schemas.openxmlformats.org/officeDocument/2006/relationships" ref="AF5" r:id="rId8"/>
    <hyperlink xmlns:r="http://schemas.openxmlformats.org/officeDocument/2006/relationships" ref="AE6" r:id="rId9"/>
    <hyperlink xmlns:r="http://schemas.openxmlformats.org/officeDocument/2006/relationships" ref="AF6" r:id="rId10"/>
    <hyperlink xmlns:r="http://schemas.openxmlformats.org/officeDocument/2006/relationships" ref="AE7" r:id="rId11"/>
    <hyperlink xmlns:r="http://schemas.openxmlformats.org/officeDocument/2006/relationships" ref="AF7" r:id="rId12"/>
    <hyperlink xmlns:r="http://schemas.openxmlformats.org/officeDocument/2006/relationships" ref="AE8" r:id="rId13"/>
    <hyperlink xmlns:r="http://schemas.openxmlformats.org/officeDocument/2006/relationships" ref="AF8" r:id="rId14"/>
    <hyperlink xmlns:r="http://schemas.openxmlformats.org/officeDocument/2006/relationships" ref="AE9" r:id="rId15"/>
    <hyperlink xmlns:r="http://schemas.openxmlformats.org/officeDocument/2006/relationships" ref="AF9" r:id="rId16"/>
    <hyperlink xmlns:r="http://schemas.openxmlformats.org/officeDocument/2006/relationships" ref="AE10" r:id="rId17"/>
    <hyperlink xmlns:r="http://schemas.openxmlformats.org/officeDocument/2006/relationships" ref="AF10" r:id="rId18"/>
    <hyperlink xmlns:r="http://schemas.openxmlformats.org/officeDocument/2006/relationships" ref="AE11" r:id="rId19"/>
    <hyperlink xmlns:r="http://schemas.openxmlformats.org/officeDocument/2006/relationships" ref="AF11" r:id="rId20"/>
    <hyperlink xmlns:r="http://schemas.openxmlformats.org/officeDocument/2006/relationships" ref="AE12" r:id="rId21"/>
    <hyperlink xmlns:r="http://schemas.openxmlformats.org/officeDocument/2006/relationships" ref="AF12" r:id="rId22"/>
    <hyperlink xmlns:r="http://schemas.openxmlformats.org/officeDocument/2006/relationships" ref="AE13" r:id="rId23"/>
    <hyperlink xmlns:r="http://schemas.openxmlformats.org/officeDocument/2006/relationships" ref="AF13" r:id="rId24"/>
    <hyperlink xmlns:r="http://schemas.openxmlformats.org/officeDocument/2006/relationships" ref="AE14" r:id="rId25"/>
    <hyperlink xmlns:r="http://schemas.openxmlformats.org/officeDocument/2006/relationships" ref="AF14" r:id="rId26"/>
    <hyperlink xmlns:r="http://schemas.openxmlformats.org/officeDocument/2006/relationships" ref="AE15" r:id="rId27"/>
    <hyperlink xmlns:r="http://schemas.openxmlformats.org/officeDocument/2006/relationships" ref="AF15" r:id="rId28"/>
    <hyperlink xmlns:r="http://schemas.openxmlformats.org/officeDocument/2006/relationships" ref="AE16" r:id="rId29"/>
    <hyperlink xmlns:r="http://schemas.openxmlformats.org/officeDocument/2006/relationships" ref="AF16" r:id="rId30"/>
    <hyperlink xmlns:r="http://schemas.openxmlformats.org/officeDocument/2006/relationships" ref="AE17" r:id="rId31"/>
    <hyperlink xmlns:r="http://schemas.openxmlformats.org/officeDocument/2006/relationships" ref="AF17" r:id="rId32"/>
    <hyperlink xmlns:r="http://schemas.openxmlformats.org/officeDocument/2006/relationships" ref="AE18" r:id="rId33"/>
    <hyperlink xmlns:r="http://schemas.openxmlformats.org/officeDocument/2006/relationships" ref="AF18" r:id="rId34"/>
    <hyperlink xmlns:r="http://schemas.openxmlformats.org/officeDocument/2006/relationships" ref="AE19" r:id="rId35"/>
    <hyperlink xmlns:r="http://schemas.openxmlformats.org/officeDocument/2006/relationships" ref="AF19" r:id="rId36"/>
    <hyperlink xmlns:r="http://schemas.openxmlformats.org/officeDocument/2006/relationships" ref="AE20" r:id="rId37"/>
    <hyperlink xmlns:r="http://schemas.openxmlformats.org/officeDocument/2006/relationships" ref="AF20" r:id="rId38"/>
    <hyperlink xmlns:r="http://schemas.openxmlformats.org/officeDocument/2006/relationships" ref="AE21" r:id="rId39"/>
    <hyperlink xmlns:r="http://schemas.openxmlformats.org/officeDocument/2006/relationships" ref="AF21" r:id="rId40"/>
    <hyperlink xmlns:r="http://schemas.openxmlformats.org/officeDocument/2006/relationships" ref="AE22" r:id="rId41"/>
    <hyperlink xmlns:r="http://schemas.openxmlformats.org/officeDocument/2006/relationships" ref="AF22" r:id="rId42"/>
    <hyperlink xmlns:r="http://schemas.openxmlformats.org/officeDocument/2006/relationships" ref="AE23" r:id="rId43"/>
    <hyperlink xmlns:r="http://schemas.openxmlformats.org/officeDocument/2006/relationships" ref="AF23" r:id="rId44"/>
    <hyperlink xmlns:r="http://schemas.openxmlformats.org/officeDocument/2006/relationships" ref="AE24" r:id="rId45"/>
    <hyperlink xmlns:r="http://schemas.openxmlformats.org/officeDocument/2006/relationships" ref="AF24" r:id="rId46"/>
    <hyperlink xmlns:r="http://schemas.openxmlformats.org/officeDocument/2006/relationships" ref="AE25" r:id="rId47"/>
    <hyperlink xmlns:r="http://schemas.openxmlformats.org/officeDocument/2006/relationships" ref="AF25" r:id="rId48"/>
    <hyperlink xmlns:r="http://schemas.openxmlformats.org/officeDocument/2006/relationships" ref="AE26" r:id="rId49"/>
    <hyperlink xmlns:r="http://schemas.openxmlformats.org/officeDocument/2006/relationships" ref="AF26" r:id="rId50"/>
    <hyperlink xmlns:r="http://schemas.openxmlformats.org/officeDocument/2006/relationships" ref="AE27" r:id="rId51"/>
    <hyperlink xmlns:r="http://schemas.openxmlformats.org/officeDocument/2006/relationships" ref="AF27" r:id="rId52"/>
    <hyperlink xmlns:r="http://schemas.openxmlformats.org/officeDocument/2006/relationships" ref="AE28" r:id="rId53"/>
    <hyperlink xmlns:r="http://schemas.openxmlformats.org/officeDocument/2006/relationships" ref="AF28" r:id="rId54"/>
    <hyperlink xmlns:r="http://schemas.openxmlformats.org/officeDocument/2006/relationships" ref="AE29" r:id="rId55"/>
    <hyperlink xmlns:r="http://schemas.openxmlformats.org/officeDocument/2006/relationships" ref="AF29" r:id="rId56"/>
    <hyperlink xmlns:r="http://schemas.openxmlformats.org/officeDocument/2006/relationships" ref="AE30" r:id="rId57"/>
    <hyperlink xmlns:r="http://schemas.openxmlformats.org/officeDocument/2006/relationships" ref="AF30" r:id="rId58"/>
    <hyperlink xmlns:r="http://schemas.openxmlformats.org/officeDocument/2006/relationships" ref="AE31" r:id="rId59"/>
    <hyperlink xmlns:r="http://schemas.openxmlformats.org/officeDocument/2006/relationships" ref="AF31" r:id="rId60"/>
    <hyperlink xmlns:r="http://schemas.openxmlformats.org/officeDocument/2006/relationships" ref="AE32" r:id="rId61"/>
    <hyperlink xmlns:r="http://schemas.openxmlformats.org/officeDocument/2006/relationships" ref="AF32" r:id="rId62"/>
    <hyperlink xmlns:r="http://schemas.openxmlformats.org/officeDocument/2006/relationships" ref="AE33" r:id="rId63"/>
    <hyperlink xmlns:r="http://schemas.openxmlformats.org/officeDocument/2006/relationships" ref="AF33" r:id="rId64"/>
    <hyperlink xmlns:r="http://schemas.openxmlformats.org/officeDocument/2006/relationships" ref="AE34" r:id="rId65"/>
    <hyperlink xmlns:r="http://schemas.openxmlformats.org/officeDocument/2006/relationships" ref="AF34" r:id="rId66"/>
    <hyperlink xmlns:r="http://schemas.openxmlformats.org/officeDocument/2006/relationships" ref="AE35" r:id="rId67"/>
    <hyperlink xmlns:r="http://schemas.openxmlformats.org/officeDocument/2006/relationships" ref="AF35" r:id="rId68"/>
    <hyperlink xmlns:r="http://schemas.openxmlformats.org/officeDocument/2006/relationships" ref="AE36" r:id="rId69"/>
    <hyperlink xmlns:r="http://schemas.openxmlformats.org/officeDocument/2006/relationships" ref="AF36" r:id="rId70"/>
    <hyperlink xmlns:r="http://schemas.openxmlformats.org/officeDocument/2006/relationships" ref="AE37" r:id="rId71"/>
    <hyperlink xmlns:r="http://schemas.openxmlformats.org/officeDocument/2006/relationships" ref="AF37" r:id="rId72"/>
    <hyperlink xmlns:r="http://schemas.openxmlformats.org/officeDocument/2006/relationships" ref="AE38" r:id="rId73"/>
    <hyperlink xmlns:r="http://schemas.openxmlformats.org/officeDocument/2006/relationships" ref="AF38" r:id="rId74"/>
    <hyperlink xmlns:r="http://schemas.openxmlformats.org/officeDocument/2006/relationships" ref="AE39" r:id="rId75"/>
    <hyperlink xmlns:r="http://schemas.openxmlformats.org/officeDocument/2006/relationships" ref="AF39" r:id="rId76"/>
    <hyperlink xmlns:r="http://schemas.openxmlformats.org/officeDocument/2006/relationships" ref="AE40" r:id="rId77"/>
    <hyperlink xmlns:r="http://schemas.openxmlformats.org/officeDocument/2006/relationships" ref="AF40" r:id="rId78"/>
    <hyperlink xmlns:r="http://schemas.openxmlformats.org/officeDocument/2006/relationships" ref="AE41" r:id="rId79"/>
    <hyperlink xmlns:r="http://schemas.openxmlformats.org/officeDocument/2006/relationships" ref="AF41" r:id="rId80"/>
    <hyperlink xmlns:r="http://schemas.openxmlformats.org/officeDocument/2006/relationships" ref="AE42" r:id="rId81"/>
    <hyperlink xmlns:r="http://schemas.openxmlformats.org/officeDocument/2006/relationships" ref="AF42" r:id="rId82"/>
    <hyperlink xmlns:r="http://schemas.openxmlformats.org/officeDocument/2006/relationships" ref="AE43" r:id="rId83"/>
    <hyperlink xmlns:r="http://schemas.openxmlformats.org/officeDocument/2006/relationships" ref="AF43" r:id="rId84"/>
    <hyperlink xmlns:r="http://schemas.openxmlformats.org/officeDocument/2006/relationships" ref="AE44" r:id="rId85"/>
    <hyperlink xmlns:r="http://schemas.openxmlformats.org/officeDocument/2006/relationships" ref="AF44" r:id="rId86"/>
    <hyperlink xmlns:r="http://schemas.openxmlformats.org/officeDocument/2006/relationships" ref="AE45" r:id="rId87"/>
    <hyperlink xmlns:r="http://schemas.openxmlformats.org/officeDocument/2006/relationships" ref="AF45" r:id="rId88"/>
    <hyperlink xmlns:r="http://schemas.openxmlformats.org/officeDocument/2006/relationships" ref="AE46" r:id="rId89"/>
    <hyperlink xmlns:r="http://schemas.openxmlformats.org/officeDocument/2006/relationships" ref="AF46" r:id="rId90"/>
    <hyperlink xmlns:r="http://schemas.openxmlformats.org/officeDocument/2006/relationships" ref="AE47" r:id="rId91"/>
    <hyperlink xmlns:r="http://schemas.openxmlformats.org/officeDocument/2006/relationships" ref="AF47" r:id="rId92"/>
    <hyperlink xmlns:r="http://schemas.openxmlformats.org/officeDocument/2006/relationships" ref="AE48" r:id="rId93"/>
    <hyperlink xmlns:r="http://schemas.openxmlformats.org/officeDocument/2006/relationships" ref="AF48" r:id="rId94"/>
    <hyperlink xmlns:r="http://schemas.openxmlformats.org/officeDocument/2006/relationships" ref="AE49" r:id="rId95"/>
    <hyperlink xmlns:r="http://schemas.openxmlformats.org/officeDocument/2006/relationships" ref="AF49" r:id="rId96"/>
    <hyperlink xmlns:r="http://schemas.openxmlformats.org/officeDocument/2006/relationships" ref="AE50" r:id="rId97"/>
    <hyperlink xmlns:r="http://schemas.openxmlformats.org/officeDocument/2006/relationships" ref="AF50" r:id="rId98"/>
    <hyperlink xmlns:r="http://schemas.openxmlformats.org/officeDocument/2006/relationships" ref="AE51" r:id="rId99"/>
    <hyperlink xmlns:r="http://schemas.openxmlformats.org/officeDocument/2006/relationships" ref="AF51" r:id="rId100"/>
    <hyperlink xmlns:r="http://schemas.openxmlformats.org/officeDocument/2006/relationships" ref="AE52" r:id="rId101"/>
    <hyperlink xmlns:r="http://schemas.openxmlformats.org/officeDocument/2006/relationships" ref="AF52" r:id="rId102"/>
    <hyperlink xmlns:r="http://schemas.openxmlformats.org/officeDocument/2006/relationships" ref="AE53" r:id="rId103"/>
    <hyperlink xmlns:r="http://schemas.openxmlformats.org/officeDocument/2006/relationships" ref="AF53" r:id="rId104"/>
    <hyperlink xmlns:r="http://schemas.openxmlformats.org/officeDocument/2006/relationships" ref="AE54" r:id="rId105"/>
    <hyperlink xmlns:r="http://schemas.openxmlformats.org/officeDocument/2006/relationships" ref="AF54" r:id="rId106"/>
    <hyperlink xmlns:r="http://schemas.openxmlformats.org/officeDocument/2006/relationships" ref="AE55" r:id="rId107"/>
    <hyperlink xmlns:r="http://schemas.openxmlformats.org/officeDocument/2006/relationships" ref="AF55" r:id="rId108"/>
    <hyperlink xmlns:r="http://schemas.openxmlformats.org/officeDocument/2006/relationships" ref="AE56" r:id="rId109"/>
    <hyperlink xmlns:r="http://schemas.openxmlformats.org/officeDocument/2006/relationships" ref="AF56" r:id="rId110"/>
    <hyperlink xmlns:r="http://schemas.openxmlformats.org/officeDocument/2006/relationships" ref="AE57" r:id="rId111"/>
    <hyperlink xmlns:r="http://schemas.openxmlformats.org/officeDocument/2006/relationships" ref="AF57" r:id="rId112"/>
    <hyperlink xmlns:r="http://schemas.openxmlformats.org/officeDocument/2006/relationships" ref="AE58" r:id="rId113"/>
    <hyperlink xmlns:r="http://schemas.openxmlformats.org/officeDocument/2006/relationships" ref="AF58" r:id="rId114"/>
    <hyperlink xmlns:r="http://schemas.openxmlformats.org/officeDocument/2006/relationships" ref="AE59" r:id="rId115"/>
    <hyperlink xmlns:r="http://schemas.openxmlformats.org/officeDocument/2006/relationships" ref="AF59" r:id="rId116"/>
    <hyperlink xmlns:r="http://schemas.openxmlformats.org/officeDocument/2006/relationships" ref="AE60" r:id="rId117"/>
    <hyperlink xmlns:r="http://schemas.openxmlformats.org/officeDocument/2006/relationships" ref="AF60" r:id="rId118"/>
    <hyperlink xmlns:r="http://schemas.openxmlformats.org/officeDocument/2006/relationships" ref="AE61" r:id="rId119"/>
    <hyperlink xmlns:r="http://schemas.openxmlformats.org/officeDocument/2006/relationships" ref="AF61" r:id="rId120"/>
    <hyperlink xmlns:r="http://schemas.openxmlformats.org/officeDocument/2006/relationships" ref="AE62" r:id="rId121"/>
    <hyperlink xmlns:r="http://schemas.openxmlformats.org/officeDocument/2006/relationships" ref="AF62" r:id="rId122"/>
    <hyperlink xmlns:r="http://schemas.openxmlformats.org/officeDocument/2006/relationships" ref="AE63" r:id="rId123"/>
    <hyperlink xmlns:r="http://schemas.openxmlformats.org/officeDocument/2006/relationships" ref="AF63" r:id="rId124"/>
    <hyperlink xmlns:r="http://schemas.openxmlformats.org/officeDocument/2006/relationships" ref="AE64" r:id="rId125"/>
    <hyperlink xmlns:r="http://schemas.openxmlformats.org/officeDocument/2006/relationships" ref="AF64" r:id="rId126"/>
    <hyperlink xmlns:r="http://schemas.openxmlformats.org/officeDocument/2006/relationships" ref="AE65" r:id="rId127"/>
    <hyperlink xmlns:r="http://schemas.openxmlformats.org/officeDocument/2006/relationships" ref="AF65" r:id="rId128"/>
    <hyperlink xmlns:r="http://schemas.openxmlformats.org/officeDocument/2006/relationships" ref="AE66" r:id="rId129"/>
    <hyperlink xmlns:r="http://schemas.openxmlformats.org/officeDocument/2006/relationships" ref="AF66" r:id="rId130"/>
    <hyperlink xmlns:r="http://schemas.openxmlformats.org/officeDocument/2006/relationships" ref="AE67" r:id="rId131"/>
    <hyperlink xmlns:r="http://schemas.openxmlformats.org/officeDocument/2006/relationships" ref="AF67" r:id="rId132"/>
    <hyperlink xmlns:r="http://schemas.openxmlformats.org/officeDocument/2006/relationships" ref="AE68" r:id="rId133"/>
    <hyperlink xmlns:r="http://schemas.openxmlformats.org/officeDocument/2006/relationships" ref="AF68" r:id="rId134"/>
    <hyperlink xmlns:r="http://schemas.openxmlformats.org/officeDocument/2006/relationships" ref="AE69" r:id="rId135"/>
    <hyperlink xmlns:r="http://schemas.openxmlformats.org/officeDocument/2006/relationships" ref="AF69" r:id="rId136"/>
    <hyperlink xmlns:r="http://schemas.openxmlformats.org/officeDocument/2006/relationships" ref="AE70" r:id="rId137"/>
    <hyperlink xmlns:r="http://schemas.openxmlformats.org/officeDocument/2006/relationships" ref="AF70" r:id="rId138"/>
    <hyperlink xmlns:r="http://schemas.openxmlformats.org/officeDocument/2006/relationships" ref="AE71" r:id="rId139"/>
    <hyperlink xmlns:r="http://schemas.openxmlformats.org/officeDocument/2006/relationships" ref="AF71" r:id="rId140"/>
    <hyperlink xmlns:r="http://schemas.openxmlformats.org/officeDocument/2006/relationships" ref="AE72" r:id="rId141"/>
    <hyperlink xmlns:r="http://schemas.openxmlformats.org/officeDocument/2006/relationships" ref="AF72" r:id="rId142"/>
    <hyperlink xmlns:r="http://schemas.openxmlformats.org/officeDocument/2006/relationships" ref="AE73" r:id="rId143"/>
    <hyperlink xmlns:r="http://schemas.openxmlformats.org/officeDocument/2006/relationships" ref="AF73" r:id="rId144"/>
    <hyperlink xmlns:r="http://schemas.openxmlformats.org/officeDocument/2006/relationships" ref="AE74" r:id="rId145"/>
    <hyperlink xmlns:r="http://schemas.openxmlformats.org/officeDocument/2006/relationships" ref="AF74" r:id="rId146"/>
    <hyperlink xmlns:r="http://schemas.openxmlformats.org/officeDocument/2006/relationships" ref="AE75" r:id="rId147"/>
    <hyperlink xmlns:r="http://schemas.openxmlformats.org/officeDocument/2006/relationships" ref="AF75" r:id="rId148"/>
    <hyperlink xmlns:r="http://schemas.openxmlformats.org/officeDocument/2006/relationships" ref="AE76" r:id="rId149"/>
    <hyperlink xmlns:r="http://schemas.openxmlformats.org/officeDocument/2006/relationships" ref="AF76" r:id="rId150"/>
    <hyperlink xmlns:r="http://schemas.openxmlformats.org/officeDocument/2006/relationships" ref="AE77" r:id="rId151"/>
    <hyperlink xmlns:r="http://schemas.openxmlformats.org/officeDocument/2006/relationships" ref="AF77" r:id="rId152"/>
    <hyperlink xmlns:r="http://schemas.openxmlformats.org/officeDocument/2006/relationships" ref="AE78" r:id="rId153"/>
    <hyperlink xmlns:r="http://schemas.openxmlformats.org/officeDocument/2006/relationships" ref="AF78" r:id="rId154"/>
    <hyperlink xmlns:r="http://schemas.openxmlformats.org/officeDocument/2006/relationships" ref="AE79" r:id="rId155"/>
    <hyperlink xmlns:r="http://schemas.openxmlformats.org/officeDocument/2006/relationships" ref="AF79" r:id="rId156"/>
    <hyperlink xmlns:r="http://schemas.openxmlformats.org/officeDocument/2006/relationships" ref="AE80" r:id="rId157"/>
    <hyperlink xmlns:r="http://schemas.openxmlformats.org/officeDocument/2006/relationships" ref="AF80" r:id="rId158"/>
    <hyperlink xmlns:r="http://schemas.openxmlformats.org/officeDocument/2006/relationships" ref="AE81" r:id="rId159"/>
    <hyperlink xmlns:r="http://schemas.openxmlformats.org/officeDocument/2006/relationships" ref="AF81" r:id="rId160"/>
    <hyperlink xmlns:r="http://schemas.openxmlformats.org/officeDocument/2006/relationships" ref="AE82" r:id="rId161"/>
    <hyperlink xmlns:r="http://schemas.openxmlformats.org/officeDocument/2006/relationships" ref="AF82" r:id="rId162"/>
    <hyperlink xmlns:r="http://schemas.openxmlformats.org/officeDocument/2006/relationships" ref="AE83" r:id="rId163"/>
    <hyperlink xmlns:r="http://schemas.openxmlformats.org/officeDocument/2006/relationships" ref="AF83" r:id="rId164"/>
    <hyperlink xmlns:r="http://schemas.openxmlformats.org/officeDocument/2006/relationships" ref="AE84" r:id="rId165"/>
    <hyperlink xmlns:r="http://schemas.openxmlformats.org/officeDocument/2006/relationships" ref="AF84" r:id="rId166"/>
    <hyperlink xmlns:r="http://schemas.openxmlformats.org/officeDocument/2006/relationships" ref="AE85" r:id="rId167"/>
    <hyperlink xmlns:r="http://schemas.openxmlformats.org/officeDocument/2006/relationships" ref="AF85" r:id="rId168"/>
    <hyperlink xmlns:r="http://schemas.openxmlformats.org/officeDocument/2006/relationships" ref="AE86" r:id="rId169"/>
    <hyperlink xmlns:r="http://schemas.openxmlformats.org/officeDocument/2006/relationships" ref="AF86" r:id="rId170"/>
    <hyperlink xmlns:r="http://schemas.openxmlformats.org/officeDocument/2006/relationships" ref="AE87" r:id="rId171"/>
    <hyperlink xmlns:r="http://schemas.openxmlformats.org/officeDocument/2006/relationships" ref="AF87" r:id="rId172"/>
    <hyperlink xmlns:r="http://schemas.openxmlformats.org/officeDocument/2006/relationships" ref="AE88" r:id="rId173"/>
    <hyperlink xmlns:r="http://schemas.openxmlformats.org/officeDocument/2006/relationships" ref="AF88" r:id="rId174"/>
    <hyperlink xmlns:r="http://schemas.openxmlformats.org/officeDocument/2006/relationships" ref="AE89" r:id="rId175"/>
    <hyperlink xmlns:r="http://schemas.openxmlformats.org/officeDocument/2006/relationships" ref="AF89" r:id="rId176"/>
    <hyperlink xmlns:r="http://schemas.openxmlformats.org/officeDocument/2006/relationships" ref="AE90" r:id="rId177"/>
    <hyperlink xmlns:r="http://schemas.openxmlformats.org/officeDocument/2006/relationships" ref="AF90" r:id="rId178"/>
    <hyperlink xmlns:r="http://schemas.openxmlformats.org/officeDocument/2006/relationships" ref="AE91" r:id="rId179"/>
    <hyperlink xmlns:r="http://schemas.openxmlformats.org/officeDocument/2006/relationships" ref="AF91" r:id="rId180"/>
    <hyperlink xmlns:r="http://schemas.openxmlformats.org/officeDocument/2006/relationships" ref="AE92" r:id="rId181"/>
    <hyperlink xmlns:r="http://schemas.openxmlformats.org/officeDocument/2006/relationships" ref="AF92" r:id="rId182"/>
    <hyperlink xmlns:r="http://schemas.openxmlformats.org/officeDocument/2006/relationships" ref="AE93" r:id="rId183"/>
    <hyperlink xmlns:r="http://schemas.openxmlformats.org/officeDocument/2006/relationships" ref="AF93" r:id="rId184"/>
    <hyperlink xmlns:r="http://schemas.openxmlformats.org/officeDocument/2006/relationships" ref="AE94" r:id="rId185"/>
    <hyperlink xmlns:r="http://schemas.openxmlformats.org/officeDocument/2006/relationships" ref="AF94" r:id="rId186"/>
    <hyperlink xmlns:r="http://schemas.openxmlformats.org/officeDocument/2006/relationships" ref="AE95" r:id="rId187"/>
    <hyperlink xmlns:r="http://schemas.openxmlformats.org/officeDocument/2006/relationships" ref="AF95" r:id="rId188"/>
    <hyperlink xmlns:r="http://schemas.openxmlformats.org/officeDocument/2006/relationships" ref="AE96" r:id="rId189"/>
    <hyperlink xmlns:r="http://schemas.openxmlformats.org/officeDocument/2006/relationships" ref="AF96" r:id="rId190"/>
    <hyperlink xmlns:r="http://schemas.openxmlformats.org/officeDocument/2006/relationships" ref="AE97" r:id="rId191"/>
    <hyperlink xmlns:r="http://schemas.openxmlformats.org/officeDocument/2006/relationships" ref="AF97" r:id="rId192"/>
    <hyperlink xmlns:r="http://schemas.openxmlformats.org/officeDocument/2006/relationships" ref="AE98" r:id="rId193"/>
    <hyperlink xmlns:r="http://schemas.openxmlformats.org/officeDocument/2006/relationships" ref="AF98" r:id="rId194"/>
    <hyperlink xmlns:r="http://schemas.openxmlformats.org/officeDocument/2006/relationships" ref="AE99" r:id="rId195"/>
    <hyperlink xmlns:r="http://schemas.openxmlformats.org/officeDocument/2006/relationships" ref="AF99" r:id="rId196"/>
    <hyperlink xmlns:r="http://schemas.openxmlformats.org/officeDocument/2006/relationships" ref="AE100" r:id="rId197"/>
    <hyperlink xmlns:r="http://schemas.openxmlformats.org/officeDocument/2006/relationships" ref="AF100" r:id="rId198"/>
    <hyperlink xmlns:r="http://schemas.openxmlformats.org/officeDocument/2006/relationships" ref="AE101" r:id="rId199"/>
    <hyperlink xmlns:r="http://schemas.openxmlformats.org/officeDocument/2006/relationships" ref="AF101" r:id="rId200"/>
    <hyperlink xmlns:r="http://schemas.openxmlformats.org/officeDocument/2006/relationships" ref="AE102" r:id="rId201"/>
    <hyperlink xmlns:r="http://schemas.openxmlformats.org/officeDocument/2006/relationships" ref="AF102" r:id="rId202"/>
    <hyperlink xmlns:r="http://schemas.openxmlformats.org/officeDocument/2006/relationships" ref="AE103" r:id="rId203"/>
    <hyperlink xmlns:r="http://schemas.openxmlformats.org/officeDocument/2006/relationships" ref="AF103" r:id="rId204"/>
    <hyperlink xmlns:r="http://schemas.openxmlformats.org/officeDocument/2006/relationships" ref="AE104" r:id="rId205"/>
    <hyperlink xmlns:r="http://schemas.openxmlformats.org/officeDocument/2006/relationships" ref="AF104" r:id="rId206"/>
    <hyperlink xmlns:r="http://schemas.openxmlformats.org/officeDocument/2006/relationships" ref="AE105" r:id="rId207"/>
    <hyperlink xmlns:r="http://schemas.openxmlformats.org/officeDocument/2006/relationships" ref="AF105" r:id="rId208"/>
    <hyperlink xmlns:r="http://schemas.openxmlformats.org/officeDocument/2006/relationships" ref="AE106" r:id="rId209"/>
    <hyperlink xmlns:r="http://schemas.openxmlformats.org/officeDocument/2006/relationships" ref="AF106" r:id="rId210"/>
    <hyperlink xmlns:r="http://schemas.openxmlformats.org/officeDocument/2006/relationships" ref="AE107" r:id="rId211"/>
    <hyperlink xmlns:r="http://schemas.openxmlformats.org/officeDocument/2006/relationships" ref="AF107" r:id="rId212"/>
    <hyperlink xmlns:r="http://schemas.openxmlformats.org/officeDocument/2006/relationships" ref="AE108" r:id="rId213"/>
    <hyperlink xmlns:r="http://schemas.openxmlformats.org/officeDocument/2006/relationships" ref="AF108" r:id="rId214"/>
    <hyperlink xmlns:r="http://schemas.openxmlformats.org/officeDocument/2006/relationships" ref="AE109" r:id="rId215"/>
    <hyperlink xmlns:r="http://schemas.openxmlformats.org/officeDocument/2006/relationships" ref="AF109" r:id="rId216"/>
    <hyperlink xmlns:r="http://schemas.openxmlformats.org/officeDocument/2006/relationships" ref="AE110" r:id="rId217"/>
    <hyperlink xmlns:r="http://schemas.openxmlformats.org/officeDocument/2006/relationships" ref="AF110" r:id="rId218"/>
    <hyperlink xmlns:r="http://schemas.openxmlformats.org/officeDocument/2006/relationships" ref="AE111" r:id="rId219"/>
    <hyperlink xmlns:r="http://schemas.openxmlformats.org/officeDocument/2006/relationships" ref="AF111" r:id="rId220"/>
    <hyperlink xmlns:r="http://schemas.openxmlformats.org/officeDocument/2006/relationships" ref="AE112" r:id="rId221"/>
    <hyperlink xmlns:r="http://schemas.openxmlformats.org/officeDocument/2006/relationships" ref="AF112" r:id="rId222"/>
    <hyperlink xmlns:r="http://schemas.openxmlformats.org/officeDocument/2006/relationships" ref="AE113" r:id="rId223"/>
    <hyperlink xmlns:r="http://schemas.openxmlformats.org/officeDocument/2006/relationships" ref="AF113" r:id="rId224"/>
    <hyperlink xmlns:r="http://schemas.openxmlformats.org/officeDocument/2006/relationships" ref="AE114" r:id="rId225"/>
    <hyperlink xmlns:r="http://schemas.openxmlformats.org/officeDocument/2006/relationships" ref="AF114" r:id="rId226"/>
    <hyperlink xmlns:r="http://schemas.openxmlformats.org/officeDocument/2006/relationships" ref="AE115" r:id="rId227"/>
    <hyperlink xmlns:r="http://schemas.openxmlformats.org/officeDocument/2006/relationships" ref="AF115" r:id="rId228"/>
    <hyperlink xmlns:r="http://schemas.openxmlformats.org/officeDocument/2006/relationships" ref="AE116" r:id="rId229"/>
    <hyperlink xmlns:r="http://schemas.openxmlformats.org/officeDocument/2006/relationships" ref="AF116" r:id="rId230"/>
    <hyperlink xmlns:r="http://schemas.openxmlformats.org/officeDocument/2006/relationships" ref="AE117" r:id="rId231"/>
    <hyperlink xmlns:r="http://schemas.openxmlformats.org/officeDocument/2006/relationships" ref="AF117" r:id="rId232"/>
    <hyperlink xmlns:r="http://schemas.openxmlformats.org/officeDocument/2006/relationships" ref="AE118" r:id="rId233"/>
    <hyperlink xmlns:r="http://schemas.openxmlformats.org/officeDocument/2006/relationships" ref="AF118" r:id="rId234"/>
    <hyperlink xmlns:r="http://schemas.openxmlformats.org/officeDocument/2006/relationships" ref="AE119" r:id="rId235"/>
    <hyperlink xmlns:r="http://schemas.openxmlformats.org/officeDocument/2006/relationships" ref="AF119" r:id="rId236"/>
    <hyperlink xmlns:r="http://schemas.openxmlformats.org/officeDocument/2006/relationships" ref="AE120" r:id="rId237"/>
    <hyperlink xmlns:r="http://schemas.openxmlformats.org/officeDocument/2006/relationships" ref="AF120" r:id="rId238"/>
    <hyperlink xmlns:r="http://schemas.openxmlformats.org/officeDocument/2006/relationships" ref="AE121" r:id="rId239"/>
    <hyperlink xmlns:r="http://schemas.openxmlformats.org/officeDocument/2006/relationships" ref="AF121" r:id="rId240"/>
    <hyperlink xmlns:r="http://schemas.openxmlformats.org/officeDocument/2006/relationships" ref="AE122" r:id="rId241"/>
    <hyperlink xmlns:r="http://schemas.openxmlformats.org/officeDocument/2006/relationships" ref="AF122" r:id="rId242"/>
    <hyperlink xmlns:r="http://schemas.openxmlformats.org/officeDocument/2006/relationships" ref="AE123" r:id="rId243"/>
    <hyperlink xmlns:r="http://schemas.openxmlformats.org/officeDocument/2006/relationships" ref="AF123" r:id="rId244"/>
    <hyperlink xmlns:r="http://schemas.openxmlformats.org/officeDocument/2006/relationships" ref="AE124" r:id="rId245"/>
    <hyperlink xmlns:r="http://schemas.openxmlformats.org/officeDocument/2006/relationships" ref="AF124" r:id="rId246"/>
    <hyperlink xmlns:r="http://schemas.openxmlformats.org/officeDocument/2006/relationships" ref="AE125" r:id="rId247"/>
    <hyperlink xmlns:r="http://schemas.openxmlformats.org/officeDocument/2006/relationships" ref="AF125" r:id="rId248"/>
    <hyperlink xmlns:r="http://schemas.openxmlformats.org/officeDocument/2006/relationships" ref="AE126" r:id="rId249"/>
    <hyperlink xmlns:r="http://schemas.openxmlformats.org/officeDocument/2006/relationships" ref="AF126" r:id="rId250"/>
    <hyperlink xmlns:r="http://schemas.openxmlformats.org/officeDocument/2006/relationships" ref="AE127" r:id="rId251"/>
    <hyperlink xmlns:r="http://schemas.openxmlformats.org/officeDocument/2006/relationships" ref="AF127" r:id="rId252"/>
    <hyperlink xmlns:r="http://schemas.openxmlformats.org/officeDocument/2006/relationships" ref="AE128" r:id="rId253"/>
    <hyperlink xmlns:r="http://schemas.openxmlformats.org/officeDocument/2006/relationships" ref="AF128" r:id="rId254"/>
    <hyperlink xmlns:r="http://schemas.openxmlformats.org/officeDocument/2006/relationships" ref="AE129" r:id="rId255"/>
    <hyperlink xmlns:r="http://schemas.openxmlformats.org/officeDocument/2006/relationships" ref="AF129" r:id="rId256"/>
    <hyperlink xmlns:r="http://schemas.openxmlformats.org/officeDocument/2006/relationships" ref="AE130" r:id="rId257"/>
    <hyperlink xmlns:r="http://schemas.openxmlformats.org/officeDocument/2006/relationships" ref="AF130" r:id="rId258"/>
    <hyperlink xmlns:r="http://schemas.openxmlformats.org/officeDocument/2006/relationships" ref="AE131" r:id="rId259"/>
    <hyperlink xmlns:r="http://schemas.openxmlformats.org/officeDocument/2006/relationships" ref="AF131" r:id="rId260"/>
    <hyperlink xmlns:r="http://schemas.openxmlformats.org/officeDocument/2006/relationships" ref="AE132" r:id="rId261"/>
    <hyperlink xmlns:r="http://schemas.openxmlformats.org/officeDocument/2006/relationships" ref="AF132" r:id="rId262"/>
    <hyperlink xmlns:r="http://schemas.openxmlformats.org/officeDocument/2006/relationships" ref="AE133" r:id="rId263"/>
    <hyperlink xmlns:r="http://schemas.openxmlformats.org/officeDocument/2006/relationships" ref="AF133" r:id="rId264"/>
    <hyperlink xmlns:r="http://schemas.openxmlformats.org/officeDocument/2006/relationships" ref="AE134" r:id="rId265"/>
    <hyperlink xmlns:r="http://schemas.openxmlformats.org/officeDocument/2006/relationships" ref="AF134" r:id="rId266"/>
    <hyperlink xmlns:r="http://schemas.openxmlformats.org/officeDocument/2006/relationships" ref="AE135" r:id="rId267"/>
    <hyperlink xmlns:r="http://schemas.openxmlformats.org/officeDocument/2006/relationships" ref="AF135" r:id="rId268"/>
    <hyperlink xmlns:r="http://schemas.openxmlformats.org/officeDocument/2006/relationships" ref="AE136" r:id="rId269"/>
    <hyperlink xmlns:r="http://schemas.openxmlformats.org/officeDocument/2006/relationships" ref="AF136" r:id="rId270"/>
    <hyperlink xmlns:r="http://schemas.openxmlformats.org/officeDocument/2006/relationships" ref="AE137" r:id="rId271"/>
    <hyperlink xmlns:r="http://schemas.openxmlformats.org/officeDocument/2006/relationships" ref="AF137" r:id="rId272"/>
    <hyperlink xmlns:r="http://schemas.openxmlformats.org/officeDocument/2006/relationships" ref="AE138" r:id="rId273"/>
    <hyperlink xmlns:r="http://schemas.openxmlformats.org/officeDocument/2006/relationships" ref="AF138" r:id="rId274"/>
    <hyperlink xmlns:r="http://schemas.openxmlformats.org/officeDocument/2006/relationships" ref="AE139" r:id="rId275"/>
    <hyperlink xmlns:r="http://schemas.openxmlformats.org/officeDocument/2006/relationships" ref="AF139" r:id="rId276"/>
    <hyperlink xmlns:r="http://schemas.openxmlformats.org/officeDocument/2006/relationships" ref="AE140" r:id="rId277"/>
    <hyperlink xmlns:r="http://schemas.openxmlformats.org/officeDocument/2006/relationships" ref="AF140" r:id="rId278"/>
    <hyperlink xmlns:r="http://schemas.openxmlformats.org/officeDocument/2006/relationships" ref="AE141" r:id="rId279"/>
    <hyperlink xmlns:r="http://schemas.openxmlformats.org/officeDocument/2006/relationships" ref="AF141" r:id="rId280"/>
    <hyperlink xmlns:r="http://schemas.openxmlformats.org/officeDocument/2006/relationships" ref="AE142" r:id="rId281"/>
    <hyperlink xmlns:r="http://schemas.openxmlformats.org/officeDocument/2006/relationships" ref="AF142" r:id="rId282"/>
    <hyperlink xmlns:r="http://schemas.openxmlformats.org/officeDocument/2006/relationships" ref="AE143" r:id="rId283"/>
    <hyperlink xmlns:r="http://schemas.openxmlformats.org/officeDocument/2006/relationships" ref="AF143" r:id="rId284"/>
    <hyperlink xmlns:r="http://schemas.openxmlformats.org/officeDocument/2006/relationships" ref="AE144" r:id="rId285"/>
    <hyperlink xmlns:r="http://schemas.openxmlformats.org/officeDocument/2006/relationships" ref="AF144" r:id="rId286"/>
    <hyperlink xmlns:r="http://schemas.openxmlformats.org/officeDocument/2006/relationships" ref="AE145" r:id="rId287"/>
    <hyperlink xmlns:r="http://schemas.openxmlformats.org/officeDocument/2006/relationships" ref="AF145" r:id="rId288"/>
    <hyperlink xmlns:r="http://schemas.openxmlformats.org/officeDocument/2006/relationships" ref="AE146" r:id="rId289"/>
    <hyperlink xmlns:r="http://schemas.openxmlformats.org/officeDocument/2006/relationships" ref="AF146" r:id="rId290"/>
    <hyperlink xmlns:r="http://schemas.openxmlformats.org/officeDocument/2006/relationships" ref="AE147" r:id="rId291"/>
    <hyperlink xmlns:r="http://schemas.openxmlformats.org/officeDocument/2006/relationships" ref="AF147" r:id="rId292"/>
    <hyperlink xmlns:r="http://schemas.openxmlformats.org/officeDocument/2006/relationships" ref="AE148" r:id="rId293"/>
    <hyperlink xmlns:r="http://schemas.openxmlformats.org/officeDocument/2006/relationships" ref="AF148" r:id="rId294"/>
    <hyperlink xmlns:r="http://schemas.openxmlformats.org/officeDocument/2006/relationships" ref="AE149" r:id="rId295"/>
    <hyperlink xmlns:r="http://schemas.openxmlformats.org/officeDocument/2006/relationships" ref="AF149" r:id="rId296"/>
    <hyperlink xmlns:r="http://schemas.openxmlformats.org/officeDocument/2006/relationships" ref="AE150" r:id="rId297"/>
    <hyperlink xmlns:r="http://schemas.openxmlformats.org/officeDocument/2006/relationships" ref="AF150" r:id="rId298"/>
    <hyperlink xmlns:r="http://schemas.openxmlformats.org/officeDocument/2006/relationships" ref="AE151" r:id="rId299"/>
    <hyperlink xmlns:r="http://schemas.openxmlformats.org/officeDocument/2006/relationships" ref="AF151" r:id="rId300"/>
    <hyperlink xmlns:r="http://schemas.openxmlformats.org/officeDocument/2006/relationships" ref="AE152" r:id="rId301"/>
    <hyperlink xmlns:r="http://schemas.openxmlformats.org/officeDocument/2006/relationships" ref="AF152" r:id="rId302"/>
    <hyperlink xmlns:r="http://schemas.openxmlformats.org/officeDocument/2006/relationships" ref="AE153" r:id="rId303"/>
    <hyperlink xmlns:r="http://schemas.openxmlformats.org/officeDocument/2006/relationships" ref="AF153" r:id="rId304"/>
    <hyperlink xmlns:r="http://schemas.openxmlformats.org/officeDocument/2006/relationships" ref="AE154" r:id="rId305"/>
    <hyperlink xmlns:r="http://schemas.openxmlformats.org/officeDocument/2006/relationships" ref="AF154" r:id="rId306"/>
    <hyperlink xmlns:r="http://schemas.openxmlformats.org/officeDocument/2006/relationships" ref="AE155" r:id="rId307"/>
    <hyperlink xmlns:r="http://schemas.openxmlformats.org/officeDocument/2006/relationships" ref="AF155" r:id="rId308"/>
    <hyperlink xmlns:r="http://schemas.openxmlformats.org/officeDocument/2006/relationships" ref="AE156" r:id="rId309"/>
    <hyperlink xmlns:r="http://schemas.openxmlformats.org/officeDocument/2006/relationships" ref="AF156" r:id="rId310"/>
    <hyperlink xmlns:r="http://schemas.openxmlformats.org/officeDocument/2006/relationships" ref="AE157" r:id="rId311"/>
    <hyperlink xmlns:r="http://schemas.openxmlformats.org/officeDocument/2006/relationships" ref="AF157" r:id="rId312"/>
    <hyperlink xmlns:r="http://schemas.openxmlformats.org/officeDocument/2006/relationships" ref="AE158" r:id="rId313"/>
    <hyperlink xmlns:r="http://schemas.openxmlformats.org/officeDocument/2006/relationships" ref="AF158" r:id="rId314"/>
    <hyperlink xmlns:r="http://schemas.openxmlformats.org/officeDocument/2006/relationships" ref="AE159" r:id="rId315"/>
    <hyperlink xmlns:r="http://schemas.openxmlformats.org/officeDocument/2006/relationships" ref="AF159" r:id="rId316"/>
    <hyperlink xmlns:r="http://schemas.openxmlformats.org/officeDocument/2006/relationships" ref="AE160" r:id="rId317"/>
    <hyperlink xmlns:r="http://schemas.openxmlformats.org/officeDocument/2006/relationships" ref="AF160" r:id="rId318"/>
    <hyperlink xmlns:r="http://schemas.openxmlformats.org/officeDocument/2006/relationships" ref="AE161" r:id="rId319"/>
    <hyperlink xmlns:r="http://schemas.openxmlformats.org/officeDocument/2006/relationships" ref="AF161" r:id="rId320"/>
    <hyperlink xmlns:r="http://schemas.openxmlformats.org/officeDocument/2006/relationships" ref="AE162" r:id="rId321"/>
    <hyperlink xmlns:r="http://schemas.openxmlformats.org/officeDocument/2006/relationships" ref="AF162" r:id="rId322"/>
    <hyperlink xmlns:r="http://schemas.openxmlformats.org/officeDocument/2006/relationships" ref="AE163" r:id="rId323"/>
    <hyperlink xmlns:r="http://schemas.openxmlformats.org/officeDocument/2006/relationships" ref="AF163" r:id="rId324"/>
    <hyperlink xmlns:r="http://schemas.openxmlformats.org/officeDocument/2006/relationships" ref="AE164" r:id="rId325"/>
    <hyperlink xmlns:r="http://schemas.openxmlformats.org/officeDocument/2006/relationships" ref="AF164" r:id="rId326"/>
    <hyperlink xmlns:r="http://schemas.openxmlformats.org/officeDocument/2006/relationships" ref="AE165" r:id="rId327"/>
    <hyperlink xmlns:r="http://schemas.openxmlformats.org/officeDocument/2006/relationships" ref="AF165" r:id="rId328"/>
    <hyperlink xmlns:r="http://schemas.openxmlformats.org/officeDocument/2006/relationships" ref="AE166" r:id="rId329"/>
    <hyperlink xmlns:r="http://schemas.openxmlformats.org/officeDocument/2006/relationships" ref="AF166" r:id="rId330"/>
    <hyperlink xmlns:r="http://schemas.openxmlformats.org/officeDocument/2006/relationships" ref="AE167" r:id="rId331"/>
    <hyperlink xmlns:r="http://schemas.openxmlformats.org/officeDocument/2006/relationships" ref="AF167" r:id="rId332"/>
    <hyperlink xmlns:r="http://schemas.openxmlformats.org/officeDocument/2006/relationships" ref="AE168" r:id="rId333"/>
    <hyperlink xmlns:r="http://schemas.openxmlformats.org/officeDocument/2006/relationships" ref="AF168" r:id="rId334"/>
    <hyperlink xmlns:r="http://schemas.openxmlformats.org/officeDocument/2006/relationships" ref="AE169" r:id="rId335"/>
    <hyperlink xmlns:r="http://schemas.openxmlformats.org/officeDocument/2006/relationships" ref="AF169" r:id="rId336"/>
    <hyperlink xmlns:r="http://schemas.openxmlformats.org/officeDocument/2006/relationships" ref="AE170" r:id="rId337"/>
    <hyperlink xmlns:r="http://schemas.openxmlformats.org/officeDocument/2006/relationships" ref="AF170" r:id="rId338"/>
    <hyperlink xmlns:r="http://schemas.openxmlformats.org/officeDocument/2006/relationships" ref="AE171" r:id="rId339"/>
    <hyperlink xmlns:r="http://schemas.openxmlformats.org/officeDocument/2006/relationships" ref="AF171" r:id="rId340"/>
    <hyperlink xmlns:r="http://schemas.openxmlformats.org/officeDocument/2006/relationships" ref="AE172" r:id="rId341"/>
    <hyperlink xmlns:r="http://schemas.openxmlformats.org/officeDocument/2006/relationships" ref="AF172" r:id="rId342"/>
    <hyperlink xmlns:r="http://schemas.openxmlformats.org/officeDocument/2006/relationships" ref="AE173" r:id="rId343"/>
    <hyperlink xmlns:r="http://schemas.openxmlformats.org/officeDocument/2006/relationships" ref="AF173" r:id="rId344"/>
    <hyperlink xmlns:r="http://schemas.openxmlformats.org/officeDocument/2006/relationships" ref="AE174" r:id="rId345"/>
    <hyperlink xmlns:r="http://schemas.openxmlformats.org/officeDocument/2006/relationships" ref="AF174" r:id="rId346"/>
    <hyperlink xmlns:r="http://schemas.openxmlformats.org/officeDocument/2006/relationships" ref="AE175" r:id="rId347"/>
    <hyperlink xmlns:r="http://schemas.openxmlformats.org/officeDocument/2006/relationships" ref="AF175" r:id="rId348"/>
    <hyperlink xmlns:r="http://schemas.openxmlformats.org/officeDocument/2006/relationships" ref="AE176" r:id="rId349"/>
    <hyperlink xmlns:r="http://schemas.openxmlformats.org/officeDocument/2006/relationships" ref="AF176" r:id="rId350"/>
    <hyperlink xmlns:r="http://schemas.openxmlformats.org/officeDocument/2006/relationships" ref="AE177" r:id="rId351"/>
    <hyperlink xmlns:r="http://schemas.openxmlformats.org/officeDocument/2006/relationships" ref="AF177" r:id="rId352"/>
    <hyperlink xmlns:r="http://schemas.openxmlformats.org/officeDocument/2006/relationships" ref="AE178" r:id="rId353"/>
    <hyperlink xmlns:r="http://schemas.openxmlformats.org/officeDocument/2006/relationships" ref="AF178" r:id="rId354"/>
    <hyperlink xmlns:r="http://schemas.openxmlformats.org/officeDocument/2006/relationships" ref="AE179" r:id="rId355"/>
    <hyperlink xmlns:r="http://schemas.openxmlformats.org/officeDocument/2006/relationships" ref="AF179" r:id="rId356"/>
    <hyperlink xmlns:r="http://schemas.openxmlformats.org/officeDocument/2006/relationships" ref="AE180" r:id="rId357"/>
    <hyperlink xmlns:r="http://schemas.openxmlformats.org/officeDocument/2006/relationships" ref="AF180" r:id="rId358"/>
    <hyperlink xmlns:r="http://schemas.openxmlformats.org/officeDocument/2006/relationships" ref="AE181" r:id="rId359"/>
    <hyperlink xmlns:r="http://schemas.openxmlformats.org/officeDocument/2006/relationships" ref="AF181" r:id="rId360"/>
    <hyperlink xmlns:r="http://schemas.openxmlformats.org/officeDocument/2006/relationships" ref="AE182" r:id="rId361"/>
    <hyperlink xmlns:r="http://schemas.openxmlformats.org/officeDocument/2006/relationships" ref="AF182" r:id="rId362"/>
    <hyperlink xmlns:r="http://schemas.openxmlformats.org/officeDocument/2006/relationships" ref="AE183" r:id="rId363"/>
    <hyperlink xmlns:r="http://schemas.openxmlformats.org/officeDocument/2006/relationships" ref="AF183" r:id="rId364"/>
    <hyperlink xmlns:r="http://schemas.openxmlformats.org/officeDocument/2006/relationships" ref="AE184" r:id="rId365"/>
    <hyperlink xmlns:r="http://schemas.openxmlformats.org/officeDocument/2006/relationships" ref="AF184" r:id="rId366"/>
    <hyperlink xmlns:r="http://schemas.openxmlformats.org/officeDocument/2006/relationships" ref="AE185" r:id="rId367"/>
    <hyperlink xmlns:r="http://schemas.openxmlformats.org/officeDocument/2006/relationships" ref="AF185" r:id="rId368"/>
    <hyperlink xmlns:r="http://schemas.openxmlformats.org/officeDocument/2006/relationships" ref="AE186" r:id="rId369"/>
    <hyperlink xmlns:r="http://schemas.openxmlformats.org/officeDocument/2006/relationships" ref="AF186" r:id="rId370"/>
    <hyperlink xmlns:r="http://schemas.openxmlformats.org/officeDocument/2006/relationships" ref="AE187" r:id="rId371"/>
    <hyperlink xmlns:r="http://schemas.openxmlformats.org/officeDocument/2006/relationships" ref="AF187" r:id="rId372"/>
    <hyperlink xmlns:r="http://schemas.openxmlformats.org/officeDocument/2006/relationships" ref="AE188" r:id="rId373"/>
    <hyperlink xmlns:r="http://schemas.openxmlformats.org/officeDocument/2006/relationships" ref="AF188" r:id="rId374"/>
    <hyperlink xmlns:r="http://schemas.openxmlformats.org/officeDocument/2006/relationships" ref="AE189" r:id="rId375"/>
    <hyperlink xmlns:r="http://schemas.openxmlformats.org/officeDocument/2006/relationships" ref="AF189" r:id="rId376"/>
    <hyperlink xmlns:r="http://schemas.openxmlformats.org/officeDocument/2006/relationships" ref="AE190" r:id="rId377"/>
    <hyperlink xmlns:r="http://schemas.openxmlformats.org/officeDocument/2006/relationships" ref="AF190" r:id="rId378"/>
    <hyperlink xmlns:r="http://schemas.openxmlformats.org/officeDocument/2006/relationships" ref="AE191" r:id="rId379"/>
    <hyperlink xmlns:r="http://schemas.openxmlformats.org/officeDocument/2006/relationships" ref="AF191" r:id="rId380"/>
    <hyperlink xmlns:r="http://schemas.openxmlformats.org/officeDocument/2006/relationships" ref="AE192" r:id="rId381"/>
    <hyperlink xmlns:r="http://schemas.openxmlformats.org/officeDocument/2006/relationships" ref="AF192" r:id="rId382"/>
    <hyperlink xmlns:r="http://schemas.openxmlformats.org/officeDocument/2006/relationships" ref="AE193" r:id="rId383"/>
    <hyperlink xmlns:r="http://schemas.openxmlformats.org/officeDocument/2006/relationships" ref="AF193" r:id="rId384"/>
    <hyperlink xmlns:r="http://schemas.openxmlformats.org/officeDocument/2006/relationships" ref="AE194" r:id="rId385"/>
    <hyperlink xmlns:r="http://schemas.openxmlformats.org/officeDocument/2006/relationships" ref="AF194" r:id="rId386"/>
    <hyperlink xmlns:r="http://schemas.openxmlformats.org/officeDocument/2006/relationships" ref="AE195" r:id="rId387"/>
    <hyperlink xmlns:r="http://schemas.openxmlformats.org/officeDocument/2006/relationships" ref="AF195" r:id="rId388"/>
    <hyperlink xmlns:r="http://schemas.openxmlformats.org/officeDocument/2006/relationships" ref="AE196" r:id="rId389"/>
    <hyperlink xmlns:r="http://schemas.openxmlformats.org/officeDocument/2006/relationships" ref="AF196" r:id="rId390"/>
    <hyperlink xmlns:r="http://schemas.openxmlformats.org/officeDocument/2006/relationships" ref="AE197" r:id="rId391"/>
    <hyperlink xmlns:r="http://schemas.openxmlformats.org/officeDocument/2006/relationships" ref="AF197" r:id="rId392"/>
    <hyperlink xmlns:r="http://schemas.openxmlformats.org/officeDocument/2006/relationships" ref="AE198" r:id="rId393"/>
    <hyperlink xmlns:r="http://schemas.openxmlformats.org/officeDocument/2006/relationships" ref="AF198" r:id="rId394"/>
    <hyperlink xmlns:r="http://schemas.openxmlformats.org/officeDocument/2006/relationships" ref="AE199" r:id="rId395"/>
    <hyperlink xmlns:r="http://schemas.openxmlformats.org/officeDocument/2006/relationships" ref="AF199" r:id="rId396"/>
    <hyperlink xmlns:r="http://schemas.openxmlformats.org/officeDocument/2006/relationships" ref="AE200" r:id="rId397"/>
    <hyperlink xmlns:r="http://schemas.openxmlformats.org/officeDocument/2006/relationships" ref="AF200" r:id="rId398"/>
    <hyperlink xmlns:r="http://schemas.openxmlformats.org/officeDocument/2006/relationships" ref="AE201" r:id="rId399"/>
    <hyperlink xmlns:r="http://schemas.openxmlformats.org/officeDocument/2006/relationships" ref="AF201" r:id="rId400"/>
    <hyperlink xmlns:r="http://schemas.openxmlformats.org/officeDocument/2006/relationships" ref="AE202" r:id="rId401"/>
    <hyperlink xmlns:r="http://schemas.openxmlformats.org/officeDocument/2006/relationships" ref="AF202" r:id="rId402"/>
    <hyperlink xmlns:r="http://schemas.openxmlformats.org/officeDocument/2006/relationships" ref="AE203" r:id="rId403"/>
    <hyperlink xmlns:r="http://schemas.openxmlformats.org/officeDocument/2006/relationships" ref="AF203" r:id="rId404"/>
    <hyperlink xmlns:r="http://schemas.openxmlformats.org/officeDocument/2006/relationships" ref="AE204" r:id="rId405"/>
    <hyperlink xmlns:r="http://schemas.openxmlformats.org/officeDocument/2006/relationships" ref="AF204" r:id="rId406"/>
    <hyperlink xmlns:r="http://schemas.openxmlformats.org/officeDocument/2006/relationships" ref="AE205" r:id="rId407"/>
    <hyperlink xmlns:r="http://schemas.openxmlformats.org/officeDocument/2006/relationships" ref="AF205" r:id="rId408"/>
    <hyperlink xmlns:r="http://schemas.openxmlformats.org/officeDocument/2006/relationships" ref="AE206" r:id="rId409"/>
    <hyperlink xmlns:r="http://schemas.openxmlformats.org/officeDocument/2006/relationships" ref="AF206" r:id="rId410"/>
    <hyperlink xmlns:r="http://schemas.openxmlformats.org/officeDocument/2006/relationships" ref="AE207" r:id="rId411"/>
    <hyperlink xmlns:r="http://schemas.openxmlformats.org/officeDocument/2006/relationships" ref="AF207" r:id="rId412"/>
    <hyperlink xmlns:r="http://schemas.openxmlformats.org/officeDocument/2006/relationships" ref="AE208" r:id="rId413"/>
    <hyperlink xmlns:r="http://schemas.openxmlformats.org/officeDocument/2006/relationships" ref="AF208" r:id="rId414"/>
    <hyperlink xmlns:r="http://schemas.openxmlformats.org/officeDocument/2006/relationships" ref="AE209" r:id="rId415"/>
    <hyperlink xmlns:r="http://schemas.openxmlformats.org/officeDocument/2006/relationships" ref="AF209" r:id="rId416"/>
    <hyperlink xmlns:r="http://schemas.openxmlformats.org/officeDocument/2006/relationships" ref="AE210" r:id="rId417"/>
    <hyperlink xmlns:r="http://schemas.openxmlformats.org/officeDocument/2006/relationships" ref="AF210" r:id="rId418"/>
    <hyperlink xmlns:r="http://schemas.openxmlformats.org/officeDocument/2006/relationships" ref="AE211" r:id="rId419"/>
    <hyperlink xmlns:r="http://schemas.openxmlformats.org/officeDocument/2006/relationships" ref="AF211" r:id="rId420"/>
    <hyperlink xmlns:r="http://schemas.openxmlformats.org/officeDocument/2006/relationships" ref="AE212" r:id="rId421"/>
    <hyperlink xmlns:r="http://schemas.openxmlformats.org/officeDocument/2006/relationships" ref="AF212" r:id="rId422"/>
    <hyperlink xmlns:r="http://schemas.openxmlformats.org/officeDocument/2006/relationships" ref="AE213" r:id="rId423"/>
    <hyperlink xmlns:r="http://schemas.openxmlformats.org/officeDocument/2006/relationships" ref="AF213" r:id="rId424"/>
    <hyperlink xmlns:r="http://schemas.openxmlformats.org/officeDocument/2006/relationships" ref="AE214" r:id="rId425"/>
    <hyperlink xmlns:r="http://schemas.openxmlformats.org/officeDocument/2006/relationships" ref="AF214" r:id="rId426"/>
    <hyperlink xmlns:r="http://schemas.openxmlformats.org/officeDocument/2006/relationships" ref="AE215" r:id="rId427"/>
    <hyperlink xmlns:r="http://schemas.openxmlformats.org/officeDocument/2006/relationships" ref="AF215" r:id="rId428"/>
    <hyperlink xmlns:r="http://schemas.openxmlformats.org/officeDocument/2006/relationships" ref="AE216" r:id="rId429"/>
    <hyperlink xmlns:r="http://schemas.openxmlformats.org/officeDocument/2006/relationships" ref="AF216" r:id="rId430"/>
    <hyperlink xmlns:r="http://schemas.openxmlformats.org/officeDocument/2006/relationships" ref="AE217" r:id="rId431"/>
    <hyperlink xmlns:r="http://schemas.openxmlformats.org/officeDocument/2006/relationships" ref="AF217" r:id="rId432"/>
    <hyperlink xmlns:r="http://schemas.openxmlformats.org/officeDocument/2006/relationships" ref="AE218" r:id="rId433"/>
    <hyperlink xmlns:r="http://schemas.openxmlformats.org/officeDocument/2006/relationships" ref="AF218" r:id="rId434"/>
    <hyperlink xmlns:r="http://schemas.openxmlformats.org/officeDocument/2006/relationships" ref="AE219" r:id="rId435"/>
    <hyperlink xmlns:r="http://schemas.openxmlformats.org/officeDocument/2006/relationships" ref="AF219" r:id="rId436"/>
    <hyperlink xmlns:r="http://schemas.openxmlformats.org/officeDocument/2006/relationships" ref="AE220" r:id="rId437"/>
    <hyperlink xmlns:r="http://schemas.openxmlformats.org/officeDocument/2006/relationships" ref="AF220" r:id="rId438"/>
    <hyperlink xmlns:r="http://schemas.openxmlformats.org/officeDocument/2006/relationships" ref="AE221" r:id="rId439"/>
    <hyperlink xmlns:r="http://schemas.openxmlformats.org/officeDocument/2006/relationships" ref="AF221" r:id="rId440"/>
    <hyperlink xmlns:r="http://schemas.openxmlformats.org/officeDocument/2006/relationships" ref="AE222" r:id="rId441"/>
    <hyperlink xmlns:r="http://schemas.openxmlformats.org/officeDocument/2006/relationships" ref="AF222" r:id="rId442"/>
    <hyperlink xmlns:r="http://schemas.openxmlformats.org/officeDocument/2006/relationships" ref="AE223" r:id="rId443"/>
    <hyperlink xmlns:r="http://schemas.openxmlformats.org/officeDocument/2006/relationships" ref="AF223" r:id="rId444"/>
    <hyperlink xmlns:r="http://schemas.openxmlformats.org/officeDocument/2006/relationships" ref="AE224" r:id="rId445"/>
    <hyperlink xmlns:r="http://schemas.openxmlformats.org/officeDocument/2006/relationships" ref="AF224" r:id="rId446"/>
    <hyperlink xmlns:r="http://schemas.openxmlformats.org/officeDocument/2006/relationships" ref="AE225" r:id="rId447"/>
    <hyperlink xmlns:r="http://schemas.openxmlformats.org/officeDocument/2006/relationships" ref="AF225" r:id="rId448"/>
    <hyperlink xmlns:r="http://schemas.openxmlformats.org/officeDocument/2006/relationships" ref="AE226" r:id="rId449"/>
    <hyperlink xmlns:r="http://schemas.openxmlformats.org/officeDocument/2006/relationships" ref="AF226" r:id="rId450"/>
    <hyperlink xmlns:r="http://schemas.openxmlformats.org/officeDocument/2006/relationships" ref="AE227" r:id="rId451"/>
    <hyperlink xmlns:r="http://schemas.openxmlformats.org/officeDocument/2006/relationships" ref="AF227" r:id="rId452"/>
    <hyperlink xmlns:r="http://schemas.openxmlformats.org/officeDocument/2006/relationships" ref="AE228" r:id="rId453"/>
    <hyperlink xmlns:r="http://schemas.openxmlformats.org/officeDocument/2006/relationships" ref="AF228" r:id="rId454"/>
    <hyperlink xmlns:r="http://schemas.openxmlformats.org/officeDocument/2006/relationships" ref="AE229" r:id="rId455"/>
    <hyperlink xmlns:r="http://schemas.openxmlformats.org/officeDocument/2006/relationships" ref="AF229" r:id="rId456"/>
    <hyperlink xmlns:r="http://schemas.openxmlformats.org/officeDocument/2006/relationships" ref="AE230" r:id="rId457"/>
    <hyperlink xmlns:r="http://schemas.openxmlformats.org/officeDocument/2006/relationships" ref="AF230" r:id="rId458"/>
    <hyperlink xmlns:r="http://schemas.openxmlformats.org/officeDocument/2006/relationships" ref="AE231" r:id="rId459"/>
    <hyperlink xmlns:r="http://schemas.openxmlformats.org/officeDocument/2006/relationships" ref="AF231" r:id="rId460"/>
    <hyperlink xmlns:r="http://schemas.openxmlformats.org/officeDocument/2006/relationships" ref="AE232" r:id="rId461"/>
    <hyperlink xmlns:r="http://schemas.openxmlformats.org/officeDocument/2006/relationships" ref="AF232" r:id="rId462"/>
    <hyperlink xmlns:r="http://schemas.openxmlformats.org/officeDocument/2006/relationships" ref="AE233" r:id="rId463"/>
    <hyperlink xmlns:r="http://schemas.openxmlformats.org/officeDocument/2006/relationships" ref="AF233" r:id="rId464"/>
    <hyperlink xmlns:r="http://schemas.openxmlformats.org/officeDocument/2006/relationships" ref="AE234" r:id="rId465"/>
    <hyperlink xmlns:r="http://schemas.openxmlformats.org/officeDocument/2006/relationships" ref="AF234" r:id="rId466"/>
    <hyperlink xmlns:r="http://schemas.openxmlformats.org/officeDocument/2006/relationships" ref="AE235" r:id="rId467"/>
    <hyperlink xmlns:r="http://schemas.openxmlformats.org/officeDocument/2006/relationships" ref="AF235" r:id="rId468"/>
    <hyperlink xmlns:r="http://schemas.openxmlformats.org/officeDocument/2006/relationships" ref="AE236" r:id="rId469"/>
    <hyperlink xmlns:r="http://schemas.openxmlformats.org/officeDocument/2006/relationships" ref="AF236" r:id="rId470"/>
    <hyperlink xmlns:r="http://schemas.openxmlformats.org/officeDocument/2006/relationships" ref="AE237" r:id="rId471"/>
    <hyperlink xmlns:r="http://schemas.openxmlformats.org/officeDocument/2006/relationships" ref="AF237" r:id="rId472"/>
    <hyperlink xmlns:r="http://schemas.openxmlformats.org/officeDocument/2006/relationships" ref="AE238" r:id="rId473"/>
    <hyperlink xmlns:r="http://schemas.openxmlformats.org/officeDocument/2006/relationships" ref="AF238" r:id="rId474"/>
    <hyperlink xmlns:r="http://schemas.openxmlformats.org/officeDocument/2006/relationships" ref="AE239" r:id="rId475"/>
    <hyperlink xmlns:r="http://schemas.openxmlformats.org/officeDocument/2006/relationships" ref="AF239" r:id="rId476"/>
    <hyperlink xmlns:r="http://schemas.openxmlformats.org/officeDocument/2006/relationships" ref="AE240" r:id="rId477"/>
    <hyperlink xmlns:r="http://schemas.openxmlformats.org/officeDocument/2006/relationships" ref="AF240" r:id="rId478"/>
    <hyperlink xmlns:r="http://schemas.openxmlformats.org/officeDocument/2006/relationships" ref="AE241" r:id="rId479"/>
    <hyperlink xmlns:r="http://schemas.openxmlformats.org/officeDocument/2006/relationships" ref="AF241" r:id="rId480"/>
    <hyperlink xmlns:r="http://schemas.openxmlformats.org/officeDocument/2006/relationships" ref="AE242" r:id="rId481"/>
    <hyperlink xmlns:r="http://schemas.openxmlformats.org/officeDocument/2006/relationships" ref="AF242" r:id="rId482"/>
    <hyperlink xmlns:r="http://schemas.openxmlformats.org/officeDocument/2006/relationships" ref="AE243" r:id="rId483"/>
    <hyperlink xmlns:r="http://schemas.openxmlformats.org/officeDocument/2006/relationships" ref="AF243" r:id="rId484"/>
    <hyperlink xmlns:r="http://schemas.openxmlformats.org/officeDocument/2006/relationships" ref="AE244" r:id="rId485"/>
    <hyperlink xmlns:r="http://schemas.openxmlformats.org/officeDocument/2006/relationships" ref="AF244" r:id="rId486"/>
    <hyperlink xmlns:r="http://schemas.openxmlformats.org/officeDocument/2006/relationships" ref="AE245" r:id="rId487"/>
    <hyperlink xmlns:r="http://schemas.openxmlformats.org/officeDocument/2006/relationships" ref="AF245" r:id="rId488"/>
    <hyperlink xmlns:r="http://schemas.openxmlformats.org/officeDocument/2006/relationships" ref="AE246" r:id="rId489"/>
    <hyperlink xmlns:r="http://schemas.openxmlformats.org/officeDocument/2006/relationships" ref="AF246" r:id="rId490"/>
    <hyperlink xmlns:r="http://schemas.openxmlformats.org/officeDocument/2006/relationships" ref="AE247" r:id="rId491"/>
    <hyperlink xmlns:r="http://schemas.openxmlformats.org/officeDocument/2006/relationships" ref="AF247" r:id="rId492"/>
    <hyperlink xmlns:r="http://schemas.openxmlformats.org/officeDocument/2006/relationships" ref="AE248" r:id="rId493"/>
    <hyperlink xmlns:r="http://schemas.openxmlformats.org/officeDocument/2006/relationships" ref="AF248" r:id="rId494"/>
    <hyperlink xmlns:r="http://schemas.openxmlformats.org/officeDocument/2006/relationships" ref="AE249" r:id="rId495"/>
    <hyperlink xmlns:r="http://schemas.openxmlformats.org/officeDocument/2006/relationships" ref="AF249" r:id="rId496"/>
    <hyperlink xmlns:r="http://schemas.openxmlformats.org/officeDocument/2006/relationships" ref="AE250" r:id="rId497"/>
    <hyperlink xmlns:r="http://schemas.openxmlformats.org/officeDocument/2006/relationships" ref="AF250" r:id="rId498"/>
    <hyperlink xmlns:r="http://schemas.openxmlformats.org/officeDocument/2006/relationships" ref="AE251" r:id="rId499"/>
    <hyperlink xmlns:r="http://schemas.openxmlformats.org/officeDocument/2006/relationships" ref="AF251" r:id="rId500"/>
    <hyperlink xmlns:r="http://schemas.openxmlformats.org/officeDocument/2006/relationships" ref="AE252" r:id="rId501"/>
    <hyperlink xmlns:r="http://schemas.openxmlformats.org/officeDocument/2006/relationships" ref="AF252" r:id="rId502"/>
    <hyperlink xmlns:r="http://schemas.openxmlformats.org/officeDocument/2006/relationships" ref="AE253" r:id="rId503"/>
    <hyperlink xmlns:r="http://schemas.openxmlformats.org/officeDocument/2006/relationships" ref="AF253" r:id="rId504"/>
    <hyperlink xmlns:r="http://schemas.openxmlformats.org/officeDocument/2006/relationships" ref="AE254" r:id="rId505"/>
    <hyperlink xmlns:r="http://schemas.openxmlformats.org/officeDocument/2006/relationships" ref="AF254" r:id="rId506"/>
    <hyperlink xmlns:r="http://schemas.openxmlformats.org/officeDocument/2006/relationships" ref="AE255" r:id="rId507"/>
    <hyperlink xmlns:r="http://schemas.openxmlformats.org/officeDocument/2006/relationships" ref="AF255" r:id="rId508"/>
    <hyperlink xmlns:r="http://schemas.openxmlformats.org/officeDocument/2006/relationships" ref="AE256" r:id="rId509"/>
    <hyperlink xmlns:r="http://schemas.openxmlformats.org/officeDocument/2006/relationships" ref="AF256" r:id="rId510"/>
    <hyperlink xmlns:r="http://schemas.openxmlformats.org/officeDocument/2006/relationships" ref="AE257" r:id="rId511"/>
    <hyperlink xmlns:r="http://schemas.openxmlformats.org/officeDocument/2006/relationships" ref="AF257" r:id="rId512"/>
    <hyperlink xmlns:r="http://schemas.openxmlformats.org/officeDocument/2006/relationships" ref="AE258" r:id="rId513"/>
    <hyperlink xmlns:r="http://schemas.openxmlformats.org/officeDocument/2006/relationships" ref="AF258" r:id="rId514"/>
    <hyperlink xmlns:r="http://schemas.openxmlformats.org/officeDocument/2006/relationships" ref="AE259" r:id="rId515"/>
    <hyperlink xmlns:r="http://schemas.openxmlformats.org/officeDocument/2006/relationships" ref="AF259" r:id="rId516"/>
    <hyperlink xmlns:r="http://schemas.openxmlformats.org/officeDocument/2006/relationships" ref="AE260" r:id="rId517"/>
    <hyperlink xmlns:r="http://schemas.openxmlformats.org/officeDocument/2006/relationships" ref="AF260" r:id="rId518"/>
    <hyperlink xmlns:r="http://schemas.openxmlformats.org/officeDocument/2006/relationships" ref="AE261" r:id="rId519"/>
    <hyperlink xmlns:r="http://schemas.openxmlformats.org/officeDocument/2006/relationships" ref="AF261" r:id="rId520"/>
    <hyperlink xmlns:r="http://schemas.openxmlformats.org/officeDocument/2006/relationships" ref="AE262" r:id="rId521"/>
    <hyperlink xmlns:r="http://schemas.openxmlformats.org/officeDocument/2006/relationships" ref="AF262" r:id="rId522"/>
    <hyperlink xmlns:r="http://schemas.openxmlformats.org/officeDocument/2006/relationships" ref="AE263" r:id="rId523"/>
    <hyperlink xmlns:r="http://schemas.openxmlformats.org/officeDocument/2006/relationships" ref="AF263" r:id="rId524"/>
    <hyperlink xmlns:r="http://schemas.openxmlformats.org/officeDocument/2006/relationships" ref="AE264" r:id="rId525"/>
    <hyperlink xmlns:r="http://schemas.openxmlformats.org/officeDocument/2006/relationships" ref="AF264" r:id="rId526"/>
    <hyperlink xmlns:r="http://schemas.openxmlformats.org/officeDocument/2006/relationships" ref="AE265" r:id="rId527"/>
    <hyperlink xmlns:r="http://schemas.openxmlformats.org/officeDocument/2006/relationships" ref="AF265" r:id="rId528"/>
    <hyperlink xmlns:r="http://schemas.openxmlformats.org/officeDocument/2006/relationships" ref="AE266" r:id="rId529"/>
    <hyperlink xmlns:r="http://schemas.openxmlformats.org/officeDocument/2006/relationships" ref="AF266" r:id="rId530"/>
    <hyperlink xmlns:r="http://schemas.openxmlformats.org/officeDocument/2006/relationships" ref="AE267" r:id="rId531"/>
    <hyperlink xmlns:r="http://schemas.openxmlformats.org/officeDocument/2006/relationships" ref="AF267" r:id="rId532"/>
    <hyperlink xmlns:r="http://schemas.openxmlformats.org/officeDocument/2006/relationships" ref="AE268" r:id="rId533"/>
    <hyperlink xmlns:r="http://schemas.openxmlformats.org/officeDocument/2006/relationships" ref="AF268" r:id="rId534"/>
    <hyperlink xmlns:r="http://schemas.openxmlformats.org/officeDocument/2006/relationships" ref="AE269" r:id="rId535"/>
    <hyperlink xmlns:r="http://schemas.openxmlformats.org/officeDocument/2006/relationships" ref="AF269" r:id="rId536"/>
    <hyperlink xmlns:r="http://schemas.openxmlformats.org/officeDocument/2006/relationships" ref="AE270" r:id="rId537"/>
    <hyperlink xmlns:r="http://schemas.openxmlformats.org/officeDocument/2006/relationships" ref="AF270" r:id="rId538"/>
    <hyperlink xmlns:r="http://schemas.openxmlformats.org/officeDocument/2006/relationships" ref="AE271" r:id="rId539"/>
    <hyperlink xmlns:r="http://schemas.openxmlformats.org/officeDocument/2006/relationships" ref="AF271" r:id="rId540"/>
    <hyperlink xmlns:r="http://schemas.openxmlformats.org/officeDocument/2006/relationships" ref="AE272" r:id="rId541"/>
    <hyperlink xmlns:r="http://schemas.openxmlformats.org/officeDocument/2006/relationships" ref="AF272" r:id="rId542"/>
    <hyperlink xmlns:r="http://schemas.openxmlformats.org/officeDocument/2006/relationships" ref="AE273" r:id="rId543"/>
    <hyperlink xmlns:r="http://schemas.openxmlformats.org/officeDocument/2006/relationships" ref="AF273" r:id="rId544"/>
    <hyperlink xmlns:r="http://schemas.openxmlformats.org/officeDocument/2006/relationships" ref="AE274" r:id="rId545"/>
    <hyperlink xmlns:r="http://schemas.openxmlformats.org/officeDocument/2006/relationships" ref="AF274" r:id="rId546"/>
    <hyperlink xmlns:r="http://schemas.openxmlformats.org/officeDocument/2006/relationships" ref="AE275" r:id="rId547"/>
    <hyperlink xmlns:r="http://schemas.openxmlformats.org/officeDocument/2006/relationships" ref="AF275" r:id="rId548"/>
    <hyperlink xmlns:r="http://schemas.openxmlformats.org/officeDocument/2006/relationships" ref="AE276" r:id="rId549"/>
    <hyperlink xmlns:r="http://schemas.openxmlformats.org/officeDocument/2006/relationships" ref="AF276" r:id="rId550"/>
    <hyperlink xmlns:r="http://schemas.openxmlformats.org/officeDocument/2006/relationships" ref="AE277" r:id="rId551"/>
    <hyperlink xmlns:r="http://schemas.openxmlformats.org/officeDocument/2006/relationships" ref="AF277" r:id="rId552"/>
    <hyperlink xmlns:r="http://schemas.openxmlformats.org/officeDocument/2006/relationships" ref="AE278" r:id="rId553"/>
    <hyperlink xmlns:r="http://schemas.openxmlformats.org/officeDocument/2006/relationships" ref="AF278" r:id="rId554"/>
    <hyperlink xmlns:r="http://schemas.openxmlformats.org/officeDocument/2006/relationships" ref="AE279" r:id="rId555"/>
    <hyperlink xmlns:r="http://schemas.openxmlformats.org/officeDocument/2006/relationships" ref="AF279" r:id="rId556"/>
    <hyperlink xmlns:r="http://schemas.openxmlformats.org/officeDocument/2006/relationships" ref="AE280" r:id="rId557"/>
    <hyperlink xmlns:r="http://schemas.openxmlformats.org/officeDocument/2006/relationships" ref="AF280" r:id="rId558"/>
    <hyperlink xmlns:r="http://schemas.openxmlformats.org/officeDocument/2006/relationships" ref="AE281" r:id="rId559"/>
    <hyperlink xmlns:r="http://schemas.openxmlformats.org/officeDocument/2006/relationships" ref="AF281" r:id="rId560"/>
    <hyperlink xmlns:r="http://schemas.openxmlformats.org/officeDocument/2006/relationships" ref="AE282" r:id="rId561"/>
    <hyperlink xmlns:r="http://schemas.openxmlformats.org/officeDocument/2006/relationships" ref="AF282" r:id="rId562"/>
    <hyperlink xmlns:r="http://schemas.openxmlformats.org/officeDocument/2006/relationships" ref="AE283" r:id="rId563"/>
    <hyperlink xmlns:r="http://schemas.openxmlformats.org/officeDocument/2006/relationships" ref="AF283" r:id="rId564"/>
    <hyperlink xmlns:r="http://schemas.openxmlformats.org/officeDocument/2006/relationships" ref="AE284" r:id="rId565"/>
    <hyperlink xmlns:r="http://schemas.openxmlformats.org/officeDocument/2006/relationships" ref="AF284" r:id="rId566"/>
    <hyperlink xmlns:r="http://schemas.openxmlformats.org/officeDocument/2006/relationships" ref="AE285" r:id="rId567"/>
    <hyperlink xmlns:r="http://schemas.openxmlformats.org/officeDocument/2006/relationships" ref="AF285" r:id="rId568"/>
    <hyperlink xmlns:r="http://schemas.openxmlformats.org/officeDocument/2006/relationships" ref="AE286" r:id="rId569"/>
    <hyperlink xmlns:r="http://schemas.openxmlformats.org/officeDocument/2006/relationships" ref="AF286" r:id="rId570"/>
    <hyperlink xmlns:r="http://schemas.openxmlformats.org/officeDocument/2006/relationships" ref="AE287" r:id="rId571"/>
    <hyperlink xmlns:r="http://schemas.openxmlformats.org/officeDocument/2006/relationships" ref="AF287" r:id="rId572"/>
    <hyperlink xmlns:r="http://schemas.openxmlformats.org/officeDocument/2006/relationships" ref="AE288" r:id="rId573"/>
    <hyperlink xmlns:r="http://schemas.openxmlformats.org/officeDocument/2006/relationships" ref="AF288" r:id="rId574"/>
    <hyperlink xmlns:r="http://schemas.openxmlformats.org/officeDocument/2006/relationships" ref="AE289" r:id="rId575"/>
    <hyperlink xmlns:r="http://schemas.openxmlformats.org/officeDocument/2006/relationships" ref="AF289" r:id="rId576"/>
    <hyperlink xmlns:r="http://schemas.openxmlformats.org/officeDocument/2006/relationships" ref="AE290" r:id="rId577"/>
    <hyperlink xmlns:r="http://schemas.openxmlformats.org/officeDocument/2006/relationships" ref="AF290" r:id="rId578"/>
    <hyperlink xmlns:r="http://schemas.openxmlformats.org/officeDocument/2006/relationships" ref="AE291" r:id="rId579"/>
    <hyperlink xmlns:r="http://schemas.openxmlformats.org/officeDocument/2006/relationships" ref="AF291" r:id="rId580"/>
    <hyperlink xmlns:r="http://schemas.openxmlformats.org/officeDocument/2006/relationships" ref="AE292" r:id="rId581"/>
    <hyperlink xmlns:r="http://schemas.openxmlformats.org/officeDocument/2006/relationships" ref="AF292" r:id="rId582"/>
    <hyperlink xmlns:r="http://schemas.openxmlformats.org/officeDocument/2006/relationships" ref="AE293" r:id="rId583"/>
    <hyperlink xmlns:r="http://schemas.openxmlformats.org/officeDocument/2006/relationships" ref="AF293" r:id="rId584"/>
    <hyperlink xmlns:r="http://schemas.openxmlformats.org/officeDocument/2006/relationships" ref="AE294" r:id="rId585"/>
    <hyperlink xmlns:r="http://schemas.openxmlformats.org/officeDocument/2006/relationships" ref="AF294" r:id="rId586"/>
    <hyperlink xmlns:r="http://schemas.openxmlformats.org/officeDocument/2006/relationships" ref="AE295" r:id="rId587"/>
    <hyperlink xmlns:r="http://schemas.openxmlformats.org/officeDocument/2006/relationships" ref="AF295" r:id="rId588"/>
    <hyperlink xmlns:r="http://schemas.openxmlformats.org/officeDocument/2006/relationships" ref="AE296" r:id="rId589"/>
    <hyperlink xmlns:r="http://schemas.openxmlformats.org/officeDocument/2006/relationships" ref="AF296" r:id="rId590"/>
    <hyperlink xmlns:r="http://schemas.openxmlformats.org/officeDocument/2006/relationships" ref="AE297" r:id="rId591"/>
    <hyperlink xmlns:r="http://schemas.openxmlformats.org/officeDocument/2006/relationships" ref="AF297" r:id="rId592"/>
    <hyperlink xmlns:r="http://schemas.openxmlformats.org/officeDocument/2006/relationships" ref="AE298" r:id="rId593"/>
    <hyperlink xmlns:r="http://schemas.openxmlformats.org/officeDocument/2006/relationships" ref="AF298" r:id="rId594"/>
    <hyperlink xmlns:r="http://schemas.openxmlformats.org/officeDocument/2006/relationships" ref="AE299" r:id="rId595"/>
    <hyperlink xmlns:r="http://schemas.openxmlformats.org/officeDocument/2006/relationships" ref="AF299" r:id="rId596"/>
    <hyperlink xmlns:r="http://schemas.openxmlformats.org/officeDocument/2006/relationships" ref="AE300" r:id="rId597"/>
    <hyperlink xmlns:r="http://schemas.openxmlformats.org/officeDocument/2006/relationships" ref="AF300" r:id="rId598"/>
    <hyperlink xmlns:r="http://schemas.openxmlformats.org/officeDocument/2006/relationships" ref="AE301" r:id="rId599"/>
    <hyperlink xmlns:r="http://schemas.openxmlformats.org/officeDocument/2006/relationships" ref="AF301" r:id="rId600"/>
    <hyperlink xmlns:r="http://schemas.openxmlformats.org/officeDocument/2006/relationships" ref="AE302" r:id="rId601"/>
    <hyperlink xmlns:r="http://schemas.openxmlformats.org/officeDocument/2006/relationships" ref="AF302" r:id="rId602"/>
    <hyperlink xmlns:r="http://schemas.openxmlformats.org/officeDocument/2006/relationships" ref="AE303" r:id="rId603"/>
    <hyperlink xmlns:r="http://schemas.openxmlformats.org/officeDocument/2006/relationships" ref="AF303" r:id="rId604"/>
    <hyperlink xmlns:r="http://schemas.openxmlformats.org/officeDocument/2006/relationships" ref="AE304" r:id="rId605"/>
    <hyperlink xmlns:r="http://schemas.openxmlformats.org/officeDocument/2006/relationships" ref="AF304" r:id="rId606"/>
    <hyperlink xmlns:r="http://schemas.openxmlformats.org/officeDocument/2006/relationships" ref="AE305" r:id="rId607"/>
    <hyperlink xmlns:r="http://schemas.openxmlformats.org/officeDocument/2006/relationships" ref="AF305" r:id="rId608"/>
    <hyperlink xmlns:r="http://schemas.openxmlformats.org/officeDocument/2006/relationships" ref="AE306" r:id="rId609"/>
    <hyperlink xmlns:r="http://schemas.openxmlformats.org/officeDocument/2006/relationships" ref="AF306" r:id="rId610"/>
    <hyperlink xmlns:r="http://schemas.openxmlformats.org/officeDocument/2006/relationships" ref="AE307" r:id="rId611"/>
    <hyperlink xmlns:r="http://schemas.openxmlformats.org/officeDocument/2006/relationships" ref="AF307" r:id="rId612"/>
    <hyperlink xmlns:r="http://schemas.openxmlformats.org/officeDocument/2006/relationships" ref="AE308" r:id="rId613"/>
    <hyperlink xmlns:r="http://schemas.openxmlformats.org/officeDocument/2006/relationships" ref="AF308" r:id="rId614"/>
    <hyperlink xmlns:r="http://schemas.openxmlformats.org/officeDocument/2006/relationships" ref="AE309" r:id="rId615"/>
    <hyperlink xmlns:r="http://schemas.openxmlformats.org/officeDocument/2006/relationships" ref="AF309" r:id="rId616"/>
    <hyperlink xmlns:r="http://schemas.openxmlformats.org/officeDocument/2006/relationships" ref="AE310" r:id="rId617"/>
    <hyperlink xmlns:r="http://schemas.openxmlformats.org/officeDocument/2006/relationships" ref="AF310" r:id="rId618"/>
    <hyperlink xmlns:r="http://schemas.openxmlformats.org/officeDocument/2006/relationships" ref="AE311" r:id="rId619"/>
    <hyperlink xmlns:r="http://schemas.openxmlformats.org/officeDocument/2006/relationships" ref="AF311" r:id="rId620"/>
    <hyperlink xmlns:r="http://schemas.openxmlformats.org/officeDocument/2006/relationships" ref="AE312" r:id="rId621"/>
    <hyperlink xmlns:r="http://schemas.openxmlformats.org/officeDocument/2006/relationships" ref="AF312" r:id="rId622"/>
    <hyperlink xmlns:r="http://schemas.openxmlformats.org/officeDocument/2006/relationships" ref="AE313" r:id="rId623"/>
    <hyperlink xmlns:r="http://schemas.openxmlformats.org/officeDocument/2006/relationships" ref="AF313" r:id="rId624"/>
    <hyperlink xmlns:r="http://schemas.openxmlformats.org/officeDocument/2006/relationships" ref="AE314" r:id="rId625"/>
    <hyperlink xmlns:r="http://schemas.openxmlformats.org/officeDocument/2006/relationships" ref="AF314" r:id="rId626"/>
    <hyperlink xmlns:r="http://schemas.openxmlformats.org/officeDocument/2006/relationships" ref="AE315" r:id="rId627"/>
    <hyperlink xmlns:r="http://schemas.openxmlformats.org/officeDocument/2006/relationships" ref="AF315" r:id="rId628"/>
    <hyperlink xmlns:r="http://schemas.openxmlformats.org/officeDocument/2006/relationships" ref="AE316" r:id="rId629"/>
    <hyperlink xmlns:r="http://schemas.openxmlformats.org/officeDocument/2006/relationships" ref="AF316" r:id="rId630"/>
    <hyperlink xmlns:r="http://schemas.openxmlformats.org/officeDocument/2006/relationships" ref="AE317" r:id="rId631"/>
    <hyperlink xmlns:r="http://schemas.openxmlformats.org/officeDocument/2006/relationships" ref="AF317" r:id="rId632"/>
    <hyperlink xmlns:r="http://schemas.openxmlformats.org/officeDocument/2006/relationships" ref="AE318" r:id="rId633"/>
    <hyperlink xmlns:r="http://schemas.openxmlformats.org/officeDocument/2006/relationships" ref="AF318" r:id="rId634"/>
    <hyperlink xmlns:r="http://schemas.openxmlformats.org/officeDocument/2006/relationships" ref="AE319" r:id="rId635"/>
    <hyperlink xmlns:r="http://schemas.openxmlformats.org/officeDocument/2006/relationships" ref="AF319" r:id="rId636"/>
    <hyperlink xmlns:r="http://schemas.openxmlformats.org/officeDocument/2006/relationships" ref="AE320" r:id="rId637"/>
    <hyperlink xmlns:r="http://schemas.openxmlformats.org/officeDocument/2006/relationships" ref="AF320" r:id="rId638"/>
    <hyperlink xmlns:r="http://schemas.openxmlformats.org/officeDocument/2006/relationships" ref="AE321" r:id="rId639"/>
    <hyperlink xmlns:r="http://schemas.openxmlformats.org/officeDocument/2006/relationships" ref="AF321" r:id="rId640"/>
    <hyperlink xmlns:r="http://schemas.openxmlformats.org/officeDocument/2006/relationships" ref="AE322" r:id="rId641"/>
    <hyperlink xmlns:r="http://schemas.openxmlformats.org/officeDocument/2006/relationships" ref="AF322" r:id="rId642"/>
    <hyperlink xmlns:r="http://schemas.openxmlformats.org/officeDocument/2006/relationships" ref="AE323" r:id="rId643"/>
    <hyperlink xmlns:r="http://schemas.openxmlformats.org/officeDocument/2006/relationships" ref="AF323" r:id="rId644"/>
    <hyperlink xmlns:r="http://schemas.openxmlformats.org/officeDocument/2006/relationships" ref="AE324" r:id="rId645"/>
    <hyperlink xmlns:r="http://schemas.openxmlformats.org/officeDocument/2006/relationships" ref="AF324" r:id="rId646"/>
    <hyperlink xmlns:r="http://schemas.openxmlformats.org/officeDocument/2006/relationships" ref="AE325" r:id="rId647"/>
    <hyperlink xmlns:r="http://schemas.openxmlformats.org/officeDocument/2006/relationships" ref="AF325" r:id="rId648"/>
    <hyperlink xmlns:r="http://schemas.openxmlformats.org/officeDocument/2006/relationships" ref="AE326" r:id="rId649"/>
    <hyperlink xmlns:r="http://schemas.openxmlformats.org/officeDocument/2006/relationships" ref="AF326" r:id="rId650"/>
    <hyperlink xmlns:r="http://schemas.openxmlformats.org/officeDocument/2006/relationships" ref="AE327" r:id="rId651"/>
    <hyperlink xmlns:r="http://schemas.openxmlformats.org/officeDocument/2006/relationships" ref="AF327" r:id="rId652"/>
    <hyperlink xmlns:r="http://schemas.openxmlformats.org/officeDocument/2006/relationships" ref="AE328" r:id="rId653"/>
    <hyperlink xmlns:r="http://schemas.openxmlformats.org/officeDocument/2006/relationships" ref="AF328" r:id="rId654"/>
    <hyperlink xmlns:r="http://schemas.openxmlformats.org/officeDocument/2006/relationships" ref="AE329" r:id="rId655"/>
    <hyperlink xmlns:r="http://schemas.openxmlformats.org/officeDocument/2006/relationships" ref="AF329" r:id="rId656"/>
    <hyperlink xmlns:r="http://schemas.openxmlformats.org/officeDocument/2006/relationships" ref="AE330" r:id="rId657"/>
    <hyperlink xmlns:r="http://schemas.openxmlformats.org/officeDocument/2006/relationships" ref="AF330" r:id="rId658"/>
    <hyperlink xmlns:r="http://schemas.openxmlformats.org/officeDocument/2006/relationships" ref="AE331" r:id="rId659"/>
    <hyperlink xmlns:r="http://schemas.openxmlformats.org/officeDocument/2006/relationships" ref="AF331" r:id="rId660"/>
    <hyperlink xmlns:r="http://schemas.openxmlformats.org/officeDocument/2006/relationships" ref="AE332" r:id="rId661"/>
    <hyperlink xmlns:r="http://schemas.openxmlformats.org/officeDocument/2006/relationships" ref="AF332" r:id="rId662"/>
    <hyperlink xmlns:r="http://schemas.openxmlformats.org/officeDocument/2006/relationships" ref="AE333" r:id="rId663"/>
    <hyperlink xmlns:r="http://schemas.openxmlformats.org/officeDocument/2006/relationships" ref="AF333" r:id="rId664"/>
    <hyperlink xmlns:r="http://schemas.openxmlformats.org/officeDocument/2006/relationships" ref="AE334" r:id="rId665"/>
    <hyperlink xmlns:r="http://schemas.openxmlformats.org/officeDocument/2006/relationships" ref="AF334" r:id="rId666"/>
    <hyperlink xmlns:r="http://schemas.openxmlformats.org/officeDocument/2006/relationships" ref="AE335" r:id="rId667"/>
    <hyperlink xmlns:r="http://schemas.openxmlformats.org/officeDocument/2006/relationships" ref="AF335" r:id="rId668"/>
    <hyperlink xmlns:r="http://schemas.openxmlformats.org/officeDocument/2006/relationships" ref="AE336" r:id="rId669"/>
    <hyperlink xmlns:r="http://schemas.openxmlformats.org/officeDocument/2006/relationships" ref="AF336" r:id="rId670"/>
    <hyperlink xmlns:r="http://schemas.openxmlformats.org/officeDocument/2006/relationships" ref="AE337" r:id="rId671"/>
    <hyperlink xmlns:r="http://schemas.openxmlformats.org/officeDocument/2006/relationships" ref="AF337" r:id="rId672"/>
    <hyperlink xmlns:r="http://schemas.openxmlformats.org/officeDocument/2006/relationships" ref="AE338" r:id="rId673"/>
    <hyperlink xmlns:r="http://schemas.openxmlformats.org/officeDocument/2006/relationships" ref="AF338" r:id="rId674"/>
    <hyperlink xmlns:r="http://schemas.openxmlformats.org/officeDocument/2006/relationships" ref="AE339" r:id="rId675"/>
    <hyperlink xmlns:r="http://schemas.openxmlformats.org/officeDocument/2006/relationships" ref="AF339" r:id="rId676"/>
    <hyperlink xmlns:r="http://schemas.openxmlformats.org/officeDocument/2006/relationships" ref="AE340" r:id="rId677"/>
    <hyperlink xmlns:r="http://schemas.openxmlformats.org/officeDocument/2006/relationships" ref="AF340" r:id="rId678"/>
    <hyperlink xmlns:r="http://schemas.openxmlformats.org/officeDocument/2006/relationships" ref="AE341" r:id="rId679"/>
    <hyperlink xmlns:r="http://schemas.openxmlformats.org/officeDocument/2006/relationships" ref="AF341" r:id="rId680"/>
    <hyperlink xmlns:r="http://schemas.openxmlformats.org/officeDocument/2006/relationships" ref="AE342" r:id="rId681"/>
    <hyperlink xmlns:r="http://schemas.openxmlformats.org/officeDocument/2006/relationships" ref="AF342" r:id="rId682"/>
    <hyperlink xmlns:r="http://schemas.openxmlformats.org/officeDocument/2006/relationships" ref="AE343" r:id="rId683"/>
    <hyperlink xmlns:r="http://schemas.openxmlformats.org/officeDocument/2006/relationships" ref="AF343" r:id="rId684"/>
    <hyperlink xmlns:r="http://schemas.openxmlformats.org/officeDocument/2006/relationships" ref="AE344" r:id="rId685"/>
    <hyperlink xmlns:r="http://schemas.openxmlformats.org/officeDocument/2006/relationships" ref="AF344" r:id="rId686"/>
    <hyperlink xmlns:r="http://schemas.openxmlformats.org/officeDocument/2006/relationships" ref="AE345" r:id="rId687"/>
    <hyperlink xmlns:r="http://schemas.openxmlformats.org/officeDocument/2006/relationships" ref="AF345" r:id="rId688"/>
    <hyperlink xmlns:r="http://schemas.openxmlformats.org/officeDocument/2006/relationships" ref="AE346" r:id="rId689"/>
    <hyperlink xmlns:r="http://schemas.openxmlformats.org/officeDocument/2006/relationships" ref="AF346" r:id="rId690"/>
    <hyperlink xmlns:r="http://schemas.openxmlformats.org/officeDocument/2006/relationships" ref="AE347" r:id="rId691"/>
    <hyperlink xmlns:r="http://schemas.openxmlformats.org/officeDocument/2006/relationships" ref="AF347" r:id="rId692"/>
    <hyperlink xmlns:r="http://schemas.openxmlformats.org/officeDocument/2006/relationships" ref="AE348" r:id="rId693"/>
    <hyperlink xmlns:r="http://schemas.openxmlformats.org/officeDocument/2006/relationships" ref="AF348" r:id="rId694"/>
    <hyperlink xmlns:r="http://schemas.openxmlformats.org/officeDocument/2006/relationships" ref="AE349" r:id="rId695"/>
    <hyperlink xmlns:r="http://schemas.openxmlformats.org/officeDocument/2006/relationships" ref="AF349" r:id="rId696"/>
    <hyperlink xmlns:r="http://schemas.openxmlformats.org/officeDocument/2006/relationships" ref="AE350" r:id="rId697"/>
    <hyperlink xmlns:r="http://schemas.openxmlformats.org/officeDocument/2006/relationships" ref="AF350" r:id="rId698"/>
    <hyperlink xmlns:r="http://schemas.openxmlformats.org/officeDocument/2006/relationships" ref="AE351" r:id="rId699"/>
    <hyperlink xmlns:r="http://schemas.openxmlformats.org/officeDocument/2006/relationships" ref="AF351" r:id="rId700"/>
    <hyperlink xmlns:r="http://schemas.openxmlformats.org/officeDocument/2006/relationships" ref="AE352" r:id="rId701"/>
    <hyperlink xmlns:r="http://schemas.openxmlformats.org/officeDocument/2006/relationships" ref="AF352" r:id="rId702"/>
    <hyperlink xmlns:r="http://schemas.openxmlformats.org/officeDocument/2006/relationships" ref="AE353" r:id="rId703"/>
    <hyperlink xmlns:r="http://schemas.openxmlformats.org/officeDocument/2006/relationships" ref="AF353" r:id="rId704"/>
    <hyperlink xmlns:r="http://schemas.openxmlformats.org/officeDocument/2006/relationships" ref="AE354" r:id="rId705"/>
    <hyperlink xmlns:r="http://schemas.openxmlformats.org/officeDocument/2006/relationships" ref="AF354" r:id="rId706"/>
    <hyperlink xmlns:r="http://schemas.openxmlformats.org/officeDocument/2006/relationships" ref="AE355" r:id="rId707"/>
    <hyperlink xmlns:r="http://schemas.openxmlformats.org/officeDocument/2006/relationships" ref="AF355" r:id="rId708"/>
    <hyperlink xmlns:r="http://schemas.openxmlformats.org/officeDocument/2006/relationships" ref="AE356" r:id="rId709"/>
    <hyperlink xmlns:r="http://schemas.openxmlformats.org/officeDocument/2006/relationships" ref="AF356" r:id="rId710"/>
    <hyperlink xmlns:r="http://schemas.openxmlformats.org/officeDocument/2006/relationships" ref="AE357" r:id="rId711"/>
    <hyperlink xmlns:r="http://schemas.openxmlformats.org/officeDocument/2006/relationships" ref="AF357" r:id="rId712"/>
    <hyperlink xmlns:r="http://schemas.openxmlformats.org/officeDocument/2006/relationships" ref="AE358" r:id="rId713"/>
    <hyperlink xmlns:r="http://schemas.openxmlformats.org/officeDocument/2006/relationships" ref="AF358" r:id="rId714"/>
    <hyperlink xmlns:r="http://schemas.openxmlformats.org/officeDocument/2006/relationships" ref="AE359" r:id="rId715"/>
    <hyperlink xmlns:r="http://schemas.openxmlformats.org/officeDocument/2006/relationships" ref="AF359" r:id="rId716"/>
    <hyperlink xmlns:r="http://schemas.openxmlformats.org/officeDocument/2006/relationships" ref="AE360" r:id="rId717"/>
    <hyperlink xmlns:r="http://schemas.openxmlformats.org/officeDocument/2006/relationships" ref="AF360" r:id="rId718"/>
    <hyperlink xmlns:r="http://schemas.openxmlformats.org/officeDocument/2006/relationships" ref="AE361" r:id="rId719"/>
    <hyperlink xmlns:r="http://schemas.openxmlformats.org/officeDocument/2006/relationships" ref="AF361" r:id="rId720"/>
    <hyperlink xmlns:r="http://schemas.openxmlformats.org/officeDocument/2006/relationships" ref="AE362" r:id="rId721"/>
    <hyperlink xmlns:r="http://schemas.openxmlformats.org/officeDocument/2006/relationships" ref="AF362" r:id="rId722"/>
    <hyperlink xmlns:r="http://schemas.openxmlformats.org/officeDocument/2006/relationships" ref="AE363" r:id="rId723"/>
    <hyperlink xmlns:r="http://schemas.openxmlformats.org/officeDocument/2006/relationships" ref="AF363" r:id="rId724"/>
    <hyperlink xmlns:r="http://schemas.openxmlformats.org/officeDocument/2006/relationships" ref="AE364" r:id="rId725"/>
    <hyperlink xmlns:r="http://schemas.openxmlformats.org/officeDocument/2006/relationships" ref="AF364" r:id="rId726"/>
    <hyperlink xmlns:r="http://schemas.openxmlformats.org/officeDocument/2006/relationships" ref="AE365" r:id="rId727"/>
    <hyperlink xmlns:r="http://schemas.openxmlformats.org/officeDocument/2006/relationships" ref="AF365" r:id="rId728"/>
    <hyperlink xmlns:r="http://schemas.openxmlformats.org/officeDocument/2006/relationships" ref="AE366" r:id="rId729"/>
    <hyperlink xmlns:r="http://schemas.openxmlformats.org/officeDocument/2006/relationships" ref="AF366" r:id="rId730"/>
    <hyperlink xmlns:r="http://schemas.openxmlformats.org/officeDocument/2006/relationships" ref="AE367" r:id="rId731"/>
    <hyperlink xmlns:r="http://schemas.openxmlformats.org/officeDocument/2006/relationships" ref="AF367" r:id="rId732"/>
    <hyperlink xmlns:r="http://schemas.openxmlformats.org/officeDocument/2006/relationships" ref="AE368" r:id="rId733"/>
    <hyperlink xmlns:r="http://schemas.openxmlformats.org/officeDocument/2006/relationships" ref="AF368" r:id="rId734"/>
    <hyperlink xmlns:r="http://schemas.openxmlformats.org/officeDocument/2006/relationships" ref="AE369" r:id="rId735"/>
    <hyperlink xmlns:r="http://schemas.openxmlformats.org/officeDocument/2006/relationships" ref="AF369" r:id="rId736"/>
    <hyperlink xmlns:r="http://schemas.openxmlformats.org/officeDocument/2006/relationships" ref="AE370" r:id="rId737"/>
    <hyperlink xmlns:r="http://schemas.openxmlformats.org/officeDocument/2006/relationships" ref="AF370" r:id="rId738"/>
    <hyperlink xmlns:r="http://schemas.openxmlformats.org/officeDocument/2006/relationships" ref="AE371" r:id="rId739"/>
    <hyperlink xmlns:r="http://schemas.openxmlformats.org/officeDocument/2006/relationships" ref="AF371" r:id="rId740"/>
    <hyperlink xmlns:r="http://schemas.openxmlformats.org/officeDocument/2006/relationships" ref="AE372" r:id="rId741"/>
    <hyperlink xmlns:r="http://schemas.openxmlformats.org/officeDocument/2006/relationships" ref="AF372" r:id="rId742"/>
    <hyperlink xmlns:r="http://schemas.openxmlformats.org/officeDocument/2006/relationships" ref="AE373" r:id="rId743"/>
    <hyperlink xmlns:r="http://schemas.openxmlformats.org/officeDocument/2006/relationships" ref="AF373" r:id="rId744"/>
    <hyperlink xmlns:r="http://schemas.openxmlformats.org/officeDocument/2006/relationships" ref="AE374" r:id="rId745"/>
    <hyperlink xmlns:r="http://schemas.openxmlformats.org/officeDocument/2006/relationships" ref="AF374" r:id="rId746"/>
    <hyperlink xmlns:r="http://schemas.openxmlformats.org/officeDocument/2006/relationships" ref="AE375" r:id="rId747"/>
    <hyperlink xmlns:r="http://schemas.openxmlformats.org/officeDocument/2006/relationships" ref="AF375" r:id="rId748"/>
    <hyperlink xmlns:r="http://schemas.openxmlformats.org/officeDocument/2006/relationships" ref="AE376" r:id="rId749"/>
    <hyperlink xmlns:r="http://schemas.openxmlformats.org/officeDocument/2006/relationships" ref="AF376" r:id="rId750"/>
    <hyperlink xmlns:r="http://schemas.openxmlformats.org/officeDocument/2006/relationships" ref="AE377" r:id="rId751"/>
    <hyperlink xmlns:r="http://schemas.openxmlformats.org/officeDocument/2006/relationships" ref="AF377" r:id="rId752"/>
    <hyperlink xmlns:r="http://schemas.openxmlformats.org/officeDocument/2006/relationships" ref="AE378" r:id="rId753"/>
    <hyperlink xmlns:r="http://schemas.openxmlformats.org/officeDocument/2006/relationships" ref="AF378" r:id="rId754"/>
    <hyperlink xmlns:r="http://schemas.openxmlformats.org/officeDocument/2006/relationships" ref="AE379" r:id="rId755"/>
    <hyperlink xmlns:r="http://schemas.openxmlformats.org/officeDocument/2006/relationships" ref="AF379" r:id="rId756"/>
    <hyperlink xmlns:r="http://schemas.openxmlformats.org/officeDocument/2006/relationships" ref="AE380" r:id="rId757"/>
    <hyperlink xmlns:r="http://schemas.openxmlformats.org/officeDocument/2006/relationships" ref="AF380" r:id="rId758"/>
    <hyperlink xmlns:r="http://schemas.openxmlformats.org/officeDocument/2006/relationships" ref="AE381" r:id="rId759"/>
    <hyperlink xmlns:r="http://schemas.openxmlformats.org/officeDocument/2006/relationships" ref="AF381" r:id="rId760"/>
    <hyperlink xmlns:r="http://schemas.openxmlformats.org/officeDocument/2006/relationships" ref="AE382" r:id="rId761"/>
    <hyperlink xmlns:r="http://schemas.openxmlformats.org/officeDocument/2006/relationships" ref="AF382" r:id="rId762"/>
    <hyperlink xmlns:r="http://schemas.openxmlformats.org/officeDocument/2006/relationships" ref="AE383" r:id="rId763"/>
    <hyperlink xmlns:r="http://schemas.openxmlformats.org/officeDocument/2006/relationships" ref="AF383" r:id="rId764"/>
    <hyperlink xmlns:r="http://schemas.openxmlformats.org/officeDocument/2006/relationships" ref="AE384" r:id="rId765"/>
    <hyperlink xmlns:r="http://schemas.openxmlformats.org/officeDocument/2006/relationships" ref="AF384" r:id="rId766"/>
    <hyperlink xmlns:r="http://schemas.openxmlformats.org/officeDocument/2006/relationships" ref="AE385" r:id="rId767"/>
    <hyperlink xmlns:r="http://schemas.openxmlformats.org/officeDocument/2006/relationships" ref="AF385" r:id="rId768"/>
    <hyperlink xmlns:r="http://schemas.openxmlformats.org/officeDocument/2006/relationships" ref="AE386" r:id="rId769"/>
    <hyperlink xmlns:r="http://schemas.openxmlformats.org/officeDocument/2006/relationships" ref="AF386" r:id="rId770"/>
    <hyperlink xmlns:r="http://schemas.openxmlformats.org/officeDocument/2006/relationships" ref="AE387" r:id="rId771"/>
    <hyperlink xmlns:r="http://schemas.openxmlformats.org/officeDocument/2006/relationships" ref="AF387" r:id="rId772"/>
    <hyperlink xmlns:r="http://schemas.openxmlformats.org/officeDocument/2006/relationships" ref="AE388" r:id="rId773"/>
    <hyperlink xmlns:r="http://schemas.openxmlformats.org/officeDocument/2006/relationships" ref="AF388" r:id="rId774"/>
    <hyperlink xmlns:r="http://schemas.openxmlformats.org/officeDocument/2006/relationships" ref="AE389" r:id="rId775"/>
    <hyperlink xmlns:r="http://schemas.openxmlformats.org/officeDocument/2006/relationships" ref="AF389" r:id="rId776"/>
    <hyperlink xmlns:r="http://schemas.openxmlformats.org/officeDocument/2006/relationships" ref="AE390" r:id="rId777"/>
    <hyperlink xmlns:r="http://schemas.openxmlformats.org/officeDocument/2006/relationships" ref="AF390" r:id="rId778"/>
    <hyperlink xmlns:r="http://schemas.openxmlformats.org/officeDocument/2006/relationships" ref="AE391" r:id="rId779"/>
    <hyperlink xmlns:r="http://schemas.openxmlformats.org/officeDocument/2006/relationships" ref="AF391" r:id="rId780"/>
    <hyperlink xmlns:r="http://schemas.openxmlformats.org/officeDocument/2006/relationships" ref="AE392" r:id="rId781"/>
    <hyperlink xmlns:r="http://schemas.openxmlformats.org/officeDocument/2006/relationships" ref="AF392" r:id="rId782"/>
    <hyperlink xmlns:r="http://schemas.openxmlformats.org/officeDocument/2006/relationships" ref="AE393" r:id="rId783"/>
    <hyperlink xmlns:r="http://schemas.openxmlformats.org/officeDocument/2006/relationships" ref="AF393" r:id="rId784"/>
    <hyperlink xmlns:r="http://schemas.openxmlformats.org/officeDocument/2006/relationships" ref="AE394" r:id="rId785"/>
    <hyperlink xmlns:r="http://schemas.openxmlformats.org/officeDocument/2006/relationships" ref="AF394" r:id="rId786"/>
    <hyperlink xmlns:r="http://schemas.openxmlformats.org/officeDocument/2006/relationships" ref="AE395" r:id="rId787"/>
    <hyperlink xmlns:r="http://schemas.openxmlformats.org/officeDocument/2006/relationships" ref="AF395" r:id="rId788"/>
    <hyperlink xmlns:r="http://schemas.openxmlformats.org/officeDocument/2006/relationships" ref="AE396" r:id="rId789"/>
    <hyperlink xmlns:r="http://schemas.openxmlformats.org/officeDocument/2006/relationships" ref="AF396" r:id="rId790"/>
    <hyperlink xmlns:r="http://schemas.openxmlformats.org/officeDocument/2006/relationships" ref="AE397" r:id="rId791"/>
    <hyperlink xmlns:r="http://schemas.openxmlformats.org/officeDocument/2006/relationships" ref="AF397" r:id="rId792"/>
    <hyperlink xmlns:r="http://schemas.openxmlformats.org/officeDocument/2006/relationships" ref="AE398" r:id="rId793"/>
    <hyperlink xmlns:r="http://schemas.openxmlformats.org/officeDocument/2006/relationships" ref="AF398" r:id="rId794"/>
    <hyperlink xmlns:r="http://schemas.openxmlformats.org/officeDocument/2006/relationships" ref="AE399" r:id="rId795"/>
    <hyperlink xmlns:r="http://schemas.openxmlformats.org/officeDocument/2006/relationships" ref="AF399" r:id="rId796"/>
    <hyperlink xmlns:r="http://schemas.openxmlformats.org/officeDocument/2006/relationships" ref="AE400" r:id="rId797"/>
    <hyperlink xmlns:r="http://schemas.openxmlformats.org/officeDocument/2006/relationships" ref="AF400" r:id="rId798"/>
    <hyperlink xmlns:r="http://schemas.openxmlformats.org/officeDocument/2006/relationships" ref="AE401" r:id="rId799"/>
    <hyperlink xmlns:r="http://schemas.openxmlformats.org/officeDocument/2006/relationships" ref="AF401" r:id="rId800"/>
    <hyperlink xmlns:r="http://schemas.openxmlformats.org/officeDocument/2006/relationships" ref="AE402" r:id="rId801"/>
    <hyperlink xmlns:r="http://schemas.openxmlformats.org/officeDocument/2006/relationships" ref="AF402" r:id="rId802"/>
    <hyperlink xmlns:r="http://schemas.openxmlformats.org/officeDocument/2006/relationships" ref="AE403" r:id="rId803"/>
    <hyperlink xmlns:r="http://schemas.openxmlformats.org/officeDocument/2006/relationships" ref="AF403" r:id="rId804"/>
    <hyperlink xmlns:r="http://schemas.openxmlformats.org/officeDocument/2006/relationships" ref="AE404" r:id="rId805"/>
    <hyperlink xmlns:r="http://schemas.openxmlformats.org/officeDocument/2006/relationships" ref="AF404" r:id="rId806"/>
    <hyperlink xmlns:r="http://schemas.openxmlformats.org/officeDocument/2006/relationships" ref="AE405" r:id="rId807"/>
    <hyperlink xmlns:r="http://schemas.openxmlformats.org/officeDocument/2006/relationships" ref="AF405" r:id="rId808"/>
    <hyperlink xmlns:r="http://schemas.openxmlformats.org/officeDocument/2006/relationships" ref="AE406" r:id="rId809"/>
    <hyperlink xmlns:r="http://schemas.openxmlformats.org/officeDocument/2006/relationships" ref="AF406" r:id="rId810"/>
    <hyperlink xmlns:r="http://schemas.openxmlformats.org/officeDocument/2006/relationships" ref="AE407" r:id="rId811"/>
    <hyperlink xmlns:r="http://schemas.openxmlformats.org/officeDocument/2006/relationships" ref="AF407" r:id="rId812"/>
    <hyperlink xmlns:r="http://schemas.openxmlformats.org/officeDocument/2006/relationships" ref="AE408" r:id="rId813"/>
    <hyperlink xmlns:r="http://schemas.openxmlformats.org/officeDocument/2006/relationships" ref="AF408" r:id="rId814"/>
    <hyperlink xmlns:r="http://schemas.openxmlformats.org/officeDocument/2006/relationships" ref="AE409" r:id="rId815"/>
    <hyperlink xmlns:r="http://schemas.openxmlformats.org/officeDocument/2006/relationships" ref="AF409" r:id="rId816"/>
    <hyperlink xmlns:r="http://schemas.openxmlformats.org/officeDocument/2006/relationships" ref="AE410" r:id="rId817"/>
    <hyperlink xmlns:r="http://schemas.openxmlformats.org/officeDocument/2006/relationships" ref="AF410" r:id="rId818"/>
    <hyperlink xmlns:r="http://schemas.openxmlformats.org/officeDocument/2006/relationships" ref="AE411" r:id="rId819"/>
    <hyperlink xmlns:r="http://schemas.openxmlformats.org/officeDocument/2006/relationships" ref="AF411" r:id="rId820"/>
    <hyperlink xmlns:r="http://schemas.openxmlformats.org/officeDocument/2006/relationships" ref="AE412" r:id="rId821"/>
    <hyperlink xmlns:r="http://schemas.openxmlformats.org/officeDocument/2006/relationships" ref="AF412" r:id="rId822"/>
    <hyperlink xmlns:r="http://schemas.openxmlformats.org/officeDocument/2006/relationships" ref="AE413" r:id="rId823"/>
    <hyperlink xmlns:r="http://schemas.openxmlformats.org/officeDocument/2006/relationships" ref="AF413" r:id="rId824"/>
    <hyperlink xmlns:r="http://schemas.openxmlformats.org/officeDocument/2006/relationships" ref="AE414" r:id="rId825"/>
    <hyperlink xmlns:r="http://schemas.openxmlformats.org/officeDocument/2006/relationships" ref="AF414" r:id="rId826"/>
    <hyperlink xmlns:r="http://schemas.openxmlformats.org/officeDocument/2006/relationships" ref="AE415" r:id="rId827"/>
    <hyperlink xmlns:r="http://schemas.openxmlformats.org/officeDocument/2006/relationships" ref="AF415" r:id="rId828"/>
    <hyperlink xmlns:r="http://schemas.openxmlformats.org/officeDocument/2006/relationships" ref="AE416" r:id="rId829"/>
    <hyperlink xmlns:r="http://schemas.openxmlformats.org/officeDocument/2006/relationships" ref="AF416" r:id="rId830"/>
    <hyperlink xmlns:r="http://schemas.openxmlformats.org/officeDocument/2006/relationships" ref="AE417" r:id="rId831"/>
    <hyperlink xmlns:r="http://schemas.openxmlformats.org/officeDocument/2006/relationships" ref="AF417" r:id="rId832"/>
    <hyperlink xmlns:r="http://schemas.openxmlformats.org/officeDocument/2006/relationships" ref="AE418" r:id="rId833"/>
    <hyperlink xmlns:r="http://schemas.openxmlformats.org/officeDocument/2006/relationships" ref="AF418" r:id="rId834"/>
    <hyperlink xmlns:r="http://schemas.openxmlformats.org/officeDocument/2006/relationships" ref="AE419" r:id="rId835"/>
    <hyperlink xmlns:r="http://schemas.openxmlformats.org/officeDocument/2006/relationships" ref="AF419" r:id="rId836"/>
    <hyperlink xmlns:r="http://schemas.openxmlformats.org/officeDocument/2006/relationships" ref="AE420" r:id="rId837"/>
    <hyperlink xmlns:r="http://schemas.openxmlformats.org/officeDocument/2006/relationships" ref="AF420" r:id="rId838"/>
    <hyperlink xmlns:r="http://schemas.openxmlformats.org/officeDocument/2006/relationships" ref="AE421" r:id="rId839"/>
    <hyperlink xmlns:r="http://schemas.openxmlformats.org/officeDocument/2006/relationships" ref="AF421" r:id="rId840"/>
    <hyperlink xmlns:r="http://schemas.openxmlformats.org/officeDocument/2006/relationships" ref="AE422" r:id="rId841"/>
    <hyperlink xmlns:r="http://schemas.openxmlformats.org/officeDocument/2006/relationships" ref="AF422" r:id="rId842"/>
    <hyperlink xmlns:r="http://schemas.openxmlformats.org/officeDocument/2006/relationships" ref="AE423" r:id="rId843"/>
    <hyperlink xmlns:r="http://schemas.openxmlformats.org/officeDocument/2006/relationships" ref="AF423" r:id="rId844"/>
    <hyperlink xmlns:r="http://schemas.openxmlformats.org/officeDocument/2006/relationships" ref="AE424" r:id="rId845"/>
    <hyperlink xmlns:r="http://schemas.openxmlformats.org/officeDocument/2006/relationships" ref="AF424" r:id="rId846"/>
    <hyperlink xmlns:r="http://schemas.openxmlformats.org/officeDocument/2006/relationships" ref="AE425" r:id="rId847"/>
    <hyperlink xmlns:r="http://schemas.openxmlformats.org/officeDocument/2006/relationships" ref="AF425" r:id="rId848"/>
    <hyperlink xmlns:r="http://schemas.openxmlformats.org/officeDocument/2006/relationships" ref="AE426" r:id="rId849"/>
    <hyperlink xmlns:r="http://schemas.openxmlformats.org/officeDocument/2006/relationships" ref="AF426" r:id="rId850"/>
    <hyperlink xmlns:r="http://schemas.openxmlformats.org/officeDocument/2006/relationships" ref="AE427" r:id="rId851"/>
    <hyperlink xmlns:r="http://schemas.openxmlformats.org/officeDocument/2006/relationships" ref="AF427" r:id="rId852"/>
    <hyperlink xmlns:r="http://schemas.openxmlformats.org/officeDocument/2006/relationships" ref="AE428" r:id="rId853"/>
    <hyperlink xmlns:r="http://schemas.openxmlformats.org/officeDocument/2006/relationships" ref="AF428" r:id="rId854"/>
    <hyperlink xmlns:r="http://schemas.openxmlformats.org/officeDocument/2006/relationships" ref="AE429" r:id="rId855"/>
    <hyperlink xmlns:r="http://schemas.openxmlformats.org/officeDocument/2006/relationships" ref="AF429" r:id="rId856"/>
    <hyperlink xmlns:r="http://schemas.openxmlformats.org/officeDocument/2006/relationships" ref="AE430" r:id="rId857"/>
    <hyperlink xmlns:r="http://schemas.openxmlformats.org/officeDocument/2006/relationships" ref="AF430" r:id="rId858"/>
    <hyperlink xmlns:r="http://schemas.openxmlformats.org/officeDocument/2006/relationships" ref="AE431" r:id="rId859"/>
    <hyperlink xmlns:r="http://schemas.openxmlformats.org/officeDocument/2006/relationships" ref="AF431" r:id="rId860"/>
    <hyperlink xmlns:r="http://schemas.openxmlformats.org/officeDocument/2006/relationships" ref="AE432" r:id="rId861"/>
    <hyperlink xmlns:r="http://schemas.openxmlformats.org/officeDocument/2006/relationships" ref="AF432" r:id="rId862"/>
    <hyperlink xmlns:r="http://schemas.openxmlformats.org/officeDocument/2006/relationships" ref="AE433" r:id="rId863"/>
    <hyperlink xmlns:r="http://schemas.openxmlformats.org/officeDocument/2006/relationships" ref="AF433" r:id="rId864"/>
    <hyperlink xmlns:r="http://schemas.openxmlformats.org/officeDocument/2006/relationships" ref="AE434" r:id="rId865"/>
    <hyperlink xmlns:r="http://schemas.openxmlformats.org/officeDocument/2006/relationships" ref="AF434" r:id="rId866"/>
    <hyperlink xmlns:r="http://schemas.openxmlformats.org/officeDocument/2006/relationships" ref="AE435" r:id="rId867"/>
    <hyperlink xmlns:r="http://schemas.openxmlformats.org/officeDocument/2006/relationships" ref="AF435" r:id="rId868"/>
    <hyperlink xmlns:r="http://schemas.openxmlformats.org/officeDocument/2006/relationships" ref="AE436" r:id="rId869"/>
    <hyperlink xmlns:r="http://schemas.openxmlformats.org/officeDocument/2006/relationships" ref="AF436" r:id="rId870"/>
    <hyperlink xmlns:r="http://schemas.openxmlformats.org/officeDocument/2006/relationships" ref="AE437" r:id="rId871"/>
    <hyperlink xmlns:r="http://schemas.openxmlformats.org/officeDocument/2006/relationships" ref="AF437" r:id="rId872"/>
    <hyperlink xmlns:r="http://schemas.openxmlformats.org/officeDocument/2006/relationships" ref="AE438" r:id="rId873"/>
    <hyperlink xmlns:r="http://schemas.openxmlformats.org/officeDocument/2006/relationships" ref="AF438" r:id="rId874"/>
    <hyperlink xmlns:r="http://schemas.openxmlformats.org/officeDocument/2006/relationships" ref="AE439" r:id="rId875"/>
    <hyperlink xmlns:r="http://schemas.openxmlformats.org/officeDocument/2006/relationships" ref="AF439" r:id="rId876"/>
    <hyperlink xmlns:r="http://schemas.openxmlformats.org/officeDocument/2006/relationships" ref="AE440" r:id="rId877"/>
    <hyperlink xmlns:r="http://schemas.openxmlformats.org/officeDocument/2006/relationships" ref="AF440" r:id="rId878"/>
    <hyperlink xmlns:r="http://schemas.openxmlformats.org/officeDocument/2006/relationships" ref="AE441" r:id="rId879"/>
    <hyperlink xmlns:r="http://schemas.openxmlformats.org/officeDocument/2006/relationships" ref="AF441" r:id="rId880"/>
    <hyperlink xmlns:r="http://schemas.openxmlformats.org/officeDocument/2006/relationships" ref="AE442" r:id="rId881"/>
    <hyperlink xmlns:r="http://schemas.openxmlformats.org/officeDocument/2006/relationships" ref="AF442" r:id="rId882"/>
    <hyperlink xmlns:r="http://schemas.openxmlformats.org/officeDocument/2006/relationships" ref="AE443" r:id="rId883"/>
    <hyperlink xmlns:r="http://schemas.openxmlformats.org/officeDocument/2006/relationships" ref="AF443" r:id="rId884"/>
    <hyperlink xmlns:r="http://schemas.openxmlformats.org/officeDocument/2006/relationships" ref="AE444" r:id="rId885"/>
    <hyperlink xmlns:r="http://schemas.openxmlformats.org/officeDocument/2006/relationships" ref="AF444" r:id="rId886"/>
    <hyperlink xmlns:r="http://schemas.openxmlformats.org/officeDocument/2006/relationships" ref="AE445" r:id="rId887"/>
    <hyperlink xmlns:r="http://schemas.openxmlformats.org/officeDocument/2006/relationships" ref="AF445" r:id="rId888"/>
    <hyperlink xmlns:r="http://schemas.openxmlformats.org/officeDocument/2006/relationships" ref="AE446" r:id="rId889"/>
    <hyperlink xmlns:r="http://schemas.openxmlformats.org/officeDocument/2006/relationships" ref="AF446" r:id="rId890"/>
    <hyperlink xmlns:r="http://schemas.openxmlformats.org/officeDocument/2006/relationships" ref="AE447" r:id="rId891"/>
    <hyperlink xmlns:r="http://schemas.openxmlformats.org/officeDocument/2006/relationships" ref="AF447" r:id="rId892"/>
    <hyperlink xmlns:r="http://schemas.openxmlformats.org/officeDocument/2006/relationships" ref="AE448" r:id="rId893"/>
    <hyperlink xmlns:r="http://schemas.openxmlformats.org/officeDocument/2006/relationships" ref="AF448" r:id="rId894"/>
    <hyperlink xmlns:r="http://schemas.openxmlformats.org/officeDocument/2006/relationships" ref="AE449" r:id="rId895"/>
    <hyperlink xmlns:r="http://schemas.openxmlformats.org/officeDocument/2006/relationships" ref="AF449" r:id="rId896"/>
    <hyperlink xmlns:r="http://schemas.openxmlformats.org/officeDocument/2006/relationships" ref="AE450" r:id="rId897"/>
    <hyperlink xmlns:r="http://schemas.openxmlformats.org/officeDocument/2006/relationships" ref="AF450" r:id="rId898"/>
    <hyperlink xmlns:r="http://schemas.openxmlformats.org/officeDocument/2006/relationships" ref="AE451" r:id="rId899"/>
    <hyperlink xmlns:r="http://schemas.openxmlformats.org/officeDocument/2006/relationships" ref="AF451" r:id="rId900"/>
    <hyperlink xmlns:r="http://schemas.openxmlformats.org/officeDocument/2006/relationships" ref="AE452" r:id="rId901"/>
    <hyperlink xmlns:r="http://schemas.openxmlformats.org/officeDocument/2006/relationships" ref="AF452" r:id="rId902"/>
    <hyperlink xmlns:r="http://schemas.openxmlformats.org/officeDocument/2006/relationships" ref="AE453" r:id="rId903"/>
    <hyperlink xmlns:r="http://schemas.openxmlformats.org/officeDocument/2006/relationships" ref="AF453" r:id="rId904"/>
    <hyperlink xmlns:r="http://schemas.openxmlformats.org/officeDocument/2006/relationships" ref="AE454" r:id="rId905"/>
    <hyperlink xmlns:r="http://schemas.openxmlformats.org/officeDocument/2006/relationships" ref="AF454" r:id="rId906"/>
    <hyperlink xmlns:r="http://schemas.openxmlformats.org/officeDocument/2006/relationships" ref="AE455" r:id="rId907"/>
    <hyperlink xmlns:r="http://schemas.openxmlformats.org/officeDocument/2006/relationships" ref="AF455" r:id="rId908"/>
    <hyperlink xmlns:r="http://schemas.openxmlformats.org/officeDocument/2006/relationships" ref="AE456" r:id="rId909"/>
    <hyperlink xmlns:r="http://schemas.openxmlformats.org/officeDocument/2006/relationships" ref="AF456" r:id="rId910"/>
    <hyperlink xmlns:r="http://schemas.openxmlformats.org/officeDocument/2006/relationships" ref="AE457" r:id="rId911"/>
    <hyperlink xmlns:r="http://schemas.openxmlformats.org/officeDocument/2006/relationships" ref="AF457" r:id="rId912"/>
    <hyperlink xmlns:r="http://schemas.openxmlformats.org/officeDocument/2006/relationships" ref="AE458" r:id="rId913"/>
    <hyperlink xmlns:r="http://schemas.openxmlformats.org/officeDocument/2006/relationships" ref="AF458" r:id="rId914"/>
    <hyperlink xmlns:r="http://schemas.openxmlformats.org/officeDocument/2006/relationships" ref="AE459" r:id="rId915"/>
    <hyperlink xmlns:r="http://schemas.openxmlformats.org/officeDocument/2006/relationships" ref="AF459" r:id="rId916"/>
    <hyperlink xmlns:r="http://schemas.openxmlformats.org/officeDocument/2006/relationships" ref="AE460" r:id="rId917"/>
    <hyperlink xmlns:r="http://schemas.openxmlformats.org/officeDocument/2006/relationships" ref="AF460" r:id="rId918"/>
    <hyperlink xmlns:r="http://schemas.openxmlformats.org/officeDocument/2006/relationships" ref="AE461" r:id="rId919"/>
    <hyperlink xmlns:r="http://schemas.openxmlformats.org/officeDocument/2006/relationships" ref="AF461" r:id="rId920"/>
    <hyperlink xmlns:r="http://schemas.openxmlformats.org/officeDocument/2006/relationships" ref="AE462" r:id="rId921"/>
    <hyperlink xmlns:r="http://schemas.openxmlformats.org/officeDocument/2006/relationships" ref="AF462" r:id="rId922"/>
    <hyperlink xmlns:r="http://schemas.openxmlformats.org/officeDocument/2006/relationships" ref="AE463" r:id="rId923"/>
    <hyperlink xmlns:r="http://schemas.openxmlformats.org/officeDocument/2006/relationships" ref="AF463" r:id="rId924"/>
    <hyperlink xmlns:r="http://schemas.openxmlformats.org/officeDocument/2006/relationships" ref="AE464" r:id="rId925"/>
    <hyperlink xmlns:r="http://schemas.openxmlformats.org/officeDocument/2006/relationships" ref="AF464" r:id="rId926"/>
    <hyperlink xmlns:r="http://schemas.openxmlformats.org/officeDocument/2006/relationships" ref="AE465" r:id="rId927"/>
    <hyperlink xmlns:r="http://schemas.openxmlformats.org/officeDocument/2006/relationships" ref="AF465" r:id="rId928"/>
    <hyperlink xmlns:r="http://schemas.openxmlformats.org/officeDocument/2006/relationships" ref="AE466" r:id="rId929"/>
    <hyperlink xmlns:r="http://schemas.openxmlformats.org/officeDocument/2006/relationships" ref="AF466" r:id="rId930"/>
    <hyperlink xmlns:r="http://schemas.openxmlformats.org/officeDocument/2006/relationships" ref="AE467" r:id="rId931"/>
    <hyperlink xmlns:r="http://schemas.openxmlformats.org/officeDocument/2006/relationships" ref="AF467" r:id="rId932"/>
    <hyperlink xmlns:r="http://schemas.openxmlformats.org/officeDocument/2006/relationships" ref="AE468" r:id="rId933"/>
    <hyperlink xmlns:r="http://schemas.openxmlformats.org/officeDocument/2006/relationships" ref="AF468" r:id="rId934"/>
    <hyperlink xmlns:r="http://schemas.openxmlformats.org/officeDocument/2006/relationships" ref="AE469" r:id="rId935"/>
    <hyperlink xmlns:r="http://schemas.openxmlformats.org/officeDocument/2006/relationships" ref="AF469" r:id="rId936"/>
    <hyperlink xmlns:r="http://schemas.openxmlformats.org/officeDocument/2006/relationships" ref="AE470" r:id="rId937"/>
    <hyperlink xmlns:r="http://schemas.openxmlformats.org/officeDocument/2006/relationships" ref="AF470" r:id="rId938"/>
    <hyperlink xmlns:r="http://schemas.openxmlformats.org/officeDocument/2006/relationships" ref="AE471" r:id="rId939"/>
    <hyperlink xmlns:r="http://schemas.openxmlformats.org/officeDocument/2006/relationships" ref="AF471" r:id="rId940"/>
    <hyperlink xmlns:r="http://schemas.openxmlformats.org/officeDocument/2006/relationships" ref="AE472" r:id="rId941"/>
    <hyperlink xmlns:r="http://schemas.openxmlformats.org/officeDocument/2006/relationships" ref="AF472" r:id="rId942"/>
    <hyperlink xmlns:r="http://schemas.openxmlformats.org/officeDocument/2006/relationships" ref="AE473" r:id="rId943"/>
    <hyperlink xmlns:r="http://schemas.openxmlformats.org/officeDocument/2006/relationships" ref="AF473" r:id="rId944"/>
    <hyperlink xmlns:r="http://schemas.openxmlformats.org/officeDocument/2006/relationships" ref="AE474" r:id="rId945"/>
    <hyperlink xmlns:r="http://schemas.openxmlformats.org/officeDocument/2006/relationships" ref="AF474" r:id="rId946"/>
    <hyperlink xmlns:r="http://schemas.openxmlformats.org/officeDocument/2006/relationships" ref="AE475" r:id="rId947"/>
    <hyperlink xmlns:r="http://schemas.openxmlformats.org/officeDocument/2006/relationships" ref="AF475" r:id="rId948"/>
    <hyperlink xmlns:r="http://schemas.openxmlformats.org/officeDocument/2006/relationships" ref="AE476" r:id="rId949"/>
    <hyperlink xmlns:r="http://schemas.openxmlformats.org/officeDocument/2006/relationships" ref="AF476" r:id="rId950"/>
    <hyperlink xmlns:r="http://schemas.openxmlformats.org/officeDocument/2006/relationships" ref="AE477" r:id="rId951"/>
    <hyperlink xmlns:r="http://schemas.openxmlformats.org/officeDocument/2006/relationships" ref="AF477" r:id="rId952"/>
    <hyperlink xmlns:r="http://schemas.openxmlformats.org/officeDocument/2006/relationships" ref="AE478" r:id="rId953"/>
    <hyperlink xmlns:r="http://schemas.openxmlformats.org/officeDocument/2006/relationships" ref="AF478" r:id="rId954"/>
    <hyperlink xmlns:r="http://schemas.openxmlformats.org/officeDocument/2006/relationships" ref="AE479" r:id="rId955"/>
    <hyperlink xmlns:r="http://schemas.openxmlformats.org/officeDocument/2006/relationships" ref="AF479" r:id="rId956"/>
    <hyperlink xmlns:r="http://schemas.openxmlformats.org/officeDocument/2006/relationships" ref="AE480" r:id="rId957"/>
    <hyperlink xmlns:r="http://schemas.openxmlformats.org/officeDocument/2006/relationships" ref="AF480" r:id="rId958"/>
    <hyperlink xmlns:r="http://schemas.openxmlformats.org/officeDocument/2006/relationships" ref="AE481" r:id="rId959"/>
    <hyperlink xmlns:r="http://schemas.openxmlformats.org/officeDocument/2006/relationships" ref="AF481" r:id="rId960"/>
    <hyperlink xmlns:r="http://schemas.openxmlformats.org/officeDocument/2006/relationships" ref="AE482" r:id="rId961"/>
    <hyperlink xmlns:r="http://schemas.openxmlformats.org/officeDocument/2006/relationships" ref="AF482" r:id="rId962"/>
    <hyperlink xmlns:r="http://schemas.openxmlformats.org/officeDocument/2006/relationships" ref="AE483" r:id="rId963"/>
    <hyperlink xmlns:r="http://schemas.openxmlformats.org/officeDocument/2006/relationships" ref="AF483" r:id="rId964"/>
    <hyperlink xmlns:r="http://schemas.openxmlformats.org/officeDocument/2006/relationships" ref="AE484" r:id="rId965"/>
    <hyperlink xmlns:r="http://schemas.openxmlformats.org/officeDocument/2006/relationships" ref="AF484" r:id="rId966"/>
    <hyperlink xmlns:r="http://schemas.openxmlformats.org/officeDocument/2006/relationships" ref="AE485" r:id="rId967"/>
    <hyperlink xmlns:r="http://schemas.openxmlformats.org/officeDocument/2006/relationships" ref="AF485" r:id="rId968"/>
    <hyperlink xmlns:r="http://schemas.openxmlformats.org/officeDocument/2006/relationships" ref="AE486" r:id="rId969"/>
    <hyperlink xmlns:r="http://schemas.openxmlformats.org/officeDocument/2006/relationships" ref="AF486" r:id="rId970"/>
    <hyperlink xmlns:r="http://schemas.openxmlformats.org/officeDocument/2006/relationships" ref="AE487" r:id="rId971"/>
    <hyperlink xmlns:r="http://schemas.openxmlformats.org/officeDocument/2006/relationships" ref="AF487" r:id="rId972"/>
    <hyperlink xmlns:r="http://schemas.openxmlformats.org/officeDocument/2006/relationships" ref="AE488" r:id="rId973"/>
    <hyperlink xmlns:r="http://schemas.openxmlformats.org/officeDocument/2006/relationships" ref="AF488" r:id="rId974"/>
    <hyperlink xmlns:r="http://schemas.openxmlformats.org/officeDocument/2006/relationships" ref="AE489" r:id="rId975"/>
    <hyperlink xmlns:r="http://schemas.openxmlformats.org/officeDocument/2006/relationships" ref="AF489" r:id="rId976"/>
    <hyperlink xmlns:r="http://schemas.openxmlformats.org/officeDocument/2006/relationships" ref="AE490" r:id="rId977"/>
    <hyperlink xmlns:r="http://schemas.openxmlformats.org/officeDocument/2006/relationships" ref="AF490" r:id="rId978"/>
    <hyperlink xmlns:r="http://schemas.openxmlformats.org/officeDocument/2006/relationships" ref="AE491" r:id="rId979"/>
    <hyperlink xmlns:r="http://schemas.openxmlformats.org/officeDocument/2006/relationships" ref="AF491" r:id="rId980"/>
    <hyperlink xmlns:r="http://schemas.openxmlformats.org/officeDocument/2006/relationships" ref="AE492" r:id="rId981"/>
    <hyperlink xmlns:r="http://schemas.openxmlformats.org/officeDocument/2006/relationships" ref="AF492" r:id="rId982"/>
    <hyperlink xmlns:r="http://schemas.openxmlformats.org/officeDocument/2006/relationships" ref="AE493" r:id="rId983"/>
    <hyperlink xmlns:r="http://schemas.openxmlformats.org/officeDocument/2006/relationships" ref="AF493" r:id="rId984"/>
    <hyperlink xmlns:r="http://schemas.openxmlformats.org/officeDocument/2006/relationships" ref="AE494" r:id="rId985"/>
    <hyperlink xmlns:r="http://schemas.openxmlformats.org/officeDocument/2006/relationships" ref="AF494" r:id="rId986"/>
    <hyperlink xmlns:r="http://schemas.openxmlformats.org/officeDocument/2006/relationships" ref="AE495" r:id="rId987"/>
    <hyperlink xmlns:r="http://schemas.openxmlformats.org/officeDocument/2006/relationships" ref="AF495" r:id="rId988"/>
    <hyperlink xmlns:r="http://schemas.openxmlformats.org/officeDocument/2006/relationships" ref="AE496" r:id="rId989"/>
    <hyperlink xmlns:r="http://schemas.openxmlformats.org/officeDocument/2006/relationships" ref="AF496" r:id="rId990"/>
    <hyperlink xmlns:r="http://schemas.openxmlformats.org/officeDocument/2006/relationships" ref="AE497" r:id="rId991"/>
    <hyperlink xmlns:r="http://schemas.openxmlformats.org/officeDocument/2006/relationships" ref="AF497" r:id="rId992"/>
    <hyperlink xmlns:r="http://schemas.openxmlformats.org/officeDocument/2006/relationships" ref="AE498" r:id="rId993"/>
    <hyperlink xmlns:r="http://schemas.openxmlformats.org/officeDocument/2006/relationships" ref="AF498" r:id="rId994"/>
    <hyperlink xmlns:r="http://schemas.openxmlformats.org/officeDocument/2006/relationships" ref="AE499" r:id="rId995"/>
    <hyperlink xmlns:r="http://schemas.openxmlformats.org/officeDocument/2006/relationships" ref="AF499" r:id="rId996"/>
    <hyperlink xmlns:r="http://schemas.openxmlformats.org/officeDocument/2006/relationships" ref="AE500" r:id="rId997"/>
    <hyperlink xmlns:r="http://schemas.openxmlformats.org/officeDocument/2006/relationships" ref="AF500" r:id="rId998"/>
    <hyperlink xmlns:r="http://schemas.openxmlformats.org/officeDocument/2006/relationships" ref="AE501" r:id="rId999"/>
    <hyperlink xmlns:r="http://schemas.openxmlformats.org/officeDocument/2006/relationships" ref="AF501" r:id="rId1000"/>
    <hyperlink xmlns:r="http://schemas.openxmlformats.org/officeDocument/2006/relationships" ref="AE502" r:id="rId1001"/>
    <hyperlink xmlns:r="http://schemas.openxmlformats.org/officeDocument/2006/relationships" ref="AF502" r:id="rId1002"/>
    <hyperlink xmlns:r="http://schemas.openxmlformats.org/officeDocument/2006/relationships" ref="AE503" r:id="rId1003"/>
    <hyperlink xmlns:r="http://schemas.openxmlformats.org/officeDocument/2006/relationships" ref="AF503" r:id="rId1004"/>
    <hyperlink xmlns:r="http://schemas.openxmlformats.org/officeDocument/2006/relationships" ref="AE504" r:id="rId1005"/>
    <hyperlink xmlns:r="http://schemas.openxmlformats.org/officeDocument/2006/relationships" ref="AF504" r:id="rId1006"/>
    <hyperlink xmlns:r="http://schemas.openxmlformats.org/officeDocument/2006/relationships" ref="AE505" r:id="rId1007"/>
    <hyperlink xmlns:r="http://schemas.openxmlformats.org/officeDocument/2006/relationships" ref="AF505" r:id="rId1008"/>
    <hyperlink xmlns:r="http://schemas.openxmlformats.org/officeDocument/2006/relationships" ref="AE506" r:id="rId1009"/>
    <hyperlink xmlns:r="http://schemas.openxmlformats.org/officeDocument/2006/relationships" ref="AF506" r:id="rId1010"/>
    <hyperlink xmlns:r="http://schemas.openxmlformats.org/officeDocument/2006/relationships" ref="AE507" r:id="rId1011"/>
    <hyperlink xmlns:r="http://schemas.openxmlformats.org/officeDocument/2006/relationships" ref="AF507" r:id="rId1012"/>
    <hyperlink xmlns:r="http://schemas.openxmlformats.org/officeDocument/2006/relationships" ref="AE508" r:id="rId1013"/>
    <hyperlink xmlns:r="http://schemas.openxmlformats.org/officeDocument/2006/relationships" ref="AF508" r:id="rId1014"/>
    <hyperlink xmlns:r="http://schemas.openxmlformats.org/officeDocument/2006/relationships" ref="AE509" r:id="rId1015"/>
    <hyperlink xmlns:r="http://schemas.openxmlformats.org/officeDocument/2006/relationships" ref="AF509" r:id="rId1016"/>
    <hyperlink xmlns:r="http://schemas.openxmlformats.org/officeDocument/2006/relationships" ref="AE510" r:id="rId1017"/>
    <hyperlink xmlns:r="http://schemas.openxmlformats.org/officeDocument/2006/relationships" ref="AF510" r:id="rId1018"/>
    <hyperlink xmlns:r="http://schemas.openxmlformats.org/officeDocument/2006/relationships" ref="AE511" r:id="rId1019"/>
    <hyperlink xmlns:r="http://schemas.openxmlformats.org/officeDocument/2006/relationships" ref="AF511" r:id="rId1020"/>
    <hyperlink xmlns:r="http://schemas.openxmlformats.org/officeDocument/2006/relationships" ref="AE512" r:id="rId1021"/>
    <hyperlink xmlns:r="http://schemas.openxmlformats.org/officeDocument/2006/relationships" ref="AF512" r:id="rId1022"/>
    <hyperlink xmlns:r="http://schemas.openxmlformats.org/officeDocument/2006/relationships" ref="AE513" r:id="rId1023"/>
    <hyperlink xmlns:r="http://schemas.openxmlformats.org/officeDocument/2006/relationships" ref="AF513" r:id="rId1024"/>
    <hyperlink xmlns:r="http://schemas.openxmlformats.org/officeDocument/2006/relationships" ref="AE514" r:id="rId1025"/>
    <hyperlink xmlns:r="http://schemas.openxmlformats.org/officeDocument/2006/relationships" ref="AF514" r:id="rId1026"/>
    <hyperlink xmlns:r="http://schemas.openxmlformats.org/officeDocument/2006/relationships" ref="AE515" r:id="rId1027"/>
    <hyperlink xmlns:r="http://schemas.openxmlformats.org/officeDocument/2006/relationships" ref="AF515" r:id="rId1028"/>
    <hyperlink xmlns:r="http://schemas.openxmlformats.org/officeDocument/2006/relationships" ref="AE516" r:id="rId1029"/>
    <hyperlink xmlns:r="http://schemas.openxmlformats.org/officeDocument/2006/relationships" ref="AF516" r:id="rId1030"/>
    <hyperlink xmlns:r="http://schemas.openxmlformats.org/officeDocument/2006/relationships" ref="AE517" r:id="rId1031"/>
    <hyperlink xmlns:r="http://schemas.openxmlformats.org/officeDocument/2006/relationships" ref="AF517" r:id="rId1032"/>
    <hyperlink xmlns:r="http://schemas.openxmlformats.org/officeDocument/2006/relationships" ref="AE518" r:id="rId1033"/>
    <hyperlink xmlns:r="http://schemas.openxmlformats.org/officeDocument/2006/relationships" ref="AF518" r:id="rId1034"/>
    <hyperlink xmlns:r="http://schemas.openxmlformats.org/officeDocument/2006/relationships" ref="AE519" r:id="rId1035"/>
    <hyperlink xmlns:r="http://schemas.openxmlformats.org/officeDocument/2006/relationships" ref="AF519" r:id="rId1036"/>
    <hyperlink xmlns:r="http://schemas.openxmlformats.org/officeDocument/2006/relationships" ref="AE520" r:id="rId1037"/>
    <hyperlink xmlns:r="http://schemas.openxmlformats.org/officeDocument/2006/relationships" ref="AF520" r:id="rId1038"/>
    <hyperlink xmlns:r="http://schemas.openxmlformats.org/officeDocument/2006/relationships" ref="AE521" r:id="rId1039"/>
    <hyperlink xmlns:r="http://schemas.openxmlformats.org/officeDocument/2006/relationships" ref="AF521" r:id="rId1040"/>
    <hyperlink xmlns:r="http://schemas.openxmlformats.org/officeDocument/2006/relationships" ref="AE522" r:id="rId1041"/>
    <hyperlink xmlns:r="http://schemas.openxmlformats.org/officeDocument/2006/relationships" ref="AF522" r:id="rId1042"/>
    <hyperlink xmlns:r="http://schemas.openxmlformats.org/officeDocument/2006/relationships" ref="AE523" r:id="rId1043"/>
    <hyperlink xmlns:r="http://schemas.openxmlformats.org/officeDocument/2006/relationships" ref="AF523" r:id="rId1044"/>
    <hyperlink xmlns:r="http://schemas.openxmlformats.org/officeDocument/2006/relationships" ref="AE524" r:id="rId1045"/>
    <hyperlink xmlns:r="http://schemas.openxmlformats.org/officeDocument/2006/relationships" ref="AF524" r:id="rId1046"/>
    <hyperlink xmlns:r="http://schemas.openxmlformats.org/officeDocument/2006/relationships" ref="AE525" r:id="rId1047"/>
    <hyperlink xmlns:r="http://schemas.openxmlformats.org/officeDocument/2006/relationships" ref="AF525" r:id="rId1048"/>
    <hyperlink xmlns:r="http://schemas.openxmlformats.org/officeDocument/2006/relationships" ref="AE526" r:id="rId1049"/>
    <hyperlink xmlns:r="http://schemas.openxmlformats.org/officeDocument/2006/relationships" ref="AF526" r:id="rId1050"/>
    <hyperlink xmlns:r="http://schemas.openxmlformats.org/officeDocument/2006/relationships" ref="AE527" r:id="rId1051"/>
    <hyperlink xmlns:r="http://schemas.openxmlformats.org/officeDocument/2006/relationships" ref="AF527" r:id="rId1052"/>
    <hyperlink xmlns:r="http://schemas.openxmlformats.org/officeDocument/2006/relationships" ref="AE528" r:id="rId1053"/>
    <hyperlink xmlns:r="http://schemas.openxmlformats.org/officeDocument/2006/relationships" ref="AF528" r:id="rId1054"/>
    <hyperlink xmlns:r="http://schemas.openxmlformats.org/officeDocument/2006/relationships" ref="AE529" r:id="rId1055"/>
    <hyperlink xmlns:r="http://schemas.openxmlformats.org/officeDocument/2006/relationships" ref="AF529" r:id="rId1056"/>
    <hyperlink xmlns:r="http://schemas.openxmlformats.org/officeDocument/2006/relationships" ref="AE530" r:id="rId1057"/>
    <hyperlink xmlns:r="http://schemas.openxmlformats.org/officeDocument/2006/relationships" ref="AF530" r:id="rId1058"/>
    <hyperlink xmlns:r="http://schemas.openxmlformats.org/officeDocument/2006/relationships" ref="AE531" r:id="rId1059"/>
    <hyperlink xmlns:r="http://schemas.openxmlformats.org/officeDocument/2006/relationships" ref="AF531" r:id="rId1060"/>
    <hyperlink xmlns:r="http://schemas.openxmlformats.org/officeDocument/2006/relationships" ref="AE532" r:id="rId1061"/>
    <hyperlink xmlns:r="http://schemas.openxmlformats.org/officeDocument/2006/relationships" ref="AF532" r:id="rId1062"/>
    <hyperlink xmlns:r="http://schemas.openxmlformats.org/officeDocument/2006/relationships" ref="AE533" r:id="rId1063"/>
    <hyperlink xmlns:r="http://schemas.openxmlformats.org/officeDocument/2006/relationships" ref="AF533" r:id="rId1064"/>
    <hyperlink xmlns:r="http://schemas.openxmlformats.org/officeDocument/2006/relationships" ref="AE534" r:id="rId1065"/>
    <hyperlink xmlns:r="http://schemas.openxmlformats.org/officeDocument/2006/relationships" ref="AF534" r:id="rId1066"/>
    <hyperlink xmlns:r="http://schemas.openxmlformats.org/officeDocument/2006/relationships" ref="AE535" r:id="rId1067"/>
    <hyperlink xmlns:r="http://schemas.openxmlformats.org/officeDocument/2006/relationships" ref="AF535" r:id="rId1068"/>
    <hyperlink xmlns:r="http://schemas.openxmlformats.org/officeDocument/2006/relationships" ref="AE536" r:id="rId1069"/>
    <hyperlink xmlns:r="http://schemas.openxmlformats.org/officeDocument/2006/relationships" ref="AF536" r:id="rId1070"/>
    <hyperlink xmlns:r="http://schemas.openxmlformats.org/officeDocument/2006/relationships" ref="AE537" r:id="rId1071"/>
    <hyperlink xmlns:r="http://schemas.openxmlformats.org/officeDocument/2006/relationships" ref="AF537" r:id="rId1072"/>
    <hyperlink xmlns:r="http://schemas.openxmlformats.org/officeDocument/2006/relationships" ref="AE538" r:id="rId1073"/>
    <hyperlink xmlns:r="http://schemas.openxmlformats.org/officeDocument/2006/relationships" ref="AF538" r:id="rId1074"/>
    <hyperlink xmlns:r="http://schemas.openxmlformats.org/officeDocument/2006/relationships" ref="AE539" r:id="rId1075"/>
    <hyperlink xmlns:r="http://schemas.openxmlformats.org/officeDocument/2006/relationships" ref="AF539" r:id="rId1076"/>
    <hyperlink xmlns:r="http://schemas.openxmlformats.org/officeDocument/2006/relationships" ref="AE540" r:id="rId1077"/>
    <hyperlink xmlns:r="http://schemas.openxmlformats.org/officeDocument/2006/relationships" ref="AF540" r:id="rId1078"/>
    <hyperlink xmlns:r="http://schemas.openxmlformats.org/officeDocument/2006/relationships" ref="AE541" r:id="rId1079"/>
    <hyperlink xmlns:r="http://schemas.openxmlformats.org/officeDocument/2006/relationships" ref="AF541" r:id="rId1080"/>
    <hyperlink xmlns:r="http://schemas.openxmlformats.org/officeDocument/2006/relationships" ref="AE542" r:id="rId1081"/>
    <hyperlink xmlns:r="http://schemas.openxmlformats.org/officeDocument/2006/relationships" ref="AF542" r:id="rId1082"/>
    <hyperlink xmlns:r="http://schemas.openxmlformats.org/officeDocument/2006/relationships" ref="AE543" r:id="rId1083"/>
    <hyperlink xmlns:r="http://schemas.openxmlformats.org/officeDocument/2006/relationships" ref="AF543" r:id="rId1084"/>
    <hyperlink xmlns:r="http://schemas.openxmlformats.org/officeDocument/2006/relationships" ref="AE544" r:id="rId1085"/>
    <hyperlink xmlns:r="http://schemas.openxmlformats.org/officeDocument/2006/relationships" ref="AF544" r:id="rId1086"/>
    <hyperlink xmlns:r="http://schemas.openxmlformats.org/officeDocument/2006/relationships" ref="AE545" r:id="rId1087"/>
    <hyperlink xmlns:r="http://schemas.openxmlformats.org/officeDocument/2006/relationships" ref="AF545" r:id="rId1088"/>
    <hyperlink xmlns:r="http://schemas.openxmlformats.org/officeDocument/2006/relationships" ref="AE546" r:id="rId1089"/>
    <hyperlink xmlns:r="http://schemas.openxmlformats.org/officeDocument/2006/relationships" ref="AF546" r:id="rId1090"/>
    <hyperlink xmlns:r="http://schemas.openxmlformats.org/officeDocument/2006/relationships" ref="AE547" r:id="rId1091"/>
    <hyperlink xmlns:r="http://schemas.openxmlformats.org/officeDocument/2006/relationships" ref="AF547" r:id="rId1092"/>
    <hyperlink xmlns:r="http://schemas.openxmlformats.org/officeDocument/2006/relationships" ref="AE548" r:id="rId1093"/>
    <hyperlink xmlns:r="http://schemas.openxmlformats.org/officeDocument/2006/relationships" ref="AF548" r:id="rId1094"/>
    <hyperlink xmlns:r="http://schemas.openxmlformats.org/officeDocument/2006/relationships" ref="AE549" r:id="rId1095"/>
    <hyperlink xmlns:r="http://schemas.openxmlformats.org/officeDocument/2006/relationships" ref="AF549" r:id="rId1096"/>
    <hyperlink xmlns:r="http://schemas.openxmlformats.org/officeDocument/2006/relationships" ref="AE550" r:id="rId1097"/>
    <hyperlink xmlns:r="http://schemas.openxmlformats.org/officeDocument/2006/relationships" ref="AF550" r:id="rId1098"/>
    <hyperlink xmlns:r="http://schemas.openxmlformats.org/officeDocument/2006/relationships" ref="AE551" r:id="rId1099"/>
    <hyperlink xmlns:r="http://schemas.openxmlformats.org/officeDocument/2006/relationships" ref="AF551" r:id="rId1100"/>
    <hyperlink xmlns:r="http://schemas.openxmlformats.org/officeDocument/2006/relationships" ref="AE552" r:id="rId1101"/>
    <hyperlink xmlns:r="http://schemas.openxmlformats.org/officeDocument/2006/relationships" ref="AF552" r:id="rId1102"/>
    <hyperlink xmlns:r="http://schemas.openxmlformats.org/officeDocument/2006/relationships" ref="AE553" r:id="rId1103"/>
    <hyperlink xmlns:r="http://schemas.openxmlformats.org/officeDocument/2006/relationships" ref="AF553" r:id="rId1104"/>
    <hyperlink xmlns:r="http://schemas.openxmlformats.org/officeDocument/2006/relationships" ref="AE554" r:id="rId1105"/>
    <hyperlink xmlns:r="http://schemas.openxmlformats.org/officeDocument/2006/relationships" ref="AF554" r:id="rId1106"/>
    <hyperlink xmlns:r="http://schemas.openxmlformats.org/officeDocument/2006/relationships" ref="AE555" r:id="rId1107"/>
    <hyperlink xmlns:r="http://schemas.openxmlformats.org/officeDocument/2006/relationships" ref="AF555" r:id="rId1108"/>
    <hyperlink xmlns:r="http://schemas.openxmlformats.org/officeDocument/2006/relationships" ref="AE556" r:id="rId1109"/>
    <hyperlink xmlns:r="http://schemas.openxmlformats.org/officeDocument/2006/relationships" ref="AF556" r:id="rId1110"/>
    <hyperlink xmlns:r="http://schemas.openxmlformats.org/officeDocument/2006/relationships" ref="AE557" r:id="rId1111"/>
    <hyperlink xmlns:r="http://schemas.openxmlformats.org/officeDocument/2006/relationships" ref="AF557" r:id="rId1112"/>
    <hyperlink xmlns:r="http://schemas.openxmlformats.org/officeDocument/2006/relationships" ref="AE558" r:id="rId1113"/>
    <hyperlink xmlns:r="http://schemas.openxmlformats.org/officeDocument/2006/relationships" ref="AF558" r:id="rId1114"/>
    <hyperlink xmlns:r="http://schemas.openxmlformats.org/officeDocument/2006/relationships" ref="AE559" r:id="rId1115"/>
    <hyperlink xmlns:r="http://schemas.openxmlformats.org/officeDocument/2006/relationships" ref="AF559" r:id="rId1116"/>
    <hyperlink xmlns:r="http://schemas.openxmlformats.org/officeDocument/2006/relationships" ref="AE560" r:id="rId1117"/>
    <hyperlink xmlns:r="http://schemas.openxmlformats.org/officeDocument/2006/relationships" ref="AF560" r:id="rId1118"/>
    <hyperlink xmlns:r="http://schemas.openxmlformats.org/officeDocument/2006/relationships" ref="AE561" r:id="rId1119"/>
    <hyperlink xmlns:r="http://schemas.openxmlformats.org/officeDocument/2006/relationships" ref="AF561" r:id="rId1120"/>
    <hyperlink xmlns:r="http://schemas.openxmlformats.org/officeDocument/2006/relationships" ref="AE562" r:id="rId1121"/>
    <hyperlink xmlns:r="http://schemas.openxmlformats.org/officeDocument/2006/relationships" ref="AF562" r:id="rId1122"/>
    <hyperlink xmlns:r="http://schemas.openxmlformats.org/officeDocument/2006/relationships" ref="AE563" r:id="rId1123"/>
    <hyperlink xmlns:r="http://schemas.openxmlformats.org/officeDocument/2006/relationships" ref="AF563" r:id="rId1124"/>
    <hyperlink xmlns:r="http://schemas.openxmlformats.org/officeDocument/2006/relationships" ref="AE564" r:id="rId1125"/>
    <hyperlink xmlns:r="http://schemas.openxmlformats.org/officeDocument/2006/relationships" ref="AF564" r:id="rId1126"/>
    <hyperlink xmlns:r="http://schemas.openxmlformats.org/officeDocument/2006/relationships" ref="AE565" r:id="rId1127"/>
    <hyperlink xmlns:r="http://schemas.openxmlformats.org/officeDocument/2006/relationships" ref="AF565" r:id="rId1128"/>
    <hyperlink xmlns:r="http://schemas.openxmlformats.org/officeDocument/2006/relationships" ref="AE566" r:id="rId1129"/>
    <hyperlink xmlns:r="http://schemas.openxmlformats.org/officeDocument/2006/relationships" ref="AF566" r:id="rId1130"/>
    <hyperlink xmlns:r="http://schemas.openxmlformats.org/officeDocument/2006/relationships" ref="AE567" r:id="rId1131"/>
    <hyperlink xmlns:r="http://schemas.openxmlformats.org/officeDocument/2006/relationships" ref="AF567" r:id="rId1132"/>
    <hyperlink xmlns:r="http://schemas.openxmlformats.org/officeDocument/2006/relationships" ref="AE568" r:id="rId1133"/>
    <hyperlink xmlns:r="http://schemas.openxmlformats.org/officeDocument/2006/relationships" ref="AF568" r:id="rId1134"/>
    <hyperlink xmlns:r="http://schemas.openxmlformats.org/officeDocument/2006/relationships" ref="AE569" r:id="rId1135"/>
    <hyperlink xmlns:r="http://schemas.openxmlformats.org/officeDocument/2006/relationships" ref="AF569" r:id="rId1136"/>
    <hyperlink xmlns:r="http://schemas.openxmlformats.org/officeDocument/2006/relationships" ref="AE570" r:id="rId1137"/>
    <hyperlink xmlns:r="http://schemas.openxmlformats.org/officeDocument/2006/relationships" ref="AF570" r:id="rId1138"/>
    <hyperlink xmlns:r="http://schemas.openxmlformats.org/officeDocument/2006/relationships" ref="AE571" r:id="rId1139"/>
    <hyperlink xmlns:r="http://schemas.openxmlformats.org/officeDocument/2006/relationships" ref="AF571" r:id="rId1140"/>
    <hyperlink xmlns:r="http://schemas.openxmlformats.org/officeDocument/2006/relationships" ref="AE572" r:id="rId1141"/>
    <hyperlink xmlns:r="http://schemas.openxmlformats.org/officeDocument/2006/relationships" ref="AF572" r:id="rId1142"/>
    <hyperlink xmlns:r="http://schemas.openxmlformats.org/officeDocument/2006/relationships" ref="AE573" r:id="rId1143"/>
    <hyperlink xmlns:r="http://schemas.openxmlformats.org/officeDocument/2006/relationships" ref="AF573" r:id="rId1144"/>
    <hyperlink xmlns:r="http://schemas.openxmlformats.org/officeDocument/2006/relationships" ref="AE574" r:id="rId1145"/>
    <hyperlink xmlns:r="http://schemas.openxmlformats.org/officeDocument/2006/relationships" ref="AF574" r:id="rId1146"/>
    <hyperlink xmlns:r="http://schemas.openxmlformats.org/officeDocument/2006/relationships" ref="AE575" r:id="rId1147"/>
    <hyperlink xmlns:r="http://schemas.openxmlformats.org/officeDocument/2006/relationships" ref="AF575" r:id="rId1148"/>
    <hyperlink xmlns:r="http://schemas.openxmlformats.org/officeDocument/2006/relationships" ref="AE576" r:id="rId1149"/>
    <hyperlink xmlns:r="http://schemas.openxmlformats.org/officeDocument/2006/relationships" ref="AF576" r:id="rId1150"/>
    <hyperlink xmlns:r="http://schemas.openxmlformats.org/officeDocument/2006/relationships" ref="AE577" r:id="rId1151"/>
    <hyperlink xmlns:r="http://schemas.openxmlformats.org/officeDocument/2006/relationships" ref="AF577" r:id="rId1152"/>
    <hyperlink xmlns:r="http://schemas.openxmlformats.org/officeDocument/2006/relationships" ref="AE578" r:id="rId1153"/>
    <hyperlink xmlns:r="http://schemas.openxmlformats.org/officeDocument/2006/relationships" ref="AF578" r:id="rId1154"/>
    <hyperlink xmlns:r="http://schemas.openxmlformats.org/officeDocument/2006/relationships" ref="AE579" r:id="rId1155"/>
    <hyperlink xmlns:r="http://schemas.openxmlformats.org/officeDocument/2006/relationships" ref="AF579" r:id="rId1156"/>
    <hyperlink xmlns:r="http://schemas.openxmlformats.org/officeDocument/2006/relationships" ref="AE580" r:id="rId1157"/>
    <hyperlink xmlns:r="http://schemas.openxmlformats.org/officeDocument/2006/relationships" ref="AF580" r:id="rId1158"/>
    <hyperlink xmlns:r="http://schemas.openxmlformats.org/officeDocument/2006/relationships" ref="AE581" r:id="rId1159"/>
    <hyperlink xmlns:r="http://schemas.openxmlformats.org/officeDocument/2006/relationships" ref="AF581" r:id="rId1160"/>
    <hyperlink xmlns:r="http://schemas.openxmlformats.org/officeDocument/2006/relationships" ref="AE582" r:id="rId1161"/>
    <hyperlink xmlns:r="http://schemas.openxmlformats.org/officeDocument/2006/relationships" ref="AF582" r:id="rId1162"/>
    <hyperlink xmlns:r="http://schemas.openxmlformats.org/officeDocument/2006/relationships" ref="AE583" r:id="rId1163"/>
    <hyperlink xmlns:r="http://schemas.openxmlformats.org/officeDocument/2006/relationships" ref="AF583" r:id="rId1164"/>
    <hyperlink xmlns:r="http://schemas.openxmlformats.org/officeDocument/2006/relationships" ref="AE584" r:id="rId1165"/>
    <hyperlink xmlns:r="http://schemas.openxmlformats.org/officeDocument/2006/relationships" ref="AF584" r:id="rId1166"/>
    <hyperlink xmlns:r="http://schemas.openxmlformats.org/officeDocument/2006/relationships" ref="AE585" r:id="rId1167"/>
    <hyperlink xmlns:r="http://schemas.openxmlformats.org/officeDocument/2006/relationships" ref="AF585" r:id="rId1168"/>
    <hyperlink xmlns:r="http://schemas.openxmlformats.org/officeDocument/2006/relationships" ref="AE586" r:id="rId1169"/>
    <hyperlink xmlns:r="http://schemas.openxmlformats.org/officeDocument/2006/relationships" ref="AF586" r:id="rId1170"/>
    <hyperlink xmlns:r="http://schemas.openxmlformats.org/officeDocument/2006/relationships" ref="AE587" r:id="rId1171"/>
    <hyperlink xmlns:r="http://schemas.openxmlformats.org/officeDocument/2006/relationships" ref="AF587" r:id="rId1172"/>
    <hyperlink xmlns:r="http://schemas.openxmlformats.org/officeDocument/2006/relationships" ref="AE588" r:id="rId1173"/>
    <hyperlink xmlns:r="http://schemas.openxmlformats.org/officeDocument/2006/relationships" ref="AF588" r:id="rId1174"/>
    <hyperlink xmlns:r="http://schemas.openxmlformats.org/officeDocument/2006/relationships" ref="AE589" r:id="rId1175"/>
    <hyperlink xmlns:r="http://schemas.openxmlformats.org/officeDocument/2006/relationships" ref="AF589" r:id="rId1176"/>
    <hyperlink xmlns:r="http://schemas.openxmlformats.org/officeDocument/2006/relationships" ref="AE590" r:id="rId1177"/>
    <hyperlink xmlns:r="http://schemas.openxmlformats.org/officeDocument/2006/relationships" ref="AF590" r:id="rId1178"/>
    <hyperlink xmlns:r="http://schemas.openxmlformats.org/officeDocument/2006/relationships" ref="AE591" r:id="rId1179"/>
    <hyperlink xmlns:r="http://schemas.openxmlformats.org/officeDocument/2006/relationships" ref="AF591" r:id="rId1180"/>
    <hyperlink xmlns:r="http://schemas.openxmlformats.org/officeDocument/2006/relationships" ref="AE592" r:id="rId1181"/>
    <hyperlink xmlns:r="http://schemas.openxmlformats.org/officeDocument/2006/relationships" ref="AF592" r:id="rId1182"/>
    <hyperlink xmlns:r="http://schemas.openxmlformats.org/officeDocument/2006/relationships" ref="AE593" r:id="rId1183"/>
    <hyperlink xmlns:r="http://schemas.openxmlformats.org/officeDocument/2006/relationships" ref="AF593" r:id="rId1184"/>
    <hyperlink xmlns:r="http://schemas.openxmlformats.org/officeDocument/2006/relationships" ref="AE594" r:id="rId1185"/>
    <hyperlink xmlns:r="http://schemas.openxmlformats.org/officeDocument/2006/relationships" ref="AF594" r:id="rId1186"/>
    <hyperlink xmlns:r="http://schemas.openxmlformats.org/officeDocument/2006/relationships" ref="AE595" r:id="rId1187"/>
    <hyperlink xmlns:r="http://schemas.openxmlformats.org/officeDocument/2006/relationships" ref="AF595" r:id="rId1188"/>
    <hyperlink xmlns:r="http://schemas.openxmlformats.org/officeDocument/2006/relationships" ref="AE596" r:id="rId1189"/>
    <hyperlink xmlns:r="http://schemas.openxmlformats.org/officeDocument/2006/relationships" ref="AF596" r:id="rId1190"/>
    <hyperlink xmlns:r="http://schemas.openxmlformats.org/officeDocument/2006/relationships" ref="AE597" r:id="rId1191"/>
    <hyperlink xmlns:r="http://schemas.openxmlformats.org/officeDocument/2006/relationships" ref="AF597" r:id="rId1192"/>
    <hyperlink xmlns:r="http://schemas.openxmlformats.org/officeDocument/2006/relationships" ref="AE598" r:id="rId1193"/>
    <hyperlink xmlns:r="http://schemas.openxmlformats.org/officeDocument/2006/relationships" ref="AF598" r:id="rId1194"/>
    <hyperlink xmlns:r="http://schemas.openxmlformats.org/officeDocument/2006/relationships" ref="AE599" r:id="rId1195"/>
    <hyperlink xmlns:r="http://schemas.openxmlformats.org/officeDocument/2006/relationships" ref="AF599" r:id="rId1196"/>
    <hyperlink xmlns:r="http://schemas.openxmlformats.org/officeDocument/2006/relationships" ref="AE600" r:id="rId1197"/>
    <hyperlink xmlns:r="http://schemas.openxmlformats.org/officeDocument/2006/relationships" ref="AF600" r:id="rId1198"/>
    <hyperlink xmlns:r="http://schemas.openxmlformats.org/officeDocument/2006/relationships" ref="AE601" r:id="rId1199"/>
    <hyperlink xmlns:r="http://schemas.openxmlformats.org/officeDocument/2006/relationships" ref="AF601" r:id="rId1200"/>
    <hyperlink xmlns:r="http://schemas.openxmlformats.org/officeDocument/2006/relationships" ref="AE602" r:id="rId1201"/>
    <hyperlink xmlns:r="http://schemas.openxmlformats.org/officeDocument/2006/relationships" ref="AF602" r:id="rId1202"/>
    <hyperlink xmlns:r="http://schemas.openxmlformats.org/officeDocument/2006/relationships" ref="AE603" r:id="rId1203"/>
    <hyperlink xmlns:r="http://schemas.openxmlformats.org/officeDocument/2006/relationships" ref="AF603" r:id="rId1204"/>
    <hyperlink xmlns:r="http://schemas.openxmlformats.org/officeDocument/2006/relationships" ref="AE604" r:id="rId1205"/>
    <hyperlink xmlns:r="http://schemas.openxmlformats.org/officeDocument/2006/relationships" ref="AF604" r:id="rId1206"/>
    <hyperlink xmlns:r="http://schemas.openxmlformats.org/officeDocument/2006/relationships" ref="AE605" r:id="rId1207"/>
    <hyperlink xmlns:r="http://schemas.openxmlformats.org/officeDocument/2006/relationships" ref="AF605" r:id="rId1208"/>
    <hyperlink xmlns:r="http://schemas.openxmlformats.org/officeDocument/2006/relationships" ref="AE606" r:id="rId1209"/>
    <hyperlink xmlns:r="http://schemas.openxmlformats.org/officeDocument/2006/relationships" ref="AF606" r:id="rId1210"/>
    <hyperlink xmlns:r="http://schemas.openxmlformats.org/officeDocument/2006/relationships" ref="AE607" r:id="rId1211"/>
    <hyperlink xmlns:r="http://schemas.openxmlformats.org/officeDocument/2006/relationships" ref="AF607" r:id="rId1212"/>
    <hyperlink xmlns:r="http://schemas.openxmlformats.org/officeDocument/2006/relationships" ref="AE608" r:id="rId1213"/>
    <hyperlink xmlns:r="http://schemas.openxmlformats.org/officeDocument/2006/relationships" ref="AF608" r:id="rId1214"/>
    <hyperlink xmlns:r="http://schemas.openxmlformats.org/officeDocument/2006/relationships" ref="AE609" r:id="rId1215"/>
    <hyperlink xmlns:r="http://schemas.openxmlformats.org/officeDocument/2006/relationships" ref="AF609" r:id="rId1216"/>
    <hyperlink xmlns:r="http://schemas.openxmlformats.org/officeDocument/2006/relationships" ref="AE610" r:id="rId1217"/>
    <hyperlink xmlns:r="http://schemas.openxmlformats.org/officeDocument/2006/relationships" ref="AF610" r:id="rId1218"/>
    <hyperlink xmlns:r="http://schemas.openxmlformats.org/officeDocument/2006/relationships" ref="AE611" r:id="rId1219"/>
    <hyperlink xmlns:r="http://schemas.openxmlformats.org/officeDocument/2006/relationships" ref="AF611" r:id="rId1220"/>
    <hyperlink xmlns:r="http://schemas.openxmlformats.org/officeDocument/2006/relationships" ref="AE612" r:id="rId1221"/>
    <hyperlink xmlns:r="http://schemas.openxmlformats.org/officeDocument/2006/relationships" ref="AF612" r:id="rId1222"/>
    <hyperlink xmlns:r="http://schemas.openxmlformats.org/officeDocument/2006/relationships" ref="AE613" r:id="rId1223"/>
    <hyperlink xmlns:r="http://schemas.openxmlformats.org/officeDocument/2006/relationships" ref="AF613" r:id="rId1224"/>
    <hyperlink xmlns:r="http://schemas.openxmlformats.org/officeDocument/2006/relationships" ref="AE614" r:id="rId1225"/>
    <hyperlink xmlns:r="http://schemas.openxmlformats.org/officeDocument/2006/relationships" ref="AF614" r:id="rId1226"/>
    <hyperlink xmlns:r="http://schemas.openxmlformats.org/officeDocument/2006/relationships" ref="AE615" r:id="rId1227"/>
    <hyperlink xmlns:r="http://schemas.openxmlformats.org/officeDocument/2006/relationships" ref="AF615" r:id="rId1228"/>
    <hyperlink xmlns:r="http://schemas.openxmlformats.org/officeDocument/2006/relationships" ref="AE616" r:id="rId1229"/>
    <hyperlink xmlns:r="http://schemas.openxmlformats.org/officeDocument/2006/relationships" ref="AF616" r:id="rId1230"/>
    <hyperlink xmlns:r="http://schemas.openxmlformats.org/officeDocument/2006/relationships" ref="AE617" r:id="rId1231"/>
    <hyperlink xmlns:r="http://schemas.openxmlformats.org/officeDocument/2006/relationships" ref="AF617" r:id="rId1232"/>
    <hyperlink xmlns:r="http://schemas.openxmlformats.org/officeDocument/2006/relationships" ref="AE618" r:id="rId1233"/>
    <hyperlink xmlns:r="http://schemas.openxmlformats.org/officeDocument/2006/relationships" ref="AF618" r:id="rId1234"/>
    <hyperlink xmlns:r="http://schemas.openxmlformats.org/officeDocument/2006/relationships" ref="AE619" r:id="rId1235"/>
    <hyperlink xmlns:r="http://schemas.openxmlformats.org/officeDocument/2006/relationships" ref="AF619" r:id="rId1236"/>
    <hyperlink xmlns:r="http://schemas.openxmlformats.org/officeDocument/2006/relationships" ref="AE620" r:id="rId1237"/>
    <hyperlink xmlns:r="http://schemas.openxmlformats.org/officeDocument/2006/relationships" ref="AF620" r:id="rId1238"/>
    <hyperlink xmlns:r="http://schemas.openxmlformats.org/officeDocument/2006/relationships" ref="AE621" r:id="rId1239"/>
    <hyperlink xmlns:r="http://schemas.openxmlformats.org/officeDocument/2006/relationships" ref="AF621" r:id="rId1240"/>
    <hyperlink xmlns:r="http://schemas.openxmlformats.org/officeDocument/2006/relationships" ref="AE622" r:id="rId1241"/>
    <hyperlink xmlns:r="http://schemas.openxmlformats.org/officeDocument/2006/relationships" ref="AF622" r:id="rId1242"/>
    <hyperlink xmlns:r="http://schemas.openxmlformats.org/officeDocument/2006/relationships" ref="AE623" r:id="rId1243"/>
    <hyperlink xmlns:r="http://schemas.openxmlformats.org/officeDocument/2006/relationships" ref="AF623" r:id="rId1244"/>
    <hyperlink xmlns:r="http://schemas.openxmlformats.org/officeDocument/2006/relationships" ref="AE624" r:id="rId1245"/>
    <hyperlink xmlns:r="http://schemas.openxmlformats.org/officeDocument/2006/relationships" ref="AF624" r:id="rId1246"/>
    <hyperlink xmlns:r="http://schemas.openxmlformats.org/officeDocument/2006/relationships" ref="AE625" r:id="rId1247"/>
    <hyperlink xmlns:r="http://schemas.openxmlformats.org/officeDocument/2006/relationships" ref="AF625" r:id="rId1248"/>
    <hyperlink xmlns:r="http://schemas.openxmlformats.org/officeDocument/2006/relationships" ref="AE626" r:id="rId1249"/>
    <hyperlink xmlns:r="http://schemas.openxmlformats.org/officeDocument/2006/relationships" ref="AF626" r:id="rId1250"/>
    <hyperlink xmlns:r="http://schemas.openxmlformats.org/officeDocument/2006/relationships" ref="AE627" r:id="rId1251"/>
    <hyperlink xmlns:r="http://schemas.openxmlformats.org/officeDocument/2006/relationships" ref="AF627" r:id="rId1252"/>
    <hyperlink xmlns:r="http://schemas.openxmlformats.org/officeDocument/2006/relationships" ref="AE628" r:id="rId1253"/>
    <hyperlink xmlns:r="http://schemas.openxmlformats.org/officeDocument/2006/relationships" ref="AF628" r:id="rId1254"/>
    <hyperlink xmlns:r="http://schemas.openxmlformats.org/officeDocument/2006/relationships" ref="AE629" r:id="rId1255"/>
    <hyperlink xmlns:r="http://schemas.openxmlformats.org/officeDocument/2006/relationships" ref="AF629" r:id="rId1256"/>
    <hyperlink xmlns:r="http://schemas.openxmlformats.org/officeDocument/2006/relationships" ref="AE630" r:id="rId1257"/>
    <hyperlink xmlns:r="http://schemas.openxmlformats.org/officeDocument/2006/relationships" ref="AF630" r:id="rId1258"/>
    <hyperlink xmlns:r="http://schemas.openxmlformats.org/officeDocument/2006/relationships" ref="AE631" r:id="rId1259"/>
    <hyperlink xmlns:r="http://schemas.openxmlformats.org/officeDocument/2006/relationships" ref="AF631" r:id="rId1260"/>
    <hyperlink xmlns:r="http://schemas.openxmlformats.org/officeDocument/2006/relationships" ref="AE632" r:id="rId1261"/>
    <hyperlink xmlns:r="http://schemas.openxmlformats.org/officeDocument/2006/relationships" ref="AF632" r:id="rId1262"/>
    <hyperlink xmlns:r="http://schemas.openxmlformats.org/officeDocument/2006/relationships" ref="AE633" r:id="rId1263"/>
    <hyperlink xmlns:r="http://schemas.openxmlformats.org/officeDocument/2006/relationships" ref="AF633" r:id="rId1264"/>
    <hyperlink xmlns:r="http://schemas.openxmlformats.org/officeDocument/2006/relationships" ref="AE634" r:id="rId1265"/>
    <hyperlink xmlns:r="http://schemas.openxmlformats.org/officeDocument/2006/relationships" ref="AF634" r:id="rId1266"/>
    <hyperlink xmlns:r="http://schemas.openxmlformats.org/officeDocument/2006/relationships" ref="AE635" r:id="rId1267"/>
    <hyperlink xmlns:r="http://schemas.openxmlformats.org/officeDocument/2006/relationships" ref="AF635" r:id="rId1268"/>
    <hyperlink xmlns:r="http://schemas.openxmlformats.org/officeDocument/2006/relationships" ref="AE636" r:id="rId1269"/>
    <hyperlink xmlns:r="http://schemas.openxmlformats.org/officeDocument/2006/relationships" ref="AF636" r:id="rId1270"/>
    <hyperlink xmlns:r="http://schemas.openxmlformats.org/officeDocument/2006/relationships" ref="AE637" r:id="rId1271"/>
    <hyperlink xmlns:r="http://schemas.openxmlformats.org/officeDocument/2006/relationships" ref="AF637" r:id="rId1272"/>
    <hyperlink xmlns:r="http://schemas.openxmlformats.org/officeDocument/2006/relationships" ref="AE638" r:id="rId1273"/>
    <hyperlink xmlns:r="http://schemas.openxmlformats.org/officeDocument/2006/relationships" ref="AF638" r:id="rId1274"/>
    <hyperlink xmlns:r="http://schemas.openxmlformats.org/officeDocument/2006/relationships" ref="AE639" r:id="rId1275"/>
    <hyperlink xmlns:r="http://schemas.openxmlformats.org/officeDocument/2006/relationships" ref="AF639" r:id="rId1276"/>
    <hyperlink xmlns:r="http://schemas.openxmlformats.org/officeDocument/2006/relationships" ref="AE640" r:id="rId1277"/>
    <hyperlink xmlns:r="http://schemas.openxmlformats.org/officeDocument/2006/relationships" ref="AF640" r:id="rId1278"/>
    <hyperlink xmlns:r="http://schemas.openxmlformats.org/officeDocument/2006/relationships" ref="AE641" r:id="rId1279"/>
    <hyperlink xmlns:r="http://schemas.openxmlformats.org/officeDocument/2006/relationships" ref="AF641" r:id="rId1280"/>
    <hyperlink xmlns:r="http://schemas.openxmlformats.org/officeDocument/2006/relationships" ref="AE642" r:id="rId1281"/>
    <hyperlink xmlns:r="http://schemas.openxmlformats.org/officeDocument/2006/relationships" ref="AF642" r:id="rId1282"/>
    <hyperlink xmlns:r="http://schemas.openxmlformats.org/officeDocument/2006/relationships" ref="AE643" r:id="rId1283"/>
    <hyperlink xmlns:r="http://schemas.openxmlformats.org/officeDocument/2006/relationships" ref="AF643" r:id="rId1284"/>
    <hyperlink xmlns:r="http://schemas.openxmlformats.org/officeDocument/2006/relationships" ref="AE644" r:id="rId1285"/>
    <hyperlink xmlns:r="http://schemas.openxmlformats.org/officeDocument/2006/relationships" ref="AF644" r:id="rId1286"/>
    <hyperlink xmlns:r="http://schemas.openxmlformats.org/officeDocument/2006/relationships" ref="AE645" r:id="rId1287"/>
    <hyperlink xmlns:r="http://schemas.openxmlformats.org/officeDocument/2006/relationships" ref="AF645" r:id="rId1288"/>
    <hyperlink xmlns:r="http://schemas.openxmlformats.org/officeDocument/2006/relationships" ref="AE646" r:id="rId1289"/>
    <hyperlink xmlns:r="http://schemas.openxmlformats.org/officeDocument/2006/relationships" ref="AF646" r:id="rId1290"/>
    <hyperlink xmlns:r="http://schemas.openxmlformats.org/officeDocument/2006/relationships" ref="AE647" r:id="rId1291"/>
    <hyperlink xmlns:r="http://schemas.openxmlformats.org/officeDocument/2006/relationships" ref="AF647" r:id="rId1292"/>
    <hyperlink xmlns:r="http://schemas.openxmlformats.org/officeDocument/2006/relationships" ref="AE648" r:id="rId1293"/>
    <hyperlink xmlns:r="http://schemas.openxmlformats.org/officeDocument/2006/relationships" ref="AF648" r:id="rId1294"/>
    <hyperlink xmlns:r="http://schemas.openxmlformats.org/officeDocument/2006/relationships" ref="AE649" r:id="rId1295"/>
    <hyperlink xmlns:r="http://schemas.openxmlformats.org/officeDocument/2006/relationships" ref="AF649" r:id="rId1296"/>
    <hyperlink xmlns:r="http://schemas.openxmlformats.org/officeDocument/2006/relationships" ref="AE650" r:id="rId1297"/>
    <hyperlink xmlns:r="http://schemas.openxmlformats.org/officeDocument/2006/relationships" ref="AF650" r:id="rId1298"/>
    <hyperlink xmlns:r="http://schemas.openxmlformats.org/officeDocument/2006/relationships" ref="AE651" r:id="rId1299"/>
    <hyperlink xmlns:r="http://schemas.openxmlformats.org/officeDocument/2006/relationships" ref="AF651" r:id="rId1300"/>
    <hyperlink xmlns:r="http://schemas.openxmlformats.org/officeDocument/2006/relationships" ref="AE652" r:id="rId1301"/>
    <hyperlink xmlns:r="http://schemas.openxmlformats.org/officeDocument/2006/relationships" ref="AF652" r:id="rId1302"/>
    <hyperlink xmlns:r="http://schemas.openxmlformats.org/officeDocument/2006/relationships" ref="AE653" r:id="rId1303"/>
    <hyperlink xmlns:r="http://schemas.openxmlformats.org/officeDocument/2006/relationships" ref="AF653" r:id="rId1304"/>
    <hyperlink xmlns:r="http://schemas.openxmlformats.org/officeDocument/2006/relationships" ref="AE654" r:id="rId1305"/>
    <hyperlink xmlns:r="http://schemas.openxmlformats.org/officeDocument/2006/relationships" ref="AF654" r:id="rId1306"/>
    <hyperlink xmlns:r="http://schemas.openxmlformats.org/officeDocument/2006/relationships" ref="AE656" r:id="rId1307"/>
    <hyperlink xmlns:r="http://schemas.openxmlformats.org/officeDocument/2006/relationships" ref="AF656" r:id="rId1308"/>
    <hyperlink xmlns:r="http://schemas.openxmlformats.org/officeDocument/2006/relationships" ref="AE657" r:id="rId1309"/>
    <hyperlink xmlns:r="http://schemas.openxmlformats.org/officeDocument/2006/relationships" ref="AF657" r:id="rId1310"/>
    <hyperlink xmlns:r="http://schemas.openxmlformats.org/officeDocument/2006/relationships" ref="AE658" r:id="rId1311"/>
    <hyperlink xmlns:r="http://schemas.openxmlformats.org/officeDocument/2006/relationships" ref="AF658" r:id="rId1312"/>
    <hyperlink xmlns:r="http://schemas.openxmlformats.org/officeDocument/2006/relationships" ref="AE659" r:id="rId1313"/>
    <hyperlink xmlns:r="http://schemas.openxmlformats.org/officeDocument/2006/relationships" ref="AF659" r:id="rId1314"/>
    <hyperlink xmlns:r="http://schemas.openxmlformats.org/officeDocument/2006/relationships" ref="AE660" r:id="rId1315"/>
    <hyperlink xmlns:r="http://schemas.openxmlformats.org/officeDocument/2006/relationships" ref="AF660" r:id="rId1316"/>
    <hyperlink xmlns:r="http://schemas.openxmlformats.org/officeDocument/2006/relationships" ref="AE661" r:id="rId1317"/>
    <hyperlink xmlns:r="http://schemas.openxmlformats.org/officeDocument/2006/relationships" ref="AF661" r:id="rId1318"/>
    <hyperlink xmlns:r="http://schemas.openxmlformats.org/officeDocument/2006/relationships" ref="AE662" r:id="rId1319"/>
    <hyperlink xmlns:r="http://schemas.openxmlformats.org/officeDocument/2006/relationships" ref="AF662" r:id="rId1320"/>
    <hyperlink xmlns:r="http://schemas.openxmlformats.org/officeDocument/2006/relationships" ref="AE663" r:id="rId1321"/>
    <hyperlink xmlns:r="http://schemas.openxmlformats.org/officeDocument/2006/relationships" ref="AF663" r:id="rId1322"/>
    <hyperlink xmlns:r="http://schemas.openxmlformats.org/officeDocument/2006/relationships" ref="AE664" r:id="rId1323"/>
    <hyperlink xmlns:r="http://schemas.openxmlformats.org/officeDocument/2006/relationships" ref="AF664" r:id="rId1324"/>
    <hyperlink xmlns:r="http://schemas.openxmlformats.org/officeDocument/2006/relationships" ref="AE665" r:id="rId1325"/>
    <hyperlink xmlns:r="http://schemas.openxmlformats.org/officeDocument/2006/relationships" ref="AF665" r:id="rId1326"/>
    <hyperlink xmlns:r="http://schemas.openxmlformats.org/officeDocument/2006/relationships" ref="AE666" r:id="rId1327"/>
    <hyperlink xmlns:r="http://schemas.openxmlformats.org/officeDocument/2006/relationships" ref="AF666" r:id="rId1328"/>
    <hyperlink xmlns:r="http://schemas.openxmlformats.org/officeDocument/2006/relationships" ref="AE667" r:id="rId1329"/>
    <hyperlink xmlns:r="http://schemas.openxmlformats.org/officeDocument/2006/relationships" ref="AF667" r:id="rId1330"/>
    <hyperlink xmlns:r="http://schemas.openxmlformats.org/officeDocument/2006/relationships" ref="AE668" r:id="rId1331"/>
    <hyperlink xmlns:r="http://schemas.openxmlformats.org/officeDocument/2006/relationships" ref="AF668" r:id="rId1332"/>
    <hyperlink xmlns:r="http://schemas.openxmlformats.org/officeDocument/2006/relationships" ref="AE669" r:id="rId1333"/>
    <hyperlink xmlns:r="http://schemas.openxmlformats.org/officeDocument/2006/relationships" ref="AF669" r:id="rId1334"/>
    <hyperlink xmlns:r="http://schemas.openxmlformats.org/officeDocument/2006/relationships" ref="AE670" r:id="rId1335"/>
    <hyperlink xmlns:r="http://schemas.openxmlformats.org/officeDocument/2006/relationships" ref="AF670" r:id="rId1336"/>
    <hyperlink xmlns:r="http://schemas.openxmlformats.org/officeDocument/2006/relationships" ref="AE671" r:id="rId1337"/>
    <hyperlink xmlns:r="http://schemas.openxmlformats.org/officeDocument/2006/relationships" ref="AF671" r:id="rId1338"/>
    <hyperlink xmlns:r="http://schemas.openxmlformats.org/officeDocument/2006/relationships" ref="AE672" r:id="rId1339"/>
    <hyperlink xmlns:r="http://schemas.openxmlformats.org/officeDocument/2006/relationships" ref="AF672" r:id="rId1340"/>
    <hyperlink xmlns:r="http://schemas.openxmlformats.org/officeDocument/2006/relationships" ref="AE673" r:id="rId1341"/>
    <hyperlink xmlns:r="http://schemas.openxmlformats.org/officeDocument/2006/relationships" ref="AF673" r:id="rId1342"/>
    <hyperlink xmlns:r="http://schemas.openxmlformats.org/officeDocument/2006/relationships" ref="AE674" r:id="rId1343"/>
    <hyperlink xmlns:r="http://schemas.openxmlformats.org/officeDocument/2006/relationships" ref="AF674" r:id="rId1344"/>
    <hyperlink xmlns:r="http://schemas.openxmlformats.org/officeDocument/2006/relationships" ref="AE675" r:id="rId1345"/>
    <hyperlink xmlns:r="http://schemas.openxmlformats.org/officeDocument/2006/relationships" ref="AF675" r:id="rId1346"/>
    <hyperlink xmlns:r="http://schemas.openxmlformats.org/officeDocument/2006/relationships" ref="AE676" r:id="rId1347"/>
    <hyperlink xmlns:r="http://schemas.openxmlformats.org/officeDocument/2006/relationships" ref="AF676" r:id="rId1348"/>
    <hyperlink xmlns:r="http://schemas.openxmlformats.org/officeDocument/2006/relationships" ref="AE677" r:id="rId1349"/>
    <hyperlink xmlns:r="http://schemas.openxmlformats.org/officeDocument/2006/relationships" ref="AF677" r:id="rId1350"/>
    <hyperlink xmlns:r="http://schemas.openxmlformats.org/officeDocument/2006/relationships" ref="AE678" r:id="rId1351"/>
    <hyperlink xmlns:r="http://schemas.openxmlformats.org/officeDocument/2006/relationships" ref="AF678" r:id="rId1352"/>
    <hyperlink xmlns:r="http://schemas.openxmlformats.org/officeDocument/2006/relationships" ref="AE679" r:id="rId1353"/>
    <hyperlink xmlns:r="http://schemas.openxmlformats.org/officeDocument/2006/relationships" ref="AF679" r:id="rId1354"/>
    <hyperlink xmlns:r="http://schemas.openxmlformats.org/officeDocument/2006/relationships" ref="AE680" r:id="rId1355"/>
    <hyperlink xmlns:r="http://schemas.openxmlformats.org/officeDocument/2006/relationships" ref="AF680" r:id="rId1356"/>
    <hyperlink xmlns:r="http://schemas.openxmlformats.org/officeDocument/2006/relationships" ref="AE681" r:id="rId1357"/>
    <hyperlink xmlns:r="http://schemas.openxmlformats.org/officeDocument/2006/relationships" ref="AF681" r:id="rId1358"/>
    <hyperlink xmlns:r="http://schemas.openxmlformats.org/officeDocument/2006/relationships" ref="AE682" r:id="rId1359"/>
    <hyperlink xmlns:r="http://schemas.openxmlformats.org/officeDocument/2006/relationships" ref="AF682" r:id="rId1360"/>
    <hyperlink xmlns:r="http://schemas.openxmlformats.org/officeDocument/2006/relationships" ref="AE683" r:id="rId1361"/>
    <hyperlink xmlns:r="http://schemas.openxmlformats.org/officeDocument/2006/relationships" ref="AF683" r:id="rId1362"/>
    <hyperlink xmlns:r="http://schemas.openxmlformats.org/officeDocument/2006/relationships" ref="AE684" r:id="rId1363"/>
    <hyperlink xmlns:r="http://schemas.openxmlformats.org/officeDocument/2006/relationships" ref="AF684" r:id="rId1364"/>
    <hyperlink xmlns:r="http://schemas.openxmlformats.org/officeDocument/2006/relationships" ref="AE685" r:id="rId1365"/>
    <hyperlink xmlns:r="http://schemas.openxmlformats.org/officeDocument/2006/relationships" ref="AF685" r:id="rId1366"/>
    <hyperlink xmlns:r="http://schemas.openxmlformats.org/officeDocument/2006/relationships" ref="AE686" r:id="rId1367"/>
    <hyperlink xmlns:r="http://schemas.openxmlformats.org/officeDocument/2006/relationships" ref="AF686" r:id="rId1368"/>
    <hyperlink xmlns:r="http://schemas.openxmlformats.org/officeDocument/2006/relationships" ref="AE687" r:id="rId1369"/>
    <hyperlink xmlns:r="http://schemas.openxmlformats.org/officeDocument/2006/relationships" ref="AF687" r:id="rId1370"/>
    <hyperlink xmlns:r="http://schemas.openxmlformats.org/officeDocument/2006/relationships" ref="AE688" r:id="rId1371"/>
    <hyperlink xmlns:r="http://schemas.openxmlformats.org/officeDocument/2006/relationships" ref="AF688" r:id="rId1372"/>
    <hyperlink xmlns:r="http://schemas.openxmlformats.org/officeDocument/2006/relationships" ref="AE689" r:id="rId1373"/>
    <hyperlink xmlns:r="http://schemas.openxmlformats.org/officeDocument/2006/relationships" ref="AF689" r:id="rId1374"/>
    <hyperlink xmlns:r="http://schemas.openxmlformats.org/officeDocument/2006/relationships" ref="AE690" r:id="rId1375"/>
    <hyperlink xmlns:r="http://schemas.openxmlformats.org/officeDocument/2006/relationships" ref="AF690" r:id="rId1376"/>
    <hyperlink xmlns:r="http://schemas.openxmlformats.org/officeDocument/2006/relationships" ref="AE691" r:id="rId1377"/>
    <hyperlink xmlns:r="http://schemas.openxmlformats.org/officeDocument/2006/relationships" ref="AF691" r:id="rId1378"/>
    <hyperlink xmlns:r="http://schemas.openxmlformats.org/officeDocument/2006/relationships" ref="AE692" r:id="rId1379"/>
    <hyperlink xmlns:r="http://schemas.openxmlformats.org/officeDocument/2006/relationships" ref="AF692" r:id="rId1380"/>
    <hyperlink xmlns:r="http://schemas.openxmlformats.org/officeDocument/2006/relationships" ref="AE693" r:id="rId1381"/>
    <hyperlink xmlns:r="http://schemas.openxmlformats.org/officeDocument/2006/relationships" ref="AF693" r:id="rId1382"/>
    <hyperlink xmlns:r="http://schemas.openxmlformats.org/officeDocument/2006/relationships" ref="AE694" r:id="rId1383"/>
    <hyperlink xmlns:r="http://schemas.openxmlformats.org/officeDocument/2006/relationships" ref="AF694" r:id="rId1384"/>
    <hyperlink xmlns:r="http://schemas.openxmlformats.org/officeDocument/2006/relationships" ref="AE695" r:id="rId1385"/>
    <hyperlink xmlns:r="http://schemas.openxmlformats.org/officeDocument/2006/relationships" ref="AF695" r:id="rId1386"/>
    <hyperlink xmlns:r="http://schemas.openxmlformats.org/officeDocument/2006/relationships" ref="AE696" r:id="rId1387"/>
    <hyperlink xmlns:r="http://schemas.openxmlformats.org/officeDocument/2006/relationships" ref="AF696" r:id="rId1388"/>
    <hyperlink xmlns:r="http://schemas.openxmlformats.org/officeDocument/2006/relationships" ref="AE697" r:id="rId1389"/>
    <hyperlink xmlns:r="http://schemas.openxmlformats.org/officeDocument/2006/relationships" ref="AF697" r:id="rId1390"/>
    <hyperlink xmlns:r="http://schemas.openxmlformats.org/officeDocument/2006/relationships" ref="AE698" r:id="rId1391"/>
    <hyperlink xmlns:r="http://schemas.openxmlformats.org/officeDocument/2006/relationships" ref="AF698" r:id="rId1392"/>
    <hyperlink xmlns:r="http://schemas.openxmlformats.org/officeDocument/2006/relationships" ref="AE699" r:id="rId1393"/>
    <hyperlink xmlns:r="http://schemas.openxmlformats.org/officeDocument/2006/relationships" ref="AF699" r:id="rId1394"/>
    <hyperlink xmlns:r="http://schemas.openxmlformats.org/officeDocument/2006/relationships" ref="AE700" r:id="rId1395"/>
    <hyperlink xmlns:r="http://schemas.openxmlformats.org/officeDocument/2006/relationships" ref="AF700" r:id="rId1396"/>
    <hyperlink xmlns:r="http://schemas.openxmlformats.org/officeDocument/2006/relationships" ref="AE701" r:id="rId1397"/>
    <hyperlink xmlns:r="http://schemas.openxmlformats.org/officeDocument/2006/relationships" ref="AF701" r:id="rId1398"/>
    <hyperlink xmlns:r="http://schemas.openxmlformats.org/officeDocument/2006/relationships" ref="AE702" r:id="rId1399"/>
    <hyperlink xmlns:r="http://schemas.openxmlformats.org/officeDocument/2006/relationships" ref="AF702" r:id="rId1400"/>
    <hyperlink xmlns:r="http://schemas.openxmlformats.org/officeDocument/2006/relationships" ref="AE703" r:id="rId1401"/>
    <hyperlink xmlns:r="http://schemas.openxmlformats.org/officeDocument/2006/relationships" ref="AF703" r:id="rId1402"/>
    <hyperlink xmlns:r="http://schemas.openxmlformats.org/officeDocument/2006/relationships" ref="AE704" r:id="rId1403"/>
    <hyperlink xmlns:r="http://schemas.openxmlformats.org/officeDocument/2006/relationships" ref="AF704" r:id="rId1404"/>
    <hyperlink xmlns:r="http://schemas.openxmlformats.org/officeDocument/2006/relationships" ref="AE705" r:id="rId1405"/>
    <hyperlink xmlns:r="http://schemas.openxmlformats.org/officeDocument/2006/relationships" ref="AF705" r:id="rId1406"/>
    <hyperlink xmlns:r="http://schemas.openxmlformats.org/officeDocument/2006/relationships" ref="AE706" r:id="rId1407"/>
    <hyperlink xmlns:r="http://schemas.openxmlformats.org/officeDocument/2006/relationships" ref="AF706" r:id="rId1408"/>
    <hyperlink xmlns:r="http://schemas.openxmlformats.org/officeDocument/2006/relationships" ref="AE707" r:id="rId1409"/>
    <hyperlink xmlns:r="http://schemas.openxmlformats.org/officeDocument/2006/relationships" ref="AF707" r:id="rId1410"/>
    <hyperlink xmlns:r="http://schemas.openxmlformats.org/officeDocument/2006/relationships" ref="AE708" r:id="rId1411"/>
    <hyperlink xmlns:r="http://schemas.openxmlformats.org/officeDocument/2006/relationships" ref="AF708" r:id="rId1412"/>
    <hyperlink xmlns:r="http://schemas.openxmlformats.org/officeDocument/2006/relationships" ref="AE709" r:id="rId1413"/>
    <hyperlink xmlns:r="http://schemas.openxmlformats.org/officeDocument/2006/relationships" ref="AF709" r:id="rId1414"/>
    <hyperlink xmlns:r="http://schemas.openxmlformats.org/officeDocument/2006/relationships" ref="AE710" r:id="rId1415"/>
    <hyperlink xmlns:r="http://schemas.openxmlformats.org/officeDocument/2006/relationships" ref="AF710" r:id="rId1416"/>
    <hyperlink xmlns:r="http://schemas.openxmlformats.org/officeDocument/2006/relationships" ref="AE711" r:id="rId1417"/>
    <hyperlink xmlns:r="http://schemas.openxmlformats.org/officeDocument/2006/relationships" ref="AF711" r:id="rId1418"/>
    <hyperlink xmlns:r="http://schemas.openxmlformats.org/officeDocument/2006/relationships" ref="AE712" r:id="rId1419"/>
    <hyperlink xmlns:r="http://schemas.openxmlformats.org/officeDocument/2006/relationships" ref="AF712" r:id="rId1420"/>
    <hyperlink xmlns:r="http://schemas.openxmlformats.org/officeDocument/2006/relationships" ref="AE713" r:id="rId1421"/>
    <hyperlink xmlns:r="http://schemas.openxmlformats.org/officeDocument/2006/relationships" ref="AF713" r:id="rId1422"/>
    <hyperlink xmlns:r="http://schemas.openxmlformats.org/officeDocument/2006/relationships" ref="AE714" r:id="rId1423"/>
    <hyperlink xmlns:r="http://schemas.openxmlformats.org/officeDocument/2006/relationships" ref="AF714" r:id="rId1424"/>
    <hyperlink xmlns:r="http://schemas.openxmlformats.org/officeDocument/2006/relationships" ref="AE715" r:id="rId1425"/>
    <hyperlink xmlns:r="http://schemas.openxmlformats.org/officeDocument/2006/relationships" ref="AF715" r:id="rId1426"/>
    <hyperlink xmlns:r="http://schemas.openxmlformats.org/officeDocument/2006/relationships" ref="AE716" r:id="rId1427"/>
    <hyperlink xmlns:r="http://schemas.openxmlformats.org/officeDocument/2006/relationships" ref="AF716" r:id="rId1428"/>
    <hyperlink xmlns:r="http://schemas.openxmlformats.org/officeDocument/2006/relationships" ref="AE717" r:id="rId1429"/>
    <hyperlink xmlns:r="http://schemas.openxmlformats.org/officeDocument/2006/relationships" ref="AF717" r:id="rId1430"/>
    <hyperlink xmlns:r="http://schemas.openxmlformats.org/officeDocument/2006/relationships" ref="AE718" r:id="rId1431"/>
    <hyperlink xmlns:r="http://schemas.openxmlformats.org/officeDocument/2006/relationships" ref="AF718" r:id="rId1432"/>
    <hyperlink xmlns:r="http://schemas.openxmlformats.org/officeDocument/2006/relationships" ref="AE719" r:id="rId1433"/>
    <hyperlink xmlns:r="http://schemas.openxmlformats.org/officeDocument/2006/relationships" ref="AF719" r:id="rId1434"/>
    <hyperlink xmlns:r="http://schemas.openxmlformats.org/officeDocument/2006/relationships" ref="AE720" r:id="rId1435"/>
    <hyperlink xmlns:r="http://schemas.openxmlformats.org/officeDocument/2006/relationships" ref="AF720" r:id="rId1436"/>
    <hyperlink xmlns:r="http://schemas.openxmlformats.org/officeDocument/2006/relationships" ref="AE721" r:id="rId1437"/>
    <hyperlink xmlns:r="http://schemas.openxmlformats.org/officeDocument/2006/relationships" ref="AF721" r:id="rId1438"/>
    <hyperlink xmlns:r="http://schemas.openxmlformats.org/officeDocument/2006/relationships" ref="AE722" r:id="rId1439"/>
    <hyperlink xmlns:r="http://schemas.openxmlformats.org/officeDocument/2006/relationships" ref="AF722" r:id="rId1440"/>
    <hyperlink xmlns:r="http://schemas.openxmlformats.org/officeDocument/2006/relationships" ref="AE723" r:id="rId1441"/>
    <hyperlink xmlns:r="http://schemas.openxmlformats.org/officeDocument/2006/relationships" ref="AF723" r:id="rId1442"/>
    <hyperlink xmlns:r="http://schemas.openxmlformats.org/officeDocument/2006/relationships" ref="AE724" r:id="rId1443"/>
    <hyperlink xmlns:r="http://schemas.openxmlformats.org/officeDocument/2006/relationships" ref="AF724" r:id="rId1444"/>
    <hyperlink xmlns:r="http://schemas.openxmlformats.org/officeDocument/2006/relationships" ref="AE725" r:id="rId1445"/>
    <hyperlink xmlns:r="http://schemas.openxmlformats.org/officeDocument/2006/relationships" ref="AF725" r:id="rId1446"/>
    <hyperlink xmlns:r="http://schemas.openxmlformats.org/officeDocument/2006/relationships" ref="AE726" r:id="rId1447"/>
    <hyperlink xmlns:r="http://schemas.openxmlformats.org/officeDocument/2006/relationships" ref="AF726" r:id="rId1448"/>
    <hyperlink xmlns:r="http://schemas.openxmlformats.org/officeDocument/2006/relationships" ref="AE727" r:id="rId1449"/>
    <hyperlink xmlns:r="http://schemas.openxmlformats.org/officeDocument/2006/relationships" ref="AF727" r:id="rId1450"/>
    <hyperlink xmlns:r="http://schemas.openxmlformats.org/officeDocument/2006/relationships" ref="AE728" r:id="rId1451"/>
    <hyperlink xmlns:r="http://schemas.openxmlformats.org/officeDocument/2006/relationships" ref="AF728" r:id="rId1452"/>
    <hyperlink xmlns:r="http://schemas.openxmlformats.org/officeDocument/2006/relationships" ref="AE729" r:id="rId1453"/>
    <hyperlink xmlns:r="http://schemas.openxmlformats.org/officeDocument/2006/relationships" ref="AF729" r:id="rId1454"/>
    <hyperlink xmlns:r="http://schemas.openxmlformats.org/officeDocument/2006/relationships" ref="AE730" r:id="rId1455"/>
    <hyperlink xmlns:r="http://schemas.openxmlformats.org/officeDocument/2006/relationships" ref="AF730" r:id="rId1456"/>
    <hyperlink xmlns:r="http://schemas.openxmlformats.org/officeDocument/2006/relationships" ref="AE731" r:id="rId1457"/>
    <hyperlink xmlns:r="http://schemas.openxmlformats.org/officeDocument/2006/relationships" ref="AF731" r:id="rId1458"/>
    <hyperlink xmlns:r="http://schemas.openxmlformats.org/officeDocument/2006/relationships" ref="AE732" r:id="rId1459"/>
    <hyperlink xmlns:r="http://schemas.openxmlformats.org/officeDocument/2006/relationships" ref="AF732" r:id="rId1460"/>
    <hyperlink xmlns:r="http://schemas.openxmlformats.org/officeDocument/2006/relationships" ref="AE733" r:id="rId1461"/>
    <hyperlink xmlns:r="http://schemas.openxmlformats.org/officeDocument/2006/relationships" ref="AF733" r:id="rId1462"/>
    <hyperlink xmlns:r="http://schemas.openxmlformats.org/officeDocument/2006/relationships" ref="AE734" r:id="rId1463"/>
    <hyperlink xmlns:r="http://schemas.openxmlformats.org/officeDocument/2006/relationships" ref="AF734" r:id="rId1464"/>
    <hyperlink xmlns:r="http://schemas.openxmlformats.org/officeDocument/2006/relationships" ref="AE735" r:id="rId1465"/>
    <hyperlink xmlns:r="http://schemas.openxmlformats.org/officeDocument/2006/relationships" ref="AF735" r:id="rId1466"/>
    <hyperlink xmlns:r="http://schemas.openxmlformats.org/officeDocument/2006/relationships" ref="AE736" r:id="rId1467"/>
    <hyperlink xmlns:r="http://schemas.openxmlformats.org/officeDocument/2006/relationships" ref="AF736" r:id="rId1468"/>
    <hyperlink xmlns:r="http://schemas.openxmlformats.org/officeDocument/2006/relationships" ref="AE737" r:id="rId1469"/>
    <hyperlink xmlns:r="http://schemas.openxmlformats.org/officeDocument/2006/relationships" ref="AF737" r:id="rId1470"/>
    <hyperlink xmlns:r="http://schemas.openxmlformats.org/officeDocument/2006/relationships" ref="AE738" r:id="rId1471"/>
    <hyperlink xmlns:r="http://schemas.openxmlformats.org/officeDocument/2006/relationships" ref="AF738" r:id="rId1472"/>
    <hyperlink xmlns:r="http://schemas.openxmlformats.org/officeDocument/2006/relationships" ref="AE739" r:id="rId1473"/>
    <hyperlink xmlns:r="http://schemas.openxmlformats.org/officeDocument/2006/relationships" ref="AF739" r:id="rId1474"/>
    <hyperlink xmlns:r="http://schemas.openxmlformats.org/officeDocument/2006/relationships" ref="AE740" r:id="rId1475"/>
    <hyperlink xmlns:r="http://schemas.openxmlformats.org/officeDocument/2006/relationships" ref="AF740" r:id="rId1476"/>
    <hyperlink xmlns:r="http://schemas.openxmlformats.org/officeDocument/2006/relationships" ref="AE741" r:id="rId1477"/>
    <hyperlink xmlns:r="http://schemas.openxmlformats.org/officeDocument/2006/relationships" ref="AF741" r:id="rId1478"/>
    <hyperlink xmlns:r="http://schemas.openxmlformats.org/officeDocument/2006/relationships" ref="AE742" r:id="rId1479"/>
    <hyperlink xmlns:r="http://schemas.openxmlformats.org/officeDocument/2006/relationships" ref="AF742" r:id="rId1480"/>
    <hyperlink xmlns:r="http://schemas.openxmlformats.org/officeDocument/2006/relationships" ref="AE743" r:id="rId1481"/>
    <hyperlink xmlns:r="http://schemas.openxmlformats.org/officeDocument/2006/relationships" ref="AF743" r:id="rId1482"/>
    <hyperlink xmlns:r="http://schemas.openxmlformats.org/officeDocument/2006/relationships" ref="AE744" r:id="rId1483"/>
    <hyperlink xmlns:r="http://schemas.openxmlformats.org/officeDocument/2006/relationships" ref="AF744" r:id="rId1484"/>
    <hyperlink xmlns:r="http://schemas.openxmlformats.org/officeDocument/2006/relationships" ref="AE745" r:id="rId1485"/>
    <hyperlink xmlns:r="http://schemas.openxmlformats.org/officeDocument/2006/relationships" ref="AF745" r:id="rId1486"/>
    <hyperlink xmlns:r="http://schemas.openxmlformats.org/officeDocument/2006/relationships" ref="AE746" r:id="rId1487"/>
    <hyperlink xmlns:r="http://schemas.openxmlformats.org/officeDocument/2006/relationships" ref="AF746" r:id="rId1488"/>
    <hyperlink xmlns:r="http://schemas.openxmlformats.org/officeDocument/2006/relationships" ref="AE747" r:id="rId1489"/>
    <hyperlink xmlns:r="http://schemas.openxmlformats.org/officeDocument/2006/relationships" ref="AF747" r:id="rId1490"/>
    <hyperlink xmlns:r="http://schemas.openxmlformats.org/officeDocument/2006/relationships" ref="AE748" r:id="rId1491"/>
    <hyperlink xmlns:r="http://schemas.openxmlformats.org/officeDocument/2006/relationships" ref="AF748" r:id="rId1492"/>
    <hyperlink xmlns:r="http://schemas.openxmlformats.org/officeDocument/2006/relationships" ref="AE749" r:id="rId1493"/>
    <hyperlink xmlns:r="http://schemas.openxmlformats.org/officeDocument/2006/relationships" ref="AF749" r:id="rId1494"/>
    <hyperlink xmlns:r="http://schemas.openxmlformats.org/officeDocument/2006/relationships" ref="AE750" r:id="rId1495"/>
    <hyperlink xmlns:r="http://schemas.openxmlformats.org/officeDocument/2006/relationships" ref="AF750" r:id="rId1496"/>
    <hyperlink xmlns:r="http://schemas.openxmlformats.org/officeDocument/2006/relationships" ref="AE751" r:id="rId1497"/>
    <hyperlink xmlns:r="http://schemas.openxmlformats.org/officeDocument/2006/relationships" ref="AF751" r:id="rId1498"/>
    <hyperlink xmlns:r="http://schemas.openxmlformats.org/officeDocument/2006/relationships" ref="AE752" r:id="rId1499"/>
    <hyperlink xmlns:r="http://schemas.openxmlformats.org/officeDocument/2006/relationships" ref="AF752" r:id="rId1500"/>
    <hyperlink xmlns:r="http://schemas.openxmlformats.org/officeDocument/2006/relationships" ref="AE753" r:id="rId1501"/>
    <hyperlink xmlns:r="http://schemas.openxmlformats.org/officeDocument/2006/relationships" ref="AF753" r:id="rId1502"/>
    <hyperlink xmlns:r="http://schemas.openxmlformats.org/officeDocument/2006/relationships" ref="AE754" r:id="rId1503"/>
    <hyperlink xmlns:r="http://schemas.openxmlformats.org/officeDocument/2006/relationships" ref="AF754" r:id="rId1504"/>
    <hyperlink xmlns:r="http://schemas.openxmlformats.org/officeDocument/2006/relationships" ref="AE755" r:id="rId1505"/>
    <hyperlink xmlns:r="http://schemas.openxmlformats.org/officeDocument/2006/relationships" ref="AF755" r:id="rId1506"/>
    <hyperlink xmlns:r="http://schemas.openxmlformats.org/officeDocument/2006/relationships" ref="AE756" r:id="rId1507"/>
    <hyperlink xmlns:r="http://schemas.openxmlformats.org/officeDocument/2006/relationships" ref="AF756" r:id="rId1508"/>
    <hyperlink xmlns:r="http://schemas.openxmlformats.org/officeDocument/2006/relationships" ref="AE757" r:id="rId1509"/>
    <hyperlink xmlns:r="http://schemas.openxmlformats.org/officeDocument/2006/relationships" ref="AF757" r:id="rId1510"/>
    <hyperlink xmlns:r="http://schemas.openxmlformats.org/officeDocument/2006/relationships" ref="AE758" r:id="rId1511"/>
    <hyperlink xmlns:r="http://schemas.openxmlformats.org/officeDocument/2006/relationships" ref="AF758" r:id="rId1512"/>
    <hyperlink xmlns:r="http://schemas.openxmlformats.org/officeDocument/2006/relationships" ref="AE759" r:id="rId1513"/>
    <hyperlink xmlns:r="http://schemas.openxmlformats.org/officeDocument/2006/relationships" ref="AF759" r:id="rId1514"/>
    <hyperlink xmlns:r="http://schemas.openxmlformats.org/officeDocument/2006/relationships" ref="AE760" r:id="rId1515"/>
    <hyperlink xmlns:r="http://schemas.openxmlformats.org/officeDocument/2006/relationships" ref="AF760" r:id="rId1516"/>
    <hyperlink xmlns:r="http://schemas.openxmlformats.org/officeDocument/2006/relationships" ref="AE761" r:id="rId1517"/>
    <hyperlink xmlns:r="http://schemas.openxmlformats.org/officeDocument/2006/relationships" ref="AF761" r:id="rId1518"/>
    <hyperlink xmlns:r="http://schemas.openxmlformats.org/officeDocument/2006/relationships" ref="AE762" r:id="rId1519"/>
    <hyperlink xmlns:r="http://schemas.openxmlformats.org/officeDocument/2006/relationships" ref="AF762" r:id="rId1520"/>
    <hyperlink xmlns:r="http://schemas.openxmlformats.org/officeDocument/2006/relationships" ref="AE763" r:id="rId1521"/>
    <hyperlink xmlns:r="http://schemas.openxmlformats.org/officeDocument/2006/relationships" ref="AF763" r:id="rId1522"/>
    <hyperlink xmlns:r="http://schemas.openxmlformats.org/officeDocument/2006/relationships" ref="AE764" r:id="rId1523"/>
    <hyperlink xmlns:r="http://schemas.openxmlformats.org/officeDocument/2006/relationships" ref="AF764" r:id="rId1524"/>
    <hyperlink xmlns:r="http://schemas.openxmlformats.org/officeDocument/2006/relationships" ref="AE765" r:id="rId1525"/>
    <hyperlink xmlns:r="http://schemas.openxmlformats.org/officeDocument/2006/relationships" ref="AF765" r:id="rId1526"/>
    <hyperlink xmlns:r="http://schemas.openxmlformats.org/officeDocument/2006/relationships" ref="AE766" r:id="rId1527"/>
    <hyperlink xmlns:r="http://schemas.openxmlformats.org/officeDocument/2006/relationships" ref="AF766" r:id="rId1528"/>
    <hyperlink xmlns:r="http://schemas.openxmlformats.org/officeDocument/2006/relationships" ref="AE767" r:id="rId1529"/>
    <hyperlink xmlns:r="http://schemas.openxmlformats.org/officeDocument/2006/relationships" ref="AF767" r:id="rId1530"/>
    <hyperlink xmlns:r="http://schemas.openxmlformats.org/officeDocument/2006/relationships" ref="AE768" r:id="rId1531"/>
    <hyperlink xmlns:r="http://schemas.openxmlformats.org/officeDocument/2006/relationships" ref="AF768" r:id="rId1532"/>
    <hyperlink xmlns:r="http://schemas.openxmlformats.org/officeDocument/2006/relationships" ref="AE769" r:id="rId1533"/>
    <hyperlink xmlns:r="http://schemas.openxmlformats.org/officeDocument/2006/relationships" ref="AF769" r:id="rId1534"/>
    <hyperlink xmlns:r="http://schemas.openxmlformats.org/officeDocument/2006/relationships" ref="AE770" r:id="rId1535"/>
    <hyperlink xmlns:r="http://schemas.openxmlformats.org/officeDocument/2006/relationships" ref="AF770" r:id="rId1536"/>
    <hyperlink xmlns:r="http://schemas.openxmlformats.org/officeDocument/2006/relationships" ref="AE771" r:id="rId1537"/>
    <hyperlink xmlns:r="http://schemas.openxmlformats.org/officeDocument/2006/relationships" ref="AF771" r:id="rId1538"/>
    <hyperlink xmlns:r="http://schemas.openxmlformats.org/officeDocument/2006/relationships" ref="AE772" r:id="rId1539"/>
    <hyperlink xmlns:r="http://schemas.openxmlformats.org/officeDocument/2006/relationships" ref="AF772" r:id="rId1540"/>
    <hyperlink xmlns:r="http://schemas.openxmlformats.org/officeDocument/2006/relationships" ref="AE773" r:id="rId1541"/>
    <hyperlink xmlns:r="http://schemas.openxmlformats.org/officeDocument/2006/relationships" ref="AF773" r:id="rId1542"/>
    <hyperlink xmlns:r="http://schemas.openxmlformats.org/officeDocument/2006/relationships" ref="AE774" r:id="rId1543"/>
    <hyperlink xmlns:r="http://schemas.openxmlformats.org/officeDocument/2006/relationships" ref="AF774" r:id="rId1544"/>
    <hyperlink xmlns:r="http://schemas.openxmlformats.org/officeDocument/2006/relationships" ref="AE775" r:id="rId1545"/>
    <hyperlink xmlns:r="http://schemas.openxmlformats.org/officeDocument/2006/relationships" ref="AF775" r:id="rId1546"/>
    <hyperlink xmlns:r="http://schemas.openxmlformats.org/officeDocument/2006/relationships" ref="AE776" r:id="rId1547"/>
    <hyperlink xmlns:r="http://schemas.openxmlformats.org/officeDocument/2006/relationships" ref="AF776" r:id="rId1548"/>
    <hyperlink xmlns:r="http://schemas.openxmlformats.org/officeDocument/2006/relationships" ref="AE777" r:id="rId1549"/>
    <hyperlink xmlns:r="http://schemas.openxmlformats.org/officeDocument/2006/relationships" ref="AF777" r:id="rId1550"/>
    <hyperlink xmlns:r="http://schemas.openxmlformats.org/officeDocument/2006/relationships" ref="AE778" r:id="rId1551"/>
    <hyperlink xmlns:r="http://schemas.openxmlformats.org/officeDocument/2006/relationships" ref="AF778" r:id="rId1552"/>
    <hyperlink xmlns:r="http://schemas.openxmlformats.org/officeDocument/2006/relationships" ref="AE779" r:id="rId1553"/>
    <hyperlink xmlns:r="http://schemas.openxmlformats.org/officeDocument/2006/relationships" ref="AF779" r:id="rId1554"/>
    <hyperlink xmlns:r="http://schemas.openxmlformats.org/officeDocument/2006/relationships" ref="AE780" r:id="rId1555"/>
    <hyperlink xmlns:r="http://schemas.openxmlformats.org/officeDocument/2006/relationships" ref="AF780" r:id="rId1556"/>
    <hyperlink xmlns:r="http://schemas.openxmlformats.org/officeDocument/2006/relationships" ref="AE781" r:id="rId1557"/>
    <hyperlink xmlns:r="http://schemas.openxmlformats.org/officeDocument/2006/relationships" ref="AF781" r:id="rId1558"/>
    <hyperlink xmlns:r="http://schemas.openxmlformats.org/officeDocument/2006/relationships" ref="AE782" r:id="rId1559"/>
    <hyperlink xmlns:r="http://schemas.openxmlformats.org/officeDocument/2006/relationships" ref="AF782" r:id="rId1560"/>
    <hyperlink xmlns:r="http://schemas.openxmlformats.org/officeDocument/2006/relationships" ref="AE783" r:id="rId1561"/>
    <hyperlink xmlns:r="http://schemas.openxmlformats.org/officeDocument/2006/relationships" ref="AF783" r:id="rId1562"/>
    <hyperlink xmlns:r="http://schemas.openxmlformats.org/officeDocument/2006/relationships" ref="AE784" r:id="rId1563"/>
    <hyperlink xmlns:r="http://schemas.openxmlformats.org/officeDocument/2006/relationships" ref="AF784" r:id="rId1564"/>
    <hyperlink xmlns:r="http://schemas.openxmlformats.org/officeDocument/2006/relationships" ref="AE785" r:id="rId1565"/>
    <hyperlink xmlns:r="http://schemas.openxmlformats.org/officeDocument/2006/relationships" ref="AF785" r:id="rId1566"/>
    <hyperlink xmlns:r="http://schemas.openxmlformats.org/officeDocument/2006/relationships" ref="AE786" r:id="rId1567"/>
    <hyperlink xmlns:r="http://schemas.openxmlformats.org/officeDocument/2006/relationships" ref="AF786" r:id="rId1568"/>
    <hyperlink xmlns:r="http://schemas.openxmlformats.org/officeDocument/2006/relationships" ref="AE787" r:id="rId1569"/>
    <hyperlink xmlns:r="http://schemas.openxmlformats.org/officeDocument/2006/relationships" ref="AF787" r:id="rId1570"/>
    <hyperlink xmlns:r="http://schemas.openxmlformats.org/officeDocument/2006/relationships" ref="AE788" r:id="rId1571"/>
    <hyperlink xmlns:r="http://schemas.openxmlformats.org/officeDocument/2006/relationships" ref="AF788" r:id="rId1572"/>
    <hyperlink xmlns:r="http://schemas.openxmlformats.org/officeDocument/2006/relationships" ref="AE789" r:id="rId1573"/>
    <hyperlink xmlns:r="http://schemas.openxmlformats.org/officeDocument/2006/relationships" ref="AF789" r:id="rId1574"/>
    <hyperlink xmlns:r="http://schemas.openxmlformats.org/officeDocument/2006/relationships" ref="AE790" r:id="rId1575"/>
    <hyperlink xmlns:r="http://schemas.openxmlformats.org/officeDocument/2006/relationships" ref="AF790" r:id="rId1576"/>
    <hyperlink xmlns:r="http://schemas.openxmlformats.org/officeDocument/2006/relationships" ref="AE791" r:id="rId1577"/>
    <hyperlink xmlns:r="http://schemas.openxmlformats.org/officeDocument/2006/relationships" ref="AF791" r:id="rId1578"/>
    <hyperlink xmlns:r="http://schemas.openxmlformats.org/officeDocument/2006/relationships" ref="AE792" r:id="rId1579"/>
    <hyperlink xmlns:r="http://schemas.openxmlformats.org/officeDocument/2006/relationships" ref="AF792" r:id="rId1580"/>
    <hyperlink xmlns:r="http://schemas.openxmlformats.org/officeDocument/2006/relationships" ref="AE793" r:id="rId1581"/>
    <hyperlink xmlns:r="http://schemas.openxmlformats.org/officeDocument/2006/relationships" ref="AF793" r:id="rId1582"/>
    <hyperlink xmlns:r="http://schemas.openxmlformats.org/officeDocument/2006/relationships" ref="AE794" r:id="rId1583"/>
    <hyperlink xmlns:r="http://schemas.openxmlformats.org/officeDocument/2006/relationships" ref="AF794" r:id="rId1584"/>
    <hyperlink xmlns:r="http://schemas.openxmlformats.org/officeDocument/2006/relationships" ref="AE795" r:id="rId1585"/>
    <hyperlink xmlns:r="http://schemas.openxmlformats.org/officeDocument/2006/relationships" ref="AF795" r:id="rId1586"/>
    <hyperlink xmlns:r="http://schemas.openxmlformats.org/officeDocument/2006/relationships" ref="AE796" r:id="rId1587"/>
    <hyperlink xmlns:r="http://schemas.openxmlformats.org/officeDocument/2006/relationships" ref="AF796" r:id="rId1588"/>
    <hyperlink xmlns:r="http://schemas.openxmlformats.org/officeDocument/2006/relationships" ref="AE797" r:id="rId1589"/>
    <hyperlink xmlns:r="http://schemas.openxmlformats.org/officeDocument/2006/relationships" ref="AF797" r:id="rId1590"/>
    <hyperlink xmlns:r="http://schemas.openxmlformats.org/officeDocument/2006/relationships" ref="AE798" r:id="rId1591"/>
    <hyperlink xmlns:r="http://schemas.openxmlformats.org/officeDocument/2006/relationships" ref="AF798" r:id="rId1592"/>
    <hyperlink xmlns:r="http://schemas.openxmlformats.org/officeDocument/2006/relationships" ref="AE799" r:id="rId1593"/>
    <hyperlink xmlns:r="http://schemas.openxmlformats.org/officeDocument/2006/relationships" ref="AF799" r:id="rId1594"/>
    <hyperlink xmlns:r="http://schemas.openxmlformats.org/officeDocument/2006/relationships" ref="AE800" r:id="rId1595"/>
    <hyperlink xmlns:r="http://schemas.openxmlformats.org/officeDocument/2006/relationships" ref="AF800" r:id="rId1596"/>
    <hyperlink xmlns:r="http://schemas.openxmlformats.org/officeDocument/2006/relationships" ref="AE801" r:id="rId1597"/>
    <hyperlink xmlns:r="http://schemas.openxmlformats.org/officeDocument/2006/relationships" ref="AF801" r:id="rId1598"/>
    <hyperlink xmlns:r="http://schemas.openxmlformats.org/officeDocument/2006/relationships" ref="AE802" r:id="rId1599"/>
    <hyperlink xmlns:r="http://schemas.openxmlformats.org/officeDocument/2006/relationships" ref="AF802" r:id="rId1600"/>
    <hyperlink xmlns:r="http://schemas.openxmlformats.org/officeDocument/2006/relationships" ref="AE803" r:id="rId1601"/>
    <hyperlink xmlns:r="http://schemas.openxmlformats.org/officeDocument/2006/relationships" ref="AF803" r:id="rId1602"/>
    <hyperlink xmlns:r="http://schemas.openxmlformats.org/officeDocument/2006/relationships" ref="AE804" r:id="rId1603"/>
    <hyperlink xmlns:r="http://schemas.openxmlformats.org/officeDocument/2006/relationships" ref="AF804" r:id="rId1604"/>
    <hyperlink xmlns:r="http://schemas.openxmlformats.org/officeDocument/2006/relationships" ref="AE805" r:id="rId1605"/>
    <hyperlink xmlns:r="http://schemas.openxmlformats.org/officeDocument/2006/relationships" ref="AF805" r:id="rId1606"/>
    <hyperlink xmlns:r="http://schemas.openxmlformats.org/officeDocument/2006/relationships" ref="AE806" r:id="rId1607"/>
    <hyperlink xmlns:r="http://schemas.openxmlformats.org/officeDocument/2006/relationships" ref="AF806" r:id="rId1608"/>
    <hyperlink xmlns:r="http://schemas.openxmlformats.org/officeDocument/2006/relationships" ref="AE807" r:id="rId1609"/>
    <hyperlink xmlns:r="http://schemas.openxmlformats.org/officeDocument/2006/relationships" ref="AF807" r:id="rId1610"/>
    <hyperlink xmlns:r="http://schemas.openxmlformats.org/officeDocument/2006/relationships" ref="AE808" r:id="rId1611"/>
    <hyperlink xmlns:r="http://schemas.openxmlformats.org/officeDocument/2006/relationships" ref="AF808" r:id="rId1612"/>
    <hyperlink xmlns:r="http://schemas.openxmlformats.org/officeDocument/2006/relationships" ref="AE809" r:id="rId1613"/>
    <hyperlink xmlns:r="http://schemas.openxmlformats.org/officeDocument/2006/relationships" ref="AF809" r:id="rId1614"/>
    <hyperlink xmlns:r="http://schemas.openxmlformats.org/officeDocument/2006/relationships" ref="AE810" r:id="rId1615"/>
    <hyperlink xmlns:r="http://schemas.openxmlformats.org/officeDocument/2006/relationships" ref="AF810" r:id="rId1616"/>
    <hyperlink xmlns:r="http://schemas.openxmlformats.org/officeDocument/2006/relationships" ref="AE811" r:id="rId1617"/>
    <hyperlink xmlns:r="http://schemas.openxmlformats.org/officeDocument/2006/relationships" ref="AF811" r:id="rId1618"/>
    <hyperlink xmlns:r="http://schemas.openxmlformats.org/officeDocument/2006/relationships" ref="AE812" r:id="rId1619"/>
    <hyperlink xmlns:r="http://schemas.openxmlformats.org/officeDocument/2006/relationships" ref="AF812" r:id="rId1620"/>
    <hyperlink xmlns:r="http://schemas.openxmlformats.org/officeDocument/2006/relationships" ref="AE813" r:id="rId1621"/>
    <hyperlink xmlns:r="http://schemas.openxmlformats.org/officeDocument/2006/relationships" ref="AF813" r:id="rId1622"/>
    <hyperlink xmlns:r="http://schemas.openxmlformats.org/officeDocument/2006/relationships" ref="AE814" r:id="rId1623"/>
    <hyperlink xmlns:r="http://schemas.openxmlformats.org/officeDocument/2006/relationships" ref="AF814" r:id="rId1624"/>
    <hyperlink xmlns:r="http://schemas.openxmlformats.org/officeDocument/2006/relationships" ref="AE815" r:id="rId1625"/>
    <hyperlink xmlns:r="http://schemas.openxmlformats.org/officeDocument/2006/relationships" ref="AF815" r:id="rId1626"/>
    <hyperlink xmlns:r="http://schemas.openxmlformats.org/officeDocument/2006/relationships" ref="AE816" r:id="rId1627"/>
    <hyperlink xmlns:r="http://schemas.openxmlformats.org/officeDocument/2006/relationships" ref="AF816" r:id="rId1628"/>
    <hyperlink xmlns:r="http://schemas.openxmlformats.org/officeDocument/2006/relationships" ref="AE817" r:id="rId1629"/>
    <hyperlink xmlns:r="http://schemas.openxmlformats.org/officeDocument/2006/relationships" ref="AF817" r:id="rId1630"/>
    <hyperlink xmlns:r="http://schemas.openxmlformats.org/officeDocument/2006/relationships" ref="AE818" r:id="rId1631"/>
    <hyperlink xmlns:r="http://schemas.openxmlformats.org/officeDocument/2006/relationships" ref="AF818" r:id="rId1632"/>
    <hyperlink xmlns:r="http://schemas.openxmlformats.org/officeDocument/2006/relationships" ref="AE819" r:id="rId1633"/>
    <hyperlink xmlns:r="http://schemas.openxmlformats.org/officeDocument/2006/relationships" ref="AF819" r:id="rId1634"/>
    <hyperlink xmlns:r="http://schemas.openxmlformats.org/officeDocument/2006/relationships" ref="AE820" r:id="rId1635"/>
    <hyperlink xmlns:r="http://schemas.openxmlformats.org/officeDocument/2006/relationships" ref="AF820" r:id="rId1636"/>
    <hyperlink xmlns:r="http://schemas.openxmlformats.org/officeDocument/2006/relationships" ref="AE821" r:id="rId1637"/>
    <hyperlink xmlns:r="http://schemas.openxmlformats.org/officeDocument/2006/relationships" ref="AF821" r:id="rId1638"/>
    <hyperlink xmlns:r="http://schemas.openxmlformats.org/officeDocument/2006/relationships" ref="AE822" r:id="rId1639"/>
    <hyperlink xmlns:r="http://schemas.openxmlformats.org/officeDocument/2006/relationships" ref="AF822" r:id="rId1640"/>
    <hyperlink xmlns:r="http://schemas.openxmlformats.org/officeDocument/2006/relationships" ref="AE823" r:id="rId1641"/>
    <hyperlink xmlns:r="http://schemas.openxmlformats.org/officeDocument/2006/relationships" ref="AF823" r:id="rId1642"/>
    <hyperlink xmlns:r="http://schemas.openxmlformats.org/officeDocument/2006/relationships" ref="AE824" r:id="rId1643"/>
    <hyperlink xmlns:r="http://schemas.openxmlformats.org/officeDocument/2006/relationships" ref="AF824" r:id="rId1644"/>
    <hyperlink xmlns:r="http://schemas.openxmlformats.org/officeDocument/2006/relationships" ref="AE825" r:id="rId1645"/>
    <hyperlink xmlns:r="http://schemas.openxmlformats.org/officeDocument/2006/relationships" ref="AF825" r:id="rId1646"/>
    <hyperlink xmlns:r="http://schemas.openxmlformats.org/officeDocument/2006/relationships" ref="AE826" r:id="rId1647"/>
    <hyperlink xmlns:r="http://schemas.openxmlformats.org/officeDocument/2006/relationships" ref="AF826" r:id="rId1648"/>
    <hyperlink xmlns:r="http://schemas.openxmlformats.org/officeDocument/2006/relationships" ref="AE827" r:id="rId1649"/>
    <hyperlink xmlns:r="http://schemas.openxmlformats.org/officeDocument/2006/relationships" ref="AF827" r:id="rId1650"/>
    <hyperlink xmlns:r="http://schemas.openxmlformats.org/officeDocument/2006/relationships" ref="AE828" r:id="rId1651"/>
    <hyperlink xmlns:r="http://schemas.openxmlformats.org/officeDocument/2006/relationships" ref="AF828" r:id="rId1652"/>
    <hyperlink xmlns:r="http://schemas.openxmlformats.org/officeDocument/2006/relationships" ref="AE829" r:id="rId1653"/>
    <hyperlink xmlns:r="http://schemas.openxmlformats.org/officeDocument/2006/relationships" ref="AF829" r:id="rId1654"/>
    <hyperlink xmlns:r="http://schemas.openxmlformats.org/officeDocument/2006/relationships" ref="AE830" r:id="rId1655"/>
    <hyperlink xmlns:r="http://schemas.openxmlformats.org/officeDocument/2006/relationships" ref="AF830" r:id="rId1656"/>
    <hyperlink xmlns:r="http://schemas.openxmlformats.org/officeDocument/2006/relationships" ref="AE831" r:id="rId1657"/>
    <hyperlink xmlns:r="http://schemas.openxmlformats.org/officeDocument/2006/relationships" ref="AF831" r:id="rId1658"/>
    <hyperlink xmlns:r="http://schemas.openxmlformats.org/officeDocument/2006/relationships" ref="AE832" r:id="rId1659"/>
    <hyperlink xmlns:r="http://schemas.openxmlformats.org/officeDocument/2006/relationships" ref="AF832" r:id="rId1660"/>
    <hyperlink xmlns:r="http://schemas.openxmlformats.org/officeDocument/2006/relationships" ref="AE833" r:id="rId1661"/>
    <hyperlink xmlns:r="http://schemas.openxmlformats.org/officeDocument/2006/relationships" ref="AF833" r:id="rId1662"/>
    <hyperlink xmlns:r="http://schemas.openxmlformats.org/officeDocument/2006/relationships" ref="AE834" r:id="rId1663"/>
    <hyperlink xmlns:r="http://schemas.openxmlformats.org/officeDocument/2006/relationships" ref="AF834" r:id="rId1664"/>
    <hyperlink xmlns:r="http://schemas.openxmlformats.org/officeDocument/2006/relationships" ref="AE835" r:id="rId1665"/>
    <hyperlink xmlns:r="http://schemas.openxmlformats.org/officeDocument/2006/relationships" ref="AF835" r:id="rId1666"/>
    <hyperlink xmlns:r="http://schemas.openxmlformats.org/officeDocument/2006/relationships" ref="AE836" r:id="rId1667"/>
    <hyperlink xmlns:r="http://schemas.openxmlformats.org/officeDocument/2006/relationships" ref="AF836" r:id="rId1668"/>
    <hyperlink xmlns:r="http://schemas.openxmlformats.org/officeDocument/2006/relationships" ref="AE837" r:id="rId1669"/>
    <hyperlink xmlns:r="http://schemas.openxmlformats.org/officeDocument/2006/relationships" ref="AF837" r:id="rId1670"/>
    <hyperlink xmlns:r="http://schemas.openxmlformats.org/officeDocument/2006/relationships" ref="AE838" r:id="rId1671"/>
    <hyperlink xmlns:r="http://schemas.openxmlformats.org/officeDocument/2006/relationships" ref="AF838" r:id="rId1672"/>
    <hyperlink xmlns:r="http://schemas.openxmlformats.org/officeDocument/2006/relationships" ref="AE839" r:id="rId1673"/>
    <hyperlink xmlns:r="http://schemas.openxmlformats.org/officeDocument/2006/relationships" ref="AF839" r:id="rId1674"/>
    <hyperlink xmlns:r="http://schemas.openxmlformats.org/officeDocument/2006/relationships" ref="AE840" r:id="rId1675"/>
    <hyperlink xmlns:r="http://schemas.openxmlformats.org/officeDocument/2006/relationships" ref="AF840" r:id="rId1676"/>
    <hyperlink xmlns:r="http://schemas.openxmlformats.org/officeDocument/2006/relationships" ref="AE841" r:id="rId1677"/>
    <hyperlink xmlns:r="http://schemas.openxmlformats.org/officeDocument/2006/relationships" ref="AF841" r:id="rId1678"/>
    <hyperlink xmlns:r="http://schemas.openxmlformats.org/officeDocument/2006/relationships" ref="AE842" r:id="rId1679"/>
    <hyperlink xmlns:r="http://schemas.openxmlformats.org/officeDocument/2006/relationships" ref="AF842" r:id="rId1680"/>
    <hyperlink xmlns:r="http://schemas.openxmlformats.org/officeDocument/2006/relationships" ref="AE843" r:id="rId1681"/>
    <hyperlink xmlns:r="http://schemas.openxmlformats.org/officeDocument/2006/relationships" ref="AF843" r:id="rId1682"/>
    <hyperlink xmlns:r="http://schemas.openxmlformats.org/officeDocument/2006/relationships" ref="AE844" r:id="rId1683"/>
    <hyperlink xmlns:r="http://schemas.openxmlformats.org/officeDocument/2006/relationships" ref="AF844" r:id="rId1684"/>
    <hyperlink xmlns:r="http://schemas.openxmlformats.org/officeDocument/2006/relationships" ref="AE845" r:id="rId1685"/>
    <hyperlink xmlns:r="http://schemas.openxmlformats.org/officeDocument/2006/relationships" ref="AF845" r:id="rId1686"/>
    <hyperlink xmlns:r="http://schemas.openxmlformats.org/officeDocument/2006/relationships" ref="AE846" r:id="rId1687"/>
    <hyperlink xmlns:r="http://schemas.openxmlformats.org/officeDocument/2006/relationships" ref="AF846" r:id="rId1688"/>
    <hyperlink xmlns:r="http://schemas.openxmlformats.org/officeDocument/2006/relationships" ref="AE847" r:id="rId1689"/>
    <hyperlink xmlns:r="http://schemas.openxmlformats.org/officeDocument/2006/relationships" ref="AF847" r:id="rId1690"/>
    <hyperlink xmlns:r="http://schemas.openxmlformats.org/officeDocument/2006/relationships" ref="AE848" r:id="rId1691"/>
    <hyperlink xmlns:r="http://schemas.openxmlformats.org/officeDocument/2006/relationships" ref="AF848" r:id="rId1692"/>
    <hyperlink xmlns:r="http://schemas.openxmlformats.org/officeDocument/2006/relationships" ref="AE849" r:id="rId1693"/>
    <hyperlink xmlns:r="http://schemas.openxmlformats.org/officeDocument/2006/relationships" ref="AF849" r:id="rId1694"/>
    <hyperlink xmlns:r="http://schemas.openxmlformats.org/officeDocument/2006/relationships" ref="AE850" r:id="rId1695"/>
    <hyperlink xmlns:r="http://schemas.openxmlformats.org/officeDocument/2006/relationships" ref="AF850" r:id="rId1696"/>
    <hyperlink xmlns:r="http://schemas.openxmlformats.org/officeDocument/2006/relationships" ref="AE851" r:id="rId1697"/>
    <hyperlink xmlns:r="http://schemas.openxmlformats.org/officeDocument/2006/relationships" ref="AF851" r:id="rId1698"/>
    <hyperlink xmlns:r="http://schemas.openxmlformats.org/officeDocument/2006/relationships" ref="AE852" r:id="rId1699"/>
    <hyperlink xmlns:r="http://schemas.openxmlformats.org/officeDocument/2006/relationships" ref="AF852" r:id="rId1700"/>
    <hyperlink xmlns:r="http://schemas.openxmlformats.org/officeDocument/2006/relationships" ref="AE853" r:id="rId1701"/>
    <hyperlink xmlns:r="http://schemas.openxmlformats.org/officeDocument/2006/relationships" ref="AF853" r:id="rId1702"/>
    <hyperlink xmlns:r="http://schemas.openxmlformats.org/officeDocument/2006/relationships" ref="AE854" r:id="rId1703"/>
    <hyperlink xmlns:r="http://schemas.openxmlformats.org/officeDocument/2006/relationships" ref="AF854" r:id="rId1704"/>
    <hyperlink xmlns:r="http://schemas.openxmlformats.org/officeDocument/2006/relationships" ref="AE855" r:id="rId1705"/>
    <hyperlink xmlns:r="http://schemas.openxmlformats.org/officeDocument/2006/relationships" ref="AF855" r:id="rId1706"/>
    <hyperlink xmlns:r="http://schemas.openxmlformats.org/officeDocument/2006/relationships" ref="AE856" r:id="rId1707"/>
    <hyperlink xmlns:r="http://schemas.openxmlformats.org/officeDocument/2006/relationships" ref="AF856" r:id="rId1708"/>
    <hyperlink xmlns:r="http://schemas.openxmlformats.org/officeDocument/2006/relationships" ref="AE857" r:id="rId1709"/>
    <hyperlink xmlns:r="http://schemas.openxmlformats.org/officeDocument/2006/relationships" ref="AF857" r:id="rId1710"/>
    <hyperlink xmlns:r="http://schemas.openxmlformats.org/officeDocument/2006/relationships" ref="AE858" r:id="rId1711"/>
    <hyperlink xmlns:r="http://schemas.openxmlformats.org/officeDocument/2006/relationships" ref="AF858" r:id="rId1712"/>
    <hyperlink xmlns:r="http://schemas.openxmlformats.org/officeDocument/2006/relationships" ref="AE859" r:id="rId1713"/>
    <hyperlink xmlns:r="http://schemas.openxmlformats.org/officeDocument/2006/relationships" ref="AF859" r:id="rId1714"/>
    <hyperlink xmlns:r="http://schemas.openxmlformats.org/officeDocument/2006/relationships" ref="AE860" r:id="rId1715"/>
    <hyperlink xmlns:r="http://schemas.openxmlformats.org/officeDocument/2006/relationships" ref="AF860" r:id="rId1716"/>
    <hyperlink xmlns:r="http://schemas.openxmlformats.org/officeDocument/2006/relationships" ref="AE861" r:id="rId1717"/>
    <hyperlink xmlns:r="http://schemas.openxmlformats.org/officeDocument/2006/relationships" ref="AF861" r:id="rId1718"/>
    <hyperlink xmlns:r="http://schemas.openxmlformats.org/officeDocument/2006/relationships" ref="AE862" r:id="rId1719"/>
    <hyperlink xmlns:r="http://schemas.openxmlformats.org/officeDocument/2006/relationships" ref="AF862" r:id="rId1720"/>
    <hyperlink xmlns:r="http://schemas.openxmlformats.org/officeDocument/2006/relationships" ref="AE863" r:id="rId1721"/>
    <hyperlink xmlns:r="http://schemas.openxmlformats.org/officeDocument/2006/relationships" ref="AF863" r:id="rId1722"/>
    <hyperlink xmlns:r="http://schemas.openxmlformats.org/officeDocument/2006/relationships" ref="AE864" r:id="rId1723"/>
    <hyperlink xmlns:r="http://schemas.openxmlformats.org/officeDocument/2006/relationships" ref="AF864" r:id="rId1724"/>
    <hyperlink xmlns:r="http://schemas.openxmlformats.org/officeDocument/2006/relationships" ref="AE865" r:id="rId1725"/>
    <hyperlink xmlns:r="http://schemas.openxmlformats.org/officeDocument/2006/relationships" ref="AF865" r:id="rId1726"/>
    <hyperlink xmlns:r="http://schemas.openxmlformats.org/officeDocument/2006/relationships" ref="AE866" r:id="rId1727"/>
    <hyperlink xmlns:r="http://schemas.openxmlformats.org/officeDocument/2006/relationships" ref="AF866" r:id="rId1728"/>
    <hyperlink xmlns:r="http://schemas.openxmlformats.org/officeDocument/2006/relationships" ref="AE867" r:id="rId1729"/>
    <hyperlink xmlns:r="http://schemas.openxmlformats.org/officeDocument/2006/relationships" ref="AF867" r:id="rId1730"/>
    <hyperlink xmlns:r="http://schemas.openxmlformats.org/officeDocument/2006/relationships" ref="AE868" r:id="rId1731"/>
    <hyperlink xmlns:r="http://schemas.openxmlformats.org/officeDocument/2006/relationships" ref="AF868" r:id="rId1732"/>
    <hyperlink xmlns:r="http://schemas.openxmlformats.org/officeDocument/2006/relationships" ref="AE869" r:id="rId1733"/>
    <hyperlink xmlns:r="http://schemas.openxmlformats.org/officeDocument/2006/relationships" ref="AF869" r:id="rId1734"/>
    <hyperlink xmlns:r="http://schemas.openxmlformats.org/officeDocument/2006/relationships" ref="AE870" r:id="rId1735"/>
    <hyperlink xmlns:r="http://schemas.openxmlformats.org/officeDocument/2006/relationships" ref="AF870" r:id="rId1736"/>
    <hyperlink xmlns:r="http://schemas.openxmlformats.org/officeDocument/2006/relationships" ref="AE871" r:id="rId1737"/>
    <hyperlink xmlns:r="http://schemas.openxmlformats.org/officeDocument/2006/relationships" ref="AF871" r:id="rId1738"/>
    <hyperlink xmlns:r="http://schemas.openxmlformats.org/officeDocument/2006/relationships" ref="AE872" r:id="rId1739"/>
    <hyperlink xmlns:r="http://schemas.openxmlformats.org/officeDocument/2006/relationships" ref="AF872" r:id="rId1740"/>
    <hyperlink xmlns:r="http://schemas.openxmlformats.org/officeDocument/2006/relationships" ref="AE873" r:id="rId1741"/>
    <hyperlink xmlns:r="http://schemas.openxmlformats.org/officeDocument/2006/relationships" ref="AF873" r:id="rId1742"/>
    <hyperlink xmlns:r="http://schemas.openxmlformats.org/officeDocument/2006/relationships" ref="AE874" r:id="rId1743"/>
    <hyperlink xmlns:r="http://schemas.openxmlformats.org/officeDocument/2006/relationships" ref="AF874" r:id="rId1744"/>
    <hyperlink xmlns:r="http://schemas.openxmlformats.org/officeDocument/2006/relationships" ref="AE875" r:id="rId1745"/>
    <hyperlink xmlns:r="http://schemas.openxmlformats.org/officeDocument/2006/relationships" ref="AF875" r:id="rId1746"/>
    <hyperlink xmlns:r="http://schemas.openxmlformats.org/officeDocument/2006/relationships" ref="AE876" r:id="rId1747"/>
    <hyperlink xmlns:r="http://schemas.openxmlformats.org/officeDocument/2006/relationships" ref="AF876" r:id="rId1748"/>
    <hyperlink xmlns:r="http://schemas.openxmlformats.org/officeDocument/2006/relationships" ref="AE877" r:id="rId1749"/>
    <hyperlink xmlns:r="http://schemas.openxmlformats.org/officeDocument/2006/relationships" ref="AF877" r:id="rId1750"/>
    <hyperlink xmlns:r="http://schemas.openxmlformats.org/officeDocument/2006/relationships" ref="AE878" r:id="rId1751"/>
    <hyperlink xmlns:r="http://schemas.openxmlformats.org/officeDocument/2006/relationships" ref="AF878" r:id="rId1752"/>
    <hyperlink xmlns:r="http://schemas.openxmlformats.org/officeDocument/2006/relationships" ref="AE879" r:id="rId1753"/>
    <hyperlink xmlns:r="http://schemas.openxmlformats.org/officeDocument/2006/relationships" ref="AF879" r:id="rId1754"/>
    <hyperlink xmlns:r="http://schemas.openxmlformats.org/officeDocument/2006/relationships" ref="AE880" r:id="rId1755"/>
    <hyperlink xmlns:r="http://schemas.openxmlformats.org/officeDocument/2006/relationships" ref="AF880" r:id="rId1756"/>
    <hyperlink xmlns:r="http://schemas.openxmlformats.org/officeDocument/2006/relationships" ref="AE881" r:id="rId1757"/>
    <hyperlink xmlns:r="http://schemas.openxmlformats.org/officeDocument/2006/relationships" ref="AF881" r:id="rId1758"/>
    <hyperlink xmlns:r="http://schemas.openxmlformats.org/officeDocument/2006/relationships" ref="AE882" r:id="rId1759"/>
    <hyperlink xmlns:r="http://schemas.openxmlformats.org/officeDocument/2006/relationships" ref="AF882" r:id="rId1760"/>
    <hyperlink xmlns:r="http://schemas.openxmlformats.org/officeDocument/2006/relationships" ref="AE883" r:id="rId1761"/>
    <hyperlink xmlns:r="http://schemas.openxmlformats.org/officeDocument/2006/relationships" ref="AF883" r:id="rId1762"/>
    <hyperlink xmlns:r="http://schemas.openxmlformats.org/officeDocument/2006/relationships" ref="AE884" r:id="rId1763"/>
    <hyperlink xmlns:r="http://schemas.openxmlformats.org/officeDocument/2006/relationships" ref="AF884" r:id="rId1764"/>
    <hyperlink xmlns:r="http://schemas.openxmlformats.org/officeDocument/2006/relationships" ref="AE885" r:id="rId1765"/>
    <hyperlink xmlns:r="http://schemas.openxmlformats.org/officeDocument/2006/relationships" ref="AF885" r:id="rId1766"/>
    <hyperlink xmlns:r="http://schemas.openxmlformats.org/officeDocument/2006/relationships" ref="AE886" r:id="rId1767"/>
    <hyperlink xmlns:r="http://schemas.openxmlformats.org/officeDocument/2006/relationships" ref="AF886" r:id="rId1768"/>
    <hyperlink xmlns:r="http://schemas.openxmlformats.org/officeDocument/2006/relationships" ref="AE887" r:id="rId1769"/>
    <hyperlink xmlns:r="http://schemas.openxmlformats.org/officeDocument/2006/relationships" ref="AF887" r:id="rId1770"/>
    <hyperlink xmlns:r="http://schemas.openxmlformats.org/officeDocument/2006/relationships" ref="AE888" r:id="rId1771"/>
    <hyperlink xmlns:r="http://schemas.openxmlformats.org/officeDocument/2006/relationships" ref="AF888" r:id="rId1772"/>
    <hyperlink xmlns:r="http://schemas.openxmlformats.org/officeDocument/2006/relationships" ref="AE889" r:id="rId1773"/>
    <hyperlink xmlns:r="http://schemas.openxmlformats.org/officeDocument/2006/relationships" ref="AF889" r:id="rId1774"/>
    <hyperlink xmlns:r="http://schemas.openxmlformats.org/officeDocument/2006/relationships" ref="AE890" r:id="rId1775"/>
    <hyperlink xmlns:r="http://schemas.openxmlformats.org/officeDocument/2006/relationships" ref="AF890" r:id="rId1776"/>
    <hyperlink xmlns:r="http://schemas.openxmlformats.org/officeDocument/2006/relationships" ref="AE891" r:id="rId1777"/>
    <hyperlink xmlns:r="http://schemas.openxmlformats.org/officeDocument/2006/relationships" ref="AF891" r:id="rId1778"/>
    <hyperlink xmlns:r="http://schemas.openxmlformats.org/officeDocument/2006/relationships" ref="AE892" r:id="rId1779"/>
    <hyperlink xmlns:r="http://schemas.openxmlformats.org/officeDocument/2006/relationships" ref="AF892" r:id="rId1780"/>
    <hyperlink xmlns:r="http://schemas.openxmlformats.org/officeDocument/2006/relationships" ref="AE893" r:id="rId1781"/>
    <hyperlink xmlns:r="http://schemas.openxmlformats.org/officeDocument/2006/relationships" ref="AF893" r:id="rId1782"/>
    <hyperlink xmlns:r="http://schemas.openxmlformats.org/officeDocument/2006/relationships" ref="AE894" r:id="rId1783"/>
    <hyperlink xmlns:r="http://schemas.openxmlformats.org/officeDocument/2006/relationships" ref="AF894" r:id="rId1784"/>
    <hyperlink xmlns:r="http://schemas.openxmlformats.org/officeDocument/2006/relationships" ref="AE895" r:id="rId1785"/>
    <hyperlink xmlns:r="http://schemas.openxmlformats.org/officeDocument/2006/relationships" ref="AF895" r:id="rId1786"/>
    <hyperlink xmlns:r="http://schemas.openxmlformats.org/officeDocument/2006/relationships" ref="AE896" r:id="rId1787"/>
    <hyperlink xmlns:r="http://schemas.openxmlformats.org/officeDocument/2006/relationships" ref="AF896" r:id="rId1788"/>
    <hyperlink xmlns:r="http://schemas.openxmlformats.org/officeDocument/2006/relationships" ref="AE897" r:id="rId1789"/>
    <hyperlink xmlns:r="http://schemas.openxmlformats.org/officeDocument/2006/relationships" ref="AF897" r:id="rId1790"/>
    <hyperlink xmlns:r="http://schemas.openxmlformats.org/officeDocument/2006/relationships" ref="AE898" r:id="rId1791"/>
    <hyperlink xmlns:r="http://schemas.openxmlformats.org/officeDocument/2006/relationships" ref="AF898" r:id="rId1792"/>
    <hyperlink xmlns:r="http://schemas.openxmlformats.org/officeDocument/2006/relationships" ref="AE899" r:id="rId1793"/>
    <hyperlink xmlns:r="http://schemas.openxmlformats.org/officeDocument/2006/relationships" ref="AF899" r:id="rId1794"/>
    <hyperlink xmlns:r="http://schemas.openxmlformats.org/officeDocument/2006/relationships" ref="AE900" r:id="rId1795"/>
    <hyperlink xmlns:r="http://schemas.openxmlformats.org/officeDocument/2006/relationships" ref="AF900" r:id="rId1796"/>
    <hyperlink xmlns:r="http://schemas.openxmlformats.org/officeDocument/2006/relationships" ref="AE901" r:id="rId1797"/>
    <hyperlink xmlns:r="http://schemas.openxmlformats.org/officeDocument/2006/relationships" ref="AF901" r:id="rId1798"/>
    <hyperlink xmlns:r="http://schemas.openxmlformats.org/officeDocument/2006/relationships" ref="AE902" r:id="rId1799"/>
    <hyperlink xmlns:r="http://schemas.openxmlformats.org/officeDocument/2006/relationships" ref="AF902" r:id="rId1800"/>
    <hyperlink xmlns:r="http://schemas.openxmlformats.org/officeDocument/2006/relationships" ref="AE903" r:id="rId1801"/>
    <hyperlink xmlns:r="http://schemas.openxmlformats.org/officeDocument/2006/relationships" ref="AF903" r:id="rId1802"/>
    <hyperlink xmlns:r="http://schemas.openxmlformats.org/officeDocument/2006/relationships" ref="AE904" r:id="rId1803"/>
    <hyperlink xmlns:r="http://schemas.openxmlformats.org/officeDocument/2006/relationships" ref="AF904" r:id="rId1804"/>
    <hyperlink xmlns:r="http://schemas.openxmlformats.org/officeDocument/2006/relationships" ref="AE905" r:id="rId1805"/>
    <hyperlink xmlns:r="http://schemas.openxmlformats.org/officeDocument/2006/relationships" ref="AF905" r:id="rId1806"/>
    <hyperlink xmlns:r="http://schemas.openxmlformats.org/officeDocument/2006/relationships" ref="AE906" r:id="rId1807"/>
    <hyperlink xmlns:r="http://schemas.openxmlformats.org/officeDocument/2006/relationships" ref="AF906" r:id="rId1808"/>
    <hyperlink xmlns:r="http://schemas.openxmlformats.org/officeDocument/2006/relationships" ref="AE907" r:id="rId1809"/>
    <hyperlink xmlns:r="http://schemas.openxmlformats.org/officeDocument/2006/relationships" ref="AF907" r:id="rId1810"/>
    <hyperlink xmlns:r="http://schemas.openxmlformats.org/officeDocument/2006/relationships" ref="AE908" r:id="rId1811"/>
    <hyperlink xmlns:r="http://schemas.openxmlformats.org/officeDocument/2006/relationships" ref="AF908" r:id="rId1812"/>
    <hyperlink xmlns:r="http://schemas.openxmlformats.org/officeDocument/2006/relationships" ref="AE909" r:id="rId1813"/>
    <hyperlink xmlns:r="http://schemas.openxmlformats.org/officeDocument/2006/relationships" ref="AF909" r:id="rId1814"/>
    <hyperlink xmlns:r="http://schemas.openxmlformats.org/officeDocument/2006/relationships" ref="AE910" r:id="rId1815"/>
    <hyperlink xmlns:r="http://schemas.openxmlformats.org/officeDocument/2006/relationships" ref="AF910" r:id="rId1816"/>
    <hyperlink xmlns:r="http://schemas.openxmlformats.org/officeDocument/2006/relationships" ref="AE911" r:id="rId1817"/>
    <hyperlink xmlns:r="http://schemas.openxmlformats.org/officeDocument/2006/relationships" ref="AF911" r:id="rId1818"/>
    <hyperlink xmlns:r="http://schemas.openxmlformats.org/officeDocument/2006/relationships" ref="AE912" r:id="rId1819"/>
    <hyperlink xmlns:r="http://schemas.openxmlformats.org/officeDocument/2006/relationships" ref="AF912" r:id="rId1820"/>
    <hyperlink xmlns:r="http://schemas.openxmlformats.org/officeDocument/2006/relationships" ref="AE913" r:id="rId1821"/>
    <hyperlink xmlns:r="http://schemas.openxmlformats.org/officeDocument/2006/relationships" ref="AF913" r:id="rId1822"/>
    <hyperlink xmlns:r="http://schemas.openxmlformats.org/officeDocument/2006/relationships" ref="AE914" r:id="rId1823"/>
    <hyperlink xmlns:r="http://schemas.openxmlformats.org/officeDocument/2006/relationships" ref="AF914" r:id="rId1824"/>
    <hyperlink xmlns:r="http://schemas.openxmlformats.org/officeDocument/2006/relationships" ref="AE915" r:id="rId1825"/>
    <hyperlink xmlns:r="http://schemas.openxmlformats.org/officeDocument/2006/relationships" ref="AF915" r:id="rId1826"/>
    <hyperlink xmlns:r="http://schemas.openxmlformats.org/officeDocument/2006/relationships" ref="AE916" r:id="rId1827"/>
    <hyperlink xmlns:r="http://schemas.openxmlformats.org/officeDocument/2006/relationships" ref="AF916" r:id="rId1828"/>
    <hyperlink xmlns:r="http://schemas.openxmlformats.org/officeDocument/2006/relationships" ref="AE917" r:id="rId1829"/>
    <hyperlink xmlns:r="http://schemas.openxmlformats.org/officeDocument/2006/relationships" ref="AF917" r:id="rId1830"/>
    <hyperlink xmlns:r="http://schemas.openxmlformats.org/officeDocument/2006/relationships" ref="AE918" r:id="rId1831"/>
    <hyperlink xmlns:r="http://schemas.openxmlformats.org/officeDocument/2006/relationships" ref="AF918" r:id="rId1832"/>
    <hyperlink xmlns:r="http://schemas.openxmlformats.org/officeDocument/2006/relationships" ref="AE919" r:id="rId1833"/>
    <hyperlink xmlns:r="http://schemas.openxmlformats.org/officeDocument/2006/relationships" ref="AF919" r:id="rId1834"/>
    <hyperlink xmlns:r="http://schemas.openxmlformats.org/officeDocument/2006/relationships" ref="AE920" r:id="rId1835"/>
    <hyperlink xmlns:r="http://schemas.openxmlformats.org/officeDocument/2006/relationships" ref="AF920" r:id="rId1836"/>
    <hyperlink xmlns:r="http://schemas.openxmlformats.org/officeDocument/2006/relationships" ref="AE921" r:id="rId1837"/>
    <hyperlink xmlns:r="http://schemas.openxmlformats.org/officeDocument/2006/relationships" ref="AF921" r:id="rId1838"/>
    <hyperlink xmlns:r="http://schemas.openxmlformats.org/officeDocument/2006/relationships" ref="AE922" r:id="rId1839"/>
    <hyperlink xmlns:r="http://schemas.openxmlformats.org/officeDocument/2006/relationships" ref="AF922" r:id="rId1840"/>
    <hyperlink xmlns:r="http://schemas.openxmlformats.org/officeDocument/2006/relationships" ref="AE923" r:id="rId1841"/>
    <hyperlink xmlns:r="http://schemas.openxmlformats.org/officeDocument/2006/relationships" ref="AF923" r:id="rId1842"/>
    <hyperlink xmlns:r="http://schemas.openxmlformats.org/officeDocument/2006/relationships" ref="AE924" r:id="rId1843"/>
    <hyperlink xmlns:r="http://schemas.openxmlformats.org/officeDocument/2006/relationships" ref="AF924" r:id="rId1844"/>
    <hyperlink xmlns:r="http://schemas.openxmlformats.org/officeDocument/2006/relationships" ref="AE925" r:id="rId1845"/>
    <hyperlink xmlns:r="http://schemas.openxmlformats.org/officeDocument/2006/relationships" ref="AF925" r:id="rId1846"/>
    <hyperlink xmlns:r="http://schemas.openxmlformats.org/officeDocument/2006/relationships" ref="AE926" r:id="rId1847"/>
    <hyperlink xmlns:r="http://schemas.openxmlformats.org/officeDocument/2006/relationships" ref="AF926" r:id="rId1848"/>
    <hyperlink xmlns:r="http://schemas.openxmlformats.org/officeDocument/2006/relationships" ref="AE927" r:id="rId1849"/>
    <hyperlink xmlns:r="http://schemas.openxmlformats.org/officeDocument/2006/relationships" ref="AF927" r:id="rId1850"/>
    <hyperlink xmlns:r="http://schemas.openxmlformats.org/officeDocument/2006/relationships" ref="AE928" r:id="rId1851"/>
    <hyperlink xmlns:r="http://schemas.openxmlformats.org/officeDocument/2006/relationships" ref="AF928" r:id="rId1852"/>
    <hyperlink xmlns:r="http://schemas.openxmlformats.org/officeDocument/2006/relationships" ref="AE929" r:id="rId1853"/>
    <hyperlink xmlns:r="http://schemas.openxmlformats.org/officeDocument/2006/relationships" ref="AF929" r:id="rId1854"/>
    <hyperlink xmlns:r="http://schemas.openxmlformats.org/officeDocument/2006/relationships" ref="AE930" r:id="rId1855"/>
    <hyperlink xmlns:r="http://schemas.openxmlformats.org/officeDocument/2006/relationships" ref="AF930" r:id="rId1856"/>
    <hyperlink xmlns:r="http://schemas.openxmlformats.org/officeDocument/2006/relationships" ref="AE931" r:id="rId1857"/>
    <hyperlink xmlns:r="http://schemas.openxmlformats.org/officeDocument/2006/relationships" ref="AF931" r:id="rId1858"/>
    <hyperlink xmlns:r="http://schemas.openxmlformats.org/officeDocument/2006/relationships" ref="AE932" r:id="rId1859"/>
    <hyperlink xmlns:r="http://schemas.openxmlformats.org/officeDocument/2006/relationships" ref="AF932" r:id="rId1860"/>
    <hyperlink xmlns:r="http://schemas.openxmlformats.org/officeDocument/2006/relationships" ref="AE933" r:id="rId1861"/>
    <hyperlink xmlns:r="http://schemas.openxmlformats.org/officeDocument/2006/relationships" ref="AF933" r:id="rId1862"/>
    <hyperlink xmlns:r="http://schemas.openxmlformats.org/officeDocument/2006/relationships" ref="AE934" r:id="rId1863"/>
    <hyperlink xmlns:r="http://schemas.openxmlformats.org/officeDocument/2006/relationships" ref="AF934" r:id="rId1864"/>
    <hyperlink xmlns:r="http://schemas.openxmlformats.org/officeDocument/2006/relationships" ref="AE935" r:id="rId1865"/>
    <hyperlink xmlns:r="http://schemas.openxmlformats.org/officeDocument/2006/relationships" ref="AF935" r:id="rId1866"/>
    <hyperlink xmlns:r="http://schemas.openxmlformats.org/officeDocument/2006/relationships" ref="AE936" r:id="rId1867"/>
    <hyperlink xmlns:r="http://schemas.openxmlformats.org/officeDocument/2006/relationships" ref="AF936" r:id="rId1868"/>
    <hyperlink xmlns:r="http://schemas.openxmlformats.org/officeDocument/2006/relationships" ref="AE937" r:id="rId1869"/>
    <hyperlink xmlns:r="http://schemas.openxmlformats.org/officeDocument/2006/relationships" ref="AF937" r:id="rId1870"/>
    <hyperlink xmlns:r="http://schemas.openxmlformats.org/officeDocument/2006/relationships" ref="AE938" r:id="rId1871"/>
    <hyperlink xmlns:r="http://schemas.openxmlformats.org/officeDocument/2006/relationships" ref="AF938" r:id="rId1872"/>
    <hyperlink xmlns:r="http://schemas.openxmlformats.org/officeDocument/2006/relationships" ref="AE939" r:id="rId1873"/>
    <hyperlink xmlns:r="http://schemas.openxmlformats.org/officeDocument/2006/relationships" ref="AF939" r:id="rId1874"/>
    <hyperlink xmlns:r="http://schemas.openxmlformats.org/officeDocument/2006/relationships" ref="AE940" r:id="rId1875"/>
    <hyperlink xmlns:r="http://schemas.openxmlformats.org/officeDocument/2006/relationships" ref="AF940" r:id="rId1876"/>
    <hyperlink xmlns:r="http://schemas.openxmlformats.org/officeDocument/2006/relationships" ref="AE941" r:id="rId1877"/>
    <hyperlink xmlns:r="http://schemas.openxmlformats.org/officeDocument/2006/relationships" ref="AF941" r:id="rId1878"/>
    <hyperlink xmlns:r="http://schemas.openxmlformats.org/officeDocument/2006/relationships" ref="AE942" r:id="rId1879"/>
    <hyperlink xmlns:r="http://schemas.openxmlformats.org/officeDocument/2006/relationships" ref="AF942" r:id="rId1880"/>
    <hyperlink xmlns:r="http://schemas.openxmlformats.org/officeDocument/2006/relationships" ref="AE943" r:id="rId1881"/>
    <hyperlink xmlns:r="http://schemas.openxmlformats.org/officeDocument/2006/relationships" ref="AF943" r:id="rId1882"/>
    <hyperlink xmlns:r="http://schemas.openxmlformats.org/officeDocument/2006/relationships" ref="AE944" r:id="rId1883"/>
    <hyperlink xmlns:r="http://schemas.openxmlformats.org/officeDocument/2006/relationships" ref="AF944" r:id="rId1884"/>
    <hyperlink xmlns:r="http://schemas.openxmlformats.org/officeDocument/2006/relationships" ref="AE945" r:id="rId1885"/>
    <hyperlink xmlns:r="http://schemas.openxmlformats.org/officeDocument/2006/relationships" ref="AF945" r:id="rId1886"/>
    <hyperlink xmlns:r="http://schemas.openxmlformats.org/officeDocument/2006/relationships" ref="AE946" r:id="rId1887"/>
    <hyperlink xmlns:r="http://schemas.openxmlformats.org/officeDocument/2006/relationships" ref="AF946" r:id="rId1888"/>
    <hyperlink xmlns:r="http://schemas.openxmlformats.org/officeDocument/2006/relationships" ref="AE947" r:id="rId1889"/>
    <hyperlink xmlns:r="http://schemas.openxmlformats.org/officeDocument/2006/relationships" ref="AF947" r:id="rId1890"/>
    <hyperlink xmlns:r="http://schemas.openxmlformats.org/officeDocument/2006/relationships" ref="AE948" r:id="rId1891"/>
    <hyperlink xmlns:r="http://schemas.openxmlformats.org/officeDocument/2006/relationships" ref="AF948" r:id="rId1892"/>
    <hyperlink xmlns:r="http://schemas.openxmlformats.org/officeDocument/2006/relationships" ref="AE949" r:id="rId1893"/>
    <hyperlink xmlns:r="http://schemas.openxmlformats.org/officeDocument/2006/relationships" ref="AF949" r:id="rId1894"/>
    <hyperlink xmlns:r="http://schemas.openxmlformats.org/officeDocument/2006/relationships" ref="AE950" r:id="rId1895"/>
    <hyperlink xmlns:r="http://schemas.openxmlformats.org/officeDocument/2006/relationships" ref="AF950" r:id="rId1896"/>
    <hyperlink xmlns:r="http://schemas.openxmlformats.org/officeDocument/2006/relationships" ref="AE951" r:id="rId1897"/>
    <hyperlink xmlns:r="http://schemas.openxmlformats.org/officeDocument/2006/relationships" ref="AF951" r:id="rId1898"/>
    <hyperlink xmlns:r="http://schemas.openxmlformats.org/officeDocument/2006/relationships" ref="AE952" r:id="rId1899"/>
    <hyperlink xmlns:r="http://schemas.openxmlformats.org/officeDocument/2006/relationships" ref="AF952" r:id="rId1900"/>
    <hyperlink xmlns:r="http://schemas.openxmlformats.org/officeDocument/2006/relationships" ref="AE953" r:id="rId1901"/>
    <hyperlink xmlns:r="http://schemas.openxmlformats.org/officeDocument/2006/relationships" ref="AF953" r:id="rId1902"/>
    <hyperlink xmlns:r="http://schemas.openxmlformats.org/officeDocument/2006/relationships" ref="AE954" r:id="rId1903"/>
    <hyperlink xmlns:r="http://schemas.openxmlformats.org/officeDocument/2006/relationships" ref="AF954" r:id="rId1904"/>
    <hyperlink xmlns:r="http://schemas.openxmlformats.org/officeDocument/2006/relationships" ref="AE955" r:id="rId1905"/>
    <hyperlink xmlns:r="http://schemas.openxmlformats.org/officeDocument/2006/relationships" ref="AF955" r:id="rId1906"/>
    <hyperlink xmlns:r="http://schemas.openxmlformats.org/officeDocument/2006/relationships" ref="AE956" r:id="rId1907"/>
    <hyperlink xmlns:r="http://schemas.openxmlformats.org/officeDocument/2006/relationships" ref="AF956" r:id="rId1908"/>
    <hyperlink xmlns:r="http://schemas.openxmlformats.org/officeDocument/2006/relationships" ref="AE957" r:id="rId1909"/>
    <hyperlink xmlns:r="http://schemas.openxmlformats.org/officeDocument/2006/relationships" ref="AF957" r:id="rId1910"/>
    <hyperlink xmlns:r="http://schemas.openxmlformats.org/officeDocument/2006/relationships" ref="AE958" r:id="rId1911"/>
    <hyperlink xmlns:r="http://schemas.openxmlformats.org/officeDocument/2006/relationships" ref="AF958" r:id="rId1912"/>
    <hyperlink xmlns:r="http://schemas.openxmlformats.org/officeDocument/2006/relationships" ref="AE959" r:id="rId1913"/>
    <hyperlink xmlns:r="http://schemas.openxmlformats.org/officeDocument/2006/relationships" ref="AF959" r:id="rId1914"/>
    <hyperlink xmlns:r="http://schemas.openxmlformats.org/officeDocument/2006/relationships" ref="AE960" r:id="rId1915"/>
    <hyperlink xmlns:r="http://schemas.openxmlformats.org/officeDocument/2006/relationships" ref="AF960" r:id="rId1916"/>
    <hyperlink xmlns:r="http://schemas.openxmlformats.org/officeDocument/2006/relationships" ref="AE961" r:id="rId1917"/>
    <hyperlink xmlns:r="http://schemas.openxmlformats.org/officeDocument/2006/relationships" ref="AF961" r:id="rId1918"/>
    <hyperlink xmlns:r="http://schemas.openxmlformats.org/officeDocument/2006/relationships" ref="AE962" r:id="rId1919"/>
    <hyperlink xmlns:r="http://schemas.openxmlformats.org/officeDocument/2006/relationships" ref="AF962" r:id="rId1920"/>
    <hyperlink xmlns:r="http://schemas.openxmlformats.org/officeDocument/2006/relationships" ref="AE963" r:id="rId1921"/>
    <hyperlink xmlns:r="http://schemas.openxmlformats.org/officeDocument/2006/relationships" ref="AF963" r:id="rId1922"/>
    <hyperlink xmlns:r="http://schemas.openxmlformats.org/officeDocument/2006/relationships" ref="AE964" r:id="rId1923"/>
    <hyperlink xmlns:r="http://schemas.openxmlformats.org/officeDocument/2006/relationships" ref="AF964" r:id="rId1924"/>
    <hyperlink xmlns:r="http://schemas.openxmlformats.org/officeDocument/2006/relationships" ref="AE965" r:id="rId1925"/>
    <hyperlink xmlns:r="http://schemas.openxmlformats.org/officeDocument/2006/relationships" ref="AF965" r:id="rId1926"/>
    <hyperlink xmlns:r="http://schemas.openxmlformats.org/officeDocument/2006/relationships" ref="AE966" r:id="rId1927"/>
    <hyperlink xmlns:r="http://schemas.openxmlformats.org/officeDocument/2006/relationships" ref="AF966" r:id="rId1928"/>
    <hyperlink xmlns:r="http://schemas.openxmlformats.org/officeDocument/2006/relationships" ref="AE967" r:id="rId1929"/>
    <hyperlink xmlns:r="http://schemas.openxmlformats.org/officeDocument/2006/relationships" ref="AF967" r:id="rId1930"/>
    <hyperlink xmlns:r="http://schemas.openxmlformats.org/officeDocument/2006/relationships" ref="AE968" r:id="rId1931"/>
    <hyperlink xmlns:r="http://schemas.openxmlformats.org/officeDocument/2006/relationships" ref="AF968" r:id="rId1932"/>
    <hyperlink xmlns:r="http://schemas.openxmlformats.org/officeDocument/2006/relationships" ref="AE969" r:id="rId1933"/>
    <hyperlink xmlns:r="http://schemas.openxmlformats.org/officeDocument/2006/relationships" ref="AF969" r:id="rId1934"/>
    <hyperlink xmlns:r="http://schemas.openxmlformats.org/officeDocument/2006/relationships" ref="AE970" r:id="rId1935"/>
    <hyperlink xmlns:r="http://schemas.openxmlformats.org/officeDocument/2006/relationships" ref="AF970" r:id="rId1936"/>
    <hyperlink xmlns:r="http://schemas.openxmlformats.org/officeDocument/2006/relationships" ref="AE971" r:id="rId1937"/>
    <hyperlink xmlns:r="http://schemas.openxmlformats.org/officeDocument/2006/relationships" ref="AF971" r:id="rId1938"/>
    <hyperlink xmlns:r="http://schemas.openxmlformats.org/officeDocument/2006/relationships" ref="AE972" r:id="rId1939"/>
    <hyperlink xmlns:r="http://schemas.openxmlformats.org/officeDocument/2006/relationships" ref="AF972" r:id="rId1940"/>
    <hyperlink xmlns:r="http://schemas.openxmlformats.org/officeDocument/2006/relationships" ref="AE973" r:id="rId1941"/>
    <hyperlink xmlns:r="http://schemas.openxmlformats.org/officeDocument/2006/relationships" ref="AF973" r:id="rId1942"/>
    <hyperlink xmlns:r="http://schemas.openxmlformats.org/officeDocument/2006/relationships" ref="AE974" r:id="rId1943"/>
    <hyperlink xmlns:r="http://schemas.openxmlformats.org/officeDocument/2006/relationships" ref="AF974" r:id="rId1944"/>
    <hyperlink xmlns:r="http://schemas.openxmlformats.org/officeDocument/2006/relationships" ref="AE975" r:id="rId1945"/>
    <hyperlink xmlns:r="http://schemas.openxmlformats.org/officeDocument/2006/relationships" ref="AF975" r:id="rId1946"/>
    <hyperlink xmlns:r="http://schemas.openxmlformats.org/officeDocument/2006/relationships" ref="AE976" r:id="rId1947"/>
    <hyperlink xmlns:r="http://schemas.openxmlformats.org/officeDocument/2006/relationships" ref="AF976" r:id="rId1948"/>
    <hyperlink xmlns:r="http://schemas.openxmlformats.org/officeDocument/2006/relationships" ref="AE977" r:id="rId1949"/>
    <hyperlink xmlns:r="http://schemas.openxmlformats.org/officeDocument/2006/relationships" ref="AF977" r:id="rId1950"/>
    <hyperlink xmlns:r="http://schemas.openxmlformats.org/officeDocument/2006/relationships" ref="AE978" r:id="rId1951"/>
    <hyperlink xmlns:r="http://schemas.openxmlformats.org/officeDocument/2006/relationships" ref="AF978" r:id="rId1952"/>
    <hyperlink xmlns:r="http://schemas.openxmlformats.org/officeDocument/2006/relationships" ref="AE979" r:id="rId1953"/>
    <hyperlink xmlns:r="http://schemas.openxmlformats.org/officeDocument/2006/relationships" ref="AF979" r:id="rId1954"/>
    <hyperlink xmlns:r="http://schemas.openxmlformats.org/officeDocument/2006/relationships" ref="AE980" r:id="rId1955"/>
    <hyperlink xmlns:r="http://schemas.openxmlformats.org/officeDocument/2006/relationships" ref="AF980" r:id="rId1956"/>
    <hyperlink xmlns:r="http://schemas.openxmlformats.org/officeDocument/2006/relationships" ref="AE981" r:id="rId1957"/>
    <hyperlink xmlns:r="http://schemas.openxmlformats.org/officeDocument/2006/relationships" ref="AF981" r:id="rId1958"/>
    <hyperlink xmlns:r="http://schemas.openxmlformats.org/officeDocument/2006/relationships" ref="AE982" r:id="rId1959"/>
    <hyperlink xmlns:r="http://schemas.openxmlformats.org/officeDocument/2006/relationships" ref="AF982" r:id="rId1960"/>
    <hyperlink xmlns:r="http://schemas.openxmlformats.org/officeDocument/2006/relationships" ref="AE983" r:id="rId1961"/>
    <hyperlink xmlns:r="http://schemas.openxmlformats.org/officeDocument/2006/relationships" ref="AF983" r:id="rId1962"/>
    <hyperlink xmlns:r="http://schemas.openxmlformats.org/officeDocument/2006/relationships" ref="AE984" r:id="rId1963"/>
    <hyperlink xmlns:r="http://schemas.openxmlformats.org/officeDocument/2006/relationships" ref="AF984" r:id="rId1964"/>
    <hyperlink xmlns:r="http://schemas.openxmlformats.org/officeDocument/2006/relationships" ref="AE985" r:id="rId1965"/>
    <hyperlink xmlns:r="http://schemas.openxmlformats.org/officeDocument/2006/relationships" ref="AF985" r:id="rId1966"/>
    <hyperlink xmlns:r="http://schemas.openxmlformats.org/officeDocument/2006/relationships" ref="AE986" r:id="rId1967"/>
    <hyperlink xmlns:r="http://schemas.openxmlformats.org/officeDocument/2006/relationships" ref="AF986" r:id="rId1968"/>
    <hyperlink xmlns:r="http://schemas.openxmlformats.org/officeDocument/2006/relationships" ref="AE987" r:id="rId1969"/>
    <hyperlink xmlns:r="http://schemas.openxmlformats.org/officeDocument/2006/relationships" ref="AF987" r:id="rId1970"/>
    <hyperlink xmlns:r="http://schemas.openxmlformats.org/officeDocument/2006/relationships" ref="AE988" r:id="rId1971"/>
    <hyperlink xmlns:r="http://schemas.openxmlformats.org/officeDocument/2006/relationships" ref="AF988" r:id="rId1972"/>
    <hyperlink xmlns:r="http://schemas.openxmlformats.org/officeDocument/2006/relationships" ref="AE989" r:id="rId1973"/>
    <hyperlink xmlns:r="http://schemas.openxmlformats.org/officeDocument/2006/relationships" ref="AF989" r:id="rId1974"/>
    <hyperlink xmlns:r="http://schemas.openxmlformats.org/officeDocument/2006/relationships" ref="AE990" r:id="rId1975"/>
    <hyperlink xmlns:r="http://schemas.openxmlformats.org/officeDocument/2006/relationships" ref="AF990" r:id="rId1976"/>
    <hyperlink xmlns:r="http://schemas.openxmlformats.org/officeDocument/2006/relationships" ref="AE991" r:id="rId1977"/>
    <hyperlink xmlns:r="http://schemas.openxmlformats.org/officeDocument/2006/relationships" ref="AF991" r:id="rId1978"/>
    <hyperlink xmlns:r="http://schemas.openxmlformats.org/officeDocument/2006/relationships" ref="AE992" r:id="rId1979"/>
    <hyperlink xmlns:r="http://schemas.openxmlformats.org/officeDocument/2006/relationships" ref="AF992" r:id="rId1980"/>
    <hyperlink xmlns:r="http://schemas.openxmlformats.org/officeDocument/2006/relationships" ref="AE993" r:id="rId1981"/>
    <hyperlink xmlns:r="http://schemas.openxmlformats.org/officeDocument/2006/relationships" ref="AF993" r:id="rId1982"/>
    <hyperlink xmlns:r="http://schemas.openxmlformats.org/officeDocument/2006/relationships" ref="AE994" r:id="rId1983"/>
    <hyperlink xmlns:r="http://schemas.openxmlformats.org/officeDocument/2006/relationships" ref="AF994" r:id="rId1984"/>
    <hyperlink xmlns:r="http://schemas.openxmlformats.org/officeDocument/2006/relationships" ref="AE995" r:id="rId1985"/>
    <hyperlink xmlns:r="http://schemas.openxmlformats.org/officeDocument/2006/relationships" ref="AF995" r:id="rId1986"/>
    <hyperlink xmlns:r="http://schemas.openxmlformats.org/officeDocument/2006/relationships" ref="AE996" r:id="rId1987"/>
    <hyperlink xmlns:r="http://schemas.openxmlformats.org/officeDocument/2006/relationships" ref="AF996" r:id="rId1988"/>
    <hyperlink xmlns:r="http://schemas.openxmlformats.org/officeDocument/2006/relationships" ref="AE997" r:id="rId1989"/>
    <hyperlink xmlns:r="http://schemas.openxmlformats.org/officeDocument/2006/relationships" ref="AF997" r:id="rId1990"/>
    <hyperlink xmlns:r="http://schemas.openxmlformats.org/officeDocument/2006/relationships" ref="AE998" r:id="rId1991"/>
    <hyperlink xmlns:r="http://schemas.openxmlformats.org/officeDocument/2006/relationships" ref="AF998" r:id="rId1992"/>
    <hyperlink xmlns:r="http://schemas.openxmlformats.org/officeDocument/2006/relationships" ref="AE999" r:id="rId1993"/>
    <hyperlink xmlns:r="http://schemas.openxmlformats.org/officeDocument/2006/relationships" ref="AF999" r:id="rId1994"/>
    <hyperlink xmlns:r="http://schemas.openxmlformats.org/officeDocument/2006/relationships" ref="AE1000" r:id="rId1995"/>
    <hyperlink xmlns:r="http://schemas.openxmlformats.org/officeDocument/2006/relationships" ref="AF1000" r:id="rId1996"/>
    <hyperlink xmlns:r="http://schemas.openxmlformats.org/officeDocument/2006/relationships" ref="AE1001" r:id="rId1997"/>
    <hyperlink xmlns:r="http://schemas.openxmlformats.org/officeDocument/2006/relationships" ref="AF1001" r:id="rId1998"/>
    <hyperlink xmlns:r="http://schemas.openxmlformats.org/officeDocument/2006/relationships" ref="AE1002" r:id="rId1999"/>
    <hyperlink xmlns:r="http://schemas.openxmlformats.org/officeDocument/2006/relationships" ref="AF1002" r:id="rId2000"/>
    <hyperlink xmlns:r="http://schemas.openxmlformats.org/officeDocument/2006/relationships" ref="AE1003" r:id="rId2001"/>
    <hyperlink xmlns:r="http://schemas.openxmlformats.org/officeDocument/2006/relationships" ref="AF1003" r:id="rId2002"/>
    <hyperlink xmlns:r="http://schemas.openxmlformats.org/officeDocument/2006/relationships" ref="AE1004" r:id="rId2003"/>
    <hyperlink xmlns:r="http://schemas.openxmlformats.org/officeDocument/2006/relationships" ref="AF1004" r:id="rId2004"/>
    <hyperlink xmlns:r="http://schemas.openxmlformats.org/officeDocument/2006/relationships" ref="AE1005" r:id="rId2005"/>
    <hyperlink xmlns:r="http://schemas.openxmlformats.org/officeDocument/2006/relationships" ref="AF1005" r:id="rId2006"/>
    <hyperlink xmlns:r="http://schemas.openxmlformats.org/officeDocument/2006/relationships" ref="AE1006" r:id="rId2007"/>
    <hyperlink xmlns:r="http://schemas.openxmlformats.org/officeDocument/2006/relationships" ref="AF1006" r:id="rId2008"/>
    <hyperlink xmlns:r="http://schemas.openxmlformats.org/officeDocument/2006/relationships" ref="AE1007" r:id="rId2009"/>
    <hyperlink xmlns:r="http://schemas.openxmlformats.org/officeDocument/2006/relationships" ref="AF1007" r:id="rId2010"/>
    <hyperlink xmlns:r="http://schemas.openxmlformats.org/officeDocument/2006/relationships" ref="AE1008" r:id="rId2011"/>
    <hyperlink xmlns:r="http://schemas.openxmlformats.org/officeDocument/2006/relationships" ref="AF1008" r:id="rId2012"/>
    <hyperlink xmlns:r="http://schemas.openxmlformats.org/officeDocument/2006/relationships" ref="AE1009" r:id="rId2013"/>
    <hyperlink xmlns:r="http://schemas.openxmlformats.org/officeDocument/2006/relationships" ref="AF1009" r:id="rId2014"/>
    <hyperlink xmlns:r="http://schemas.openxmlformats.org/officeDocument/2006/relationships" ref="AE1010" r:id="rId2015"/>
    <hyperlink xmlns:r="http://schemas.openxmlformats.org/officeDocument/2006/relationships" ref="AF1010" r:id="rId2016"/>
    <hyperlink xmlns:r="http://schemas.openxmlformats.org/officeDocument/2006/relationships" ref="AE1011" r:id="rId2017"/>
    <hyperlink xmlns:r="http://schemas.openxmlformats.org/officeDocument/2006/relationships" ref="AF1011" r:id="rId2018"/>
    <hyperlink xmlns:r="http://schemas.openxmlformats.org/officeDocument/2006/relationships" ref="AE1012" r:id="rId2019"/>
    <hyperlink xmlns:r="http://schemas.openxmlformats.org/officeDocument/2006/relationships" ref="AF1012" r:id="rId2020"/>
    <hyperlink xmlns:r="http://schemas.openxmlformats.org/officeDocument/2006/relationships" ref="AE1013" r:id="rId2021"/>
    <hyperlink xmlns:r="http://schemas.openxmlformats.org/officeDocument/2006/relationships" ref="AF1013" r:id="rId2022"/>
    <hyperlink xmlns:r="http://schemas.openxmlformats.org/officeDocument/2006/relationships" ref="AE1014" r:id="rId2023"/>
    <hyperlink xmlns:r="http://schemas.openxmlformats.org/officeDocument/2006/relationships" ref="AF1014" r:id="rId2024"/>
    <hyperlink xmlns:r="http://schemas.openxmlformats.org/officeDocument/2006/relationships" ref="AE1015" r:id="rId2025"/>
    <hyperlink xmlns:r="http://schemas.openxmlformats.org/officeDocument/2006/relationships" ref="AF1015" r:id="rId2026"/>
    <hyperlink xmlns:r="http://schemas.openxmlformats.org/officeDocument/2006/relationships" ref="AE1016" r:id="rId2027"/>
    <hyperlink xmlns:r="http://schemas.openxmlformats.org/officeDocument/2006/relationships" ref="AF1016" r:id="rId2028"/>
    <hyperlink xmlns:r="http://schemas.openxmlformats.org/officeDocument/2006/relationships" ref="AE1017" r:id="rId2029"/>
    <hyperlink xmlns:r="http://schemas.openxmlformats.org/officeDocument/2006/relationships" ref="AF1017" r:id="rId2030"/>
    <hyperlink xmlns:r="http://schemas.openxmlformats.org/officeDocument/2006/relationships" ref="AE1018" r:id="rId2031"/>
    <hyperlink xmlns:r="http://schemas.openxmlformats.org/officeDocument/2006/relationships" ref="AF1018" r:id="rId2032"/>
    <hyperlink xmlns:r="http://schemas.openxmlformats.org/officeDocument/2006/relationships" ref="AE1019" r:id="rId2033"/>
    <hyperlink xmlns:r="http://schemas.openxmlformats.org/officeDocument/2006/relationships" ref="AF1019" r:id="rId2034"/>
    <hyperlink xmlns:r="http://schemas.openxmlformats.org/officeDocument/2006/relationships" ref="AE1020" r:id="rId2035"/>
    <hyperlink xmlns:r="http://schemas.openxmlformats.org/officeDocument/2006/relationships" ref="AF1020" r:id="rId2036"/>
    <hyperlink xmlns:r="http://schemas.openxmlformats.org/officeDocument/2006/relationships" ref="AE1021" r:id="rId2037"/>
    <hyperlink xmlns:r="http://schemas.openxmlformats.org/officeDocument/2006/relationships" ref="AF1021" r:id="rId2038"/>
    <hyperlink xmlns:r="http://schemas.openxmlformats.org/officeDocument/2006/relationships" ref="AE1022" r:id="rId2039"/>
    <hyperlink xmlns:r="http://schemas.openxmlformats.org/officeDocument/2006/relationships" ref="AF1022" r:id="rId2040"/>
    <hyperlink xmlns:r="http://schemas.openxmlformats.org/officeDocument/2006/relationships" ref="AE1023" r:id="rId2041"/>
    <hyperlink xmlns:r="http://schemas.openxmlformats.org/officeDocument/2006/relationships" ref="AF1023" r:id="rId2042"/>
    <hyperlink xmlns:r="http://schemas.openxmlformats.org/officeDocument/2006/relationships" ref="AE1024" r:id="rId2043"/>
    <hyperlink xmlns:r="http://schemas.openxmlformats.org/officeDocument/2006/relationships" ref="AF1024" r:id="rId2044"/>
    <hyperlink xmlns:r="http://schemas.openxmlformats.org/officeDocument/2006/relationships" ref="AE1025" r:id="rId2045"/>
    <hyperlink xmlns:r="http://schemas.openxmlformats.org/officeDocument/2006/relationships" ref="AF1025" r:id="rId2046"/>
    <hyperlink xmlns:r="http://schemas.openxmlformats.org/officeDocument/2006/relationships" ref="AE1026" r:id="rId2047"/>
    <hyperlink xmlns:r="http://schemas.openxmlformats.org/officeDocument/2006/relationships" ref="AF1026" r:id="rId2048"/>
    <hyperlink xmlns:r="http://schemas.openxmlformats.org/officeDocument/2006/relationships" ref="AE1027" r:id="rId2049"/>
    <hyperlink xmlns:r="http://schemas.openxmlformats.org/officeDocument/2006/relationships" ref="AF1027" r:id="rId2050"/>
    <hyperlink xmlns:r="http://schemas.openxmlformats.org/officeDocument/2006/relationships" ref="AE1028" r:id="rId2051"/>
    <hyperlink xmlns:r="http://schemas.openxmlformats.org/officeDocument/2006/relationships" ref="AF1028" r:id="rId2052"/>
    <hyperlink xmlns:r="http://schemas.openxmlformats.org/officeDocument/2006/relationships" ref="AE1029" r:id="rId2053"/>
    <hyperlink xmlns:r="http://schemas.openxmlformats.org/officeDocument/2006/relationships" ref="AF1029" r:id="rId2054"/>
    <hyperlink xmlns:r="http://schemas.openxmlformats.org/officeDocument/2006/relationships" ref="AE1030" r:id="rId2055"/>
    <hyperlink xmlns:r="http://schemas.openxmlformats.org/officeDocument/2006/relationships" ref="AF1030" r:id="rId2056"/>
    <hyperlink xmlns:r="http://schemas.openxmlformats.org/officeDocument/2006/relationships" ref="AE1031" r:id="rId2057"/>
    <hyperlink xmlns:r="http://schemas.openxmlformats.org/officeDocument/2006/relationships" ref="AF1031" r:id="rId2058"/>
    <hyperlink xmlns:r="http://schemas.openxmlformats.org/officeDocument/2006/relationships" ref="AE1032" r:id="rId2059"/>
    <hyperlink xmlns:r="http://schemas.openxmlformats.org/officeDocument/2006/relationships" ref="AF1032" r:id="rId2060"/>
    <hyperlink xmlns:r="http://schemas.openxmlformats.org/officeDocument/2006/relationships" ref="AE1033" r:id="rId2061"/>
    <hyperlink xmlns:r="http://schemas.openxmlformats.org/officeDocument/2006/relationships" ref="AF1033" r:id="rId2062"/>
    <hyperlink xmlns:r="http://schemas.openxmlformats.org/officeDocument/2006/relationships" ref="AE1034" r:id="rId2063"/>
    <hyperlink xmlns:r="http://schemas.openxmlformats.org/officeDocument/2006/relationships" ref="AF1034" r:id="rId2064"/>
    <hyperlink xmlns:r="http://schemas.openxmlformats.org/officeDocument/2006/relationships" ref="AE1035" r:id="rId2065"/>
    <hyperlink xmlns:r="http://schemas.openxmlformats.org/officeDocument/2006/relationships" ref="AF1035" r:id="rId2066"/>
    <hyperlink xmlns:r="http://schemas.openxmlformats.org/officeDocument/2006/relationships" ref="AE1036" r:id="rId2067"/>
    <hyperlink xmlns:r="http://schemas.openxmlformats.org/officeDocument/2006/relationships" ref="AF1036" r:id="rId2068"/>
    <hyperlink xmlns:r="http://schemas.openxmlformats.org/officeDocument/2006/relationships" ref="AE1037" r:id="rId2069"/>
    <hyperlink xmlns:r="http://schemas.openxmlformats.org/officeDocument/2006/relationships" ref="AF1037" r:id="rId2070"/>
    <hyperlink xmlns:r="http://schemas.openxmlformats.org/officeDocument/2006/relationships" ref="AE1038" r:id="rId2071"/>
    <hyperlink xmlns:r="http://schemas.openxmlformats.org/officeDocument/2006/relationships" ref="AF1038" r:id="rId2072"/>
    <hyperlink xmlns:r="http://schemas.openxmlformats.org/officeDocument/2006/relationships" ref="AE1039" r:id="rId2073"/>
    <hyperlink xmlns:r="http://schemas.openxmlformats.org/officeDocument/2006/relationships" ref="AF1039" r:id="rId2074"/>
    <hyperlink xmlns:r="http://schemas.openxmlformats.org/officeDocument/2006/relationships" ref="AE1040" r:id="rId2075"/>
    <hyperlink xmlns:r="http://schemas.openxmlformats.org/officeDocument/2006/relationships" ref="AF1040" r:id="rId2076"/>
    <hyperlink xmlns:r="http://schemas.openxmlformats.org/officeDocument/2006/relationships" ref="AE1041" r:id="rId2077"/>
    <hyperlink xmlns:r="http://schemas.openxmlformats.org/officeDocument/2006/relationships" ref="AF1041" r:id="rId2078"/>
    <hyperlink xmlns:r="http://schemas.openxmlformats.org/officeDocument/2006/relationships" ref="AE1042" r:id="rId2079"/>
    <hyperlink xmlns:r="http://schemas.openxmlformats.org/officeDocument/2006/relationships" ref="AF1042" r:id="rId2080"/>
    <hyperlink xmlns:r="http://schemas.openxmlformats.org/officeDocument/2006/relationships" ref="AE1043" r:id="rId2081"/>
    <hyperlink xmlns:r="http://schemas.openxmlformats.org/officeDocument/2006/relationships" ref="AF1043" r:id="rId2082"/>
    <hyperlink xmlns:r="http://schemas.openxmlformats.org/officeDocument/2006/relationships" ref="AE1044" r:id="rId2083"/>
    <hyperlink xmlns:r="http://schemas.openxmlformats.org/officeDocument/2006/relationships" ref="AF1044" r:id="rId2084"/>
    <hyperlink xmlns:r="http://schemas.openxmlformats.org/officeDocument/2006/relationships" ref="AE1045" r:id="rId2085"/>
    <hyperlink xmlns:r="http://schemas.openxmlformats.org/officeDocument/2006/relationships" ref="AF1045" r:id="rId2086"/>
    <hyperlink xmlns:r="http://schemas.openxmlformats.org/officeDocument/2006/relationships" ref="AE1046" r:id="rId2087"/>
    <hyperlink xmlns:r="http://schemas.openxmlformats.org/officeDocument/2006/relationships" ref="AF1046" r:id="rId2088"/>
    <hyperlink xmlns:r="http://schemas.openxmlformats.org/officeDocument/2006/relationships" ref="AE1047" r:id="rId2089"/>
    <hyperlink xmlns:r="http://schemas.openxmlformats.org/officeDocument/2006/relationships" ref="AF1047" r:id="rId2090"/>
    <hyperlink xmlns:r="http://schemas.openxmlformats.org/officeDocument/2006/relationships" ref="AE1048" r:id="rId2091"/>
    <hyperlink xmlns:r="http://schemas.openxmlformats.org/officeDocument/2006/relationships" ref="AF1048" r:id="rId2092"/>
    <hyperlink xmlns:r="http://schemas.openxmlformats.org/officeDocument/2006/relationships" ref="AE1049" r:id="rId2093"/>
    <hyperlink xmlns:r="http://schemas.openxmlformats.org/officeDocument/2006/relationships" ref="AF1049" r:id="rId2094"/>
    <hyperlink xmlns:r="http://schemas.openxmlformats.org/officeDocument/2006/relationships" ref="AE1050" r:id="rId2095"/>
    <hyperlink xmlns:r="http://schemas.openxmlformats.org/officeDocument/2006/relationships" ref="AF1050" r:id="rId2096"/>
    <hyperlink xmlns:r="http://schemas.openxmlformats.org/officeDocument/2006/relationships" ref="AE1051" r:id="rId2097"/>
    <hyperlink xmlns:r="http://schemas.openxmlformats.org/officeDocument/2006/relationships" ref="AF1051" r:id="rId2098"/>
    <hyperlink xmlns:r="http://schemas.openxmlformats.org/officeDocument/2006/relationships" ref="AE1052" r:id="rId2099"/>
    <hyperlink xmlns:r="http://schemas.openxmlformats.org/officeDocument/2006/relationships" ref="AF1052" r:id="rId2100"/>
    <hyperlink xmlns:r="http://schemas.openxmlformats.org/officeDocument/2006/relationships" ref="AE1053" r:id="rId2101"/>
    <hyperlink xmlns:r="http://schemas.openxmlformats.org/officeDocument/2006/relationships" ref="AF1053" r:id="rId2102"/>
    <hyperlink xmlns:r="http://schemas.openxmlformats.org/officeDocument/2006/relationships" ref="AE1054" r:id="rId2103"/>
    <hyperlink xmlns:r="http://schemas.openxmlformats.org/officeDocument/2006/relationships" ref="AF1054" r:id="rId2104"/>
    <hyperlink xmlns:r="http://schemas.openxmlformats.org/officeDocument/2006/relationships" ref="AE1055" r:id="rId2105"/>
    <hyperlink xmlns:r="http://schemas.openxmlformats.org/officeDocument/2006/relationships" ref="AF1055" r:id="rId2106"/>
    <hyperlink xmlns:r="http://schemas.openxmlformats.org/officeDocument/2006/relationships" ref="AE1056" r:id="rId2107"/>
    <hyperlink xmlns:r="http://schemas.openxmlformats.org/officeDocument/2006/relationships" ref="AF1056" r:id="rId2108"/>
    <hyperlink xmlns:r="http://schemas.openxmlformats.org/officeDocument/2006/relationships" ref="AE1057" r:id="rId2109"/>
    <hyperlink xmlns:r="http://schemas.openxmlformats.org/officeDocument/2006/relationships" ref="AF1057" r:id="rId2110"/>
    <hyperlink xmlns:r="http://schemas.openxmlformats.org/officeDocument/2006/relationships" ref="AE1058" r:id="rId2111"/>
    <hyperlink xmlns:r="http://schemas.openxmlformats.org/officeDocument/2006/relationships" ref="AF1058" r:id="rId2112"/>
    <hyperlink xmlns:r="http://schemas.openxmlformats.org/officeDocument/2006/relationships" ref="AE1059" r:id="rId2113"/>
    <hyperlink xmlns:r="http://schemas.openxmlformats.org/officeDocument/2006/relationships" ref="AF1059" r:id="rId2114"/>
    <hyperlink xmlns:r="http://schemas.openxmlformats.org/officeDocument/2006/relationships" ref="AE1060" r:id="rId2115"/>
    <hyperlink xmlns:r="http://schemas.openxmlformats.org/officeDocument/2006/relationships" ref="AF1060" r:id="rId2116"/>
    <hyperlink xmlns:r="http://schemas.openxmlformats.org/officeDocument/2006/relationships" ref="AE1061" r:id="rId2117"/>
    <hyperlink xmlns:r="http://schemas.openxmlformats.org/officeDocument/2006/relationships" ref="AF1061" r:id="rId2118"/>
    <hyperlink xmlns:r="http://schemas.openxmlformats.org/officeDocument/2006/relationships" ref="AE1062" r:id="rId2119"/>
    <hyperlink xmlns:r="http://schemas.openxmlformats.org/officeDocument/2006/relationships" ref="AF1062" r:id="rId2120"/>
    <hyperlink xmlns:r="http://schemas.openxmlformats.org/officeDocument/2006/relationships" ref="AE1063" r:id="rId2121"/>
    <hyperlink xmlns:r="http://schemas.openxmlformats.org/officeDocument/2006/relationships" ref="AF1063" r:id="rId2122"/>
    <hyperlink xmlns:r="http://schemas.openxmlformats.org/officeDocument/2006/relationships" ref="AE1064" r:id="rId2123"/>
    <hyperlink xmlns:r="http://schemas.openxmlformats.org/officeDocument/2006/relationships" ref="AF1064" r:id="rId2124"/>
    <hyperlink xmlns:r="http://schemas.openxmlformats.org/officeDocument/2006/relationships" ref="AE1065" r:id="rId2125"/>
    <hyperlink xmlns:r="http://schemas.openxmlformats.org/officeDocument/2006/relationships" ref="AF1065" r:id="rId2126"/>
    <hyperlink xmlns:r="http://schemas.openxmlformats.org/officeDocument/2006/relationships" ref="AE1066" r:id="rId2127"/>
    <hyperlink xmlns:r="http://schemas.openxmlformats.org/officeDocument/2006/relationships" ref="AF1066" r:id="rId2128"/>
    <hyperlink xmlns:r="http://schemas.openxmlformats.org/officeDocument/2006/relationships" ref="AE1067" r:id="rId2129"/>
    <hyperlink xmlns:r="http://schemas.openxmlformats.org/officeDocument/2006/relationships" ref="AF1067" r:id="rId2130"/>
    <hyperlink xmlns:r="http://schemas.openxmlformats.org/officeDocument/2006/relationships" ref="AE1068" r:id="rId2131"/>
    <hyperlink xmlns:r="http://schemas.openxmlformats.org/officeDocument/2006/relationships" ref="AF1068" r:id="rId2132"/>
    <hyperlink xmlns:r="http://schemas.openxmlformats.org/officeDocument/2006/relationships" ref="AE1069" r:id="rId2133"/>
    <hyperlink xmlns:r="http://schemas.openxmlformats.org/officeDocument/2006/relationships" ref="AF1069" r:id="rId2134"/>
    <hyperlink xmlns:r="http://schemas.openxmlformats.org/officeDocument/2006/relationships" ref="AE1070" r:id="rId2135"/>
    <hyperlink xmlns:r="http://schemas.openxmlformats.org/officeDocument/2006/relationships" ref="AF1070" r:id="rId2136"/>
    <hyperlink xmlns:r="http://schemas.openxmlformats.org/officeDocument/2006/relationships" ref="AE1071" r:id="rId2137"/>
    <hyperlink xmlns:r="http://schemas.openxmlformats.org/officeDocument/2006/relationships" ref="AF1071" r:id="rId2138"/>
    <hyperlink xmlns:r="http://schemas.openxmlformats.org/officeDocument/2006/relationships" ref="AE1072" r:id="rId2139"/>
    <hyperlink xmlns:r="http://schemas.openxmlformats.org/officeDocument/2006/relationships" ref="AF1072" r:id="rId2140"/>
    <hyperlink xmlns:r="http://schemas.openxmlformats.org/officeDocument/2006/relationships" ref="AE1073" r:id="rId2141"/>
    <hyperlink xmlns:r="http://schemas.openxmlformats.org/officeDocument/2006/relationships" ref="AF1073" r:id="rId2142"/>
    <hyperlink xmlns:r="http://schemas.openxmlformats.org/officeDocument/2006/relationships" ref="AE1074" r:id="rId2143"/>
    <hyperlink xmlns:r="http://schemas.openxmlformats.org/officeDocument/2006/relationships" ref="AF1074" r:id="rId2144"/>
    <hyperlink xmlns:r="http://schemas.openxmlformats.org/officeDocument/2006/relationships" ref="AE1075" r:id="rId2145"/>
    <hyperlink xmlns:r="http://schemas.openxmlformats.org/officeDocument/2006/relationships" ref="AF1075" r:id="rId2146"/>
    <hyperlink xmlns:r="http://schemas.openxmlformats.org/officeDocument/2006/relationships" ref="AE1076" r:id="rId2147"/>
    <hyperlink xmlns:r="http://schemas.openxmlformats.org/officeDocument/2006/relationships" ref="AF1076" r:id="rId2148"/>
    <hyperlink xmlns:r="http://schemas.openxmlformats.org/officeDocument/2006/relationships" ref="AE1077" r:id="rId2149"/>
    <hyperlink xmlns:r="http://schemas.openxmlformats.org/officeDocument/2006/relationships" ref="AF1077" r:id="rId2150"/>
    <hyperlink xmlns:r="http://schemas.openxmlformats.org/officeDocument/2006/relationships" ref="AE1078" r:id="rId2151"/>
    <hyperlink xmlns:r="http://schemas.openxmlformats.org/officeDocument/2006/relationships" ref="AF1078" r:id="rId2152"/>
    <hyperlink xmlns:r="http://schemas.openxmlformats.org/officeDocument/2006/relationships" ref="AE1079" r:id="rId2153"/>
    <hyperlink xmlns:r="http://schemas.openxmlformats.org/officeDocument/2006/relationships" ref="AF1079" r:id="rId2154"/>
    <hyperlink xmlns:r="http://schemas.openxmlformats.org/officeDocument/2006/relationships" ref="AE1080" r:id="rId2155"/>
    <hyperlink xmlns:r="http://schemas.openxmlformats.org/officeDocument/2006/relationships" ref="AF1080" r:id="rId2156"/>
    <hyperlink xmlns:r="http://schemas.openxmlformats.org/officeDocument/2006/relationships" ref="AE1081" r:id="rId2157"/>
    <hyperlink xmlns:r="http://schemas.openxmlformats.org/officeDocument/2006/relationships" ref="AF1081" r:id="rId2158"/>
    <hyperlink xmlns:r="http://schemas.openxmlformats.org/officeDocument/2006/relationships" ref="AE1082" r:id="rId2159"/>
    <hyperlink xmlns:r="http://schemas.openxmlformats.org/officeDocument/2006/relationships" ref="AF1082" r:id="rId2160"/>
    <hyperlink xmlns:r="http://schemas.openxmlformats.org/officeDocument/2006/relationships" ref="AE1083" r:id="rId2161"/>
    <hyperlink xmlns:r="http://schemas.openxmlformats.org/officeDocument/2006/relationships" ref="AF1083" r:id="rId2162"/>
    <hyperlink xmlns:r="http://schemas.openxmlformats.org/officeDocument/2006/relationships" ref="AE1084" r:id="rId2163"/>
    <hyperlink xmlns:r="http://schemas.openxmlformats.org/officeDocument/2006/relationships" ref="AF1084" r:id="rId2164"/>
    <hyperlink xmlns:r="http://schemas.openxmlformats.org/officeDocument/2006/relationships" ref="AE1085" r:id="rId2165"/>
    <hyperlink xmlns:r="http://schemas.openxmlformats.org/officeDocument/2006/relationships" ref="AF1085" r:id="rId2166"/>
    <hyperlink xmlns:r="http://schemas.openxmlformats.org/officeDocument/2006/relationships" ref="AE1086" r:id="rId2167"/>
    <hyperlink xmlns:r="http://schemas.openxmlformats.org/officeDocument/2006/relationships" ref="AF1086" r:id="rId2168"/>
    <hyperlink xmlns:r="http://schemas.openxmlformats.org/officeDocument/2006/relationships" ref="AE1087" r:id="rId2169"/>
    <hyperlink xmlns:r="http://schemas.openxmlformats.org/officeDocument/2006/relationships" ref="AF1087" r:id="rId2170"/>
    <hyperlink xmlns:r="http://schemas.openxmlformats.org/officeDocument/2006/relationships" ref="AE1088" r:id="rId2171"/>
    <hyperlink xmlns:r="http://schemas.openxmlformats.org/officeDocument/2006/relationships" ref="AF1088" r:id="rId2172"/>
    <hyperlink xmlns:r="http://schemas.openxmlformats.org/officeDocument/2006/relationships" ref="AE1089" r:id="rId2173"/>
    <hyperlink xmlns:r="http://schemas.openxmlformats.org/officeDocument/2006/relationships" ref="AF1089" r:id="rId2174"/>
    <hyperlink xmlns:r="http://schemas.openxmlformats.org/officeDocument/2006/relationships" ref="AE1090" r:id="rId2175"/>
    <hyperlink xmlns:r="http://schemas.openxmlformats.org/officeDocument/2006/relationships" ref="AF1090" r:id="rId2176"/>
    <hyperlink xmlns:r="http://schemas.openxmlformats.org/officeDocument/2006/relationships" ref="AE1091" r:id="rId2177"/>
    <hyperlink xmlns:r="http://schemas.openxmlformats.org/officeDocument/2006/relationships" ref="AF1091" r:id="rId2178"/>
    <hyperlink xmlns:r="http://schemas.openxmlformats.org/officeDocument/2006/relationships" ref="AE1092" r:id="rId2179"/>
    <hyperlink xmlns:r="http://schemas.openxmlformats.org/officeDocument/2006/relationships" ref="AF1092" r:id="rId2180"/>
    <hyperlink xmlns:r="http://schemas.openxmlformats.org/officeDocument/2006/relationships" ref="AE1093" r:id="rId2181"/>
    <hyperlink xmlns:r="http://schemas.openxmlformats.org/officeDocument/2006/relationships" ref="AF1093" r:id="rId2182"/>
    <hyperlink xmlns:r="http://schemas.openxmlformats.org/officeDocument/2006/relationships" ref="AE1094" r:id="rId2183"/>
    <hyperlink xmlns:r="http://schemas.openxmlformats.org/officeDocument/2006/relationships" ref="AF1094" r:id="rId2184"/>
    <hyperlink xmlns:r="http://schemas.openxmlformats.org/officeDocument/2006/relationships" ref="AE1095" r:id="rId2185"/>
    <hyperlink xmlns:r="http://schemas.openxmlformats.org/officeDocument/2006/relationships" ref="AF1095" r:id="rId2186"/>
    <hyperlink xmlns:r="http://schemas.openxmlformats.org/officeDocument/2006/relationships" ref="AE1096" r:id="rId2187"/>
    <hyperlink xmlns:r="http://schemas.openxmlformats.org/officeDocument/2006/relationships" ref="AF1096" r:id="rId2188"/>
    <hyperlink xmlns:r="http://schemas.openxmlformats.org/officeDocument/2006/relationships" ref="AE1097" r:id="rId2189"/>
    <hyperlink xmlns:r="http://schemas.openxmlformats.org/officeDocument/2006/relationships" ref="AF1097" r:id="rId2190"/>
    <hyperlink xmlns:r="http://schemas.openxmlformats.org/officeDocument/2006/relationships" ref="AE1098" r:id="rId2191"/>
    <hyperlink xmlns:r="http://schemas.openxmlformats.org/officeDocument/2006/relationships" ref="AF1098" r:id="rId2192"/>
    <hyperlink xmlns:r="http://schemas.openxmlformats.org/officeDocument/2006/relationships" ref="AE1099" r:id="rId2193"/>
    <hyperlink xmlns:r="http://schemas.openxmlformats.org/officeDocument/2006/relationships" ref="AF1099" r:id="rId2194"/>
    <hyperlink xmlns:r="http://schemas.openxmlformats.org/officeDocument/2006/relationships" ref="AE1100" r:id="rId2195"/>
    <hyperlink xmlns:r="http://schemas.openxmlformats.org/officeDocument/2006/relationships" ref="AF1100" r:id="rId2196"/>
    <hyperlink xmlns:r="http://schemas.openxmlformats.org/officeDocument/2006/relationships" ref="AE1101" r:id="rId2197"/>
    <hyperlink xmlns:r="http://schemas.openxmlformats.org/officeDocument/2006/relationships" ref="AF1101" r:id="rId2198"/>
    <hyperlink xmlns:r="http://schemas.openxmlformats.org/officeDocument/2006/relationships" ref="AE1102" r:id="rId2199"/>
    <hyperlink xmlns:r="http://schemas.openxmlformats.org/officeDocument/2006/relationships" ref="AF1102" r:id="rId2200"/>
    <hyperlink xmlns:r="http://schemas.openxmlformats.org/officeDocument/2006/relationships" ref="AE1103" r:id="rId2201"/>
    <hyperlink xmlns:r="http://schemas.openxmlformats.org/officeDocument/2006/relationships" ref="AF1103" r:id="rId2202"/>
    <hyperlink xmlns:r="http://schemas.openxmlformats.org/officeDocument/2006/relationships" ref="AE1104" r:id="rId2203"/>
    <hyperlink xmlns:r="http://schemas.openxmlformats.org/officeDocument/2006/relationships" ref="AF1104" r:id="rId2204"/>
    <hyperlink xmlns:r="http://schemas.openxmlformats.org/officeDocument/2006/relationships" ref="AE1105" r:id="rId2205"/>
    <hyperlink xmlns:r="http://schemas.openxmlformats.org/officeDocument/2006/relationships" ref="AF1105" r:id="rId2206"/>
    <hyperlink xmlns:r="http://schemas.openxmlformats.org/officeDocument/2006/relationships" ref="AE1106" r:id="rId2207"/>
    <hyperlink xmlns:r="http://schemas.openxmlformats.org/officeDocument/2006/relationships" ref="AF1106" r:id="rId2208"/>
    <hyperlink xmlns:r="http://schemas.openxmlformats.org/officeDocument/2006/relationships" ref="AE1107" r:id="rId2209"/>
    <hyperlink xmlns:r="http://schemas.openxmlformats.org/officeDocument/2006/relationships" ref="AF1107" r:id="rId2210"/>
    <hyperlink xmlns:r="http://schemas.openxmlformats.org/officeDocument/2006/relationships" ref="AE1108" r:id="rId2211"/>
    <hyperlink xmlns:r="http://schemas.openxmlformats.org/officeDocument/2006/relationships" ref="AF1108" r:id="rId2212"/>
    <hyperlink xmlns:r="http://schemas.openxmlformats.org/officeDocument/2006/relationships" ref="AE1109" r:id="rId2213"/>
    <hyperlink xmlns:r="http://schemas.openxmlformats.org/officeDocument/2006/relationships" ref="AF1109" r:id="rId2214"/>
    <hyperlink xmlns:r="http://schemas.openxmlformats.org/officeDocument/2006/relationships" ref="AE1110" r:id="rId2215"/>
    <hyperlink xmlns:r="http://schemas.openxmlformats.org/officeDocument/2006/relationships" ref="AF1110" r:id="rId2216"/>
    <hyperlink xmlns:r="http://schemas.openxmlformats.org/officeDocument/2006/relationships" ref="AE1111" r:id="rId2217"/>
    <hyperlink xmlns:r="http://schemas.openxmlformats.org/officeDocument/2006/relationships" ref="AF1111" r:id="rId2218"/>
    <hyperlink xmlns:r="http://schemas.openxmlformats.org/officeDocument/2006/relationships" ref="AE1112" r:id="rId2219"/>
    <hyperlink xmlns:r="http://schemas.openxmlformats.org/officeDocument/2006/relationships" ref="AF1112" r:id="rId2220"/>
    <hyperlink xmlns:r="http://schemas.openxmlformats.org/officeDocument/2006/relationships" ref="AE1113" r:id="rId2221"/>
    <hyperlink xmlns:r="http://schemas.openxmlformats.org/officeDocument/2006/relationships" ref="AF1113" r:id="rId2222"/>
    <hyperlink xmlns:r="http://schemas.openxmlformats.org/officeDocument/2006/relationships" ref="AE1114" r:id="rId2223"/>
    <hyperlink xmlns:r="http://schemas.openxmlformats.org/officeDocument/2006/relationships" ref="AF1114" r:id="rId2224"/>
    <hyperlink xmlns:r="http://schemas.openxmlformats.org/officeDocument/2006/relationships" ref="AE1115" r:id="rId2225"/>
    <hyperlink xmlns:r="http://schemas.openxmlformats.org/officeDocument/2006/relationships" ref="AF1115" r:id="rId2226"/>
    <hyperlink xmlns:r="http://schemas.openxmlformats.org/officeDocument/2006/relationships" ref="AE1116" r:id="rId2227"/>
    <hyperlink xmlns:r="http://schemas.openxmlformats.org/officeDocument/2006/relationships" ref="AF1116" r:id="rId2228"/>
    <hyperlink xmlns:r="http://schemas.openxmlformats.org/officeDocument/2006/relationships" ref="AE1117" r:id="rId2229"/>
    <hyperlink xmlns:r="http://schemas.openxmlformats.org/officeDocument/2006/relationships" ref="AF1117" r:id="rId2230"/>
    <hyperlink xmlns:r="http://schemas.openxmlformats.org/officeDocument/2006/relationships" ref="AE1118" r:id="rId2231"/>
    <hyperlink xmlns:r="http://schemas.openxmlformats.org/officeDocument/2006/relationships" ref="AF1118" r:id="rId2232"/>
    <hyperlink xmlns:r="http://schemas.openxmlformats.org/officeDocument/2006/relationships" ref="AE1119" r:id="rId2233"/>
    <hyperlink xmlns:r="http://schemas.openxmlformats.org/officeDocument/2006/relationships" ref="AF1119" r:id="rId2234"/>
    <hyperlink xmlns:r="http://schemas.openxmlformats.org/officeDocument/2006/relationships" ref="AE1120" r:id="rId2235"/>
    <hyperlink xmlns:r="http://schemas.openxmlformats.org/officeDocument/2006/relationships" ref="AF1120" r:id="rId2236"/>
    <hyperlink xmlns:r="http://schemas.openxmlformats.org/officeDocument/2006/relationships" ref="AE1121" r:id="rId2237"/>
    <hyperlink xmlns:r="http://schemas.openxmlformats.org/officeDocument/2006/relationships" ref="AF1121" r:id="rId2238"/>
    <hyperlink xmlns:r="http://schemas.openxmlformats.org/officeDocument/2006/relationships" ref="AE1122" r:id="rId2239"/>
    <hyperlink xmlns:r="http://schemas.openxmlformats.org/officeDocument/2006/relationships" ref="AF1122" r:id="rId2240"/>
    <hyperlink xmlns:r="http://schemas.openxmlformats.org/officeDocument/2006/relationships" ref="AE1123" r:id="rId2241"/>
    <hyperlink xmlns:r="http://schemas.openxmlformats.org/officeDocument/2006/relationships" ref="AF1123" r:id="rId2242"/>
    <hyperlink xmlns:r="http://schemas.openxmlformats.org/officeDocument/2006/relationships" ref="AE1124" r:id="rId2243"/>
    <hyperlink xmlns:r="http://schemas.openxmlformats.org/officeDocument/2006/relationships" ref="AF1124" r:id="rId2244"/>
    <hyperlink xmlns:r="http://schemas.openxmlformats.org/officeDocument/2006/relationships" ref="AE1125" r:id="rId2245"/>
    <hyperlink xmlns:r="http://schemas.openxmlformats.org/officeDocument/2006/relationships" ref="AF1125" r:id="rId2246"/>
    <hyperlink xmlns:r="http://schemas.openxmlformats.org/officeDocument/2006/relationships" ref="AE1126" r:id="rId2247"/>
    <hyperlink xmlns:r="http://schemas.openxmlformats.org/officeDocument/2006/relationships" ref="AF1126" r:id="rId2248"/>
    <hyperlink xmlns:r="http://schemas.openxmlformats.org/officeDocument/2006/relationships" ref="AE1127" r:id="rId2249"/>
    <hyperlink xmlns:r="http://schemas.openxmlformats.org/officeDocument/2006/relationships" ref="AF1127" r:id="rId2250"/>
    <hyperlink xmlns:r="http://schemas.openxmlformats.org/officeDocument/2006/relationships" ref="AE1128" r:id="rId2251"/>
    <hyperlink xmlns:r="http://schemas.openxmlformats.org/officeDocument/2006/relationships" ref="AF1128" r:id="rId2252"/>
    <hyperlink xmlns:r="http://schemas.openxmlformats.org/officeDocument/2006/relationships" ref="AE1129" r:id="rId2253"/>
    <hyperlink xmlns:r="http://schemas.openxmlformats.org/officeDocument/2006/relationships" ref="AF1129" r:id="rId2254"/>
    <hyperlink xmlns:r="http://schemas.openxmlformats.org/officeDocument/2006/relationships" ref="AE1130" r:id="rId2255"/>
    <hyperlink xmlns:r="http://schemas.openxmlformats.org/officeDocument/2006/relationships" ref="AF1130" r:id="rId2256"/>
    <hyperlink xmlns:r="http://schemas.openxmlformats.org/officeDocument/2006/relationships" ref="AE1131" r:id="rId2257"/>
    <hyperlink xmlns:r="http://schemas.openxmlformats.org/officeDocument/2006/relationships" ref="AF1131" r:id="rId2258"/>
    <hyperlink xmlns:r="http://schemas.openxmlformats.org/officeDocument/2006/relationships" ref="AE1132" r:id="rId2259"/>
    <hyperlink xmlns:r="http://schemas.openxmlformats.org/officeDocument/2006/relationships" ref="AF1132" r:id="rId2260"/>
    <hyperlink xmlns:r="http://schemas.openxmlformats.org/officeDocument/2006/relationships" ref="AE1133" r:id="rId2261"/>
    <hyperlink xmlns:r="http://schemas.openxmlformats.org/officeDocument/2006/relationships" ref="AF1133" r:id="rId2262"/>
    <hyperlink xmlns:r="http://schemas.openxmlformats.org/officeDocument/2006/relationships" ref="AE1134" r:id="rId2263"/>
    <hyperlink xmlns:r="http://schemas.openxmlformats.org/officeDocument/2006/relationships" ref="AF1134" r:id="rId2264"/>
    <hyperlink xmlns:r="http://schemas.openxmlformats.org/officeDocument/2006/relationships" ref="AE1135" r:id="rId2265"/>
    <hyperlink xmlns:r="http://schemas.openxmlformats.org/officeDocument/2006/relationships" ref="AF1135" r:id="rId2266"/>
    <hyperlink xmlns:r="http://schemas.openxmlformats.org/officeDocument/2006/relationships" ref="AE1136" r:id="rId2267"/>
    <hyperlink xmlns:r="http://schemas.openxmlformats.org/officeDocument/2006/relationships" ref="AF1136" r:id="rId2268"/>
    <hyperlink xmlns:r="http://schemas.openxmlformats.org/officeDocument/2006/relationships" ref="AE1137" r:id="rId2269"/>
    <hyperlink xmlns:r="http://schemas.openxmlformats.org/officeDocument/2006/relationships" ref="AF1137" r:id="rId2270"/>
    <hyperlink xmlns:r="http://schemas.openxmlformats.org/officeDocument/2006/relationships" ref="AE1138" r:id="rId2271"/>
    <hyperlink xmlns:r="http://schemas.openxmlformats.org/officeDocument/2006/relationships" ref="AF1138" r:id="rId2272"/>
    <hyperlink xmlns:r="http://schemas.openxmlformats.org/officeDocument/2006/relationships" ref="AE1139" r:id="rId2273"/>
    <hyperlink xmlns:r="http://schemas.openxmlformats.org/officeDocument/2006/relationships" ref="AF1139" r:id="rId2274"/>
    <hyperlink xmlns:r="http://schemas.openxmlformats.org/officeDocument/2006/relationships" ref="AE1140" r:id="rId2275"/>
    <hyperlink xmlns:r="http://schemas.openxmlformats.org/officeDocument/2006/relationships" ref="AF1140" r:id="rId2276"/>
    <hyperlink xmlns:r="http://schemas.openxmlformats.org/officeDocument/2006/relationships" ref="AE1141" r:id="rId2277"/>
    <hyperlink xmlns:r="http://schemas.openxmlformats.org/officeDocument/2006/relationships" ref="AF1141" r:id="rId2278"/>
    <hyperlink xmlns:r="http://schemas.openxmlformats.org/officeDocument/2006/relationships" ref="AE1142" r:id="rId2279"/>
    <hyperlink xmlns:r="http://schemas.openxmlformats.org/officeDocument/2006/relationships" ref="AF1142" r:id="rId2280"/>
    <hyperlink xmlns:r="http://schemas.openxmlformats.org/officeDocument/2006/relationships" ref="AE1143" r:id="rId2281"/>
    <hyperlink xmlns:r="http://schemas.openxmlformats.org/officeDocument/2006/relationships" ref="AF1143" r:id="rId2282"/>
    <hyperlink xmlns:r="http://schemas.openxmlformats.org/officeDocument/2006/relationships" ref="AE1144" r:id="rId2283"/>
    <hyperlink xmlns:r="http://schemas.openxmlformats.org/officeDocument/2006/relationships" ref="AF1144" r:id="rId2284"/>
    <hyperlink xmlns:r="http://schemas.openxmlformats.org/officeDocument/2006/relationships" ref="AE1145" r:id="rId2285"/>
    <hyperlink xmlns:r="http://schemas.openxmlformats.org/officeDocument/2006/relationships" ref="AF1145" r:id="rId2286"/>
    <hyperlink xmlns:r="http://schemas.openxmlformats.org/officeDocument/2006/relationships" ref="AE1146" r:id="rId2287"/>
    <hyperlink xmlns:r="http://schemas.openxmlformats.org/officeDocument/2006/relationships" ref="AF1146" r:id="rId2288"/>
    <hyperlink xmlns:r="http://schemas.openxmlformats.org/officeDocument/2006/relationships" ref="AE1147" r:id="rId2289"/>
    <hyperlink xmlns:r="http://schemas.openxmlformats.org/officeDocument/2006/relationships" ref="AF1147" r:id="rId2290"/>
    <hyperlink xmlns:r="http://schemas.openxmlformats.org/officeDocument/2006/relationships" ref="AE1148" r:id="rId2291"/>
    <hyperlink xmlns:r="http://schemas.openxmlformats.org/officeDocument/2006/relationships" ref="AF1148" r:id="rId2292"/>
    <hyperlink xmlns:r="http://schemas.openxmlformats.org/officeDocument/2006/relationships" ref="AE1149" r:id="rId2293"/>
    <hyperlink xmlns:r="http://schemas.openxmlformats.org/officeDocument/2006/relationships" ref="AF1149" r:id="rId2294"/>
    <hyperlink xmlns:r="http://schemas.openxmlformats.org/officeDocument/2006/relationships" ref="AE1150" r:id="rId2295"/>
    <hyperlink xmlns:r="http://schemas.openxmlformats.org/officeDocument/2006/relationships" ref="AF1150" r:id="rId2296"/>
    <hyperlink xmlns:r="http://schemas.openxmlformats.org/officeDocument/2006/relationships" ref="AE1151" r:id="rId2297"/>
    <hyperlink xmlns:r="http://schemas.openxmlformats.org/officeDocument/2006/relationships" ref="AF1151" r:id="rId2298"/>
    <hyperlink xmlns:r="http://schemas.openxmlformats.org/officeDocument/2006/relationships" ref="AE1152" r:id="rId2299"/>
    <hyperlink xmlns:r="http://schemas.openxmlformats.org/officeDocument/2006/relationships" ref="AF1152" r:id="rId2300"/>
    <hyperlink xmlns:r="http://schemas.openxmlformats.org/officeDocument/2006/relationships" ref="AE1153" r:id="rId2301"/>
    <hyperlink xmlns:r="http://schemas.openxmlformats.org/officeDocument/2006/relationships" ref="AF1153" r:id="rId2302"/>
    <hyperlink xmlns:r="http://schemas.openxmlformats.org/officeDocument/2006/relationships" ref="AE1154" r:id="rId2303"/>
    <hyperlink xmlns:r="http://schemas.openxmlformats.org/officeDocument/2006/relationships" ref="AF1154" r:id="rId2304"/>
    <hyperlink xmlns:r="http://schemas.openxmlformats.org/officeDocument/2006/relationships" ref="AE1155" r:id="rId2305"/>
    <hyperlink xmlns:r="http://schemas.openxmlformats.org/officeDocument/2006/relationships" ref="AF1155" r:id="rId2306"/>
    <hyperlink xmlns:r="http://schemas.openxmlformats.org/officeDocument/2006/relationships" ref="AE1156" r:id="rId2307"/>
    <hyperlink xmlns:r="http://schemas.openxmlformats.org/officeDocument/2006/relationships" ref="AF1156" r:id="rId2308"/>
    <hyperlink xmlns:r="http://schemas.openxmlformats.org/officeDocument/2006/relationships" ref="AE1157" r:id="rId2309"/>
    <hyperlink xmlns:r="http://schemas.openxmlformats.org/officeDocument/2006/relationships" ref="AF1157" r:id="rId2310"/>
    <hyperlink xmlns:r="http://schemas.openxmlformats.org/officeDocument/2006/relationships" ref="AE1158" r:id="rId2311"/>
    <hyperlink xmlns:r="http://schemas.openxmlformats.org/officeDocument/2006/relationships" ref="AF1158" r:id="rId2312"/>
    <hyperlink xmlns:r="http://schemas.openxmlformats.org/officeDocument/2006/relationships" ref="AE1159" r:id="rId2313"/>
    <hyperlink xmlns:r="http://schemas.openxmlformats.org/officeDocument/2006/relationships" ref="AF1159" r:id="rId2314"/>
    <hyperlink xmlns:r="http://schemas.openxmlformats.org/officeDocument/2006/relationships" ref="AE1160" r:id="rId2315"/>
    <hyperlink xmlns:r="http://schemas.openxmlformats.org/officeDocument/2006/relationships" ref="AF1160" r:id="rId2316"/>
    <hyperlink xmlns:r="http://schemas.openxmlformats.org/officeDocument/2006/relationships" ref="AE1161" r:id="rId2317"/>
    <hyperlink xmlns:r="http://schemas.openxmlformats.org/officeDocument/2006/relationships" ref="AF1161" r:id="rId2318"/>
    <hyperlink xmlns:r="http://schemas.openxmlformats.org/officeDocument/2006/relationships" ref="AE1162" r:id="rId2319"/>
    <hyperlink xmlns:r="http://schemas.openxmlformats.org/officeDocument/2006/relationships" ref="AF1162" r:id="rId2320"/>
    <hyperlink xmlns:r="http://schemas.openxmlformats.org/officeDocument/2006/relationships" ref="AE1163" r:id="rId2321"/>
    <hyperlink xmlns:r="http://schemas.openxmlformats.org/officeDocument/2006/relationships" ref="AF1163" r:id="rId2322"/>
    <hyperlink xmlns:r="http://schemas.openxmlformats.org/officeDocument/2006/relationships" ref="AE1164" r:id="rId2323"/>
    <hyperlink xmlns:r="http://schemas.openxmlformats.org/officeDocument/2006/relationships" ref="AF1164" r:id="rId2324"/>
    <hyperlink xmlns:r="http://schemas.openxmlformats.org/officeDocument/2006/relationships" ref="AE1165" r:id="rId2325"/>
    <hyperlink xmlns:r="http://schemas.openxmlformats.org/officeDocument/2006/relationships" ref="AF1165" r:id="rId2326"/>
    <hyperlink xmlns:r="http://schemas.openxmlformats.org/officeDocument/2006/relationships" ref="AE1166" r:id="rId2327"/>
    <hyperlink xmlns:r="http://schemas.openxmlformats.org/officeDocument/2006/relationships" ref="AF1166" r:id="rId2328"/>
    <hyperlink xmlns:r="http://schemas.openxmlformats.org/officeDocument/2006/relationships" ref="AE1167" r:id="rId2329"/>
    <hyperlink xmlns:r="http://schemas.openxmlformats.org/officeDocument/2006/relationships" ref="AF1167" r:id="rId2330"/>
    <hyperlink xmlns:r="http://schemas.openxmlformats.org/officeDocument/2006/relationships" ref="AE1168" r:id="rId2331"/>
    <hyperlink xmlns:r="http://schemas.openxmlformats.org/officeDocument/2006/relationships" ref="AF1168" r:id="rId2332"/>
    <hyperlink xmlns:r="http://schemas.openxmlformats.org/officeDocument/2006/relationships" ref="AE1169" r:id="rId2333"/>
    <hyperlink xmlns:r="http://schemas.openxmlformats.org/officeDocument/2006/relationships" ref="AF1169" r:id="rId2334"/>
    <hyperlink xmlns:r="http://schemas.openxmlformats.org/officeDocument/2006/relationships" ref="AE1170" r:id="rId2335"/>
    <hyperlink xmlns:r="http://schemas.openxmlformats.org/officeDocument/2006/relationships" ref="AF1170" r:id="rId2336"/>
    <hyperlink xmlns:r="http://schemas.openxmlformats.org/officeDocument/2006/relationships" ref="AE1171" r:id="rId2337"/>
    <hyperlink xmlns:r="http://schemas.openxmlformats.org/officeDocument/2006/relationships" ref="AF1171" r:id="rId2338"/>
    <hyperlink xmlns:r="http://schemas.openxmlformats.org/officeDocument/2006/relationships" ref="AE1172" r:id="rId2339"/>
    <hyperlink xmlns:r="http://schemas.openxmlformats.org/officeDocument/2006/relationships" ref="AF1172" r:id="rId2340"/>
    <hyperlink xmlns:r="http://schemas.openxmlformats.org/officeDocument/2006/relationships" ref="AE1173" r:id="rId2341"/>
    <hyperlink xmlns:r="http://schemas.openxmlformats.org/officeDocument/2006/relationships" ref="AF1173" r:id="rId2342"/>
    <hyperlink xmlns:r="http://schemas.openxmlformats.org/officeDocument/2006/relationships" ref="AE1174" r:id="rId2343"/>
    <hyperlink xmlns:r="http://schemas.openxmlformats.org/officeDocument/2006/relationships" ref="AF1174" r:id="rId2344"/>
    <hyperlink xmlns:r="http://schemas.openxmlformats.org/officeDocument/2006/relationships" ref="AE1175" r:id="rId2345"/>
    <hyperlink xmlns:r="http://schemas.openxmlformats.org/officeDocument/2006/relationships" ref="AF1175" r:id="rId2346"/>
    <hyperlink xmlns:r="http://schemas.openxmlformats.org/officeDocument/2006/relationships" ref="AE1176" r:id="rId2347"/>
    <hyperlink xmlns:r="http://schemas.openxmlformats.org/officeDocument/2006/relationships" ref="AF1176" r:id="rId2348"/>
    <hyperlink xmlns:r="http://schemas.openxmlformats.org/officeDocument/2006/relationships" ref="AE1177" r:id="rId2349"/>
    <hyperlink xmlns:r="http://schemas.openxmlformats.org/officeDocument/2006/relationships" ref="AF1177" r:id="rId2350"/>
    <hyperlink xmlns:r="http://schemas.openxmlformats.org/officeDocument/2006/relationships" ref="AE1178" r:id="rId2351"/>
    <hyperlink xmlns:r="http://schemas.openxmlformats.org/officeDocument/2006/relationships" ref="AF1178" r:id="rId2352"/>
    <hyperlink xmlns:r="http://schemas.openxmlformats.org/officeDocument/2006/relationships" ref="AE1179" r:id="rId2353"/>
    <hyperlink xmlns:r="http://schemas.openxmlformats.org/officeDocument/2006/relationships" ref="AF1179" r:id="rId2354"/>
    <hyperlink xmlns:r="http://schemas.openxmlformats.org/officeDocument/2006/relationships" ref="AE1180" r:id="rId2355"/>
    <hyperlink xmlns:r="http://schemas.openxmlformats.org/officeDocument/2006/relationships" ref="AF1180" r:id="rId2356"/>
    <hyperlink xmlns:r="http://schemas.openxmlformats.org/officeDocument/2006/relationships" ref="AE1181" r:id="rId2357"/>
    <hyperlink xmlns:r="http://schemas.openxmlformats.org/officeDocument/2006/relationships" ref="AF1181" r:id="rId2358"/>
    <hyperlink xmlns:r="http://schemas.openxmlformats.org/officeDocument/2006/relationships" ref="AE1182" r:id="rId2359"/>
    <hyperlink xmlns:r="http://schemas.openxmlformats.org/officeDocument/2006/relationships" ref="AF1182" r:id="rId2360"/>
    <hyperlink xmlns:r="http://schemas.openxmlformats.org/officeDocument/2006/relationships" ref="AE1183" r:id="rId2361"/>
    <hyperlink xmlns:r="http://schemas.openxmlformats.org/officeDocument/2006/relationships" ref="AF1183" r:id="rId2362"/>
    <hyperlink xmlns:r="http://schemas.openxmlformats.org/officeDocument/2006/relationships" ref="AE1184" r:id="rId2363"/>
    <hyperlink xmlns:r="http://schemas.openxmlformats.org/officeDocument/2006/relationships" ref="AF1184" r:id="rId2364"/>
    <hyperlink xmlns:r="http://schemas.openxmlformats.org/officeDocument/2006/relationships" ref="AE1185" r:id="rId2365"/>
    <hyperlink xmlns:r="http://schemas.openxmlformats.org/officeDocument/2006/relationships" ref="AF1185" r:id="rId2366"/>
    <hyperlink xmlns:r="http://schemas.openxmlformats.org/officeDocument/2006/relationships" ref="AE1186" r:id="rId2367"/>
    <hyperlink xmlns:r="http://schemas.openxmlformats.org/officeDocument/2006/relationships" ref="AF1186" r:id="rId2368"/>
    <hyperlink xmlns:r="http://schemas.openxmlformats.org/officeDocument/2006/relationships" ref="AE1187" r:id="rId2369"/>
    <hyperlink xmlns:r="http://schemas.openxmlformats.org/officeDocument/2006/relationships" ref="AF1187" r:id="rId2370"/>
    <hyperlink xmlns:r="http://schemas.openxmlformats.org/officeDocument/2006/relationships" ref="AE1188" r:id="rId2371"/>
    <hyperlink xmlns:r="http://schemas.openxmlformats.org/officeDocument/2006/relationships" ref="AF1188" r:id="rId2372"/>
    <hyperlink xmlns:r="http://schemas.openxmlformats.org/officeDocument/2006/relationships" ref="AE1189" r:id="rId2373"/>
    <hyperlink xmlns:r="http://schemas.openxmlformats.org/officeDocument/2006/relationships" ref="AF1189" r:id="rId2374"/>
    <hyperlink xmlns:r="http://schemas.openxmlformats.org/officeDocument/2006/relationships" ref="AE1190" r:id="rId2375"/>
    <hyperlink xmlns:r="http://schemas.openxmlformats.org/officeDocument/2006/relationships" ref="AF1190" r:id="rId2376"/>
    <hyperlink xmlns:r="http://schemas.openxmlformats.org/officeDocument/2006/relationships" ref="AE1191" r:id="rId2377"/>
    <hyperlink xmlns:r="http://schemas.openxmlformats.org/officeDocument/2006/relationships" ref="AF1191" r:id="rId2378"/>
    <hyperlink xmlns:r="http://schemas.openxmlformats.org/officeDocument/2006/relationships" ref="AE1192" r:id="rId2379"/>
    <hyperlink xmlns:r="http://schemas.openxmlformats.org/officeDocument/2006/relationships" ref="AF1192" r:id="rId2380"/>
    <hyperlink xmlns:r="http://schemas.openxmlformats.org/officeDocument/2006/relationships" ref="AE1193" r:id="rId2381"/>
    <hyperlink xmlns:r="http://schemas.openxmlformats.org/officeDocument/2006/relationships" ref="AF1193" r:id="rId2382"/>
    <hyperlink xmlns:r="http://schemas.openxmlformats.org/officeDocument/2006/relationships" ref="AE1194" r:id="rId2383"/>
    <hyperlink xmlns:r="http://schemas.openxmlformats.org/officeDocument/2006/relationships" ref="AF1194" r:id="rId2384"/>
    <hyperlink xmlns:r="http://schemas.openxmlformats.org/officeDocument/2006/relationships" ref="AE1195" r:id="rId2385"/>
    <hyperlink xmlns:r="http://schemas.openxmlformats.org/officeDocument/2006/relationships" ref="AF1195" r:id="rId2386"/>
    <hyperlink xmlns:r="http://schemas.openxmlformats.org/officeDocument/2006/relationships" ref="AE1196" r:id="rId2387"/>
    <hyperlink xmlns:r="http://schemas.openxmlformats.org/officeDocument/2006/relationships" ref="AF1196" r:id="rId2388"/>
    <hyperlink xmlns:r="http://schemas.openxmlformats.org/officeDocument/2006/relationships" ref="AE1197" r:id="rId2389"/>
    <hyperlink xmlns:r="http://schemas.openxmlformats.org/officeDocument/2006/relationships" ref="AF1197" r:id="rId2390"/>
    <hyperlink xmlns:r="http://schemas.openxmlformats.org/officeDocument/2006/relationships" ref="AE1198" r:id="rId2391"/>
    <hyperlink xmlns:r="http://schemas.openxmlformats.org/officeDocument/2006/relationships" ref="AF1198" r:id="rId2392"/>
    <hyperlink xmlns:r="http://schemas.openxmlformats.org/officeDocument/2006/relationships" ref="AE1199" r:id="rId2393"/>
    <hyperlink xmlns:r="http://schemas.openxmlformats.org/officeDocument/2006/relationships" ref="AF1199" r:id="rId2394"/>
    <hyperlink xmlns:r="http://schemas.openxmlformats.org/officeDocument/2006/relationships" ref="AE1200" r:id="rId2395"/>
    <hyperlink xmlns:r="http://schemas.openxmlformats.org/officeDocument/2006/relationships" ref="AF1200" r:id="rId2396"/>
    <hyperlink xmlns:r="http://schemas.openxmlformats.org/officeDocument/2006/relationships" ref="AE1201" r:id="rId2397"/>
    <hyperlink xmlns:r="http://schemas.openxmlformats.org/officeDocument/2006/relationships" ref="AF1201" r:id="rId2398"/>
    <hyperlink xmlns:r="http://schemas.openxmlformats.org/officeDocument/2006/relationships" ref="AE1202" r:id="rId2399"/>
    <hyperlink xmlns:r="http://schemas.openxmlformats.org/officeDocument/2006/relationships" ref="AF1202" r:id="rId2400"/>
    <hyperlink xmlns:r="http://schemas.openxmlformats.org/officeDocument/2006/relationships" ref="AE1203" r:id="rId2401"/>
    <hyperlink xmlns:r="http://schemas.openxmlformats.org/officeDocument/2006/relationships" ref="AF1203" r:id="rId2402"/>
    <hyperlink xmlns:r="http://schemas.openxmlformats.org/officeDocument/2006/relationships" ref="AE1204" r:id="rId2403"/>
    <hyperlink xmlns:r="http://schemas.openxmlformats.org/officeDocument/2006/relationships" ref="AF1204" r:id="rId2404"/>
    <hyperlink xmlns:r="http://schemas.openxmlformats.org/officeDocument/2006/relationships" ref="AE1205" r:id="rId2405"/>
    <hyperlink xmlns:r="http://schemas.openxmlformats.org/officeDocument/2006/relationships" ref="AF1205" r:id="rId2406"/>
    <hyperlink xmlns:r="http://schemas.openxmlformats.org/officeDocument/2006/relationships" ref="AE1206" r:id="rId2407"/>
    <hyperlink xmlns:r="http://schemas.openxmlformats.org/officeDocument/2006/relationships" ref="AF1206" r:id="rId2408"/>
    <hyperlink xmlns:r="http://schemas.openxmlformats.org/officeDocument/2006/relationships" ref="AE1207" r:id="rId2409"/>
    <hyperlink xmlns:r="http://schemas.openxmlformats.org/officeDocument/2006/relationships" ref="AF1207" r:id="rId2410"/>
    <hyperlink xmlns:r="http://schemas.openxmlformats.org/officeDocument/2006/relationships" ref="AE1208" r:id="rId2411"/>
    <hyperlink xmlns:r="http://schemas.openxmlformats.org/officeDocument/2006/relationships" ref="AF1208" r:id="rId2412"/>
    <hyperlink xmlns:r="http://schemas.openxmlformats.org/officeDocument/2006/relationships" ref="AE1209" r:id="rId2413"/>
    <hyperlink xmlns:r="http://schemas.openxmlformats.org/officeDocument/2006/relationships" ref="AF1209" r:id="rId2414"/>
    <hyperlink xmlns:r="http://schemas.openxmlformats.org/officeDocument/2006/relationships" ref="AE1210" r:id="rId2415"/>
    <hyperlink xmlns:r="http://schemas.openxmlformats.org/officeDocument/2006/relationships" ref="AF1210" r:id="rId2416"/>
    <hyperlink xmlns:r="http://schemas.openxmlformats.org/officeDocument/2006/relationships" ref="AE1211" r:id="rId2417"/>
    <hyperlink xmlns:r="http://schemas.openxmlformats.org/officeDocument/2006/relationships" ref="AF1211" r:id="rId2418"/>
    <hyperlink xmlns:r="http://schemas.openxmlformats.org/officeDocument/2006/relationships" ref="AE1212" r:id="rId2419"/>
    <hyperlink xmlns:r="http://schemas.openxmlformats.org/officeDocument/2006/relationships" ref="AF1212" r:id="rId2420"/>
    <hyperlink xmlns:r="http://schemas.openxmlformats.org/officeDocument/2006/relationships" ref="AE1213" r:id="rId2421"/>
    <hyperlink xmlns:r="http://schemas.openxmlformats.org/officeDocument/2006/relationships" ref="AF1213" r:id="rId2422"/>
    <hyperlink xmlns:r="http://schemas.openxmlformats.org/officeDocument/2006/relationships" ref="AE1214" r:id="rId2423"/>
    <hyperlink xmlns:r="http://schemas.openxmlformats.org/officeDocument/2006/relationships" ref="AF1214" r:id="rId2424"/>
    <hyperlink xmlns:r="http://schemas.openxmlformats.org/officeDocument/2006/relationships" ref="AE1215" r:id="rId2425"/>
    <hyperlink xmlns:r="http://schemas.openxmlformats.org/officeDocument/2006/relationships" ref="AF1215" r:id="rId2426"/>
    <hyperlink xmlns:r="http://schemas.openxmlformats.org/officeDocument/2006/relationships" ref="AE1216" r:id="rId2427"/>
    <hyperlink xmlns:r="http://schemas.openxmlformats.org/officeDocument/2006/relationships" ref="AF1216" r:id="rId2428"/>
    <hyperlink xmlns:r="http://schemas.openxmlformats.org/officeDocument/2006/relationships" ref="AE1217" r:id="rId2429"/>
    <hyperlink xmlns:r="http://schemas.openxmlformats.org/officeDocument/2006/relationships" ref="AF1217" r:id="rId2430"/>
    <hyperlink xmlns:r="http://schemas.openxmlformats.org/officeDocument/2006/relationships" ref="AE1218" r:id="rId2431"/>
    <hyperlink xmlns:r="http://schemas.openxmlformats.org/officeDocument/2006/relationships" ref="AF1218" r:id="rId2432"/>
    <hyperlink xmlns:r="http://schemas.openxmlformats.org/officeDocument/2006/relationships" ref="AE1219" r:id="rId2433"/>
    <hyperlink xmlns:r="http://schemas.openxmlformats.org/officeDocument/2006/relationships" ref="AF1219" r:id="rId2434"/>
    <hyperlink xmlns:r="http://schemas.openxmlformats.org/officeDocument/2006/relationships" ref="AE1220" r:id="rId2435"/>
    <hyperlink xmlns:r="http://schemas.openxmlformats.org/officeDocument/2006/relationships" ref="AF1220" r:id="rId2436"/>
    <hyperlink xmlns:r="http://schemas.openxmlformats.org/officeDocument/2006/relationships" ref="AE1221" r:id="rId2437"/>
    <hyperlink xmlns:r="http://schemas.openxmlformats.org/officeDocument/2006/relationships" ref="AF1221" r:id="rId2438"/>
    <hyperlink xmlns:r="http://schemas.openxmlformats.org/officeDocument/2006/relationships" ref="AE1222" r:id="rId2439"/>
    <hyperlink xmlns:r="http://schemas.openxmlformats.org/officeDocument/2006/relationships" ref="AF1222" r:id="rId2440"/>
    <hyperlink xmlns:r="http://schemas.openxmlformats.org/officeDocument/2006/relationships" ref="AE1223" r:id="rId2441"/>
    <hyperlink xmlns:r="http://schemas.openxmlformats.org/officeDocument/2006/relationships" ref="AF1223" r:id="rId2442"/>
    <hyperlink xmlns:r="http://schemas.openxmlformats.org/officeDocument/2006/relationships" ref="AE1224" r:id="rId2443"/>
    <hyperlink xmlns:r="http://schemas.openxmlformats.org/officeDocument/2006/relationships" ref="AF1224" r:id="rId2444"/>
    <hyperlink xmlns:r="http://schemas.openxmlformats.org/officeDocument/2006/relationships" ref="AE1225" r:id="rId2445"/>
    <hyperlink xmlns:r="http://schemas.openxmlformats.org/officeDocument/2006/relationships" ref="AF1225" r:id="rId2446"/>
    <hyperlink xmlns:r="http://schemas.openxmlformats.org/officeDocument/2006/relationships" ref="AE1226" r:id="rId2447"/>
    <hyperlink xmlns:r="http://schemas.openxmlformats.org/officeDocument/2006/relationships" ref="AF1226" r:id="rId2448"/>
    <hyperlink xmlns:r="http://schemas.openxmlformats.org/officeDocument/2006/relationships" ref="AE1227" r:id="rId2449"/>
    <hyperlink xmlns:r="http://schemas.openxmlformats.org/officeDocument/2006/relationships" ref="AF1227" r:id="rId2450"/>
    <hyperlink xmlns:r="http://schemas.openxmlformats.org/officeDocument/2006/relationships" ref="AE1228" r:id="rId2451"/>
    <hyperlink xmlns:r="http://schemas.openxmlformats.org/officeDocument/2006/relationships" ref="AF1228" r:id="rId2452"/>
    <hyperlink xmlns:r="http://schemas.openxmlformats.org/officeDocument/2006/relationships" ref="AE1229" r:id="rId2453"/>
    <hyperlink xmlns:r="http://schemas.openxmlformats.org/officeDocument/2006/relationships" ref="AF1229" r:id="rId2454"/>
    <hyperlink xmlns:r="http://schemas.openxmlformats.org/officeDocument/2006/relationships" ref="AE1230" r:id="rId2455"/>
    <hyperlink xmlns:r="http://schemas.openxmlformats.org/officeDocument/2006/relationships" ref="AF1230" r:id="rId2456"/>
    <hyperlink xmlns:r="http://schemas.openxmlformats.org/officeDocument/2006/relationships" ref="AE1231" r:id="rId2457"/>
    <hyperlink xmlns:r="http://schemas.openxmlformats.org/officeDocument/2006/relationships" ref="AF1231" r:id="rId2458"/>
    <hyperlink xmlns:r="http://schemas.openxmlformats.org/officeDocument/2006/relationships" ref="AE1232" r:id="rId2459"/>
    <hyperlink xmlns:r="http://schemas.openxmlformats.org/officeDocument/2006/relationships" ref="AF1232" r:id="rId2460"/>
    <hyperlink xmlns:r="http://schemas.openxmlformats.org/officeDocument/2006/relationships" ref="AE1233" r:id="rId2461"/>
    <hyperlink xmlns:r="http://schemas.openxmlformats.org/officeDocument/2006/relationships" ref="AF1233" r:id="rId2462"/>
    <hyperlink xmlns:r="http://schemas.openxmlformats.org/officeDocument/2006/relationships" ref="AE1234" r:id="rId2463"/>
    <hyperlink xmlns:r="http://schemas.openxmlformats.org/officeDocument/2006/relationships" ref="AF1234" r:id="rId2464"/>
    <hyperlink xmlns:r="http://schemas.openxmlformats.org/officeDocument/2006/relationships" ref="AE1235" r:id="rId2465"/>
    <hyperlink xmlns:r="http://schemas.openxmlformats.org/officeDocument/2006/relationships" ref="AF1235" r:id="rId2466"/>
    <hyperlink xmlns:r="http://schemas.openxmlformats.org/officeDocument/2006/relationships" ref="AE1236" r:id="rId2467"/>
    <hyperlink xmlns:r="http://schemas.openxmlformats.org/officeDocument/2006/relationships" ref="AF1236" r:id="rId2468"/>
    <hyperlink xmlns:r="http://schemas.openxmlformats.org/officeDocument/2006/relationships" ref="AE1237" r:id="rId2469"/>
    <hyperlink xmlns:r="http://schemas.openxmlformats.org/officeDocument/2006/relationships" ref="AF1237" r:id="rId2470"/>
    <hyperlink xmlns:r="http://schemas.openxmlformats.org/officeDocument/2006/relationships" ref="AE1238" r:id="rId2471"/>
    <hyperlink xmlns:r="http://schemas.openxmlformats.org/officeDocument/2006/relationships" ref="AF1238" r:id="rId2472"/>
    <hyperlink xmlns:r="http://schemas.openxmlformats.org/officeDocument/2006/relationships" ref="AE1239" r:id="rId2473"/>
    <hyperlink xmlns:r="http://schemas.openxmlformats.org/officeDocument/2006/relationships" ref="AF1239" r:id="rId2474"/>
    <hyperlink xmlns:r="http://schemas.openxmlformats.org/officeDocument/2006/relationships" ref="AE1240" r:id="rId2475"/>
    <hyperlink xmlns:r="http://schemas.openxmlformats.org/officeDocument/2006/relationships" ref="AF1240" r:id="rId2476"/>
    <hyperlink xmlns:r="http://schemas.openxmlformats.org/officeDocument/2006/relationships" ref="AE1241" r:id="rId2477"/>
    <hyperlink xmlns:r="http://schemas.openxmlformats.org/officeDocument/2006/relationships" ref="AF1241" r:id="rId2478"/>
    <hyperlink xmlns:r="http://schemas.openxmlformats.org/officeDocument/2006/relationships" ref="AE1242" r:id="rId2479"/>
    <hyperlink xmlns:r="http://schemas.openxmlformats.org/officeDocument/2006/relationships" ref="AF1242" r:id="rId2480"/>
    <hyperlink xmlns:r="http://schemas.openxmlformats.org/officeDocument/2006/relationships" ref="AE1243" r:id="rId2481"/>
    <hyperlink xmlns:r="http://schemas.openxmlformats.org/officeDocument/2006/relationships" ref="AF1243" r:id="rId2482"/>
    <hyperlink xmlns:r="http://schemas.openxmlformats.org/officeDocument/2006/relationships" ref="AE1244" r:id="rId2483"/>
    <hyperlink xmlns:r="http://schemas.openxmlformats.org/officeDocument/2006/relationships" ref="AF1244" r:id="rId2484"/>
    <hyperlink xmlns:r="http://schemas.openxmlformats.org/officeDocument/2006/relationships" ref="AE1245" r:id="rId2485"/>
    <hyperlink xmlns:r="http://schemas.openxmlformats.org/officeDocument/2006/relationships" ref="AF1245" r:id="rId2486"/>
    <hyperlink xmlns:r="http://schemas.openxmlformats.org/officeDocument/2006/relationships" ref="AE1246" r:id="rId2487"/>
    <hyperlink xmlns:r="http://schemas.openxmlformats.org/officeDocument/2006/relationships" ref="AF1246" r:id="rId2488"/>
    <hyperlink xmlns:r="http://schemas.openxmlformats.org/officeDocument/2006/relationships" ref="AE1247" r:id="rId2489"/>
    <hyperlink xmlns:r="http://schemas.openxmlformats.org/officeDocument/2006/relationships" ref="AF1247" r:id="rId2490"/>
    <hyperlink xmlns:r="http://schemas.openxmlformats.org/officeDocument/2006/relationships" ref="AE1248" r:id="rId2491"/>
    <hyperlink xmlns:r="http://schemas.openxmlformats.org/officeDocument/2006/relationships" ref="AF1248" r:id="rId2492"/>
    <hyperlink xmlns:r="http://schemas.openxmlformats.org/officeDocument/2006/relationships" ref="AE1249" r:id="rId2493"/>
    <hyperlink xmlns:r="http://schemas.openxmlformats.org/officeDocument/2006/relationships" ref="AF1249" r:id="rId2494"/>
    <hyperlink xmlns:r="http://schemas.openxmlformats.org/officeDocument/2006/relationships" ref="AE1250" r:id="rId2495"/>
    <hyperlink xmlns:r="http://schemas.openxmlformats.org/officeDocument/2006/relationships" ref="AF1250" r:id="rId2496"/>
    <hyperlink xmlns:r="http://schemas.openxmlformats.org/officeDocument/2006/relationships" ref="AE1251" r:id="rId2497"/>
    <hyperlink xmlns:r="http://schemas.openxmlformats.org/officeDocument/2006/relationships" ref="AF1251" r:id="rId2498"/>
    <hyperlink xmlns:r="http://schemas.openxmlformats.org/officeDocument/2006/relationships" ref="AE1252" r:id="rId2499"/>
    <hyperlink xmlns:r="http://schemas.openxmlformats.org/officeDocument/2006/relationships" ref="AF1252" r:id="rId2500"/>
    <hyperlink xmlns:r="http://schemas.openxmlformats.org/officeDocument/2006/relationships" ref="AE1253" r:id="rId2501"/>
    <hyperlink xmlns:r="http://schemas.openxmlformats.org/officeDocument/2006/relationships" ref="AF1253" r:id="rId2502"/>
    <hyperlink xmlns:r="http://schemas.openxmlformats.org/officeDocument/2006/relationships" ref="AE1254" r:id="rId2503"/>
    <hyperlink xmlns:r="http://schemas.openxmlformats.org/officeDocument/2006/relationships" ref="AF1254" r:id="rId2504"/>
    <hyperlink xmlns:r="http://schemas.openxmlformats.org/officeDocument/2006/relationships" ref="AE1255" r:id="rId2505"/>
    <hyperlink xmlns:r="http://schemas.openxmlformats.org/officeDocument/2006/relationships" ref="AF1255" r:id="rId2506"/>
    <hyperlink xmlns:r="http://schemas.openxmlformats.org/officeDocument/2006/relationships" ref="AE1256" r:id="rId2507"/>
    <hyperlink xmlns:r="http://schemas.openxmlformats.org/officeDocument/2006/relationships" ref="AF1256" r:id="rId2508"/>
    <hyperlink xmlns:r="http://schemas.openxmlformats.org/officeDocument/2006/relationships" ref="AE1257" r:id="rId2509"/>
    <hyperlink xmlns:r="http://schemas.openxmlformats.org/officeDocument/2006/relationships" ref="AF1257" r:id="rId2510"/>
    <hyperlink xmlns:r="http://schemas.openxmlformats.org/officeDocument/2006/relationships" ref="AE1258" r:id="rId2511"/>
    <hyperlink xmlns:r="http://schemas.openxmlformats.org/officeDocument/2006/relationships" ref="AF1258" r:id="rId2512"/>
    <hyperlink xmlns:r="http://schemas.openxmlformats.org/officeDocument/2006/relationships" ref="AE1259" r:id="rId2513"/>
    <hyperlink xmlns:r="http://schemas.openxmlformats.org/officeDocument/2006/relationships" ref="AF1259" r:id="rId2514"/>
    <hyperlink xmlns:r="http://schemas.openxmlformats.org/officeDocument/2006/relationships" ref="AE1260" r:id="rId2515"/>
    <hyperlink xmlns:r="http://schemas.openxmlformats.org/officeDocument/2006/relationships" ref="AF1260" r:id="rId2516"/>
    <hyperlink xmlns:r="http://schemas.openxmlformats.org/officeDocument/2006/relationships" ref="AE1261" r:id="rId2517"/>
    <hyperlink xmlns:r="http://schemas.openxmlformats.org/officeDocument/2006/relationships" ref="AF1261" r:id="rId2518"/>
    <hyperlink xmlns:r="http://schemas.openxmlformats.org/officeDocument/2006/relationships" ref="AE1262" r:id="rId2519"/>
    <hyperlink xmlns:r="http://schemas.openxmlformats.org/officeDocument/2006/relationships" ref="AF1262" r:id="rId2520"/>
    <hyperlink xmlns:r="http://schemas.openxmlformats.org/officeDocument/2006/relationships" ref="AE1263" r:id="rId2521"/>
    <hyperlink xmlns:r="http://schemas.openxmlformats.org/officeDocument/2006/relationships" ref="AF1263" r:id="rId2522"/>
    <hyperlink xmlns:r="http://schemas.openxmlformats.org/officeDocument/2006/relationships" ref="AE1264" r:id="rId2523"/>
    <hyperlink xmlns:r="http://schemas.openxmlformats.org/officeDocument/2006/relationships" ref="AF1264" r:id="rId2524"/>
    <hyperlink xmlns:r="http://schemas.openxmlformats.org/officeDocument/2006/relationships" ref="AE1265" r:id="rId2525"/>
    <hyperlink xmlns:r="http://schemas.openxmlformats.org/officeDocument/2006/relationships" ref="AF1265" r:id="rId2526"/>
    <hyperlink xmlns:r="http://schemas.openxmlformats.org/officeDocument/2006/relationships" ref="AE1266" r:id="rId2527"/>
    <hyperlink xmlns:r="http://schemas.openxmlformats.org/officeDocument/2006/relationships" ref="AF1266" r:id="rId2528"/>
    <hyperlink xmlns:r="http://schemas.openxmlformats.org/officeDocument/2006/relationships" ref="AE1267" r:id="rId2529"/>
    <hyperlink xmlns:r="http://schemas.openxmlformats.org/officeDocument/2006/relationships" ref="AF1267" r:id="rId2530"/>
    <hyperlink xmlns:r="http://schemas.openxmlformats.org/officeDocument/2006/relationships" ref="AE1268" r:id="rId2531"/>
    <hyperlink xmlns:r="http://schemas.openxmlformats.org/officeDocument/2006/relationships" ref="AF1268" r:id="rId2532"/>
    <hyperlink xmlns:r="http://schemas.openxmlformats.org/officeDocument/2006/relationships" ref="AE1269" r:id="rId2533"/>
    <hyperlink xmlns:r="http://schemas.openxmlformats.org/officeDocument/2006/relationships" ref="AF1269" r:id="rId2534"/>
    <hyperlink xmlns:r="http://schemas.openxmlformats.org/officeDocument/2006/relationships" ref="AE1270" r:id="rId2535"/>
    <hyperlink xmlns:r="http://schemas.openxmlformats.org/officeDocument/2006/relationships" ref="AF1270" r:id="rId2536"/>
    <hyperlink xmlns:r="http://schemas.openxmlformats.org/officeDocument/2006/relationships" ref="AE1271" r:id="rId2537"/>
    <hyperlink xmlns:r="http://schemas.openxmlformats.org/officeDocument/2006/relationships" ref="AF1271" r:id="rId2538"/>
    <hyperlink xmlns:r="http://schemas.openxmlformats.org/officeDocument/2006/relationships" ref="AE1272" r:id="rId2539"/>
    <hyperlink xmlns:r="http://schemas.openxmlformats.org/officeDocument/2006/relationships" ref="AF1272" r:id="rId2540"/>
    <hyperlink xmlns:r="http://schemas.openxmlformats.org/officeDocument/2006/relationships" ref="AE1273" r:id="rId2541"/>
    <hyperlink xmlns:r="http://schemas.openxmlformats.org/officeDocument/2006/relationships" ref="AF1273" r:id="rId2542"/>
    <hyperlink xmlns:r="http://schemas.openxmlformats.org/officeDocument/2006/relationships" ref="AE1274" r:id="rId2543"/>
    <hyperlink xmlns:r="http://schemas.openxmlformats.org/officeDocument/2006/relationships" ref="AF1274" r:id="rId2544"/>
    <hyperlink xmlns:r="http://schemas.openxmlformats.org/officeDocument/2006/relationships" ref="AE1275" r:id="rId2545"/>
    <hyperlink xmlns:r="http://schemas.openxmlformats.org/officeDocument/2006/relationships" ref="AF1275" r:id="rId2546"/>
    <hyperlink xmlns:r="http://schemas.openxmlformats.org/officeDocument/2006/relationships" ref="AE1276" r:id="rId2547"/>
    <hyperlink xmlns:r="http://schemas.openxmlformats.org/officeDocument/2006/relationships" ref="AF1276" r:id="rId2548"/>
    <hyperlink xmlns:r="http://schemas.openxmlformats.org/officeDocument/2006/relationships" ref="AE1277" r:id="rId2549"/>
    <hyperlink xmlns:r="http://schemas.openxmlformats.org/officeDocument/2006/relationships" ref="AF1277" r:id="rId2550"/>
    <hyperlink xmlns:r="http://schemas.openxmlformats.org/officeDocument/2006/relationships" ref="AE1278" r:id="rId2551"/>
    <hyperlink xmlns:r="http://schemas.openxmlformats.org/officeDocument/2006/relationships" ref="AF1278" r:id="rId2552"/>
    <hyperlink xmlns:r="http://schemas.openxmlformats.org/officeDocument/2006/relationships" ref="AE1279" r:id="rId2553"/>
    <hyperlink xmlns:r="http://schemas.openxmlformats.org/officeDocument/2006/relationships" ref="AF1279" r:id="rId2554"/>
    <hyperlink xmlns:r="http://schemas.openxmlformats.org/officeDocument/2006/relationships" ref="AE1280" r:id="rId2555"/>
    <hyperlink xmlns:r="http://schemas.openxmlformats.org/officeDocument/2006/relationships" ref="AF1280" r:id="rId2556"/>
    <hyperlink xmlns:r="http://schemas.openxmlformats.org/officeDocument/2006/relationships" ref="AE1281" r:id="rId2557"/>
    <hyperlink xmlns:r="http://schemas.openxmlformats.org/officeDocument/2006/relationships" ref="AF1281" r:id="rId2558"/>
    <hyperlink xmlns:r="http://schemas.openxmlformats.org/officeDocument/2006/relationships" ref="AE1282" r:id="rId2559"/>
    <hyperlink xmlns:r="http://schemas.openxmlformats.org/officeDocument/2006/relationships" ref="AF1282" r:id="rId2560"/>
    <hyperlink xmlns:r="http://schemas.openxmlformats.org/officeDocument/2006/relationships" ref="AE1283" r:id="rId2561"/>
    <hyperlink xmlns:r="http://schemas.openxmlformats.org/officeDocument/2006/relationships" ref="AF1283" r:id="rId2562"/>
    <hyperlink xmlns:r="http://schemas.openxmlformats.org/officeDocument/2006/relationships" ref="AE1284" r:id="rId2563"/>
    <hyperlink xmlns:r="http://schemas.openxmlformats.org/officeDocument/2006/relationships" ref="AF1284" r:id="rId2564"/>
    <hyperlink xmlns:r="http://schemas.openxmlformats.org/officeDocument/2006/relationships" ref="AE1285" r:id="rId2565"/>
    <hyperlink xmlns:r="http://schemas.openxmlformats.org/officeDocument/2006/relationships" ref="AF1285" r:id="rId2566"/>
    <hyperlink xmlns:r="http://schemas.openxmlformats.org/officeDocument/2006/relationships" ref="AE1286" r:id="rId2567"/>
    <hyperlink xmlns:r="http://schemas.openxmlformats.org/officeDocument/2006/relationships" ref="AF1286" r:id="rId2568"/>
    <hyperlink xmlns:r="http://schemas.openxmlformats.org/officeDocument/2006/relationships" ref="AE1287" r:id="rId2569"/>
    <hyperlink xmlns:r="http://schemas.openxmlformats.org/officeDocument/2006/relationships" ref="AF1287" r:id="rId2570"/>
    <hyperlink xmlns:r="http://schemas.openxmlformats.org/officeDocument/2006/relationships" ref="AE1288" r:id="rId2571"/>
    <hyperlink xmlns:r="http://schemas.openxmlformats.org/officeDocument/2006/relationships" ref="AF1288" r:id="rId2572"/>
    <hyperlink xmlns:r="http://schemas.openxmlformats.org/officeDocument/2006/relationships" ref="AE1289" r:id="rId2573"/>
    <hyperlink xmlns:r="http://schemas.openxmlformats.org/officeDocument/2006/relationships" ref="AF1289" r:id="rId2574"/>
    <hyperlink xmlns:r="http://schemas.openxmlformats.org/officeDocument/2006/relationships" ref="AE1290" r:id="rId2575"/>
    <hyperlink xmlns:r="http://schemas.openxmlformats.org/officeDocument/2006/relationships" ref="AF1290" r:id="rId2576"/>
    <hyperlink xmlns:r="http://schemas.openxmlformats.org/officeDocument/2006/relationships" ref="AE1291" r:id="rId2577"/>
    <hyperlink xmlns:r="http://schemas.openxmlformats.org/officeDocument/2006/relationships" ref="AF1291" r:id="rId2578"/>
    <hyperlink xmlns:r="http://schemas.openxmlformats.org/officeDocument/2006/relationships" ref="AE1292" r:id="rId2579"/>
    <hyperlink xmlns:r="http://schemas.openxmlformats.org/officeDocument/2006/relationships" ref="AF1292" r:id="rId2580"/>
    <hyperlink xmlns:r="http://schemas.openxmlformats.org/officeDocument/2006/relationships" ref="AE1293" r:id="rId2581"/>
    <hyperlink xmlns:r="http://schemas.openxmlformats.org/officeDocument/2006/relationships" ref="AF1293" r:id="rId2582"/>
    <hyperlink xmlns:r="http://schemas.openxmlformats.org/officeDocument/2006/relationships" ref="AE1294" r:id="rId2583"/>
    <hyperlink xmlns:r="http://schemas.openxmlformats.org/officeDocument/2006/relationships" ref="AF1294" r:id="rId2584"/>
    <hyperlink xmlns:r="http://schemas.openxmlformats.org/officeDocument/2006/relationships" ref="AE1295" r:id="rId2585"/>
    <hyperlink xmlns:r="http://schemas.openxmlformats.org/officeDocument/2006/relationships" ref="AF1295" r:id="rId2586"/>
    <hyperlink xmlns:r="http://schemas.openxmlformats.org/officeDocument/2006/relationships" ref="AE1296" r:id="rId2587"/>
    <hyperlink xmlns:r="http://schemas.openxmlformats.org/officeDocument/2006/relationships" ref="AF1296" r:id="rId2588"/>
    <hyperlink xmlns:r="http://schemas.openxmlformats.org/officeDocument/2006/relationships" ref="AE1297" r:id="rId2589"/>
    <hyperlink xmlns:r="http://schemas.openxmlformats.org/officeDocument/2006/relationships" ref="AF1297" r:id="rId2590"/>
    <hyperlink xmlns:r="http://schemas.openxmlformats.org/officeDocument/2006/relationships" ref="AE1298" r:id="rId2591"/>
    <hyperlink xmlns:r="http://schemas.openxmlformats.org/officeDocument/2006/relationships" ref="AF1298" r:id="rId2592"/>
    <hyperlink xmlns:r="http://schemas.openxmlformats.org/officeDocument/2006/relationships" ref="AE1299" r:id="rId2593"/>
    <hyperlink xmlns:r="http://schemas.openxmlformats.org/officeDocument/2006/relationships" ref="AF1299" r:id="rId2594"/>
    <hyperlink xmlns:r="http://schemas.openxmlformats.org/officeDocument/2006/relationships" ref="AE1300" r:id="rId2595"/>
    <hyperlink xmlns:r="http://schemas.openxmlformats.org/officeDocument/2006/relationships" ref="AF1300" r:id="rId2596"/>
    <hyperlink xmlns:r="http://schemas.openxmlformats.org/officeDocument/2006/relationships" ref="AE1301" r:id="rId2597"/>
    <hyperlink xmlns:r="http://schemas.openxmlformats.org/officeDocument/2006/relationships" ref="AF1301" r:id="rId2598"/>
    <hyperlink xmlns:r="http://schemas.openxmlformats.org/officeDocument/2006/relationships" ref="AE1302" r:id="rId2599"/>
    <hyperlink xmlns:r="http://schemas.openxmlformats.org/officeDocument/2006/relationships" ref="AF1302" r:id="rId2600"/>
    <hyperlink xmlns:r="http://schemas.openxmlformats.org/officeDocument/2006/relationships" ref="AE1303" r:id="rId2601"/>
    <hyperlink xmlns:r="http://schemas.openxmlformats.org/officeDocument/2006/relationships" ref="AF1303" r:id="rId2602"/>
    <hyperlink xmlns:r="http://schemas.openxmlformats.org/officeDocument/2006/relationships" ref="AE1304" r:id="rId2603"/>
    <hyperlink xmlns:r="http://schemas.openxmlformats.org/officeDocument/2006/relationships" ref="AF1304" r:id="rId2604"/>
    <hyperlink xmlns:r="http://schemas.openxmlformats.org/officeDocument/2006/relationships" ref="AE1305" r:id="rId2605"/>
    <hyperlink xmlns:r="http://schemas.openxmlformats.org/officeDocument/2006/relationships" ref="AF1305" r:id="rId2606"/>
    <hyperlink xmlns:r="http://schemas.openxmlformats.org/officeDocument/2006/relationships" ref="AE1306" r:id="rId2607"/>
    <hyperlink xmlns:r="http://schemas.openxmlformats.org/officeDocument/2006/relationships" ref="AF1306" r:id="rId2608"/>
    <hyperlink xmlns:r="http://schemas.openxmlformats.org/officeDocument/2006/relationships" ref="AE1307" r:id="rId2609"/>
    <hyperlink xmlns:r="http://schemas.openxmlformats.org/officeDocument/2006/relationships" ref="AF1307" r:id="rId2610"/>
    <hyperlink xmlns:r="http://schemas.openxmlformats.org/officeDocument/2006/relationships" ref="AE1308" r:id="rId2611"/>
    <hyperlink xmlns:r="http://schemas.openxmlformats.org/officeDocument/2006/relationships" ref="AF1308" r:id="rId2612"/>
    <hyperlink xmlns:r="http://schemas.openxmlformats.org/officeDocument/2006/relationships" ref="AE1309" r:id="rId2613"/>
    <hyperlink xmlns:r="http://schemas.openxmlformats.org/officeDocument/2006/relationships" ref="AF1309" r:id="rId2614"/>
    <hyperlink xmlns:r="http://schemas.openxmlformats.org/officeDocument/2006/relationships" ref="AE1310" r:id="rId2615"/>
    <hyperlink xmlns:r="http://schemas.openxmlformats.org/officeDocument/2006/relationships" ref="AF1310" r:id="rId2616"/>
    <hyperlink xmlns:r="http://schemas.openxmlformats.org/officeDocument/2006/relationships" ref="AE1311" r:id="rId2617"/>
    <hyperlink xmlns:r="http://schemas.openxmlformats.org/officeDocument/2006/relationships" ref="AF1311" r:id="rId2618"/>
    <hyperlink xmlns:r="http://schemas.openxmlformats.org/officeDocument/2006/relationships" ref="AE1312" r:id="rId2619"/>
    <hyperlink xmlns:r="http://schemas.openxmlformats.org/officeDocument/2006/relationships" ref="AF1312" r:id="rId2620"/>
    <hyperlink xmlns:r="http://schemas.openxmlformats.org/officeDocument/2006/relationships" ref="AE1313" r:id="rId2621"/>
    <hyperlink xmlns:r="http://schemas.openxmlformats.org/officeDocument/2006/relationships" ref="AF1313" r:id="rId2622"/>
    <hyperlink xmlns:r="http://schemas.openxmlformats.org/officeDocument/2006/relationships" ref="AE1314" r:id="rId2623"/>
    <hyperlink xmlns:r="http://schemas.openxmlformats.org/officeDocument/2006/relationships" ref="AF1314" r:id="rId2624"/>
    <hyperlink xmlns:r="http://schemas.openxmlformats.org/officeDocument/2006/relationships" ref="AE1315" r:id="rId2625"/>
    <hyperlink xmlns:r="http://schemas.openxmlformats.org/officeDocument/2006/relationships" ref="AF1315" r:id="rId2626"/>
    <hyperlink xmlns:r="http://schemas.openxmlformats.org/officeDocument/2006/relationships" ref="AE1316" r:id="rId2627"/>
    <hyperlink xmlns:r="http://schemas.openxmlformats.org/officeDocument/2006/relationships" ref="AF1316" r:id="rId2628"/>
    <hyperlink xmlns:r="http://schemas.openxmlformats.org/officeDocument/2006/relationships" ref="AE1317" r:id="rId2629"/>
    <hyperlink xmlns:r="http://schemas.openxmlformats.org/officeDocument/2006/relationships" ref="AF1317" r:id="rId2630"/>
    <hyperlink xmlns:r="http://schemas.openxmlformats.org/officeDocument/2006/relationships" ref="AE1318" r:id="rId2631"/>
    <hyperlink xmlns:r="http://schemas.openxmlformats.org/officeDocument/2006/relationships" ref="AF1318" r:id="rId2632"/>
    <hyperlink xmlns:r="http://schemas.openxmlformats.org/officeDocument/2006/relationships" ref="AE1319" r:id="rId2633"/>
    <hyperlink xmlns:r="http://schemas.openxmlformats.org/officeDocument/2006/relationships" ref="AF1319" r:id="rId2634"/>
    <hyperlink xmlns:r="http://schemas.openxmlformats.org/officeDocument/2006/relationships" ref="AE1320" r:id="rId2635"/>
    <hyperlink xmlns:r="http://schemas.openxmlformats.org/officeDocument/2006/relationships" ref="AF1320" r:id="rId2636"/>
    <hyperlink xmlns:r="http://schemas.openxmlformats.org/officeDocument/2006/relationships" ref="AE1321" r:id="rId2637"/>
    <hyperlink xmlns:r="http://schemas.openxmlformats.org/officeDocument/2006/relationships" ref="AF1321" r:id="rId2638"/>
    <hyperlink xmlns:r="http://schemas.openxmlformats.org/officeDocument/2006/relationships" ref="AE1322" r:id="rId2639"/>
    <hyperlink xmlns:r="http://schemas.openxmlformats.org/officeDocument/2006/relationships" ref="AF1322" r:id="rId2640"/>
    <hyperlink xmlns:r="http://schemas.openxmlformats.org/officeDocument/2006/relationships" ref="AE1323" r:id="rId2641"/>
    <hyperlink xmlns:r="http://schemas.openxmlformats.org/officeDocument/2006/relationships" ref="AF1323" r:id="rId2642"/>
    <hyperlink xmlns:r="http://schemas.openxmlformats.org/officeDocument/2006/relationships" ref="AE1324" r:id="rId2643"/>
    <hyperlink xmlns:r="http://schemas.openxmlformats.org/officeDocument/2006/relationships" ref="AF1324" r:id="rId2644"/>
    <hyperlink xmlns:r="http://schemas.openxmlformats.org/officeDocument/2006/relationships" ref="AE1325" r:id="rId2645"/>
    <hyperlink xmlns:r="http://schemas.openxmlformats.org/officeDocument/2006/relationships" ref="AF1325" r:id="rId2646"/>
    <hyperlink xmlns:r="http://schemas.openxmlformats.org/officeDocument/2006/relationships" ref="AE1326" r:id="rId2647"/>
    <hyperlink xmlns:r="http://schemas.openxmlformats.org/officeDocument/2006/relationships" ref="AF1326" r:id="rId2648"/>
    <hyperlink xmlns:r="http://schemas.openxmlformats.org/officeDocument/2006/relationships" ref="AE1327" r:id="rId2649"/>
    <hyperlink xmlns:r="http://schemas.openxmlformats.org/officeDocument/2006/relationships" ref="AF1327" r:id="rId2650"/>
    <hyperlink xmlns:r="http://schemas.openxmlformats.org/officeDocument/2006/relationships" ref="AE1328" r:id="rId2651"/>
    <hyperlink xmlns:r="http://schemas.openxmlformats.org/officeDocument/2006/relationships" ref="AF1328" r:id="rId2652"/>
    <hyperlink xmlns:r="http://schemas.openxmlformats.org/officeDocument/2006/relationships" ref="AE1329" r:id="rId2653"/>
    <hyperlink xmlns:r="http://schemas.openxmlformats.org/officeDocument/2006/relationships" ref="AF1329" r:id="rId2654"/>
    <hyperlink xmlns:r="http://schemas.openxmlformats.org/officeDocument/2006/relationships" ref="AE1330" r:id="rId2655"/>
    <hyperlink xmlns:r="http://schemas.openxmlformats.org/officeDocument/2006/relationships" ref="AF1330" r:id="rId2656"/>
    <hyperlink xmlns:r="http://schemas.openxmlformats.org/officeDocument/2006/relationships" ref="AE1331" r:id="rId2657"/>
    <hyperlink xmlns:r="http://schemas.openxmlformats.org/officeDocument/2006/relationships" ref="AF1331" r:id="rId2658"/>
    <hyperlink xmlns:r="http://schemas.openxmlformats.org/officeDocument/2006/relationships" ref="AE1332" r:id="rId2659"/>
    <hyperlink xmlns:r="http://schemas.openxmlformats.org/officeDocument/2006/relationships" ref="AF1332" r:id="rId2660"/>
    <hyperlink xmlns:r="http://schemas.openxmlformats.org/officeDocument/2006/relationships" ref="AE1333" r:id="rId2661"/>
    <hyperlink xmlns:r="http://schemas.openxmlformats.org/officeDocument/2006/relationships" ref="AF1333" r:id="rId2662"/>
    <hyperlink xmlns:r="http://schemas.openxmlformats.org/officeDocument/2006/relationships" ref="AE1334" r:id="rId2663"/>
    <hyperlink xmlns:r="http://schemas.openxmlformats.org/officeDocument/2006/relationships" ref="AF1334" r:id="rId2664"/>
    <hyperlink xmlns:r="http://schemas.openxmlformats.org/officeDocument/2006/relationships" ref="AE1335" r:id="rId2665"/>
    <hyperlink xmlns:r="http://schemas.openxmlformats.org/officeDocument/2006/relationships" ref="AF1335" r:id="rId2666"/>
    <hyperlink xmlns:r="http://schemas.openxmlformats.org/officeDocument/2006/relationships" ref="AE1336" r:id="rId2667"/>
    <hyperlink xmlns:r="http://schemas.openxmlformats.org/officeDocument/2006/relationships" ref="AF1336" r:id="rId2668"/>
    <hyperlink xmlns:r="http://schemas.openxmlformats.org/officeDocument/2006/relationships" ref="AE1337" r:id="rId2669"/>
    <hyperlink xmlns:r="http://schemas.openxmlformats.org/officeDocument/2006/relationships" ref="AF1337" r:id="rId2670"/>
    <hyperlink xmlns:r="http://schemas.openxmlformats.org/officeDocument/2006/relationships" ref="AE1338" r:id="rId2671"/>
    <hyperlink xmlns:r="http://schemas.openxmlformats.org/officeDocument/2006/relationships" ref="AF1338" r:id="rId2672"/>
    <hyperlink xmlns:r="http://schemas.openxmlformats.org/officeDocument/2006/relationships" ref="AE1339" r:id="rId2673"/>
    <hyperlink xmlns:r="http://schemas.openxmlformats.org/officeDocument/2006/relationships" ref="AF1339" r:id="rId2674"/>
    <hyperlink xmlns:r="http://schemas.openxmlformats.org/officeDocument/2006/relationships" ref="AE1340" r:id="rId2675"/>
    <hyperlink xmlns:r="http://schemas.openxmlformats.org/officeDocument/2006/relationships" ref="AF1340" r:id="rId2676"/>
    <hyperlink xmlns:r="http://schemas.openxmlformats.org/officeDocument/2006/relationships" ref="AE1341" r:id="rId2677"/>
    <hyperlink xmlns:r="http://schemas.openxmlformats.org/officeDocument/2006/relationships" ref="AF1341" r:id="rId2678"/>
    <hyperlink xmlns:r="http://schemas.openxmlformats.org/officeDocument/2006/relationships" ref="AE1342" r:id="rId2679"/>
    <hyperlink xmlns:r="http://schemas.openxmlformats.org/officeDocument/2006/relationships" ref="AF1342" r:id="rId2680"/>
    <hyperlink xmlns:r="http://schemas.openxmlformats.org/officeDocument/2006/relationships" ref="AE1343" r:id="rId2681"/>
    <hyperlink xmlns:r="http://schemas.openxmlformats.org/officeDocument/2006/relationships" ref="AF1343" r:id="rId2682"/>
    <hyperlink xmlns:r="http://schemas.openxmlformats.org/officeDocument/2006/relationships" ref="AE1344" r:id="rId2683"/>
    <hyperlink xmlns:r="http://schemas.openxmlformats.org/officeDocument/2006/relationships" ref="AF1344" r:id="rId2684"/>
    <hyperlink xmlns:r="http://schemas.openxmlformats.org/officeDocument/2006/relationships" ref="AE1345" r:id="rId2685"/>
    <hyperlink xmlns:r="http://schemas.openxmlformats.org/officeDocument/2006/relationships" ref="AF1345" r:id="rId2686"/>
    <hyperlink xmlns:r="http://schemas.openxmlformats.org/officeDocument/2006/relationships" ref="AE1346" r:id="rId2687"/>
    <hyperlink xmlns:r="http://schemas.openxmlformats.org/officeDocument/2006/relationships" ref="AF1346" r:id="rId2688"/>
    <hyperlink xmlns:r="http://schemas.openxmlformats.org/officeDocument/2006/relationships" ref="AE1347" r:id="rId2689"/>
    <hyperlink xmlns:r="http://schemas.openxmlformats.org/officeDocument/2006/relationships" ref="AF1347" r:id="rId2690"/>
    <hyperlink xmlns:r="http://schemas.openxmlformats.org/officeDocument/2006/relationships" ref="AE1348" r:id="rId2691"/>
    <hyperlink xmlns:r="http://schemas.openxmlformats.org/officeDocument/2006/relationships" ref="AF1348" r:id="rId2692"/>
    <hyperlink xmlns:r="http://schemas.openxmlformats.org/officeDocument/2006/relationships" ref="AE1349" r:id="rId2693"/>
    <hyperlink xmlns:r="http://schemas.openxmlformats.org/officeDocument/2006/relationships" ref="AF1349" r:id="rId2694"/>
    <hyperlink xmlns:r="http://schemas.openxmlformats.org/officeDocument/2006/relationships" ref="AE1350" r:id="rId2695"/>
    <hyperlink xmlns:r="http://schemas.openxmlformats.org/officeDocument/2006/relationships" ref="AF1350" r:id="rId2696"/>
    <hyperlink xmlns:r="http://schemas.openxmlformats.org/officeDocument/2006/relationships" ref="AE1351" r:id="rId2697"/>
    <hyperlink xmlns:r="http://schemas.openxmlformats.org/officeDocument/2006/relationships" ref="AF1351" r:id="rId2698"/>
    <hyperlink xmlns:r="http://schemas.openxmlformats.org/officeDocument/2006/relationships" ref="AE1352" r:id="rId2699"/>
    <hyperlink xmlns:r="http://schemas.openxmlformats.org/officeDocument/2006/relationships" ref="AF1352" r:id="rId2700"/>
    <hyperlink xmlns:r="http://schemas.openxmlformats.org/officeDocument/2006/relationships" ref="AE1353" r:id="rId2701"/>
    <hyperlink xmlns:r="http://schemas.openxmlformats.org/officeDocument/2006/relationships" ref="AF1353" r:id="rId2702"/>
    <hyperlink xmlns:r="http://schemas.openxmlformats.org/officeDocument/2006/relationships" ref="AE1354" r:id="rId2703"/>
    <hyperlink xmlns:r="http://schemas.openxmlformats.org/officeDocument/2006/relationships" ref="AF1354" r:id="rId2704"/>
    <hyperlink xmlns:r="http://schemas.openxmlformats.org/officeDocument/2006/relationships" ref="AE1355" r:id="rId2705"/>
    <hyperlink xmlns:r="http://schemas.openxmlformats.org/officeDocument/2006/relationships" ref="AF1355" r:id="rId2706"/>
    <hyperlink xmlns:r="http://schemas.openxmlformats.org/officeDocument/2006/relationships" ref="AE1356" r:id="rId2707"/>
    <hyperlink xmlns:r="http://schemas.openxmlformats.org/officeDocument/2006/relationships" ref="AF1356" r:id="rId2708"/>
    <hyperlink xmlns:r="http://schemas.openxmlformats.org/officeDocument/2006/relationships" ref="AE1357" r:id="rId2709"/>
    <hyperlink xmlns:r="http://schemas.openxmlformats.org/officeDocument/2006/relationships" ref="AF1357" r:id="rId2710"/>
    <hyperlink xmlns:r="http://schemas.openxmlformats.org/officeDocument/2006/relationships" ref="AE1358" r:id="rId2711"/>
    <hyperlink xmlns:r="http://schemas.openxmlformats.org/officeDocument/2006/relationships" ref="AF1358" r:id="rId2712"/>
    <hyperlink xmlns:r="http://schemas.openxmlformats.org/officeDocument/2006/relationships" ref="AE1359" r:id="rId2713"/>
    <hyperlink xmlns:r="http://schemas.openxmlformats.org/officeDocument/2006/relationships" ref="AF1359" r:id="rId2714"/>
    <hyperlink xmlns:r="http://schemas.openxmlformats.org/officeDocument/2006/relationships" ref="AE1360" r:id="rId2715"/>
    <hyperlink xmlns:r="http://schemas.openxmlformats.org/officeDocument/2006/relationships" ref="AF1360" r:id="rId2716"/>
    <hyperlink xmlns:r="http://schemas.openxmlformats.org/officeDocument/2006/relationships" ref="AE1361" r:id="rId2717"/>
    <hyperlink xmlns:r="http://schemas.openxmlformats.org/officeDocument/2006/relationships" ref="AF1361" r:id="rId2718"/>
    <hyperlink xmlns:r="http://schemas.openxmlformats.org/officeDocument/2006/relationships" ref="AE1362" r:id="rId2719"/>
    <hyperlink xmlns:r="http://schemas.openxmlformats.org/officeDocument/2006/relationships" ref="AF1362" r:id="rId2720"/>
    <hyperlink xmlns:r="http://schemas.openxmlformats.org/officeDocument/2006/relationships" ref="AE1363" r:id="rId2721"/>
    <hyperlink xmlns:r="http://schemas.openxmlformats.org/officeDocument/2006/relationships" ref="AF1363" r:id="rId2722"/>
    <hyperlink xmlns:r="http://schemas.openxmlformats.org/officeDocument/2006/relationships" ref="AE1364" r:id="rId2723"/>
    <hyperlink xmlns:r="http://schemas.openxmlformats.org/officeDocument/2006/relationships" ref="AF1364" r:id="rId2724"/>
    <hyperlink xmlns:r="http://schemas.openxmlformats.org/officeDocument/2006/relationships" ref="AE1365" r:id="rId2725"/>
    <hyperlink xmlns:r="http://schemas.openxmlformats.org/officeDocument/2006/relationships" ref="AF1365" r:id="rId2726"/>
    <hyperlink xmlns:r="http://schemas.openxmlformats.org/officeDocument/2006/relationships" ref="AE1366" r:id="rId2727"/>
    <hyperlink xmlns:r="http://schemas.openxmlformats.org/officeDocument/2006/relationships" ref="AF1366" r:id="rId2728"/>
    <hyperlink xmlns:r="http://schemas.openxmlformats.org/officeDocument/2006/relationships" ref="AE1367" r:id="rId2729"/>
    <hyperlink xmlns:r="http://schemas.openxmlformats.org/officeDocument/2006/relationships" ref="AF1367" r:id="rId2730"/>
    <hyperlink xmlns:r="http://schemas.openxmlformats.org/officeDocument/2006/relationships" ref="AE1368" r:id="rId2731"/>
    <hyperlink xmlns:r="http://schemas.openxmlformats.org/officeDocument/2006/relationships" ref="AF1368" r:id="rId2732"/>
    <hyperlink xmlns:r="http://schemas.openxmlformats.org/officeDocument/2006/relationships" ref="AE1369" r:id="rId2733"/>
    <hyperlink xmlns:r="http://schemas.openxmlformats.org/officeDocument/2006/relationships" ref="AF1369" r:id="rId2734"/>
    <hyperlink xmlns:r="http://schemas.openxmlformats.org/officeDocument/2006/relationships" ref="AE1370" r:id="rId2735"/>
    <hyperlink xmlns:r="http://schemas.openxmlformats.org/officeDocument/2006/relationships" ref="AF1370" r:id="rId2736"/>
    <hyperlink xmlns:r="http://schemas.openxmlformats.org/officeDocument/2006/relationships" ref="AE1371" r:id="rId2737"/>
    <hyperlink xmlns:r="http://schemas.openxmlformats.org/officeDocument/2006/relationships" ref="AF1371" r:id="rId2738"/>
    <hyperlink xmlns:r="http://schemas.openxmlformats.org/officeDocument/2006/relationships" ref="AE1372" r:id="rId2739"/>
    <hyperlink xmlns:r="http://schemas.openxmlformats.org/officeDocument/2006/relationships" ref="AF1372" r:id="rId2740"/>
    <hyperlink xmlns:r="http://schemas.openxmlformats.org/officeDocument/2006/relationships" ref="AE1373" r:id="rId2741"/>
    <hyperlink xmlns:r="http://schemas.openxmlformats.org/officeDocument/2006/relationships" ref="AF1373" r:id="rId2742"/>
    <hyperlink xmlns:r="http://schemas.openxmlformats.org/officeDocument/2006/relationships" ref="AE1374" r:id="rId2743"/>
    <hyperlink xmlns:r="http://schemas.openxmlformats.org/officeDocument/2006/relationships" ref="AF1374" r:id="rId2744"/>
    <hyperlink xmlns:r="http://schemas.openxmlformats.org/officeDocument/2006/relationships" ref="AE1375" r:id="rId2745"/>
    <hyperlink xmlns:r="http://schemas.openxmlformats.org/officeDocument/2006/relationships" ref="AF1375" r:id="rId2746"/>
    <hyperlink xmlns:r="http://schemas.openxmlformats.org/officeDocument/2006/relationships" ref="AE1376" r:id="rId2747"/>
    <hyperlink xmlns:r="http://schemas.openxmlformats.org/officeDocument/2006/relationships" ref="AF1376" r:id="rId2748"/>
    <hyperlink xmlns:r="http://schemas.openxmlformats.org/officeDocument/2006/relationships" ref="AE1377" r:id="rId2749"/>
    <hyperlink xmlns:r="http://schemas.openxmlformats.org/officeDocument/2006/relationships" ref="AF1377" r:id="rId2750"/>
    <hyperlink xmlns:r="http://schemas.openxmlformats.org/officeDocument/2006/relationships" ref="AE1378" r:id="rId2751"/>
    <hyperlink xmlns:r="http://schemas.openxmlformats.org/officeDocument/2006/relationships" ref="AF1378" r:id="rId2752"/>
    <hyperlink xmlns:r="http://schemas.openxmlformats.org/officeDocument/2006/relationships" ref="AE1379" r:id="rId2753"/>
    <hyperlink xmlns:r="http://schemas.openxmlformats.org/officeDocument/2006/relationships" ref="AF1379" r:id="rId2754"/>
    <hyperlink xmlns:r="http://schemas.openxmlformats.org/officeDocument/2006/relationships" ref="AE1380" r:id="rId2755"/>
    <hyperlink xmlns:r="http://schemas.openxmlformats.org/officeDocument/2006/relationships" ref="AF1380" r:id="rId2756"/>
    <hyperlink xmlns:r="http://schemas.openxmlformats.org/officeDocument/2006/relationships" ref="AE1381" r:id="rId2757"/>
    <hyperlink xmlns:r="http://schemas.openxmlformats.org/officeDocument/2006/relationships" ref="AF1381" r:id="rId2758"/>
    <hyperlink xmlns:r="http://schemas.openxmlformats.org/officeDocument/2006/relationships" ref="AE1382" r:id="rId2759"/>
    <hyperlink xmlns:r="http://schemas.openxmlformats.org/officeDocument/2006/relationships" ref="AF1382" r:id="rId2760"/>
    <hyperlink xmlns:r="http://schemas.openxmlformats.org/officeDocument/2006/relationships" ref="AE1383" r:id="rId2761"/>
    <hyperlink xmlns:r="http://schemas.openxmlformats.org/officeDocument/2006/relationships" ref="AF1383" r:id="rId2762"/>
    <hyperlink xmlns:r="http://schemas.openxmlformats.org/officeDocument/2006/relationships" ref="AE1384" r:id="rId2763"/>
    <hyperlink xmlns:r="http://schemas.openxmlformats.org/officeDocument/2006/relationships" ref="AF1384" r:id="rId2764"/>
    <hyperlink xmlns:r="http://schemas.openxmlformats.org/officeDocument/2006/relationships" ref="AE1385" r:id="rId2765"/>
    <hyperlink xmlns:r="http://schemas.openxmlformats.org/officeDocument/2006/relationships" ref="AF1385" r:id="rId2766"/>
    <hyperlink xmlns:r="http://schemas.openxmlformats.org/officeDocument/2006/relationships" ref="AE1386" r:id="rId2767"/>
    <hyperlink xmlns:r="http://schemas.openxmlformats.org/officeDocument/2006/relationships" ref="AF1386" r:id="rId2768"/>
    <hyperlink xmlns:r="http://schemas.openxmlformats.org/officeDocument/2006/relationships" ref="AE1387" r:id="rId2769"/>
    <hyperlink xmlns:r="http://schemas.openxmlformats.org/officeDocument/2006/relationships" ref="AF1387" r:id="rId2770"/>
    <hyperlink xmlns:r="http://schemas.openxmlformats.org/officeDocument/2006/relationships" ref="AE1388" r:id="rId2771"/>
    <hyperlink xmlns:r="http://schemas.openxmlformats.org/officeDocument/2006/relationships" ref="AF1388" r:id="rId2772"/>
    <hyperlink xmlns:r="http://schemas.openxmlformats.org/officeDocument/2006/relationships" ref="AE1389" r:id="rId2773"/>
    <hyperlink xmlns:r="http://schemas.openxmlformats.org/officeDocument/2006/relationships" ref="AF1389" r:id="rId2774"/>
    <hyperlink xmlns:r="http://schemas.openxmlformats.org/officeDocument/2006/relationships" ref="AE1390" r:id="rId2775"/>
    <hyperlink xmlns:r="http://schemas.openxmlformats.org/officeDocument/2006/relationships" ref="AF1390" r:id="rId2776"/>
    <hyperlink xmlns:r="http://schemas.openxmlformats.org/officeDocument/2006/relationships" ref="AE1391" r:id="rId2777"/>
    <hyperlink xmlns:r="http://schemas.openxmlformats.org/officeDocument/2006/relationships" ref="AF1391" r:id="rId2778"/>
    <hyperlink xmlns:r="http://schemas.openxmlformats.org/officeDocument/2006/relationships" ref="AE1392" r:id="rId2779"/>
    <hyperlink xmlns:r="http://schemas.openxmlformats.org/officeDocument/2006/relationships" ref="AF1392" r:id="rId2780"/>
    <hyperlink xmlns:r="http://schemas.openxmlformats.org/officeDocument/2006/relationships" ref="AE1393" r:id="rId2781"/>
    <hyperlink xmlns:r="http://schemas.openxmlformats.org/officeDocument/2006/relationships" ref="AF1393" r:id="rId2782"/>
    <hyperlink xmlns:r="http://schemas.openxmlformats.org/officeDocument/2006/relationships" ref="AE1394" r:id="rId2783"/>
    <hyperlink xmlns:r="http://schemas.openxmlformats.org/officeDocument/2006/relationships" ref="AF1394" r:id="rId2784"/>
    <hyperlink xmlns:r="http://schemas.openxmlformats.org/officeDocument/2006/relationships" ref="AE1395" r:id="rId2785"/>
    <hyperlink xmlns:r="http://schemas.openxmlformats.org/officeDocument/2006/relationships" ref="AF1395" r:id="rId2786"/>
    <hyperlink xmlns:r="http://schemas.openxmlformats.org/officeDocument/2006/relationships" ref="AE1396" r:id="rId2787"/>
    <hyperlink xmlns:r="http://schemas.openxmlformats.org/officeDocument/2006/relationships" ref="AF1396" r:id="rId2788"/>
    <hyperlink xmlns:r="http://schemas.openxmlformats.org/officeDocument/2006/relationships" ref="AE1397" r:id="rId2789"/>
    <hyperlink xmlns:r="http://schemas.openxmlformats.org/officeDocument/2006/relationships" ref="AF1397" r:id="rId2790"/>
    <hyperlink xmlns:r="http://schemas.openxmlformats.org/officeDocument/2006/relationships" ref="AE1398" r:id="rId2791"/>
    <hyperlink xmlns:r="http://schemas.openxmlformats.org/officeDocument/2006/relationships" ref="AF1398" r:id="rId2792"/>
    <hyperlink xmlns:r="http://schemas.openxmlformats.org/officeDocument/2006/relationships" ref="AE1399" r:id="rId2793"/>
    <hyperlink xmlns:r="http://schemas.openxmlformats.org/officeDocument/2006/relationships" ref="AF1399" r:id="rId2794"/>
    <hyperlink xmlns:r="http://schemas.openxmlformats.org/officeDocument/2006/relationships" ref="AE1400" r:id="rId2795"/>
    <hyperlink xmlns:r="http://schemas.openxmlformats.org/officeDocument/2006/relationships" ref="AF1400" r:id="rId2796"/>
    <hyperlink xmlns:r="http://schemas.openxmlformats.org/officeDocument/2006/relationships" ref="AE1401" r:id="rId2797"/>
    <hyperlink xmlns:r="http://schemas.openxmlformats.org/officeDocument/2006/relationships" ref="AF1401" r:id="rId2798"/>
    <hyperlink xmlns:r="http://schemas.openxmlformats.org/officeDocument/2006/relationships" ref="AE1402" r:id="rId2799"/>
    <hyperlink xmlns:r="http://schemas.openxmlformats.org/officeDocument/2006/relationships" ref="AF1402" r:id="rId2800"/>
    <hyperlink xmlns:r="http://schemas.openxmlformats.org/officeDocument/2006/relationships" ref="AE1403" r:id="rId2801"/>
    <hyperlink xmlns:r="http://schemas.openxmlformats.org/officeDocument/2006/relationships" ref="AF1403" r:id="rId2802"/>
    <hyperlink xmlns:r="http://schemas.openxmlformats.org/officeDocument/2006/relationships" ref="AE1404" r:id="rId2803"/>
    <hyperlink xmlns:r="http://schemas.openxmlformats.org/officeDocument/2006/relationships" ref="AF1404" r:id="rId2804"/>
    <hyperlink xmlns:r="http://schemas.openxmlformats.org/officeDocument/2006/relationships" ref="AE1405" r:id="rId2805"/>
    <hyperlink xmlns:r="http://schemas.openxmlformats.org/officeDocument/2006/relationships" ref="AF1405" r:id="rId2806"/>
    <hyperlink xmlns:r="http://schemas.openxmlformats.org/officeDocument/2006/relationships" ref="AE1406" r:id="rId2807"/>
    <hyperlink xmlns:r="http://schemas.openxmlformats.org/officeDocument/2006/relationships" ref="AF1406" r:id="rId2808"/>
    <hyperlink xmlns:r="http://schemas.openxmlformats.org/officeDocument/2006/relationships" ref="AE1407" r:id="rId2809"/>
    <hyperlink xmlns:r="http://schemas.openxmlformats.org/officeDocument/2006/relationships" ref="AF1407" r:id="rId2810"/>
    <hyperlink xmlns:r="http://schemas.openxmlformats.org/officeDocument/2006/relationships" ref="AE1408" r:id="rId2811"/>
    <hyperlink xmlns:r="http://schemas.openxmlformats.org/officeDocument/2006/relationships" ref="AF1408" r:id="rId2812"/>
    <hyperlink xmlns:r="http://schemas.openxmlformats.org/officeDocument/2006/relationships" ref="AE1409" r:id="rId2813"/>
    <hyperlink xmlns:r="http://schemas.openxmlformats.org/officeDocument/2006/relationships" ref="AF1409" r:id="rId2814"/>
    <hyperlink xmlns:r="http://schemas.openxmlformats.org/officeDocument/2006/relationships" ref="AE1410" r:id="rId2815"/>
    <hyperlink xmlns:r="http://schemas.openxmlformats.org/officeDocument/2006/relationships" ref="AF1410" r:id="rId2816"/>
    <hyperlink xmlns:r="http://schemas.openxmlformats.org/officeDocument/2006/relationships" ref="AE1411" r:id="rId2817"/>
    <hyperlink xmlns:r="http://schemas.openxmlformats.org/officeDocument/2006/relationships" ref="AF1411" r:id="rId2818"/>
    <hyperlink xmlns:r="http://schemas.openxmlformats.org/officeDocument/2006/relationships" ref="AE1412" r:id="rId2819"/>
    <hyperlink xmlns:r="http://schemas.openxmlformats.org/officeDocument/2006/relationships" ref="AF1412" r:id="rId2820"/>
    <hyperlink xmlns:r="http://schemas.openxmlformats.org/officeDocument/2006/relationships" ref="AE1413" r:id="rId2821"/>
    <hyperlink xmlns:r="http://schemas.openxmlformats.org/officeDocument/2006/relationships" ref="AF1413" r:id="rId2822"/>
    <hyperlink xmlns:r="http://schemas.openxmlformats.org/officeDocument/2006/relationships" ref="AE1414" r:id="rId2823"/>
    <hyperlink xmlns:r="http://schemas.openxmlformats.org/officeDocument/2006/relationships" ref="AF1414" r:id="rId2824"/>
    <hyperlink xmlns:r="http://schemas.openxmlformats.org/officeDocument/2006/relationships" ref="AE1415" r:id="rId2825"/>
    <hyperlink xmlns:r="http://schemas.openxmlformats.org/officeDocument/2006/relationships" ref="AF1415" r:id="rId2826"/>
    <hyperlink xmlns:r="http://schemas.openxmlformats.org/officeDocument/2006/relationships" ref="AE1416" r:id="rId2827"/>
    <hyperlink xmlns:r="http://schemas.openxmlformats.org/officeDocument/2006/relationships" ref="AF1416" r:id="rId2828"/>
    <hyperlink xmlns:r="http://schemas.openxmlformats.org/officeDocument/2006/relationships" ref="AE1417" r:id="rId2829"/>
    <hyperlink xmlns:r="http://schemas.openxmlformats.org/officeDocument/2006/relationships" ref="AF1417" r:id="rId2830"/>
    <hyperlink xmlns:r="http://schemas.openxmlformats.org/officeDocument/2006/relationships" ref="AE1418" r:id="rId2831"/>
    <hyperlink xmlns:r="http://schemas.openxmlformats.org/officeDocument/2006/relationships" ref="AF1418" r:id="rId2832"/>
    <hyperlink xmlns:r="http://schemas.openxmlformats.org/officeDocument/2006/relationships" ref="AE1419" r:id="rId2833"/>
    <hyperlink xmlns:r="http://schemas.openxmlformats.org/officeDocument/2006/relationships" ref="AF1419" r:id="rId2834"/>
    <hyperlink xmlns:r="http://schemas.openxmlformats.org/officeDocument/2006/relationships" ref="AE1420" r:id="rId2835"/>
    <hyperlink xmlns:r="http://schemas.openxmlformats.org/officeDocument/2006/relationships" ref="AF1420" r:id="rId2836"/>
    <hyperlink xmlns:r="http://schemas.openxmlformats.org/officeDocument/2006/relationships" ref="AE1421" r:id="rId2837"/>
    <hyperlink xmlns:r="http://schemas.openxmlformats.org/officeDocument/2006/relationships" ref="AF1421" r:id="rId2838"/>
    <hyperlink xmlns:r="http://schemas.openxmlformats.org/officeDocument/2006/relationships" ref="AE1422" r:id="rId2839"/>
    <hyperlink xmlns:r="http://schemas.openxmlformats.org/officeDocument/2006/relationships" ref="AF1422" r:id="rId2840"/>
    <hyperlink xmlns:r="http://schemas.openxmlformats.org/officeDocument/2006/relationships" ref="AE1423" r:id="rId2841"/>
    <hyperlink xmlns:r="http://schemas.openxmlformats.org/officeDocument/2006/relationships" ref="AF1423" r:id="rId2842"/>
    <hyperlink xmlns:r="http://schemas.openxmlformats.org/officeDocument/2006/relationships" ref="AE1424" r:id="rId2843"/>
    <hyperlink xmlns:r="http://schemas.openxmlformats.org/officeDocument/2006/relationships" ref="AF1424" r:id="rId2844"/>
    <hyperlink xmlns:r="http://schemas.openxmlformats.org/officeDocument/2006/relationships" ref="AE1425" r:id="rId2845"/>
    <hyperlink xmlns:r="http://schemas.openxmlformats.org/officeDocument/2006/relationships" ref="AF1425" r:id="rId2846"/>
    <hyperlink xmlns:r="http://schemas.openxmlformats.org/officeDocument/2006/relationships" ref="AE1426" r:id="rId2847"/>
    <hyperlink xmlns:r="http://schemas.openxmlformats.org/officeDocument/2006/relationships" ref="AF1426" r:id="rId2848"/>
    <hyperlink xmlns:r="http://schemas.openxmlformats.org/officeDocument/2006/relationships" ref="AE1427" r:id="rId2849"/>
    <hyperlink xmlns:r="http://schemas.openxmlformats.org/officeDocument/2006/relationships" ref="AF1427" r:id="rId2850"/>
    <hyperlink xmlns:r="http://schemas.openxmlformats.org/officeDocument/2006/relationships" ref="AE1428" r:id="rId2851"/>
    <hyperlink xmlns:r="http://schemas.openxmlformats.org/officeDocument/2006/relationships" ref="AF1428" r:id="rId2852"/>
    <hyperlink xmlns:r="http://schemas.openxmlformats.org/officeDocument/2006/relationships" ref="AE1429" r:id="rId2853"/>
    <hyperlink xmlns:r="http://schemas.openxmlformats.org/officeDocument/2006/relationships" ref="AF1429" r:id="rId2854"/>
    <hyperlink xmlns:r="http://schemas.openxmlformats.org/officeDocument/2006/relationships" ref="AE1430" r:id="rId2855"/>
    <hyperlink xmlns:r="http://schemas.openxmlformats.org/officeDocument/2006/relationships" ref="AF1430" r:id="rId2856"/>
    <hyperlink xmlns:r="http://schemas.openxmlformats.org/officeDocument/2006/relationships" ref="AE1431" r:id="rId2857"/>
    <hyperlink xmlns:r="http://schemas.openxmlformats.org/officeDocument/2006/relationships" ref="AF1431" r:id="rId2858"/>
    <hyperlink xmlns:r="http://schemas.openxmlformats.org/officeDocument/2006/relationships" ref="AE1432" r:id="rId2859"/>
    <hyperlink xmlns:r="http://schemas.openxmlformats.org/officeDocument/2006/relationships" ref="AF1432" r:id="rId2860"/>
    <hyperlink xmlns:r="http://schemas.openxmlformats.org/officeDocument/2006/relationships" ref="AE1433" r:id="rId2861"/>
    <hyperlink xmlns:r="http://schemas.openxmlformats.org/officeDocument/2006/relationships" ref="AF1433" r:id="rId2862"/>
    <hyperlink xmlns:r="http://schemas.openxmlformats.org/officeDocument/2006/relationships" ref="AE1434" r:id="rId2863"/>
    <hyperlink xmlns:r="http://schemas.openxmlformats.org/officeDocument/2006/relationships" ref="AF1434" r:id="rId2864"/>
    <hyperlink xmlns:r="http://schemas.openxmlformats.org/officeDocument/2006/relationships" ref="AE1435" r:id="rId2865"/>
    <hyperlink xmlns:r="http://schemas.openxmlformats.org/officeDocument/2006/relationships" ref="AF1435" r:id="rId2866"/>
    <hyperlink xmlns:r="http://schemas.openxmlformats.org/officeDocument/2006/relationships" ref="AE1436" r:id="rId2867"/>
    <hyperlink xmlns:r="http://schemas.openxmlformats.org/officeDocument/2006/relationships" ref="AF1436" r:id="rId2868"/>
    <hyperlink xmlns:r="http://schemas.openxmlformats.org/officeDocument/2006/relationships" ref="AE1437" r:id="rId2869"/>
    <hyperlink xmlns:r="http://schemas.openxmlformats.org/officeDocument/2006/relationships" ref="AF1437" r:id="rId2870"/>
    <hyperlink xmlns:r="http://schemas.openxmlformats.org/officeDocument/2006/relationships" ref="AE1438" r:id="rId2871"/>
    <hyperlink xmlns:r="http://schemas.openxmlformats.org/officeDocument/2006/relationships" ref="AF1438" r:id="rId2872"/>
    <hyperlink xmlns:r="http://schemas.openxmlformats.org/officeDocument/2006/relationships" ref="AE1439" r:id="rId2873"/>
    <hyperlink xmlns:r="http://schemas.openxmlformats.org/officeDocument/2006/relationships" ref="AF1439" r:id="rId2874"/>
    <hyperlink xmlns:r="http://schemas.openxmlformats.org/officeDocument/2006/relationships" ref="AE1440" r:id="rId2875"/>
    <hyperlink xmlns:r="http://schemas.openxmlformats.org/officeDocument/2006/relationships" ref="AF1440" r:id="rId2876"/>
    <hyperlink xmlns:r="http://schemas.openxmlformats.org/officeDocument/2006/relationships" ref="AE1441" r:id="rId2877"/>
    <hyperlink xmlns:r="http://schemas.openxmlformats.org/officeDocument/2006/relationships" ref="AF1441" r:id="rId2878"/>
    <hyperlink xmlns:r="http://schemas.openxmlformats.org/officeDocument/2006/relationships" ref="AE1442" r:id="rId2879"/>
    <hyperlink xmlns:r="http://schemas.openxmlformats.org/officeDocument/2006/relationships" ref="AF1442" r:id="rId2880"/>
    <hyperlink xmlns:r="http://schemas.openxmlformats.org/officeDocument/2006/relationships" ref="AE1443" r:id="rId2881"/>
    <hyperlink xmlns:r="http://schemas.openxmlformats.org/officeDocument/2006/relationships" ref="AF1443" r:id="rId2882"/>
    <hyperlink xmlns:r="http://schemas.openxmlformats.org/officeDocument/2006/relationships" ref="AE1444" r:id="rId2883"/>
    <hyperlink xmlns:r="http://schemas.openxmlformats.org/officeDocument/2006/relationships" ref="AF1444" r:id="rId2884"/>
    <hyperlink xmlns:r="http://schemas.openxmlformats.org/officeDocument/2006/relationships" ref="AE1445" r:id="rId2885"/>
    <hyperlink xmlns:r="http://schemas.openxmlformats.org/officeDocument/2006/relationships" ref="AF1445" r:id="rId2886"/>
    <hyperlink xmlns:r="http://schemas.openxmlformats.org/officeDocument/2006/relationships" ref="AE1446" r:id="rId2887"/>
    <hyperlink xmlns:r="http://schemas.openxmlformats.org/officeDocument/2006/relationships" ref="AF1446" r:id="rId2888"/>
    <hyperlink xmlns:r="http://schemas.openxmlformats.org/officeDocument/2006/relationships" ref="AE1447" r:id="rId2889"/>
    <hyperlink xmlns:r="http://schemas.openxmlformats.org/officeDocument/2006/relationships" ref="AF1447" r:id="rId2890"/>
    <hyperlink xmlns:r="http://schemas.openxmlformats.org/officeDocument/2006/relationships" ref="AE1448" r:id="rId2891"/>
    <hyperlink xmlns:r="http://schemas.openxmlformats.org/officeDocument/2006/relationships" ref="AF1448" r:id="rId2892"/>
    <hyperlink xmlns:r="http://schemas.openxmlformats.org/officeDocument/2006/relationships" ref="AE1449" r:id="rId2893"/>
    <hyperlink xmlns:r="http://schemas.openxmlformats.org/officeDocument/2006/relationships" ref="AF1449" r:id="rId2894"/>
    <hyperlink xmlns:r="http://schemas.openxmlformats.org/officeDocument/2006/relationships" ref="AE1450" r:id="rId2895"/>
    <hyperlink xmlns:r="http://schemas.openxmlformats.org/officeDocument/2006/relationships" ref="AF1450" r:id="rId2896"/>
    <hyperlink xmlns:r="http://schemas.openxmlformats.org/officeDocument/2006/relationships" ref="AE1451" r:id="rId2897"/>
    <hyperlink xmlns:r="http://schemas.openxmlformats.org/officeDocument/2006/relationships" ref="AF1451" r:id="rId2898"/>
    <hyperlink xmlns:r="http://schemas.openxmlformats.org/officeDocument/2006/relationships" ref="AE1452" r:id="rId2899"/>
    <hyperlink xmlns:r="http://schemas.openxmlformats.org/officeDocument/2006/relationships" ref="AF1452" r:id="rId2900"/>
    <hyperlink xmlns:r="http://schemas.openxmlformats.org/officeDocument/2006/relationships" ref="AE1453" r:id="rId2901"/>
    <hyperlink xmlns:r="http://schemas.openxmlformats.org/officeDocument/2006/relationships" ref="AF1453" r:id="rId2902"/>
    <hyperlink xmlns:r="http://schemas.openxmlformats.org/officeDocument/2006/relationships" ref="AE1454" r:id="rId2903"/>
    <hyperlink xmlns:r="http://schemas.openxmlformats.org/officeDocument/2006/relationships" ref="AF1454" r:id="rId2904"/>
    <hyperlink xmlns:r="http://schemas.openxmlformats.org/officeDocument/2006/relationships" ref="AE1455" r:id="rId2905"/>
    <hyperlink xmlns:r="http://schemas.openxmlformats.org/officeDocument/2006/relationships" ref="AF1455" r:id="rId2906"/>
    <hyperlink xmlns:r="http://schemas.openxmlformats.org/officeDocument/2006/relationships" ref="AE1456" r:id="rId2907"/>
    <hyperlink xmlns:r="http://schemas.openxmlformats.org/officeDocument/2006/relationships" ref="AF1456" r:id="rId2908"/>
    <hyperlink xmlns:r="http://schemas.openxmlformats.org/officeDocument/2006/relationships" ref="AE1457" r:id="rId2909"/>
    <hyperlink xmlns:r="http://schemas.openxmlformats.org/officeDocument/2006/relationships" ref="AF1457" r:id="rId2910"/>
    <hyperlink xmlns:r="http://schemas.openxmlformats.org/officeDocument/2006/relationships" ref="AE1458" r:id="rId2911"/>
    <hyperlink xmlns:r="http://schemas.openxmlformats.org/officeDocument/2006/relationships" ref="AF1458" r:id="rId2912"/>
    <hyperlink xmlns:r="http://schemas.openxmlformats.org/officeDocument/2006/relationships" ref="AE1459" r:id="rId2913"/>
    <hyperlink xmlns:r="http://schemas.openxmlformats.org/officeDocument/2006/relationships" ref="AF1459" r:id="rId2914"/>
    <hyperlink xmlns:r="http://schemas.openxmlformats.org/officeDocument/2006/relationships" ref="AE1460" r:id="rId2915"/>
    <hyperlink xmlns:r="http://schemas.openxmlformats.org/officeDocument/2006/relationships" ref="AF1460" r:id="rId2916"/>
    <hyperlink xmlns:r="http://schemas.openxmlformats.org/officeDocument/2006/relationships" ref="AE1461" r:id="rId2917"/>
    <hyperlink xmlns:r="http://schemas.openxmlformats.org/officeDocument/2006/relationships" ref="AF1461" r:id="rId2918"/>
    <hyperlink xmlns:r="http://schemas.openxmlformats.org/officeDocument/2006/relationships" ref="AE1462" r:id="rId2919"/>
    <hyperlink xmlns:r="http://schemas.openxmlformats.org/officeDocument/2006/relationships" ref="AF1462" r:id="rId2920"/>
    <hyperlink xmlns:r="http://schemas.openxmlformats.org/officeDocument/2006/relationships" ref="AE1463" r:id="rId2921"/>
    <hyperlink xmlns:r="http://schemas.openxmlformats.org/officeDocument/2006/relationships" ref="AF1463" r:id="rId2922"/>
    <hyperlink xmlns:r="http://schemas.openxmlformats.org/officeDocument/2006/relationships" ref="AE1464" r:id="rId2923"/>
    <hyperlink xmlns:r="http://schemas.openxmlformats.org/officeDocument/2006/relationships" ref="AF1464" r:id="rId2924"/>
    <hyperlink xmlns:r="http://schemas.openxmlformats.org/officeDocument/2006/relationships" ref="AE1465" r:id="rId2925"/>
    <hyperlink xmlns:r="http://schemas.openxmlformats.org/officeDocument/2006/relationships" ref="AF1465" r:id="rId2926"/>
    <hyperlink xmlns:r="http://schemas.openxmlformats.org/officeDocument/2006/relationships" ref="AE1466" r:id="rId2927"/>
    <hyperlink xmlns:r="http://schemas.openxmlformats.org/officeDocument/2006/relationships" ref="AF1466" r:id="rId2928"/>
    <hyperlink xmlns:r="http://schemas.openxmlformats.org/officeDocument/2006/relationships" ref="AE1467" r:id="rId2929"/>
    <hyperlink xmlns:r="http://schemas.openxmlformats.org/officeDocument/2006/relationships" ref="AF1467" r:id="rId2930"/>
    <hyperlink xmlns:r="http://schemas.openxmlformats.org/officeDocument/2006/relationships" ref="AE1468" r:id="rId2931"/>
    <hyperlink xmlns:r="http://schemas.openxmlformats.org/officeDocument/2006/relationships" ref="AF1468" r:id="rId2932"/>
    <hyperlink xmlns:r="http://schemas.openxmlformats.org/officeDocument/2006/relationships" ref="AE1469" r:id="rId2933"/>
    <hyperlink xmlns:r="http://schemas.openxmlformats.org/officeDocument/2006/relationships" ref="AF1469" r:id="rId2934"/>
    <hyperlink xmlns:r="http://schemas.openxmlformats.org/officeDocument/2006/relationships" ref="AE1470" r:id="rId2935"/>
    <hyperlink xmlns:r="http://schemas.openxmlformats.org/officeDocument/2006/relationships" ref="AF1470" r:id="rId2936"/>
    <hyperlink xmlns:r="http://schemas.openxmlformats.org/officeDocument/2006/relationships" ref="AE1471" r:id="rId2937"/>
    <hyperlink xmlns:r="http://schemas.openxmlformats.org/officeDocument/2006/relationships" ref="AF1471" r:id="rId2938"/>
    <hyperlink xmlns:r="http://schemas.openxmlformats.org/officeDocument/2006/relationships" ref="AE1472" r:id="rId2939"/>
    <hyperlink xmlns:r="http://schemas.openxmlformats.org/officeDocument/2006/relationships" ref="AF1472" r:id="rId2940"/>
    <hyperlink xmlns:r="http://schemas.openxmlformats.org/officeDocument/2006/relationships" ref="AE1473" r:id="rId2941"/>
    <hyperlink xmlns:r="http://schemas.openxmlformats.org/officeDocument/2006/relationships" ref="AF1473" r:id="rId2942"/>
    <hyperlink xmlns:r="http://schemas.openxmlformats.org/officeDocument/2006/relationships" ref="AE1474" r:id="rId2943"/>
    <hyperlink xmlns:r="http://schemas.openxmlformats.org/officeDocument/2006/relationships" ref="AF1474" r:id="rId2944"/>
    <hyperlink xmlns:r="http://schemas.openxmlformats.org/officeDocument/2006/relationships" ref="AE1475" r:id="rId2945"/>
    <hyperlink xmlns:r="http://schemas.openxmlformats.org/officeDocument/2006/relationships" ref="AF1475" r:id="rId2946"/>
    <hyperlink xmlns:r="http://schemas.openxmlformats.org/officeDocument/2006/relationships" ref="AE1476" r:id="rId2947"/>
    <hyperlink xmlns:r="http://schemas.openxmlformats.org/officeDocument/2006/relationships" ref="AF1476" r:id="rId2948"/>
    <hyperlink xmlns:r="http://schemas.openxmlformats.org/officeDocument/2006/relationships" ref="AE1477" r:id="rId2949"/>
    <hyperlink xmlns:r="http://schemas.openxmlformats.org/officeDocument/2006/relationships" ref="AF1477" r:id="rId2950"/>
    <hyperlink xmlns:r="http://schemas.openxmlformats.org/officeDocument/2006/relationships" ref="AE1478" r:id="rId2951"/>
    <hyperlink xmlns:r="http://schemas.openxmlformats.org/officeDocument/2006/relationships" ref="AF1478" r:id="rId2952"/>
    <hyperlink xmlns:r="http://schemas.openxmlformats.org/officeDocument/2006/relationships" ref="AE1479" r:id="rId2953"/>
    <hyperlink xmlns:r="http://schemas.openxmlformats.org/officeDocument/2006/relationships" ref="AF1479" r:id="rId2954"/>
    <hyperlink xmlns:r="http://schemas.openxmlformats.org/officeDocument/2006/relationships" ref="AE1480" r:id="rId2955"/>
    <hyperlink xmlns:r="http://schemas.openxmlformats.org/officeDocument/2006/relationships" ref="AF1480" r:id="rId2956"/>
    <hyperlink xmlns:r="http://schemas.openxmlformats.org/officeDocument/2006/relationships" ref="AE1481" r:id="rId2957"/>
    <hyperlink xmlns:r="http://schemas.openxmlformats.org/officeDocument/2006/relationships" ref="AF1481" r:id="rId2958"/>
    <hyperlink xmlns:r="http://schemas.openxmlformats.org/officeDocument/2006/relationships" ref="AE1482" r:id="rId2959"/>
    <hyperlink xmlns:r="http://schemas.openxmlformats.org/officeDocument/2006/relationships" ref="AF1482" r:id="rId2960"/>
    <hyperlink xmlns:r="http://schemas.openxmlformats.org/officeDocument/2006/relationships" ref="AE1483" r:id="rId2961"/>
    <hyperlink xmlns:r="http://schemas.openxmlformats.org/officeDocument/2006/relationships" ref="AF1483" r:id="rId2962"/>
    <hyperlink xmlns:r="http://schemas.openxmlformats.org/officeDocument/2006/relationships" ref="AE1484" r:id="rId2963"/>
    <hyperlink xmlns:r="http://schemas.openxmlformats.org/officeDocument/2006/relationships" ref="AF1484" r:id="rId2964"/>
    <hyperlink xmlns:r="http://schemas.openxmlformats.org/officeDocument/2006/relationships" ref="AE1485" r:id="rId2965"/>
    <hyperlink xmlns:r="http://schemas.openxmlformats.org/officeDocument/2006/relationships" ref="AF1485" r:id="rId2966"/>
    <hyperlink xmlns:r="http://schemas.openxmlformats.org/officeDocument/2006/relationships" ref="AE1486" r:id="rId2967"/>
    <hyperlink xmlns:r="http://schemas.openxmlformats.org/officeDocument/2006/relationships" ref="AF1486" r:id="rId2968"/>
    <hyperlink xmlns:r="http://schemas.openxmlformats.org/officeDocument/2006/relationships" ref="AE1487" r:id="rId2969"/>
    <hyperlink xmlns:r="http://schemas.openxmlformats.org/officeDocument/2006/relationships" ref="AF1487" r:id="rId2970"/>
    <hyperlink xmlns:r="http://schemas.openxmlformats.org/officeDocument/2006/relationships" ref="AE1488" r:id="rId2971"/>
    <hyperlink xmlns:r="http://schemas.openxmlformats.org/officeDocument/2006/relationships" ref="AF1488" r:id="rId2972"/>
    <hyperlink xmlns:r="http://schemas.openxmlformats.org/officeDocument/2006/relationships" ref="AE1489" r:id="rId2973"/>
    <hyperlink xmlns:r="http://schemas.openxmlformats.org/officeDocument/2006/relationships" ref="AF1489" r:id="rId2974"/>
    <hyperlink xmlns:r="http://schemas.openxmlformats.org/officeDocument/2006/relationships" ref="AE1490" r:id="rId2975"/>
    <hyperlink xmlns:r="http://schemas.openxmlformats.org/officeDocument/2006/relationships" ref="AF1490" r:id="rId2976"/>
    <hyperlink xmlns:r="http://schemas.openxmlformats.org/officeDocument/2006/relationships" ref="AE1491" r:id="rId2977"/>
    <hyperlink xmlns:r="http://schemas.openxmlformats.org/officeDocument/2006/relationships" ref="AF1491" r:id="rId2978"/>
    <hyperlink xmlns:r="http://schemas.openxmlformats.org/officeDocument/2006/relationships" ref="AE1492" r:id="rId2979"/>
    <hyperlink xmlns:r="http://schemas.openxmlformats.org/officeDocument/2006/relationships" ref="AF1492" r:id="rId2980"/>
    <hyperlink xmlns:r="http://schemas.openxmlformats.org/officeDocument/2006/relationships" ref="AE1493" r:id="rId2981"/>
    <hyperlink xmlns:r="http://schemas.openxmlformats.org/officeDocument/2006/relationships" ref="AF1493" r:id="rId2982"/>
    <hyperlink xmlns:r="http://schemas.openxmlformats.org/officeDocument/2006/relationships" ref="AE1494" r:id="rId2983"/>
    <hyperlink xmlns:r="http://schemas.openxmlformats.org/officeDocument/2006/relationships" ref="AF1494" r:id="rId2984"/>
    <hyperlink xmlns:r="http://schemas.openxmlformats.org/officeDocument/2006/relationships" ref="AE1495" r:id="rId2985"/>
    <hyperlink xmlns:r="http://schemas.openxmlformats.org/officeDocument/2006/relationships" ref="AF1495" r:id="rId2986"/>
    <hyperlink xmlns:r="http://schemas.openxmlformats.org/officeDocument/2006/relationships" ref="AE1496" r:id="rId2987"/>
    <hyperlink xmlns:r="http://schemas.openxmlformats.org/officeDocument/2006/relationships" ref="AF1496" r:id="rId2988"/>
    <hyperlink xmlns:r="http://schemas.openxmlformats.org/officeDocument/2006/relationships" ref="AE1497" r:id="rId2989"/>
    <hyperlink xmlns:r="http://schemas.openxmlformats.org/officeDocument/2006/relationships" ref="AF1497" r:id="rId2990"/>
    <hyperlink xmlns:r="http://schemas.openxmlformats.org/officeDocument/2006/relationships" ref="AE1498" r:id="rId2991"/>
    <hyperlink xmlns:r="http://schemas.openxmlformats.org/officeDocument/2006/relationships" ref="AF1498" r:id="rId2992"/>
    <hyperlink xmlns:r="http://schemas.openxmlformats.org/officeDocument/2006/relationships" ref="AE1499" r:id="rId2993"/>
    <hyperlink xmlns:r="http://schemas.openxmlformats.org/officeDocument/2006/relationships" ref="AF1499" r:id="rId2994"/>
    <hyperlink xmlns:r="http://schemas.openxmlformats.org/officeDocument/2006/relationships" ref="AE1500" r:id="rId2995"/>
    <hyperlink xmlns:r="http://schemas.openxmlformats.org/officeDocument/2006/relationships" ref="AF1500" r:id="rId2996"/>
    <hyperlink xmlns:r="http://schemas.openxmlformats.org/officeDocument/2006/relationships" ref="AE1501" r:id="rId2997"/>
    <hyperlink xmlns:r="http://schemas.openxmlformats.org/officeDocument/2006/relationships" ref="AF1501" r:id="rId2998"/>
    <hyperlink xmlns:r="http://schemas.openxmlformats.org/officeDocument/2006/relationships" ref="AE1502" r:id="rId2999"/>
    <hyperlink xmlns:r="http://schemas.openxmlformats.org/officeDocument/2006/relationships" ref="AF1502" r:id="rId3000"/>
    <hyperlink xmlns:r="http://schemas.openxmlformats.org/officeDocument/2006/relationships" ref="AE1503" r:id="rId3001"/>
    <hyperlink xmlns:r="http://schemas.openxmlformats.org/officeDocument/2006/relationships" ref="AF1503" r:id="rId3002"/>
    <hyperlink xmlns:r="http://schemas.openxmlformats.org/officeDocument/2006/relationships" ref="AE1504" r:id="rId3003"/>
    <hyperlink xmlns:r="http://schemas.openxmlformats.org/officeDocument/2006/relationships" ref="AF1504" r:id="rId3004"/>
    <hyperlink xmlns:r="http://schemas.openxmlformats.org/officeDocument/2006/relationships" ref="AE1505" r:id="rId3005"/>
    <hyperlink xmlns:r="http://schemas.openxmlformats.org/officeDocument/2006/relationships" ref="AF1505" r:id="rId3006"/>
    <hyperlink xmlns:r="http://schemas.openxmlformats.org/officeDocument/2006/relationships" ref="AE1506" r:id="rId3007"/>
    <hyperlink xmlns:r="http://schemas.openxmlformats.org/officeDocument/2006/relationships" ref="AF1506" r:id="rId3008"/>
    <hyperlink xmlns:r="http://schemas.openxmlformats.org/officeDocument/2006/relationships" ref="AE1507" r:id="rId3009"/>
    <hyperlink xmlns:r="http://schemas.openxmlformats.org/officeDocument/2006/relationships" ref="AF1507" r:id="rId3010"/>
    <hyperlink xmlns:r="http://schemas.openxmlformats.org/officeDocument/2006/relationships" ref="AE1508" r:id="rId3011"/>
    <hyperlink xmlns:r="http://schemas.openxmlformats.org/officeDocument/2006/relationships" ref="AF1508" r:id="rId3012"/>
    <hyperlink xmlns:r="http://schemas.openxmlformats.org/officeDocument/2006/relationships" ref="AE1509" r:id="rId3013"/>
    <hyperlink xmlns:r="http://schemas.openxmlformats.org/officeDocument/2006/relationships" ref="AF1509" r:id="rId3014"/>
    <hyperlink xmlns:r="http://schemas.openxmlformats.org/officeDocument/2006/relationships" ref="AE1510" r:id="rId3015"/>
    <hyperlink xmlns:r="http://schemas.openxmlformats.org/officeDocument/2006/relationships" ref="AF1510" r:id="rId3016"/>
    <hyperlink xmlns:r="http://schemas.openxmlformats.org/officeDocument/2006/relationships" ref="AE1511" r:id="rId3017"/>
    <hyperlink xmlns:r="http://schemas.openxmlformats.org/officeDocument/2006/relationships" ref="AF1511" r:id="rId3018"/>
    <hyperlink xmlns:r="http://schemas.openxmlformats.org/officeDocument/2006/relationships" ref="AE1512" r:id="rId3019"/>
    <hyperlink xmlns:r="http://schemas.openxmlformats.org/officeDocument/2006/relationships" ref="AF1512" r:id="rId3020"/>
    <hyperlink xmlns:r="http://schemas.openxmlformats.org/officeDocument/2006/relationships" ref="AE1513" r:id="rId3021"/>
    <hyperlink xmlns:r="http://schemas.openxmlformats.org/officeDocument/2006/relationships" ref="AF1513" r:id="rId3022"/>
    <hyperlink xmlns:r="http://schemas.openxmlformats.org/officeDocument/2006/relationships" ref="AE1514" r:id="rId3023"/>
    <hyperlink xmlns:r="http://schemas.openxmlformats.org/officeDocument/2006/relationships" ref="AF1514" r:id="rId3024"/>
    <hyperlink xmlns:r="http://schemas.openxmlformats.org/officeDocument/2006/relationships" ref="AE1515" r:id="rId3025"/>
    <hyperlink xmlns:r="http://schemas.openxmlformats.org/officeDocument/2006/relationships" ref="AF1515" r:id="rId3026"/>
    <hyperlink xmlns:r="http://schemas.openxmlformats.org/officeDocument/2006/relationships" ref="AE1516" r:id="rId3027"/>
    <hyperlink xmlns:r="http://schemas.openxmlformats.org/officeDocument/2006/relationships" ref="AF1516" r:id="rId3028"/>
    <hyperlink xmlns:r="http://schemas.openxmlformats.org/officeDocument/2006/relationships" ref="AE1517" r:id="rId3029"/>
    <hyperlink xmlns:r="http://schemas.openxmlformats.org/officeDocument/2006/relationships" ref="AF1517" r:id="rId3030"/>
    <hyperlink xmlns:r="http://schemas.openxmlformats.org/officeDocument/2006/relationships" ref="AE1518" r:id="rId3031"/>
    <hyperlink xmlns:r="http://schemas.openxmlformats.org/officeDocument/2006/relationships" ref="AF1518" r:id="rId3032"/>
    <hyperlink xmlns:r="http://schemas.openxmlformats.org/officeDocument/2006/relationships" ref="AE1519" r:id="rId3033"/>
    <hyperlink xmlns:r="http://schemas.openxmlformats.org/officeDocument/2006/relationships" ref="AF1519" r:id="rId3034"/>
    <hyperlink xmlns:r="http://schemas.openxmlformats.org/officeDocument/2006/relationships" ref="AE1520" r:id="rId3035"/>
    <hyperlink xmlns:r="http://schemas.openxmlformats.org/officeDocument/2006/relationships" ref="AF1520" r:id="rId3036"/>
    <hyperlink xmlns:r="http://schemas.openxmlformats.org/officeDocument/2006/relationships" ref="AE1521" r:id="rId3037"/>
    <hyperlink xmlns:r="http://schemas.openxmlformats.org/officeDocument/2006/relationships" ref="AF1521" r:id="rId3038"/>
    <hyperlink xmlns:r="http://schemas.openxmlformats.org/officeDocument/2006/relationships" ref="AE1522" r:id="rId3039"/>
    <hyperlink xmlns:r="http://schemas.openxmlformats.org/officeDocument/2006/relationships" ref="AF1522" r:id="rId3040"/>
    <hyperlink xmlns:r="http://schemas.openxmlformats.org/officeDocument/2006/relationships" ref="AE1523" r:id="rId3041"/>
    <hyperlink xmlns:r="http://schemas.openxmlformats.org/officeDocument/2006/relationships" ref="AF1523" r:id="rId3042"/>
    <hyperlink xmlns:r="http://schemas.openxmlformats.org/officeDocument/2006/relationships" ref="AE1524" r:id="rId3043"/>
    <hyperlink xmlns:r="http://schemas.openxmlformats.org/officeDocument/2006/relationships" ref="AF1524" r:id="rId3044"/>
    <hyperlink xmlns:r="http://schemas.openxmlformats.org/officeDocument/2006/relationships" ref="AE1525" r:id="rId3045"/>
    <hyperlink xmlns:r="http://schemas.openxmlformats.org/officeDocument/2006/relationships" ref="AF1525" r:id="rId3046"/>
    <hyperlink xmlns:r="http://schemas.openxmlformats.org/officeDocument/2006/relationships" ref="AE1526" r:id="rId3047"/>
    <hyperlink xmlns:r="http://schemas.openxmlformats.org/officeDocument/2006/relationships" ref="AF1526" r:id="rId3048"/>
    <hyperlink xmlns:r="http://schemas.openxmlformats.org/officeDocument/2006/relationships" ref="AE1527" r:id="rId3049"/>
    <hyperlink xmlns:r="http://schemas.openxmlformats.org/officeDocument/2006/relationships" ref="AF1527" r:id="rId3050"/>
    <hyperlink xmlns:r="http://schemas.openxmlformats.org/officeDocument/2006/relationships" ref="AE1528" r:id="rId3051"/>
    <hyperlink xmlns:r="http://schemas.openxmlformats.org/officeDocument/2006/relationships" ref="AF1528" r:id="rId3052"/>
    <hyperlink xmlns:r="http://schemas.openxmlformats.org/officeDocument/2006/relationships" ref="AE1529" r:id="rId3053"/>
    <hyperlink xmlns:r="http://schemas.openxmlformats.org/officeDocument/2006/relationships" ref="AF1529" r:id="rId3054"/>
    <hyperlink xmlns:r="http://schemas.openxmlformats.org/officeDocument/2006/relationships" ref="AE1530" r:id="rId3055"/>
    <hyperlink xmlns:r="http://schemas.openxmlformats.org/officeDocument/2006/relationships" ref="AF1530" r:id="rId3056"/>
    <hyperlink xmlns:r="http://schemas.openxmlformats.org/officeDocument/2006/relationships" ref="AE1531" r:id="rId3057"/>
    <hyperlink xmlns:r="http://schemas.openxmlformats.org/officeDocument/2006/relationships" ref="AF1531" r:id="rId3058"/>
    <hyperlink xmlns:r="http://schemas.openxmlformats.org/officeDocument/2006/relationships" ref="AE1532" r:id="rId3059"/>
    <hyperlink xmlns:r="http://schemas.openxmlformats.org/officeDocument/2006/relationships" ref="AF1532" r:id="rId3060"/>
    <hyperlink xmlns:r="http://schemas.openxmlformats.org/officeDocument/2006/relationships" ref="AE1533" r:id="rId3061"/>
    <hyperlink xmlns:r="http://schemas.openxmlformats.org/officeDocument/2006/relationships" ref="AF1533" r:id="rId3062"/>
    <hyperlink xmlns:r="http://schemas.openxmlformats.org/officeDocument/2006/relationships" ref="AE1534" r:id="rId3063"/>
    <hyperlink xmlns:r="http://schemas.openxmlformats.org/officeDocument/2006/relationships" ref="AF1534" r:id="rId3064"/>
    <hyperlink xmlns:r="http://schemas.openxmlformats.org/officeDocument/2006/relationships" ref="AE1535" r:id="rId3065"/>
    <hyperlink xmlns:r="http://schemas.openxmlformats.org/officeDocument/2006/relationships" ref="AF1535" r:id="rId3066"/>
  </hyperlinks>
  <pageMargins left="0.75" right="0.75" top="1" bottom="1" header="0.5" footer="0.5"/>
  <tableParts count="1">
    <tablePart xmlns:r="http://schemas.openxmlformats.org/officeDocument/2006/relationships" r:id="rId3067"/>
  </tableParts>
</worksheet>
</file>

<file path=xl/worksheets/sheet4.xml><?xml version="1.0" encoding="utf-8"?>
<worksheet xmlns="http://schemas.openxmlformats.org/spreadsheetml/2006/main">
  <sheetPr>
    <outlinePr summaryBelow="1" summaryRight="1"/>
    <pageSetUpPr/>
  </sheetPr>
  <dimension ref="A1:P1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26" customWidth="1" min="2" max="2"/>
    <col width="7" customWidth="1" min="3" max="3"/>
    <col width="26" customWidth="1" min="4" max="4"/>
    <col width="8" customWidth="1" min="5" max="5"/>
    <col width="14" customWidth="1" min="6" max="6"/>
    <col width="10" customWidth="1" min="7" max="7"/>
    <col width="8" customWidth="1" min="8" max="8"/>
    <col width="10" customWidth="1" min="9" max="9"/>
    <col width="10" customWidth="1" min="10" max="10"/>
    <col width="10" customWidth="1" min="11" max="11"/>
    <col width="10" customWidth="1" min="12" max="12"/>
    <col width="12" customWidth="1" min="13" max="13"/>
    <col width="12" customWidth="1" min="14" max="14"/>
    <col width="14" customWidth="1" min="15" max="15"/>
    <col width="12" customWidth="1" min="16" max="16"/>
  </cols>
  <sheetData>
    <row r="1" ht="42" customHeight="1">
      <c r="A1" s="5" t="inlineStr">
        <is>
          <t>Base</t>
        </is>
      </c>
      <c r="B1" s="5" t="inlineStr">
        <is>
          <t>Also known as</t>
        </is>
      </c>
      <c r="C1" s="5" t="inlineStr">
        <is>
          <t>State</t>
        </is>
      </c>
      <c r="D1" s="5" t="inlineStr">
        <is>
          <t>DMA / Metro</t>
        </is>
      </c>
      <c r="E1" s="5" t="inlineStr">
        <is>
          <t>Zip</t>
        </is>
      </c>
      <c r="F1" s="5" t="inlineStr">
        <is>
          <t>Branch</t>
        </is>
      </c>
      <c r="G1" s="5" t="inlineStr">
        <is>
          <t>Media options</t>
        </is>
      </c>
      <c r="H1" s="5" t="inlineStr">
        <is>
          <t>Digital</t>
        </is>
      </c>
      <c r="I1" s="5" t="inlineStr">
        <is>
          <t>Standard Media</t>
        </is>
      </c>
      <c r="J1" s="5" t="inlineStr">
        <is>
          <t>Large Format</t>
        </is>
      </c>
      <c r="K1" s="5" t="inlineStr">
        <is>
          <t>Print &amp; Pubs</t>
        </is>
      </c>
      <c r="L1" s="5" t="inlineStr">
        <is>
          <t>Web &amp; Email</t>
        </is>
      </c>
      <c r="M1" s="5" t="inlineStr">
        <is>
          <t>Active Duty (ref.)</t>
        </is>
      </c>
      <c r="N1" s="5" t="inlineStr">
        <is>
          <t>Dependents (ref.)</t>
        </is>
      </c>
      <c r="O1" s="5" t="inlineStr">
        <is>
          <t>Rate card year(s)</t>
        </is>
      </c>
      <c r="P1" s="5" t="inlineStr">
        <is>
          <t>Rows needing review</t>
        </is>
      </c>
    </row>
    <row r="2">
      <c r="A2" s="6" t="inlineStr">
        <is>
          <t>Eielson AFB</t>
        </is>
      </c>
      <c r="B2" s="6" t="inlineStr"/>
      <c r="C2" s="6" t="inlineStr">
        <is>
          <t>AK</t>
        </is>
      </c>
      <c r="D2" s="6" t="inlineStr">
        <is>
          <t>Fairbanks</t>
        </is>
      </c>
      <c r="E2" s="6" t="inlineStr">
        <is>
          <t>99702</t>
        </is>
      </c>
      <c r="F2" s="6" t="inlineStr">
        <is>
          <t>Air Force</t>
        </is>
      </c>
      <c r="G2" s="6" t="n">
        <v>8</v>
      </c>
      <c r="H2" s="6" t="n">
        <v>2</v>
      </c>
      <c r="I2" s="6" t="n">
        <v>2</v>
      </c>
      <c r="J2" s="6" t="n">
        <v>0</v>
      </c>
      <c r="K2" s="6" t="n">
        <v>1</v>
      </c>
      <c r="L2" s="6" t="n">
        <v>2</v>
      </c>
      <c r="M2" s="17" t="n">
        <v>1958</v>
      </c>
      <c r="N2" s="17" t="n">
        <v>2424</v>
      </c>
      <c r="O2" s="6" t="inlineStr">
        <is>
          <t>2026</t>
        </is>
      </c>
      <c r="P2" s="6" t="n">
        <v>0</v>
      </c>
    </row>
    <row r="3">
      <c r="A3" s="6" t="inlineStr">
        <is>
          <t>Fort Greely</t>
        </is>
      </c>
      <c r="B3" s="6" t="inlineStr"/>
      <c r="C3" s="6" t="inlineStr">
        <is>
          <t>AK</t>
        </is>
      </c>
      <c r="D3" s="6" t="inlineStr">
        <is>
          <t>Fairbanks, AK</t>
        </is>
      </c>
      <c r="E3" s="6" t="inlineStr"/>
      <c r="F3" s="6" t="inlineStr">
        <is>
          <t>Army</t>
        </is>
      </c>
      <c r="G3" s="6" t="n">
        <v>2</v>
      </c>
      <c r="H3" s="6" t="n">
        <v>1</v>
      </c>
      <c r="I3" s="6" t="n">
        <v>0</v>
      </c>
      <c r="J3" s="6" t="n">
        <v>0</v>
      </c>
      <c r="K3" s="6" t="n">
        <v>0</v>
      </c>
      <c r="L3" s="6" t="n">
        <v>1</v>
      </c>
      <c r="M3" s="17" t="n"/>
      <c r="N3" s="17" t="n"/>
      <c r="O3" s="6" t="inlineStr">
        <is>
          <t>2026</t>
        </is>
      </c>
      <c r="P3" s="6" t="n">
        <v>0</v>
      </c>
    </row>
    <row r="4">
      <c r="A4" s="6" t="inlineStr">
        <is>
          <t>Fort Jonathan Wainwright</t>
        </is>
      </c>
      <c r="B4" s="6" t="inlineStr"/>
      <c r="C4" s="6" t="inlineStr">
        <is>
          <t>AK</t>
        </is>
      </c>
      <c r="D4" s="6" t="inlineStr">
        <is>
          <t>Fairbanks, AK</t>
        </is>
      </c>
      <c r="E4" s="6" t="inlineStr"/>
      <c r="F4" s="6" t="inlineStr">
        <is>
          <t>Army</t>
        </is>
      </c>
      <c r="G4" s="6" t="n">
        <v>2</v>
      </c>
      <c r="H4" s="6" t="n">
        <v>1</v>
      </c>
      <c r="I4" s="6" t="n">
        <v>0</v>
      </c>
      <c r="J4" s="6" t="n">
        <v>0</v>
      </c>
      <c r="K4" s="6" t="n">
        <v>0</v>
      </c>
      <c r="L4" s="6" t="n">
        <v>1</v>
      </c>
      <c r="M4" s="17" t="n">
        <v>6117</v>
      </c>
      <c r="N4" s="17" t="n">
        <v>6995</v>
      </c>
      <c r="O4" s="6" t="inlineStr">
        <is>
          <t>2026</t>
        </is>
      </c>
      <c r="P4" s="6" t="n">
        <v>0</v>
      </c>
    </row>
    <row r="5">
      <c r="A5" s="6" t="inlineStr">
        <is>
          <t>JBER - Elmendorf AFB</t>
        </is>
      </c>
      <c r="B5" s="6" t="inlineStr">
        <is>
          <t>Joint Base Elmendorf-Richardson</t>
        </is>
      </c>
      <c r="C5" s="6" t="inlineStr">
        <is>
          <t>AK</t>
        </is>
      </c>
      <c r="D5" s="6" t="inlineStr">
        <is>
          <t>Anchorage</t>
        </is>
      </c>
      <c r="E5" s="6" t="inlineStr">
        <is>
          <t>99506</t>
        </is>
      </c>
      <c r="F5" s="6" t="inlineStr">
        <is>
          <t>Air Force</t>
        </is>
      </c>
      <c r="G5" s="6" t="n">
        <v>19</v>
      </c>
      <c r="H5" s="6" t="n">
        <v>4</v>
      </c>
      <c r="I5" s="6" t="n">
        <v>4</v>
      </c>
      <c r="J5" s="6" t="n">
        <v>1</v>
      </c>
      <c r="K5" s="6" t="n">
        <v>5</v>
      </c>
      <c r="L5" s="6" t="n">
        <v>1</v>
      </c>
      <c r="M5" s="17" t="n">
        <v>5504</v>
      </c>
      <c r="N5" s="17" t="n">
        <v>7035</v>
      </c>
      <c r="O5" s="6" t="inlineStr">
        <is>
          <t>2026</t>
        </is>
      </c>
      <c r="P5" s="6" t="n">
        <v>0</v>
      </c>
    </row>
    <row r="6">
      <c r="A6" s="6" t="inlineStr">
        <is>
          <t>Fort Novosel</t>
        </is>
      </c>
      <c r="B6" s="6" t="inlineStr">
        <is>
          <t>Fort Rucker</t>
        </is>
      </c>
      <c r="C6" s="6" t="inlineStr">
        <is>
          <t>AL</t>
        </is>
      </c>
      <c r="D6" s="6" t="inlineStr">
        <is>
          <t>Montgomery</t>
        </is>
      </c>
      <c r="E6" s="6" t="inlineStr">
        <is>
          <t>36323</t>
        </is>
      </c>
      <c r="F6" s="6" t="inlineStr">
        <is>
          <t>Army</t>
        </is>
      </c>
      <c r="G6" s="6" t="n">
        <v>18</v>
      </c>
      <c r="H6" s="6" t="n">
        <v>5</v>
      </c>
      <c r="I6" s="6" t="n">
        <v>3</v>
      </c>
      <c r="J6" s="6" t="n">
        <v>1</v>
      </c>
      <c r="K6" s="6" t="n">
        <v>4</v>
      </c>
      <c r="L6" s="6" t="n">
        <v>4</v>
      </c>
      <c r="M6" s="17" t="n">
        <v>3860</v>
      </c>
      <c r="N6" s="17" t="n">
        <v>5945</v>
      </c>
      <c r="O6" s="6" t="inlineStr">
        <is>
          <t>2026</t>
        </is>
      </c>
      <c r="P6" s="6" t="n">
        <v>0</v>
      </c>
    </row>
    <row r="7">
      <c r="A7" s="6" t="inlineStr">
        <is>
          <t>Maxwell AFB (Incl. Gunter)</t>
        </is>
      </c>
      <c r="B7" s="6" t="inlineStr">
        <is>
          <t>Maxwell-Gunter AFB</t>
        </is>
      </c>
      <c r="C7" s="6" t="inlineStr">
        <is>
          <t>AL</t>
        </is>
      </c>
      <c r="D7" s="6" t="inlineStr">
        <is>
          <t>Montgomery-Selma</t>
        </is>
      </c>
      <c r="E7" s="6" t="inlineStr">
        <is>
          <t>36112</t>
        </is>
      </c>
      <c r="F7" s="6" t="inlineStr">
        <is>
          <t>Air Force</t>
        </is>
      </c>
      <c r="G7" s="6" t="n">
        <v>5</v>
      </c>
      <c r="H7" s="6" t="n">
        <v>3</v>
      </c>
      <c r="I7" s="6" t="n">
        <v>0</v>
      </c>
      <c r="J7" s="6" t="n">
        <v>0</v>
      </c>
      <c r="K7" s="6" t="n">
        <v>1</v>
      </c>
      <c r="L7" s="6" t="n">
        <v>1</v>
      </c>
      <c r="M7" s="17" t="n">
        <v>3012</v>
      </c>
      <c r="N7" s="17" t="n">
        <v>5336</v>
      </c>
      <c r="O7" s="6" t="inlineStr">
        <is>
          <t>2026</t>
        </is>
      </c>
      <c r="P7" s="6" t="n">
        <v>1</v>
      </c>
    </row>
    <row r="8">
      <c r="A8" s="6" t="inlineStr">
        <is>
          <t>Redstone Arsenal</t>
        </is>
      </c>
      <c r="B8" s="6" t="inlineStr"/>
      <c r="C8" s="6" t="inlineStr">
        <is>
          <t>AL</t>
        </is>
      </c>
      <c r="D8" s="6" t="inlineStr">
        <is>
          <t>Huntsville-Decatur (Flor)</t>
        </is>
      </c>
      <c r="E8" s="6" t="inlineStr">
        <is>
          <t>35898</t>
        </is>
      </c>
      <c r="F8" s="6" t="inlineStr">
        <is>
          <t>Army</t>
        </is>
      </c>
      <c r="G8" s="6" t="n">
        <v>16</v>
      </c>
      <c r="H8" s="6" t="n">
        <v>5</v>
      </c>
      <c r="I8" s="6" t="n">
        <v>4</v>
      </c>
      <c r="J8" s="6" t="n">
        <v>3</v>
      </c>
      <c r="K8" s="6" t="n">
        <v>1</v>
      </c>
      <c r="L8" s="6" t="n">
        <v>2</v>
      </c>
      <c r="M8" s="17" t="n">
        <v>588</v>
      </c>
      <c r="N8" s="17" t="n">
        <v>1518</v>
      </c>
      <c r="O8" s="6" t="inlineStr">
        <is>
          <t>2026</t>
        </is>
      </c>
      <c r="P8" s="6" t="n">
        <v>0</v>
      </c>
    </row>
    <row r="9">
      <c r="A9" s="6" t="inlineStr">
        <is>
          <t>Little Rock AFB</t>
        </is>
      </c>
      <c r="B9" s="6" t="inlineStr"/>
      <c r="C9" s="6" t="inlineStr">
        <is>
          <t>AR</t>
        </is>
      </c>
      <c r="D9" s="6" t="inlineStr">
        <is>
          <t>Little Rock-Pine Bluff</t>
        </is>
      </c>
      <c r="E9" s="6" t="inlineStr">
        <is>
          <t>72099</t>
        </is>
      </c>
      <c r="F9" s="6" t="inlineStr">
        <is>
          <t>Air Force</t>
        </is>
      </c>
      <c r="G9" s="6" t="n">
        <v>19</v>
      </c>
      <c r="H9" s="6" t="n">
        <v>6</v>
      </c>
      <c r="I9" s="6" t="n">
        <v>3</v>
      </c>
      <c r="J9" s="6" t="n">
        <v>7</v>
      </c>
      <c r="K9" s="6" t="n">
        <v>0</v>
      </c>
      <c r="L9" s="6" t="n">
        <v>2</v>
      </c>
      <c r="M9" s="17" t="n">
        <v>3536</v>
      </c>
      <c r="N9" s="17" t="n">
        <v>4572</v>
      </c>
      <c r="O9" s="6" t="inlineStr">
        <is>
          <t>2026</t>
        </is>
      </c>
      <c r="P9" s="6" t="n">
        <v>0</v>
      </c>
    </row>
    <row r="10">
      <c r="A10" s="6" t="inlineStr">
        <is>
          <t>Davis-Monthan Air Force Base</t>
        </is>
      </c>
      <c r="B10" s="6" t="inlineStr"/>
      <c r="C10" s="6" t="inlineStr">
        <is>
          <t>AZ</t>
        </is>
      </c>
      <c r="D10" s="6" t="inlineStr">
        <is>
          <t>Tucson (Sierra Vista), AZ</t>
        </is>
      </c>
      <c r="E10" s="6" t="inlineStr"/>
      <c r="F10" s="6" t="inlineStr">
        <is>
          <t>Air Force</t>
        </is>
      </c>
      <c r="G10" s="6" t="n">
        <v>3</v>
      </c>
      <c r="H10" s="6" t="n">
        <v>1</v>
      </c>
      <c r="I10" s="6" t="n">
        <v>0</v>
      </c>
      <c r="J10" s="6" t="n">
        <v>0</v>
      </c>
      <c r="K10" s="6" t="n">
        <v>1</v>
      </c>
      <c r="L10" s="6" t="n">
        <v>1</v>
      </c>
      <c r="M10" s="17" t="n">
        <v>5995</v>
      </c>
      <c r="N10" s="17" t="n">
        <v>6924</v>
      </c>
      <c r="O10" s="6" t="inlineStr">
        <is>
          <t>2026</t>
        </is>
      </c>
      <c r="P10" s="6" t="n">
        <v>0</v>
      </c>
    </row>
    <row r="11">
      <c r="A11" s="6" t="inlineStr">
        <is>
          <t>Fort Huachuca</t>
        </is>
      </c>
      <c r="B11" s="6" t="inlineStr"/>
      <c r="C11" s="6" t="inlineStr">
        <is>
          <t>AZ</t>
        </is>
      </c>
      <c r="D11" s="6" t="inlineStr">
        <is>
          <t>Tucson (Sierra Vista), AZ</t>
        </is>
      </c>
      <c r="E11" s="6" t="inlineStr"/>
      <c r="F11" s="6" t="inlineStr">
        <is>
          <t>Army</t>
        </is>
      </c>
      <c r="G11" s="6" t="n">
        <v>3</v>
      </c>
      <c r="H11" s="6" t="n">
        <v>1</v>
      </c>
      <c r="I11" s="6" t="n">
        <v>0</v>
      </c>
      <c r="J11" s="6" t="n">
        <v>0</v>
      </c>
      <c r="K11" s="6" t="n">
        <v>1</v>
      </c>
      <c r="L11" s="6" t="n">
        <v>1</v>
      </c>
      <c r="M11" s="17" t="n">
        <v>4139</v>
      </c>
      <c r="N11" s="17" t="n">
        <v>5163</v>
      </c>
      <c r="O11" s="6" t="inlineStr">
        <is>
          <t>2026</t>
        </is>
      </c>
      <c r="P11" s="6" t="n">
        <v>0</v>
      </c>
    </row>
    <row r="12">
      <c r="A12" s="6" t="inlineStr">
        <is>
          <t>Luke AFB</t>
        </is>
      </c>
      <c r="B12" s="6" t="inlineStr"/>
      <c r="C12" s="6" t="inlineStr">
        <is>
          <t>AZ</t>
        </is>
      </c>
      <c r="D12" s="6" t="inlineStr">
        <is>
          <t>Phoenix (Prescott)</t>
        </is>
      </c>
      <c r="E12" s="6" t="inlineStr">
        <is>
          <t>85309</t>
        </is>
      </c>
      <c r="F12" s="6" t="inlineStr">
        <is>
          <t>Air Force</t>
        </is>
      </c>
      <c r="G12" s="6" t="n">
        <v>12</v>
      </c>
      <c r="H12" s="6" t="n">
        <v>2</v>
      </c>
      <c r="I12" s="6" t="n">
        <v>3</v>
      </c>
      <c r="J12" s="6" t="n">
        <v>0</v>
      </c>
      <c r="K12" s="6" t="n">
        <v>5</v>
      </c>
      <c r="L12" s="6" t="n">
        <v>1</v>
      </c>
      <c r="M12" s="17" t="n">
        <v>4607</v>
      </c>
      <c r="N12" s="17" t="n">
        <v>5689</v>
      </c>
      <c r="O12" s="6" t="inlineStr">
        <is>
          <t>2026</t>
        </is>
      </c>
      <c r="P12" s="6" t="n">
        <v>0</v>
      </c>
    </row>
    <row r="13">
      <c r="A13" s="6" t="inlineStr">
        <is>
          <t>Yuma MCAS</t>
        </is>
      </c>
      <c r="B13" s="6" t="inlineStr"/>
      <c r="C13" s="6" t="inlineStr">
        <is>
          <t>AZ</t>
        </is>
      </c>
      <c r="D13" s="6" t="inlineStr">
        <is>
          <t>Yuma-El Centro</t>
        </is>
      </c>
      <c r="E13" s="6" t="inlineStr">
        <is>
          <t>85369</t>
        </is>
      </c>
      <c r="F13" s="6" t="inlineStr">
        <is>
          <t>Marine Corps</t>
        </is>
      </c>
      <c r="G13" s="6" t="n">
        <v>7</v>
      </c>
      <c r="H13" s="6" t="n">
        <v>4</v>
      </c>
      <c r="I13" s="6" t="n">
        <v>1</v>
      </c>
      <c r="J13" s="6" t="n">
        <v>0</v>
      </c>
      <c r="K13" s="6" t="n">
        <v>0</v>
      </c>
      <c r="L13" s="6" t="n">
        <v>2</v>
      </c>
      <c r="M13" s="17" t="n">
        <v>4946</v>
      </c>
      <c r="N13" s="17" t="n">
        <v>4702</v>
      </c>
      <c r="O13" s="6" t="inlineStr">
        <is>
          <t>2026</t>
        </is>
      </c>
      <c r="P13" s="6" t="n">
        <v>1</v>
      </c>
    </row>
    <row r="14">
      <c r="A14" s="6" t="inlineStr">
        <is>
          <t>29 Palms MC Air/Ground Combat Center</t>
        </is>
      </c>
      <c r="B14" s="6" t="inlineStr"/>
      <c r="C14" s="6" t="inlineStr">
        <is>
          <t>CA</t>
        </is>
      </c>
      <c r="D14" s="6" t="inlineStr">
        <is>
          <t>Los Angeles</t>
        </is>
      </c>
      <c r="E14" s="6" t="inlineStr">
        <is>
          <t>92278</t>
        </is>
      </c>
      <c r="F14" s="6" t="inlineStr">
        <is>
          <t>Marine Corps</t>
        </is>
      </c>
      <c r="G14" s="6" t="n">
        <v>21</v>
      </c>
      <c r="H14" s="6" t="n">
        <v>5</v>
      </c>
      <c r="I14" s="6" t="n">
        <v>1</v>
      </c>
      <c r="J14" s="6" t="n">
        <v>13</v>
      </c>
      <c r="K14" s="6" t="n">
        <v>1</v>
      </c>
      <c r="L14" s="6" t="n">
        <v>1</v>
      </c>
      <c r="M14" s="17" t="n"/>
      <c r="N14" s="17" t="n"/>
      <c r="O14" s="6" t="inlineStr">
        <is>
          <t>2023</t>
        </is>
      </c>
      <c r="P14" s="6" t="n">
        <v>20</v>
      </c>
    </row>
    <row r="15">
      <c r="A15" s="6" t="inlineStr">
        <is>
          <t>Beale AFB</t>
        </is>
      </c>
      <c r="B15" s="6" t="inlineStr"/>
      <c r="C15" s="6" t="inlineStr">
        <is>
          <t>CA</t>
        </is>
      </c>
      <c r="D15" s="6" t="inlineStr">
        <is>
          <t>Sacramnto-Stkton-Modesto</t>
        </is>
      </c>
      <c r="E15" s="6" t="inlineStr">
        <is>
          <t>95903</t>
        </is>
      </c>
      <c r="F15" s="6" t="inlineStr">
        <is>
          <t>Air Force</t>
        </is>
      </c>
      <c r="G15" s="6" t="n">
        <v>10</v>
      </c>
      <c r="H15" s="6" t="n">
        <v>2</v>
      </c>
      <c r="I15" s="6" t="n">
        <v>4</v>
      </c>
      <c r="J15" s="6" t="n">
        <v>1</v>
      </c>
      <c r="K15" s="6" t="n">
        <v>1</v>
      </c>
      <c r="L15" s="6" t="n">
        <v>0</v>
      </c>
      <c r="M15" s="17" t="n"/>
      <c r="N15" s="17" t="n"/>
      <c r="O15" s="6" t="inlineStr"/>
      <c r="P15" s="6" t="n">
        <v>3</v>
      </c>
    </row>
    <row r="16">
      <c r="A16" s="6" t="inlineStr">
        <is>
          <t>Camp Pendleton</t>
        </is>
      </c>
      <c r="B16" s="6" t="inlineStr"/>
      <c r="C16" s="6" t="inlineStr">
        <is>
          <t>CA</t>
        </is>
      </c>
      <c r="D16" s="6" t="inlineStr">
        <is>
          <t>San Diego</t>
        </is>
      </c>
      <c r="E16" s="6" t="inlineStr"/>
      <c r="F16" s="6" t="inlineStr">
        <is>
          <t>Marine Corps</t>
        </is>
      </c>
      <c r="G16" s="6" t="n">
        <v>22</v>
      </c>
      <c r="H16" s="6" t="n">
        <v>6</v>
      </c>
      <c r="I16" s="6" t="n">
        <v>2</v>
      </c>
      <c r="J16" s="6" t="n">
        <v>10</v>
      </c>
      <c r="K16" s="6" t="n">
        <v>2</v>
      </c>
      <c r="L16" s="6" t="n">
        <v>2</v>
      </c>
      <c r="M16" s="17" t="n">
        <v>39690</v>
      </c>
      <c r="N16" s="17" t="n">
        <v>31010</v>
      </c>
      <c r="O16" s="6" t="inlineStr">
        <is>
          <t>2026</t>
        </is>
      </c>
      <c r="P16" s="6" t="n">
        <v>4</v>
      </c>
    </row>
    <row r="17">
      <c r="A17" s="6" t="inlineStr">
        <is>
          <t>China Lake NAVWEAPCEN</t>
        </is>
      </c>
      <c r="B17" s="6" t="inlineStr">
        <is>
          <t>NAWS China Lake</t>
        </is>
      </c>
      <c r="C17" s="6" t="inlineStr">
        <is>
          <t>CA</t>
        </is>
      </c>
      <c r="D17" s="6" t="inlineStr">
        <is>
          <t>Los Angeles</t>
        </is>
      </c>
      <c r="E17" s="6" t="inlineStr">
        <is>
          <t>93555</t>
        </is>
      </c>
      <c r="F17" s="6" t="inlineStr">
        <is>
          <t>Navy</t>
        </is>
      </c>
      <c r="G17" s="6" t="n">
        <v>11</v>
      </c>
      <c r="H17" s="6" t="n">
        <v>1</v>
      </c>
      <c r="I17" s="6" t="n">
        <v>7</v>
      </c>
      <c r="J17" s="6" t="n">
        <v>1</v>
      </c>
      <c r="K17" s="6" t="n">
        <v>2</v>
      </c>
      <c r="L17" s="6" t="n">
        <v>0</v>
      </c>
      <c r="M17" s="17" t="n"/>
      <c r="N17" s="17" t="n"/>
      <c r="O17" s="6" t="inlineStr"/>
      <c r="P17" s="6" t="n">
        <v>1</v>
      </c>
    </row>
    <row r="18">
      <c r="A18" s="6" t="inlineStr">
        <is>
          <t>Edwards AFB</t>
        </is>
      </c>
      <c r="B18" s="6" t="inlineStr"/>
      <c r="C18" s="6" t="inlineStr">
        <is>
          <t>CA</t>
        </is>
      </c>
      <c r="D18" s="6" t="inlineStr">
        <is>
          <t>Los Angeles</t>
        </is>
      </c>
      <c r="E18" s="6" t="inlineStr">
        <is>
          <t>93524</t>
        </is>
      </c>
      <c r="F18" s="6" t="inlineStr">
        <is>
          <t>Air Force</t>
        </is>
      </c>
      <c r="G18" s="6" t="n">
        <v>13</v>
      </c>
      <c r="H18" s="6" t="n">
        <v>6</v>
      </c>
      <c r="I18" s="6" t="n">
        <v>4</v>
      </c>
      <c r="J18" s="6" t="n">
        <v>0</v>
      </c>
      <c r="K18" s="6" t="n">
        <v>3</v>
      </c>
      <c r="L18" s="6" t="n">
        <v>0</v>
      </c>
      <c r="M18" s="17" t="n"/>
      <c r="N18" s="17" t="n"/>
      <c r="O18" s="6" t="inlineStr"/>
      <c r="P18" s="6" t="n">
        <v>1</v>
      </c>
    </row>
    <row r="19">
      <c r="A19" s="6" t="inlineStr">
        <is>
          <t>Fort Irwin</t>
        </is>
      </c>
      <c r="B19" s="6" t="inlineStr"/>
      <c r="C19" s="6" t="inlineStr">
        <is>
          <t>CA</t>
        </is>
      </c>
      <c r="D19" s="6" t="inlineStr">
        <is>
          <t>Los Angeles</t>
        </is>
      </c>
      <c r="E19" s="6" t="inlineStr">
        <is>
          <t>92310</t>
        </is>
      </c>
      <c r="F19" s="6" t="inlineStr">
        <is>
          <t>Army</t>
        </is>
      </c>
      <c r="G19" s="6" t="n">
        <v>4</v>
      </c>
      <c r="H19" s="6" t="n">
        <v>2</v>
      </c>
      <c r="I19" s="6" t="n">
        <v>1</v>
      </c>
      <c r="J19" s="6" t="n">
        <v>1</v>
      </c>
      <c r="K19" s="6" t="n">
        <v>0</v>
      </c>
      <c r="L19" s="6" t="n">
        <v>0</v>
      </c>
      <c r="M19" s="17" t="n"/>
      <c r="N19" s="17" t="n"/>
      <c r="O19" s="6" t="inlineStr"/>
      <c r="P19" s="6" t="n">
        <v>2</v>
      </c>
    </row>
    <row r="20">
      <c r="A20" s="6" t="inlineStr">
        <is>
          <t>Lemoore NAS</t>
        </is>
      </c>
      <c r="B20" s="6" t="inlineStr"/>
      <c r="C20" s="6" t="inlineStr">
        <is>
          <t>CA</t>
        </is>
      </c>
      <c r="D20" s="6" t="inlineStr">
        <is>
          <t>Fresno-Visalia</t>
        </is>
      </c>
      <c r="E20" s="6" t="inlineStr">
        <is>
          <t>93246</t>
        </is>
      </c>
      <c r="F20" s="6" t="inlineStr">
        <is>
          <t>Navy</t>
        </is>
      </c>
      <c r="G20" s="6" t="n">
        <v>26</v>
      </c>
      <c r="H20" s="6" t="n">
        <v>4</v>
      </c>
      <c r="I20" s="6" t="n">
        <v>12</v>
      </c>
      <c r="J20" s="6" t="n">
        <v>10</v>
      </c>
      <c r="K20" s="6" t="n">
        <v>0</v>
      </c>
      <c r="L20" s="6" t="n">
        <v>0</v>
      </c>
      <c r="M20" s="17" t="n"/>
      <c r="N20" s="17" t="n"/>
      <c r="O20" s="6" t="inlineStr"/>
      <c r="P20" s="6" t="n">
        <v>0</v>
      </c>
    </row>
    <row r="21">
      <c r="A21" s="6" t="inlineStr">
        <is>
          <t>Los Angeles AFB</t>
        </is>
      </c>
      <c r="B21" s="6" t="inlineStr"/>
      <c r="C21" s="6" t="inlineStr">
        <is>
          <t>CA</t>
        </is>
      </c>
      <c r="D21" s="6" t="inlineStr">
        <is>
          <t>Los Angeles</t>
        </is>
      </c>
      <c r="E21" s="6" t="inlineStr">
        <is>
          <t>90245</t>
        </is>
      </c>
      <c r="F21" s="6" t="inlineStr">
        <is>
          <t>Air Force</t>
        </is>
      </c>
      <c r="G21" s="6" t="n">
        <v>11</v>
      </c>
      <c r="H21" s="6" t="n">
        <v>4</v>
      </c>
      <c r="I21" s="6" t="n">
        <v>2</v>
      </c>
      <c r="J21" s="6" t="n">
        <v>1</v>
      </c>
      <c r="K21" s="6" t="n">
        <v>1</v>
      </c>
      <c r="L21" s="6" t="n">
        <v>3</v>
      </c>
      <c r="M21" s="17" t="n"/>
      <c r="N21" s="17" t="n"/>
      <c r="O21" s="6" t="inlineStr"/>
      <c r="P21" s="6" t="n">
        <v>1</v>
      </c>
    </row>
    <row r="22">
      <c r="A22" s="6" t="inlineStr">
        <is>
          <t>MCAS Miramar</t>
        </is>
      </c>
      <c r="B22" s="6" t="inlineStr"/>
      <c r="C22" s="6" t="inlineStr">
        <is>
          <t>CA</t>
        </is>
      </c>
      <c r="D22" s="6" t="inlineStr">
        <is>
          <t>San Diego</t>
        </is>
      </c>
      <c r="E22" s="6" t="inlineStr">
        <is>
          <t>92145</t>
        </is>
      </c>
      <c r="F22" s="6" t="inlineStr">
        <is>
          <t>Marine Corps</t>
        </is>
      </c>
      <c r="G22" s="6" t="n">
        <v>7</v>
      </c>
      <c r="H22" s="6" t="n">
        <v>2</v>
      </c>
      <c r="I22" s="6" t="n">
        <v>1</v>
      </c>
      <c r="J22" s="6" t="n">
        <v>1</v>
      </c>
      <c r="K22" s="6" t="n">
        <v>0</v>
      </c>
      <c r="L22" s="6" t="n">
        <v>3</v>
      </c>
      <c r="M22" s="17" t="n">
        <v>7535</v>
      </c>
      <c r="N22" s="17" t="n">
        <v>7007</v>
      </c>
      <c r="O22" s="6" t="inlineStr">
        <is>
          <t>2026</t>
        </is>
      </c>
      <c r="P22" s="6" t="n">
        <v>1</v>
      </c>
    </row>
    <row r="23">
      <c r="A23" s="6" t="inlineStr">
        <is>
          <t>NBVC Port Hueneme NCBC</t>
        </is>
      </c>
      <c r="B23" s="6" t="inlineStr">
        <is>
          <t>Naval Base Ventura County</t>
        </is>
      </c>
      <c r="C23" s="6" t="inlineStr">
        <is>
          <t>CA</t>
        </is>
      </c>
      <c r="D23" s="6" t="inlineStr">
        <is>
          <t>Los Angeles</t>
        </is>
      </c>
      <c r="E23" s="6" t="inlineStr">
        <is>
          <t>93043</t>
        </is>
      </c>
      <c r="F23" s="6" t="inlineStr">
        <is>
          <t>Navy</t>
        </is>
      </c>
      <c r="G23" s="6" t="n">
        <v>62</v>
      </c>
      <c r="H23" s="6" t="n">
        <v>14</v>
      </c>
      <c r="I23" s="6" t="n">
        <v>3</v>
      </c>
      <c r="J23" s="6" t="n">
        <v>43</v>
      </c>
      <c r="K23" s="6" t="n">
        <v>0</v>
      </c>
      <c r="L23" s="6" t="n">
        <v>0</v>
      </c>
      <c r="M23" s="17" t="n"/>
      <c r="N23" s="17" t="n"/>
      <c r="O23" s="6" t="inlineStr"/>
      <c r="P23" s="6" t="n">
        <v>1</v>
      </c>
    </row>
    <row r="24">
      <c r="A24" s="6" t="inlineStr">
        <is>
          <t>Point Loma</t>
        </is>
      </c>
      <c r="B24" s="6" t="inlineStr">
        <is>
          <t>Naval Base Point Loma (San Diego)</t>
        </is>
      </c>
      <c r="C24" s="6" t="inlineStr">
        <is>
          <t>CA</t>
        </is>
      </c>
      <c r="D24" s="6" t="inlineStr">
        <is>
          <t>San Diego</t>
        </is>
      </c>
      <c r="E24" s="6" t="inlineStr">
        <is>
          <t>92106</t>
        </is>
      </c>
      <c r="F24" s="6" t="inlineStr">
        <is>
          <t>Navy</t>
        </is>
      </c>
      <c r="G24" s="6" t="n">
        <v>6</v>
      </c>
      <c r="H24" s="6" t="n">
        <v>3</v>
      </c>
      <c r="I24" s="6" t="n">
        <v>0</v>
      </c>
      <c r="J24" s="6" t="n">
        <v>0</v>
      </c>
      <c r="K24" s="6" t="n">
        <v>0</v>
      </c>
      <c r="L24" s="6" t="n">
        <v>3</v>
      </c>
      <c r="M24" s="17" t="n">
        <v>32983</v>
      </c>
      <c r="N24" s="17" t="n">
        <v>33574</v>
      </c>
      <c r="O24" s="6" t="inlineStr">
        <is>
          <t>2026</t>
        </is>
      </c>
      <c r="P24" s="6" t="n">
        <v>1</v>
      </c>
    </row>
    <row r="25">
      <c r="A25" s="6" t="inlineStr">
        <is>
          <t>Travis AFB</t>
        </is>
      </c>
      <c r="B25" s="6" t="inlineStr"/>
      <c r="C25" s="6" t="inlineStr">
        <is>
          <t>CA</t>
        </is>
      </c>
      <c r="D25" s="6" t="inlineStr">
        <is>
          <t>Sacramnto-Stkton-Modesto</t>
        </is>
      </c>
      <c r="E25" s="6" t="inlineStr">
        <is>
          <t>94535</t>
        </is>
      </c>
      <c r="F25" s="6" t="inlineStr">
        <is>
          <t>Air Force</t>
        </is>
      </c>
      <c r="G25" s="6" t="n">
        <v>12</v>
      </c>
      <c r="H25" s="6" t="n">
        <v>4</v>
      </c>
      <c r="I25" s="6" t="n">
        <v>3</v>
      </c>
      <c r="J25" s="6" t="n">
        <v>0</v>
      </c>
      <c r="K25" s="6" t="n">
        <v>3</v>
      </c>
      <c r="L25" s="6" t="n">
        <v>2</v>
      </c>
      <c r="M25" s="17" t="n">
        <v>6675</v>
      </c>
      <c r="N25" s="17" t="n">
        <v>7960</v>
      </c>
      <c r="O25" s="6" t="inlineStr">
        <is>
          <t>2020</t>
        </is>
      </c>
      <c r="P25" s="6" t="n">
        <v>1</v>
      </c>
    </row>
    <row r="26">
      <c r="A26" s="6" t="inlineStr">
        <is>
          <t>Buckley AFB</t>
        </is>
      </c>
      <c r="B26" s="6" t="inlineStr"/>
      <c r="C26" s="6" t="inlineStr">
        <is>
          <t>CO</t>
        </is>
      </c>
      <c r="D26" s="6" t="inlineStr">
        <is>
          <t>Denver</t>
        </is>
      </c>
      <c r="E26" s="6" t="inlineStr">
        <is>
          <t>80011</t>
        </is>
      </c>
      <c r="F26" s="6" t="inlineStr">
        <is>
          <t>Air Force</t>
        </is>
      </c>
      <c r="G26" s="6" t="n">
        <v>5</v>
      </c>
      <c r="H26" s="6" t="n">
        <v>3</v>
      </c>
      <c r="I26" s="6" t="n">
        <v>0</v>
      </c>
      <c r="J26" s="6" t="n">
        <v>0</v>
      </c>
      <c r="K26" s="6" t="n">
        <v>1</v>
      </c>
      <c r="L26" s="6" t="n">
        <v>1</v>
      </c>
      <c r="M26" s="17" t="n">
        <v>2540</v>
      </c>
      <c r="N26" s="17" t="n">
        <v>3106</v>
      </c>
      <c r="O26" s="6" t="inlineStr">
        <is>
          <t>2026</t>
        </is>
      </c>
      <c r="P26" s="6" t="n">
        <v>0</v>
      </c>
    </row>
    <row r="27">
      <c r="A27" s="6" t="inlineStr">
        <is>
          <t>Fort Carson</t>
        </is>
      </c>
      <c r="B27" s="6" t="inlineStr"/>
      <c r="C27" s="6" t="inlineStr">
        <is>
          <t>CO</t>
        </is>
      </c>
      <c r="D27" s="6" t="inlineStr">
        <is>
          <t>Colorado Springs-Pueblo</t>
        </is>
      </c>
      <c r="E27" s="6" t="inlineStr">
        <is>
          <t>80913</t>
        </is>
      </c>
      <c r="F27" s="6" t="inlineStr">
        <is>
          <t>Army</t>
        </is>
      </c>
      <c r="G27" s="6" t="n">
        <v>39</v>
      </c>
      <c r="H27" s="6" t="n">
        <v>10</v>
      </c>
      <c r="I27" s="6" t="n">
        <v>7</v>
      </c>
      <c r="J27" s="6" t="n">
        <v>9</v>
      </c>
      <c r="K27" s="6" t="n">
        <v>8</v>
      </c>
      <c r="L27" s="6" t="n">
        <v>2</v>
      </c>
      <c r="M27" s="17" t="n">
        <v>24520</v>
      </c>
      <c r="N27" s="17" t="n">
        <v>32953</v>
      </c>
      <c r="O27" s="6" t="inlineStr">
        <is>
          <t>2026</t>
        </is>
      </c>
      <c r="P27" s="6" t="n">
        <v>12</v>
      </c>
    </row>
    <row r="28">
      <c r="A28" s="6" t="inlineStr">
        <is>
          <t>Peterson AFB</t>
        </is>
      </c>
      <c r="B28" s="6" t="inlineStr"/>
      <c r="C28" s="6" t="inlineStr">
        <is>
          <t>CO</t>
        </is>
      </c>
      <c r="D28" s="6" t="inlineStr">
        <is>
          <t>Colorado Springs-Pueblo</t>
        </is>
      </c>
      <c r="E28" s="6" t="inlineStr">
        <is>
          <t>80914</t>
        </is>
      </c>
      <c r="F28" s="6" t="inlineStr">
        <is>
          <t>Air Force</t>
        </is>
      </c>
      <c r="G28" s="6" t="n">
        <v>8</v>
      </c>
      <c r="H28" s="6" t="n">
        <v>2</v>
      </c>
      <c r="I28" s="6" t="n">
        <v>0</v>
      </c>
      <c r="J28" s="6" t="n">
        <v>5</v>
      </c>
      <c r="K28" s="6" t="n">
        <v>0</v>
      </c>
      <c r="L28" s="6" t="n">
        <v>1</v>
      </c>
      <c r="M28" s="17" t="n">
        <v>3645</v>
      </c>
      <c r="N28" s="17" t="n">
        <v>6210</v>
      </c>
      <c r="O28" s="6" t="inlineStr">
        <is>
          <t>2026</t>
        </is>
      </c>
      <c r="P28" s="6" t="n">
        <v>2</v>
      </c>
    </row>
    <row r="29">
      <c r="A29" s="6" t="inlineStr">
        <is>
          <t>Schriever AFB</t>
        </is>
      </c>
      <c r="B29" s="6" t="inlineStr"/>
      <c r="C29" s="6" t="inlineStr">
        <is>
          <t>CO</t>
        </is>
      </c>
      <c r="D29" s="6" t="inlineStr">
        <is>
          <t>Colorado Springs-Pueblo</t>
        </is>
      </c>
      <c r="E29" s="6" t="inlineStr">
        <is>
          <t>80912</t>
        </is>
      </c>
      <c r="F29" s="6" t="inlineStr">
        <is>
          <t>Air Force</t>
        </is>
      </c>
      <c r="G29" s="6" t="n">
        <v>5</v>
      </c>
      <c r="H29" s="6" t="n">
        <v>1</v>
      </c>
      <c r="I29" s="6" t="n">
        <v>1</v>
      </c>
      <c r="J29" s="6" t="n">
        <v>1</v>
      </c>
      <c r="K29" s="6" t="n">
        <v>1</v>
      </c>
      <c r="L29" s="6" t="n">
        <v>1</v>
      </c>
      <c r="M29" s="17" t="n">
        <v>1853</v>
      </c>
      <c r="N29" s="17" t="n">
        <v>2679</v>
      </c>
      <c r="O29" s="6" t="inlineStr">
        <is>
          <t>2026</t>
        </is>
      </c>
      <c r="P29" s="6" t="n">
        <v>1</v>
      </c>
    </row>
    <row r="30">
      <c r="A30" s="6" t="inlineStr">
        <is>
          <t>USAF Academy</t>
        </is>
      </c>
      <c r="B30" s="6" t="inlineStr"/>
      <c r="C30" s="6" t="inlineStr">
        <is>
          <t>CO</t>
        </is>
      </c>
      <c r="D30" s="6" t="inlineStr">
        <is>
          <t>Colorado Springs-Pueblo</t>
        </is>
      </c>
      <c r="E30" s="6" t="inlineStr">
        <is>
          <t>80840</t>
        </is>
      </c>
      <c r="F30" s="6" t="inlineStr">
        <is>
          <t>Air Force</t>
        </is>
      </c>
      <c r="G30" s="6" t="n">
        <v>12</v>
      </c>
      <c r="H30" s="6" t="n">
        <v>2</v>
      </c>
      <c r="I30" s="6" t="n">
        <v>1</v>
      </c>
      <c r="J30" s="6" t="n">
        <v>0</v>
      </c>
      <c r="K30" s="6" t="n">
        <v>7</v>
      </c>
      <c r="L30" s="6" t="n">
        <v>2</v>
      </c>
      <c r="M30" s="17" t="n">
        <v>2070</v>
      </c>
      <c r="N30" s="17" t="n">
        <v>3209</v>
      </c>
      <c r="O30" s="6" t="inlineStr">
        <is>
          <t>2026</t>
        </is>
      </c>
      <c r="P30" s="6" t="n">
        <v>2</v>
      </c>
    </row>
    <row r="31">
      <c r="A31" s="6" t="inlineStr">
        <is>
          <t>New London NAVSUBBASE (Groton)</t>
        </is>
      </c>
      <c r="B31" s="6" t="inlineStr"/>
      <c r="C31" s="6" t="inlineStr">
        <is>
          <t>CT</t>
        </is>
      </c>
      <c r="D31" s="6" t="inlineStr">
        <is>
          <t>Hartford-New Haven, CT</t>
        </is>
      </c>
      <c r="E31" s="6" t="inlineStr"/>
      <c r="F31" s="6" t="inlineStr">
        <is>
          <t>Navy</t>
        </is>
      </c>
      <c r="G31" s="6" t="n">
        <v>3</v>
      </c>
      <c r="H31" s="6" t="n">
        <v>2</v>
      </c>
      <c r="I31" s="6" t="n">
        <v>0</v>
      </c>
      <c r="J31" s="6" t="n">
        <v>0</v>
      </c>
      <c r="K31" s="6" t="n">
        <v>0</v>
      </c>
      <c r="L31" s="6" t="n">
        <v>1</v>
      </c>
      <c r="M31" s="17" t="n">
        <v>6385</v>
      </c>
      <c r="N31" s="17" t="n">
        <v>7471</v>
      </c>
      <c r="O31" s="6" t="inlineStr">
        <is>
          <t>2026</t>
        </is>
      </c>
      <c r="P31" s="6" t="n">
        <v>0</v>
      </c>
    </row>
    <row r="32">
      <c r="A32" s="6" t="inlineStr">
        <is>
          <t>JBAB Anacostia NS</t>
        </is>
      </c>
      <c r="B32" s="6" t="inlineStr">
        <is>
          <t>JB Anacostia-Bolling</t>
        </is>
      </c>
      <c r="C32" s="6" t="inlineStr">
        <is>
          <t>DC</t>
        </is>
      </c>
      <c r="D32" s="6" t="inlineStr">
        <is>
          <t>Washington, DC (Hagrstwn)</t>
        </is>
      </c>
      <c r="E32" s="6" t="inlineStr">
        <is>
          <t>20332</t>
        </is>
      </c>
      <c r="F32" s="6" t="inlineStr">
        <is>
          <t>Navy</t>
        </is>
      </c>
      <c r="G32" s="6" t="n">
        <v>8</v>
      </c>
      <c r="H32" s="6" t="n">
        <v>1</v>
      </c>
      <c r="I32" s="6" t="n">
        <v>2</v>
      </c>
      <c r="J32" s="6" t="n">
        <v>1</v>
      </c>
      <c r="K32" s="6" t="n">
        <v>0</v>
      </c>
      <c r="L32" s="6" t="n">
        <v>4</v>
      </c>
      <c r="M32" s="17" t="n">
        <v>2491</v>
      </c>
      <c r="N32" s="17" t="n">
        <v>3654</v>
      </c>
      <c r="O32" s="6" t="inlineStr">
        <is>
          <t>2026</t>
        </is>
      </c>
      <c r="P32" s="6" t="n">
        <v>0</v>
      </c>
    </row>
    <row r="33">
      <c r="A33" s="6" t="inlineStr">
        <is>
          <t>Washington NAVDIST HQ</t>
        </is>
      </c>
      <c r="B33" s="6" t="inlineStr">
        <is>
          <t>Naval District Washington / Washington Navy Yard</t>
        </is>
      </c>
      <c r="C33" s="6" t="inlineStr">
        <is>
          <t>DC</t>
        </is>
      </c>
      <c r="D33" s="6" t="inlineStr">
        <is>
          <t>Washington, DC (Hagrstwn)</t>
        </is>
      </c>
      <c r="E33" s="6" t="inlineStr">
        <is>
          <t>20374</t>
        </is>
      </c>
      <c r="F33" s="6" t="inlineStr">
        <is>
          <t>Navy</t>
        </is>
      </c>
      <c r="G33" s="6" t="n">
        <v>11</v>
      </c>
      <c r="H33" s="6" t="n">
        <v>5</v>
      </c>
      <c r="I33" s="6" t="n">
        <v>2</v>
      </c>
      <c r="J33" s="6" t="n">
        <v>1</v>
      </c>
      <c r="K33" s="6" t="n">
        <v>0</v>
      </c>
      <c r="L33" s="6" t="n">
        <v>3</v>
      </c>
      <c r="M33" s="17" t="n">
        <v>3100</v>
      </c>
      <c r="N33" s="17" t="n">
        <v>5435</v>
      </c>
      <c r="O33" s="6" t="inlineStr">
        <is>
          <t>2026</t>
        </is>
      </c>
      <c r="P33" s="6" t="n">
        <v>0</v>
      </c>
    </row>
    <row r="34">
      <c r="A34" s="6" t="inlineStr">
        <is>
          <t>Dover AFB</t>
        </is>
      </c>
      <c r="B34" s="6" t="inlineStr"/>
      <c r="C34" s="6" t="inlineStr">
        <is>
          <t>DE</t>
        </is>
      </c>
      <c r="D34" s="6" t="inlineStr">
        <is>
          <t>Philadelphia</t>
        </is>
      </c>
      <c r="E34" s="6" t="inlineStr">
        <is>
          <t>19902</t>
        </is>
      </c>
      <c r="F34" s="6" t="inlineStr">
        <is>
          <t>Air Force</t>
        </is>
      </c>
      <c r="G34" s="6" t="n">
        <v>12</v>
      </c>
      <c r="H34" s="6" t="n">
        <v>3</v>
      </c>
      <c r="I34" s="6" t="n">
        <v>4</v>
      </c>
      <c r="J34" s="6" t="n">
        <v>2</v>
      </c>
      <c r="K34" s="6" t="n">
        <v>0</v>
      </c>
      <c r="L34" s="6" t="n">
        <v>1</v>
      </c>
      <c r="M34" s="17" t="n">
        <v>3484</v>
      </c>
      <c r="N34" s="17" t="n">
        <v>4234</v>
      </c>
      <c r="O34" s="6" t="inlineStr">
        <is>
          <t>2026</t>
        </is>
      </c>
      <c r="P34" s="6" t="n">
        <v>11</v>
      </c>
    </row>
    <row r="35">
      <c r="A35" s="6" t="inlineStr">
        <is>
          <t>Eglin AFB</t>
        </is>
      </c>
      <c r="B35" s="6" t="inlineStr"/>
      <c r="C35" s="6" t="inlineStr">
        <is>
          <t>FL</t>
        </is>
      </c>
      <c r="D35" s="6" t="inlineStr">
        <is>
          <t>Mobile-Pensacola (Ft Walt)</t>
        </is>
      </c>
      <c r="E35" s="6" t="inlineStr">
        <is>
          <t>32542</t>
        </is>
      </c>
      <c r="F35" s="6" t="inlineStr">
        <is>
          <t>Air Force</t>
        </is>
      </c>
      <c r="G35" s="6" t="n">
        <v>18</v>
      </c>
      <c r="H35" s="6" t="n">
        <v>1</v>
      </c>
      <c r="I35" s="6" t="n">
        <v>7</v>
      </c>
      <c r="J35" s="6" t="n">
        <v>5</v>
      </c>
      <c r="K35" s="6" t="n">
        <v>4</v>
      </c>
      <c r="L35" s="6" t="n">
        <v>1</v>
      </c>
      <c r="M35" s="17" t="n">
        <v>9243</v>
      </c>
      <c r="N35" s="17" t="n">
        <v>12793</v>
      </c>
      <c r="O35" s="6" t="inlineStr">
        <is>
          <t>2026</t>
        </is>
      </c>
      <c r="P35" s="6" t="n">
        <v>5</v>
      </c>
    </row>
    <row r="36">
      <c r="A36" s="6" t="inlineStr">
        <is>
          <t>Homestead AFB</t>
        </is>
      </c>
      <c r="B36" s="6" t="inlineStr"/>
      <c r="C36" s="6" t="inlineStr">
        <is>
          <t>FL</t>
        </is>
      </c>
      <c r="D36" s="6" t="inlineStr">
        <is>
          <t>Miami-Ft. Lauderdale</t>
        </is>
      </c>
      <c r="E36" s="6" t="inlineStr">
        <is>
          <t>33039</t>
        </is>
      </c>
      <c r="F36" s="6" t="inlineStr">
        <is>
          <t>Air Force</t>
        </is>
      </c>
      <c r="G36" s="6" t="n">
        <v>1</v>
      </c>
      <c r="H36" s="6" t="n">
        <v>0</v>
      </c>
      <c r="I36" s="6" t="n">
        <v>0</v>
      </c>
      <c r="J36" s="6" t="n">
        <v>0</v>
      </c>
      <c r="K36" s="6" t="n">
        <v>0</v>
      </c>
      <c r="L36" s="6" t="n">
        <v>0</v>
      </c>
      <c r="M36" s="17" t="n">
        <v>429</v>
      </c>
      <c r="N36" s="17" t="n">
        <v>718</v>
      </c>
      <c r="O36" s="6" t="inlineStr"/>
      <c r="P36" s="6" t="n">
        <v>1</v>
      </c>
    </row>
    <row r="37">
      <c r="A37" s="6" t="inlineStr">
        <is>
          <t>Hurlburt Field</t>
        </is>
      </c>
      <c r="B37" s="6" t="inlineStr"/>
      <c r="C37" s="6" t="inlineStr">
        <is>
          <t>FL</t>
        </is>
      </c>
      <c r="D37" s="6" t="inlineStr">
        <is>
          <t>Mobile-Pensacola (Ft Walt)</t>
        </is>
      </c>
      <c r="E37" s="6" t="inlineStr">
        <is>
          <t>32544</t>
        </is>
      </c>
      <c r="F37" s="6" t="inlineStr">
        <is>
          <t>Air Force</t>
        </is>
      </c>
      <c r="G37" s="6" t="n">
        <v>10</v>
      </c>
      <c r="H37" s="6" t="n">
        <v>2</v>
      </c>
      <c r="I37" s="6" t="n">
        <v>4</v>
      </c>
      <c r="J37" s="6" t="n">
        <v>1</v>
      </c>
      <c r="K37" s="6" t="n">
        <v>2</v>
      </c>
      <c r="L37" s="6" t="n">
        <v>1</v>
      </c>
      <c r="M37" s="17" t="n">
        <v>8185</v>
      </c>
      <c r="N37" s="17" t="n">
        <v>10597</v>
      </c>
      <c r="O37" s="6" t="inlineStr">
        <is>
          <t>2026</t>
        </is>
      </c>
      <c r="P37" s="6" t="n">
        <v>0</v>
      </c>
    </row>
    <row r="38">
      <c r="A38" s="6" t="inlineStr">
        <is>
          <t>Jacksonville NAS</t>
        </is>
      </c>
      <c r="B38" s="6" t="inlineStr"/>
      <c r="C38" s="6" t="inlineStr">
        <is>
          <t>FL</t>
        </is>
      </c>
      <c r="D38" s="6" t="inlineStr">
        <is>
          <t>Jacksonville</t>
        </is>
      </c>
      <c r="E38" s="6" t="inlineStr">
        <is>
          <t>32212</t>
        </is>
      </c>
      <c r="F38" s="6" t="inlineStr">
        <is>
          <t>Navy</t>
        </is>
      </c>
      <c r="G38" s="6" t="n">
        <v>14</v>
      </c>
      <c r="H38" s="6" t="n">
        <v>2</v>
      </c>
      <c r="I38" s="6" t="n">
        <v>4</v>
      </c>
      <c r="J38" s="6" t="n">
        <v>4</v>
      </c>
      <c r="K38" s="6" t="n">
        <v>2</v>
      </c>
      <c r="L38" s="6" t="n">
        <v>2</v>
      </c>
      <c r="M38" s="17" t="n">
        <v>6967</v>
      </c>
      <c r="N38" s="17" t="n">
        <v>9499</v>
      </c>
      <c r="O38" s="6" t="inlineStr">
        <is>
          <t>2026</t>
        </is>
      </c>
      <c r="P38" s="6" t="n">
        <v>0</v>
      </c>
    </row>
    <row r="39">
      <c r="A39" s="6" t="inlineStr">
        <is>
          <t>Key West NAS</t>
        </is>
      </c>
      <c r="B39" s="6" t="inlineStr"/>
      <c r="C39" s="6" t="inlineStr">
        <is>
          <t>FL</t>
        </is>
      </c>
      <c r="D39" s="6" t="inlineStr">
        <is>
          <t>Miami-Ft. Lauderdale</t>
        </is>
      </c>
      <c r="E39" s="6" t="inlineStr">
        <is>
          <t>33040</t>
        </is>
      </c>
      <c r="F39" s="6" t="inlineStr">
        <is>
          <t>Navy</t>
        </is>
      </c>
      <c r="G39" s="6" t="n">
        <v>11</v>
      </c>
      <c r="H39" s="6" t="n">
        <v>3</v>
      </c>
      <c r="I39" s="6" t="n">
        <v>3</v>
      </c>
      <c r="J39" s="6" t="n">
        <v>2</v>
      </c>
      <c r="K39" s="6" t="n">
        <v>1</v>
      </c>
      <c r="L39" s="6" t="n">
        <v>2</v>
      </c>
      <c r="M39" s="17" t="n">
        <v>797</v>
      </c>
      <c r="N39" s="17" t="n">
        <v>986</v>
      </c>
      <c r="O39" s="6" t="inlineStr">
        <is>
          <t>2026</t>
        </is>
      </c>
      <c r="P39" s="6" t="n">
        <v>0</v>
      </c>
    </row>
    <row r="40">
      <c r="A40" s="6" t="inlineStr">
        <is>
          <t>MacDill AFB</t>
        </is>
      </c>
      <c r="B40" s="6" t="inlineStr"/>
      <c r="C40" s="6" t="inlineStr">
        <is>
          <t>FL</t>
        </is>
      </c>
      <c r="D40" s="6" t="inlineStr">
        <is>
          <t>Tampa-St. Pete (Sarasota)</t>
        </is>
      </c>
      <c r="E40" s="6" t="inlineStr">
        <is>
          <t>33621</t>
        </is>
      </c>
      <c r="F40" s="6" t="inlineStr">
        <is>
          <t>Air Force</t>
        </is>
      </c>
      <c r="G40" s="6" t="n">
        <v>6</v>
      </c>
      <c r="H40" s="6" t="n">
        <v>3</v>
      </c>
      <c r="I40" s="6" t="n">
        <v>2</v>
      </c>
      <c r="J40" s="6" t="n">
        <v>0</v>
      </c>
      <c r="K40" s="6" t="n">
        <v>0</v>
      </c>
      <c r="L40" s="6" t="n">
        <v>1</v>
      </c>
      <c r="M40" s="17" t="n">
        <v>5705</v>
      </c>
      <c r="N40" s="17" t="n">
        <v>10061</v>
      </c>
      <c r="O40" s="6" t="inlineStr">
        <is>
          <t>2026</t>
        </is>
      </c>
      <c r="P40" s="6" t="n">
        <v>0</v>
      </c>
    </row>
    <row r="41">
      <c r="A41" s="6" t="inlineStr">
        <is>
          <t>Mayport NAVSTA</t>
        </is>
      </c>
      <c r="B41" s="6" t="inlineStr"/>
      <c r="C41" s="6" t="inlineStr">
        <is>
          <t>FL</t>
        </is>
      </c>
      <c r="D41" s="6" t="inlineStr">
        <is>
          <t>Jacksonville</t>
        </is>
      </c>
      <c r="E41" s="6" t="inlineStr">
        <is>
          <t>32228</t>
        </is>
      </c>
      <c r="F41" s="6" t="inlineStr">
        <is>
          <t>Navy</t>
        </is>
      </c>
      <c r="G41" s="6" t="n">
        <v>16</v>
      </c>
      <c r="H41" s="6" t="n">
        <v>3</v>
      </c>
      <c r="I41" s="6" t="n">
        <v>3</v>
      </c>
      <c r="J41" s="6" t="n">
        <v>4</v>
      </c>
      <c r="K41" s="6" t="n">
        <v>4</v>
      </c>
      <c r="L41" s="6" t="n">
        <v>2</v>
      </c>
      <c r="M41" s="17" t="n">
        <v>10442</v>
      </c>
      <c r="N41" s="17" t="n">
        <v>14571</v>
      </c>
      <c r="O41" s="6" t="inlineStr">
        <is>
          <t>2026</t>
        </is>
      </c>
      <c r="P41" s="6" t="n">
        <v>1</v>
      </c>
    </row>
    <row r="42">
      <c r="A42" s="6" t="inlineStr">
        <is>
          <t>NOTU Cape Cape Canaveral</t>
        </is>
      </c>
      <c r="B42" s="6" t="inlineStr">
        <is>
          <t>NOTU Cape Canaveral</t>
        </is>
      </c>
      <c r="C42" s="6" t="inlineStr">
        <is>
          <t>FL</t>
        </is>
      </c>
      <c r="D42" s="6" t="inlineStr">
        <is>
          <t>Orlando-Daytona Bch-Melbrn</t>
        </is>
      </c>
      <c r="E42" s="6" t="inlineStr">
        <is>
          <t>32920</t>
        </is>
      </c>
      <c r="F42" s="6" t="inlineStr">
        <is>
          <t>Navy</t>
        </is>
      </c>
      <c r="G42" s="6" t="n">
        <v>8</v>
      </c>
      <c r="H42" s="6" t="n">
        <v>1</v>
      </c>
      <c r="I42" s="6" t="n">
        <v>2</v>
      </c>
      <c r="J42" s="6" t="n">
        <v>2</v>
      </c>
      <c r="K42" s="6" t="n">
        <v>1</v>
      </c>
      <c r="L42" s="6" t="n">
        <v>2</v>
      </c>
      <c r="M42" s="17" t="n">
        <v>163</v>
      </c>
      <c r="N42" s="17" t="n">
        <v>340</v>
      </c>
      <c r="O42" s="6" t="inlineStr">
        <is>
          <t>2026</t>
        </is>
      </c>
      <c r="P42" s="6" t="n">
        <v>0</v>
      </c>
    </row>
    <row r="43">
      <c r="A43" s="6" t="inlineStr">
        <is>
          <t>Nav Coastal Systems Ctr Panama City NSA</t>
        </is>
      </c>
      <c r="B43" s="6" t="inlineStr">
        <is>
          <t>NSA Panama City</t>
        </is>
      </c>
      <c r="C43" s="6" t="inlineStr">
        <is>
          <t>FL</t>
        </is>
      </c>
      <c r="D43" s="6" t="inlineStr">
        <is>
          <t>Panama City</t>
        </is>
      </c>
      <c r="E43" s="6" t="inlineStr">
        <is>
          <t>32407</t>
        </is>
      </c>
      <c r="F43" s="6" t="inlineStr">
        <is>
          <t>Navy</t>
        </is>
      </c>
      <c r="G43" s="6" t="n">
        <v>10</v>
      </c>
      <c r="H43" s="6" t="n">
        <v>1</v>
      </c>
      <c r="I43" s="6" t="n">
        <v>3</v>
      </c>
      <c r="J43" s="6" t="n">
        <v>3</v>
      </c>
      <c r="K43" s="6" t="n">
        <v>2</v>
      </c>
      <c r="L43" s="6" t="n">
        <v>1</v>
      </c>
      <c r="M43" s="17" t="n">
        <v>615</v>
      </c>
      <c r="N43" s="17" t="n">
        <v>615</v>
      </c>
      <c r="O43" s="6" t="inlineStr">
        <is>
          <t>2026</t>
        </is>
      </c>
      <c r="P43" s="6" t="n">
        <v>0</v>
      </c>
    </row>
    <row r="44">
      <c r="A44" s="6" t="inlineStr">
        <is>
          <t>Patrick AFB</t>
        </is>
      </c>
      <c r="B44" s="6" t="inlineStr"/>
      <c r="C44" s="6" t="inlineStr">
        <is>
          <t>FL</t>
        </is>
      </c>
      <c r="D44" s="6" t="inlineStr">
        <is>
          <t>Orlando-Daytona Bch-Melbrn</t>
        </is>
      </c>
      <c r="E44" s="6" t="inlineStr">
        <is>
          <t>32925</t>
        </is>
      </c>
      <c r="F44" s="6" t="inlineStr">
        <is>
          <t>Air Force</t>
        </is>
      </c>
      <c r="G44" s="6" t="n">
        <v>11</v>
      </c>
      <c r="H44" s="6" t="n">
        <v>1</v>
      </c>
      <c r="I44" s="6" t="n">
        <v>3</v>
      </c>
      <c r="J44" s="6" t="n">
        <v>1</v>
      </c>
      <c r="K44" s="6" t="n">
        <v>5</v>
      </c>
      <c r="L44" s="6" t="n">
        <v>1</v>
      </c>
      <c r="M44" s="17" t="n">
        <v>1733</v>
      </c>
      <c r="N44" s="17" t="n">
        <v>2550</v>
      </c>
      <c r="O44" s="6" t="inlineStr">
        <is>
          <t>2026</t>
        </is>
      </c>
      <c r="P44" s="6" t="n">
        <v>0</v>
      </c>
    </row>
    <row r="45">
      <c r="A45" s="6" t="inlineStr">
        <is>
          <t>Pensacola NAS</t>
        </is>
      </c>
      <c r="B45" s="6" t="inlineStr"/>
      <c r="C45" s="6" t="inlineStr">
        <is>
          <t>FL</t>
        </is>
      </c>
      <c r="D45" s="6" t="inlineStr">
        <is>
          <t>Mobile-Pensacola (Ft Walton)</t>
        </is>
      </c>
      <c r="E45" s="6" t="inlineStr">
        <is>
          <t>32508</t>
        </is>
      </c>
      <c r="F45" s="6" t="inlineStr">
        <is>
          <t>Navy</t>
        </is>
      </c>
      <c r="G45" s="6" t="n">
        <v>15</v>
      </c>
      <c r="H45" s="6" t="n">
        <v>5</v>
      </c>
      <c r="I45" s="6" t="n">
        <v>5</v>
      </c>
      <c r="J45" s="6" t="n">
        <v>2</v>
      </c>
      <c r="K45" s="6" t="n">
        <v>1</v>
      </c>
      <c r="L45" s="6" t="n">
        <v>2</v>
      </c>
      <c r="M45" s="17" t="n">
        <v>8595</v>
      </c>
      <c r="N45" s="17" t="n">
        <v>6512</v>
      </c>
      <c r="O45" s="6" t="inlineStr">
        <is>
          <t>2026</t>
        </is>
      </c>
      <c r="P45" s="6" t="n">
        <v>0</v>
      </c>
    </row>
    <row r="46">
      <c r="A46" s="6" t="inlineStr">
        <is>
          <t>Tyndall AFB</t>
        </is>
      </c>
      <c r="B46" s="6" t="inlineStr"/>
      <c r="C46" s="6" t="inlineStr">
        <is>
          <t>FL</t>
        </is>
      </c>
      <c r="D46" s="6" t="inlineStr">
        <is>
          <t>Panama City</t>
        </is>
      </c>
      <c r="E46" s="6" t="inlineStr">
        <is>
          <t>32403</t>
        </is>
      </c>
      <c r="F46" s="6" t="inlineStr">
        <is>
          <t>Air Force</t>
        </is>
      </c>
      <c r="G46" s="6" t="n">
        <v>4</v>
      </c>
      <c r="H46" s="6" t="n">
        <v>1</v>
      </c>
      <c r="I46" s="6" t="n">
        <v>3</v>
      </c>
      <c r="J46" s="6" t="n">
        <v>0</v>
      </c>
      <c r="K46" s="6" t="n">
        <v>0</v>
      </c>
      <c r="L46" s="6" t="n">
        <v>0</v>
      </c>
      <c r="M46" s="17" t="n">
        <v>1633</v>
      </c>
      <c r="N46" s="17" t="n">
        <v>2089</v>
      </c>
      <c r="O46" s="6" t="inlineStr"/>
      <c r="P46" s="6" t="n">
        <v>0</v>
      </c>
    </row>
    <row r="47">
      <c r="A47" s="6" t="inlineStr">
        <is>
          <t>US Army Garrison Miami Southern Command</t>
        </is>
      </c>
      <c r="B47" s="6" t="inlineStr"/>
      <c r="C47" s="6" t="inlineStr">
        <is>
          <t>FL</t>
        </is>
      </c>
      <c r="D47" s="6" t="inlineStr">
        <is>
          <t>Miami-Ft. Lauderdale</t>
        </is>
      </c>
      <c r="E47" s="6" t="inlineStr"/>
      <c r="F47" s="6" t="inlineStr">
        <is>
          <t>Air Force</t>
        </is>
      </c>
      <c r="G47" s="6" t="n">
        <v>2</v>
      </c>
      <c r="H47" s="6" t="n">
        <v>0</v>
      </c>
      <c r="I47" s="6" t="n">
        <v>0</v>
      </c>
      <c r="J47" s="6" t="n">
        <v>0</v>
      </c>
      <c r="K47" s="6" t="n">
        <v>0</v>
      </c>
      <c r="L47" s="6" t="n">
        <v>2</v>
      </c>
      <c r="M47" s="17" t="n">
        <v>1370</v>
      </c>
      <c r="N47" s="17" t="n">
        <v>2226</v>
      </c>
      <c r="O47" s="6" t="inlineStr">
        <is>
          <t>2022</t>
        </is>
      </c>
      <c r="P47" s="6" t="n">
        <v>0</v>
      </c>
    </row>
    <row r="48">
      <c r="A48" s="6" t="inlineStr">
        <is>
          <t>Whiting Field NAS</t>
        </is>
      </c>
      <c r="B48" s="6" t="inlineStr"/>
      <c r="C48" s="6" t="inlineStr">
        <is>
          <t>FL</t>
        </is>
      </c>
      <c r="D48" s="6" t="inlineStr">
        <is>
          <t>Mobile-Pensacola (Ft Walt)</t>
        </is>
      </c>
      <c r="E48" s="6" t="inlineStr">
        <is>
          <t>32570</t>
        </is>
      </c>
      <c r="F48" s="6" t="inlineStr">
        <is>
          <t>Navy</t>
        </is>
      </c>
      <c r="G48" s="6" t="n">
        <v>10</v>
      </c>
      <c r="H48" s="6" t="n">
        <v>1</v>
      </c>
      <c r="I48" s="6" t="n">
        <v>3</v>
      </c>
      <c r="J48" s="6" t="n">
        <v>3</v>
      </c>
      <c r="K48" s="6" t="n">
        <v>2</v>
      </c>
      <c r="L48" s="6" t="n">
        <v>1</v>
      </c>
      <c r="M48" s="17" t="n">
        <v>1145</v>
      </c>
      <c r="N48" s="17" t="n">
        <v>1022</v>
      </c>
      <c r="O48" s="6" t="inlineStr">
        <is>
          <t>2026</t>
        </is>
      </c>
      <c r="P48" s="6" t="n">
        <v>0</v>
      </c>
    </row>
    <row r="49">
      <c r="A49" s="6" t="inlineStr">
        <is>
          <t>Albany MCLB</t>
        </is>
      </c>
      <c r="B49" s="6" t="inlineStr"/>
      <c r="C49" s="6" t="inlineStr">
        <is>
          <t>GA</t>
        </is>
      </c>
      <c r="D49" s="6" t="inlineStr">
        <is>
          <t>Albany, GA</t>
        </is>
      </c>
      <c r="E49" s="6" t="inlineStr"/>
      <c r="F49" s="6" t="inlineStr">
        <is>
          <t>Marine Corps</t>
        </is>
      </c>
      <c r="G49" s="6" t="n">
        <v>3</v>
      </c>
      <c r="H49" s="6" t="n">
        <v>2</v>
      </c>
      <c r="I49" s="6" t="n">
        <v>0</v>
      </c>
      <c r="J49" s="6" t="n">
        <v>0</v>
      </c>
      <c r="K49" s="6" t="n">
        <v>0</v>
      </c>
      <c r="L49" s="6" t="n">
        <v>1</v>
      </c>
      <c r="M49" s="17" t="n">
        <v>318</v>
      </c>
      <c r="N49" s="17" t="n">
        <v>571</v>
      </c>
      <c r="O49" s="6" t="inlineStr">
        <is>
          <t>2026</t>
        </is>
      </c>
      <c r="P49" s="6" t="n">
        <v>0</v>
      </c>
    </row>
    <row r="50">
      <c r="A50" s="6" t="inlineStr">
        <is>
          <t>Dobbins ARB</t>
        </is>
      </c>
      <c r="B50" s="6" t="inlineStr"/>
      <c r="C50" s="6" t="inlineStr">
        <is>
          <t>GA</t>
        </is>
      </c>
      <c r="D50" s="6" t="inlineStr"/>
      <c r="E50" s="6" t="inlineStr"/>
      <c r="F50" s="6" t="inlineStr">
        <is>
          <t>Air Force</t>
        </is>
      </c>
      <c r="G50" s="6" t="n">
        <v>2</v>
      </c>
      <c r="H50" s="6" t="n">
        <v>1</v>
      </c>
      <c r="I50" s="6" t="n">
        <v>0</v>
      </c>
      <c r="J50" s="6" t="n">
        <v>0</v>
      </c>
      <c r="K50" s="6" t="n">
        <v>0</v>
      </c>
      <c r="L50" s="6" t="n">
        <v>1</v>
      </c>
      <c r="M50" s="17" t="n"/>
      <c r="N50" s="17" t="n"/>
      <c r="O50" s="6" t="inlineStr">
        <is>
          <t>2026</t>
        </is>
      </c>
      <c r="P50" s="6" t="n">
        <v>0</v>
      </c>
    </row>
    <row r="51">
      <c r="A51" s="6" t="inlineStr">
        <is>
          <t>Fort Benning</t>
        </is>
      </c>
      <c r="B51" s="6" t="inlineStr"/>
      <c r="C51" s="6" t="inlineStr">
        <is>
          <t>GA</t>
        </is>
      </c>
      <c r="D51" s="6" t="inlineStr">
        <is>
          <t>Columbus, GA</t>
        </is>
      </c>
      <c r="E51" s="6" t="inlineStr"/>
      <c r="F51" s="6" t="inlineStr">
        <is>
          <t>Army</t>
        </is>
      </c>
      <c r="G51" s="6" t="n">
        <v>3</v>
      </c>
      <c r="H51" s="6" t="n">
        <v>2</v>
      </c>
      <c r="I51" s="6" t="n">
        <v>0</v>
      </c>
      <c r="J51" s="6" t="n">
        <v>0</v>
      </c>
      <c r="K51" s="6" t="n">
        <v>0</v>
      </c>
      <c r="L51" s="6" t="n">
        <v>1</v>
      </c>
      <c r="M51" s="17" t="n">
        <v>24305</v>
      </c>
      <c r="N51" s="17" t="n">
        <v>22480</v>
      </c>
      <c r="O51" s="6" t="inlineStr">
        <is>
          <t>2026</t>
        </is>
      </c>
      <c r="P51" s="6" t="n">
        <v>0</v>
      </c>
    </row>
    <row r="52">
      <c r="A52" s="6" t="inlineStr">
        <is>
          <t>Fort Eisenhower</t>
        </is>
      </c>
      <c r="B52" s="6" t="inlineStr">
        <is>
          <t>Fort Gordon</t>
        </is>
      </c>
      <c r="C52" s="6" t="inlineStr">
        <is>
          <t>GA</t>
        </is>
      </c>
      <c r="D52" s="6" t="inlineStr">
        <is>
          <t>Augusta</t>
        </is>
      </c>
      <c r="E52" s="6" t="inlineStr">
        <is>
          <t>30905</t>
        </is>
      </c>
      <c r="F52" s="6" t="inlineStr">
        <is>
          <t>Army</t>
        </is>
      </c>
      <c r="G52" s="6" t="n">
        <v>29</v>
      </c>
      <c r="H52" s="6" t="n">
        <v>14</v>
      </c>
      <c r="I52" s="6" t="n">
        <v>5</v>
      </c>
      <c r="J52" s="6" t="n">
        <v>2</v>
      </c>
      <c r="K52" s="6" t="n">
        <v>0</v>
      </c>
      <c r="L52" s="6" t="n">
        <v>8</v>
      </c>
      <c r="M52" s="17" t="n">
        <v>11220</v>
      </c>
      <c r="N52" s="17" t="n">
        <v>14416</v>
      </c>
      <c r="O52" s="6" t="inlineStr">
        <is>
          <t>2026</t>
        </is>
      </c>
      <c r="P52" s="6" t="n">
        <v>7</v>
      </c>
    </row>
    <row r="53">
      <c r="A53" s="6" t="inlineStr">
        <is>
          <t>Fort Stewart / Hunter Army Airfield</t>
        </is>
      </c>
      <c r="B53" s="6" t="inlineStr">
        <is>
          <t>Fort Stewart</t>
        </is>
      </c>
      <c r="C53" s="6" t="inlineStr">
        <is>
          <t>GA</t>
        </is>
      </c>
      <c r="D53" s="6" t="inlineStr">
        <is>
          <t>Savannah</t>
        </is>
      </c>
      <c r="E53" s="6" t="inlineStr">
        <is>
          <t>31314</t>
        </is>
      </c>
      <c r="F53" s="6" t="inlineStr">
        <is>
          <t>Army</t>
        </is>
      </c>
      <c r="G53" s="6" t="n">
        <v>11</v>
      </c>
      <c r="H53" s="6" t="n">
        <v>4</v>
      </c>
      <c r="I53" s="6" t="n">
        <v>2</v>
      </c>
      <c r="J53" s="6" t="n">
        <v>3</v>
      </c>
      <c r="K53" s="6" t="n">
        <v>0</v>
      </c>
      <c r="L53" s="6" t="n">
        <v>1</v>
      </c>
      <c r="M53" s="17" t="n">
        <v>19476</v>
      </c>
      <c r="N53" s="17" t="n">
        <v>25826</v>
      </c>
      <c r="O53" s="6" t="inlineStr">
        <is>
          <t>2026</t>
        </is>
      </c>
      <c r="P53" s="6" t="n">
        <v>1</v>
      </c>
    </row>
    <row r="54">
      <c r="A54" s="6" t="inlineStr">
        <is>
          <t>Kings Bay NAVSUBBASE</t>
        </is>
      </c>
      <c r="B54" s="6" t="inlineStr"/>
      <c r="C54" s="6" t="inlineStr">
        <is>
          <t>GA</t>
        </is>
      </c>
      <c r="D54" s="6" t="inlineStr">
        <is>
          <t>Jacksonville</t>
        </is>
      </c>
      <c r="E54" s="6" t="inlineStr">
        <is>
          <t>31547</t>
        </is>
      </c>
      <c r="F54" s="6" t="inlineStr">
        <is>
          <t>Navy</t>
        </is>
      </c>
      <c r="G54" s="6" t="n">
        <v>15</v>
      </c>
      <c r="H54" s="6" t="n">
        <v>5</v>
      </c>
      <c r="I54" s="6" t="n">
        <v>6</v>
      </c>
      <c r="J54" s="6" t="n">
        <v>1</v>
      </c>
      <c r="K54" s="6" t="n">
        <v>1</v>
      </c>
      <c r="L54" s="6" t="n">
        <v>2</v>
      </c>
      <c r="M54" s="17" t="n">
        <v>2918</v>
      </c>
      <c r="N54" s="17" t="n">
        <v>3953</v>
      </c>
      <c r="O54" s="6" t="inlineStr">
        <is>
          <t>2026</t>
        </is>
      </c>
      <c r="P54" s="6" t="n">
        <v>0</v>
      </c>
    </row>
    <row r="55">
      <c r="A55" s="6" t="inlineStr">
        <is>
          <t>Moody AFB</t>
        </is>
      </c>
      <c r="B55" s="6" t="inlineStr"/>
      <c r="C55" s="6" t="inlineStr">
        <is>
          <t>GA</t>
        </is>
      </c>
      <c r="D55" s="6" t="inlineStr">
        <is>
          <t>Tallahassee-Thomasville</t>
        </is>
      </c>
      <c r="E55" s="6" t="inlineStr">
        <is>
          <t>31699</t>
        </is>
      </c>
      <c r="F55" s="6" t="inlineStr">
        <is>
          <t>Air Force</t>
        </is>
      </c>
      <c r="G55" s="6" t="n">
        <v>12</v>
      </c>
      <c r="H55" s="6" t="n">
        <v>6</v>
      </c>
      <c r="I55" s="6" t="n">
        <v>3</v>
      </c>
      <c r="J55" s="6" t="n">
        <v>0</v>
      </c>
      <c r="K55" s="6" t="n">
        <v>0</v>
      </c>
      <c r="L55" s="6" t="n">
        <v>3</v>
      </c>
      <c r="M55" s="17" t="n">
        <v>4562</v>
      </c>
      <c r="N55" s="17" t="n">
        <v>5322</v>
      </c>
      <c r="O55" s="6" t="inlineStr">
        <is>
          <t>2026</t>
        </is>
      </c>
      <c r="P55" s="6" t="n">
        <v>0</v>
      </c>
    </row>
    <row r="56">
      <c r="A56" s="6" t="inlineStr">
        <is>
          <t>Robins AFB</t>
        </is>
      </c>
      <c r="B56" s="6" t="inlineStr"/>
      <c r="C56" s="6" t="inlineStr">
        <is>
          <t>GA</t>
        </is>
      </c>
      <c r="D56" s="6" t="inlineStr">
        <is>
          <t>Macon</t>
        </is>
      </c>
      <c r="E56" s="6" t="inlineStr">
        <is>
          <t>31098</t>
        </is>
      </c>
      <c r="F56" s="6" t="inlineStr">
        <is>
          <t>Air Force</t>
        </is>
      </c>
      <c r="G56" s="6" t="n">
        <v>5</v>
      </c>
      <c r="H56" s="6" t="n">
        <v>1</v>
      </c>
      <c r="I56" s="6" t="n">
        <v>2</v>
      </c>
      <c r="J56" s="6" t="n">
        <v>0</v>
      </c>
      <c r="K56" s="6" t="n">
        <v>1</v>
      </c>
      <c r="L56" s="6" t="n">
        <v>1</v>
      </c>
      <c r="M56" s="17" t="n">
        <v>3313</v>
      </c>
      <c r="N56" s="17" t="n">
        <v>4707</v>
      </c>
      <c r="O56" s="6" t="inlineStr">
        <is>
          <t>2026</t>
        </is>
      </c>
      <c r="P56" s="6" t="n">
        <v>1</v>
      </c>
    </row>
    <row r="57">
      <c r="A57" s="6" t="inlineStr">
        <is>
          <t>Fort Shafter</t>
        </is>
      </c>
      <c r="B57" s="6" t="inlineStr"/>
      <c r="C57" s="6" t="inlineStr">
        <is>
          <t>HI</t>
        </is>
      </c>
      <c r="D57" s="6" t="inlineStr">
        <is>
          <t>Honolulu, HI</t>
        </is>
      </c>
      <c r="E57" s="6" t="inlineStr"/>
      <c r="F57" s="6" t="inlineStr">
        <is>
          <t>Army</t>
        </is>
      </c>
      <c r="G57" s="6" t="n">
        <v>1</v>
      </c>
      <c r="H57" s="6" t="n">
        <v>0</v>
      </c>
      <c r="I57" s="6" t="n">
        <v>0</v>
      </c>
      <c r="J57" s="6" t="n">
        <v>0</v>
      </c>
      <c r="K57" s="6" t="n">
        <v>1</v>
      </c>
      <c r="L57" s="6" t="n">
        <v>0</v>
      </c>
      <c r="M57" s="17" t="n">
        <v>2584</v>
      </c>
      <c r="N57" s="17" t="n">
        <v>4653</v>
      </c>
      <c r="O57" s="6" t="inlineStr">
        <is>
          <t>2026</t>
        </is>
      </c>
      <c r="P57" s="6" t="n">
        <v>0</v>
      </c>
    </row>
    <row r="58">
      <c r="A58" s="6" t="inlineStr">
        <is>
          <t>Hickam AFB</t>
        </is>
      </c>
      <c r="B58" s="6" t="inlineStr">
        <is>
          <t>JB Pearl Harbor-Hickam</t>
        </is>
      </c>
      <c r="C58" s="6" t="inlineStr">
        <is>
          <t>HI</t>
        </is>
      </c>
      <c r="D58" s="6" t="inlineStr">
        <is>
          <t>Honolulu</t>
        </is>
      </c>
      <c r="E58" s="6" t="inlineStr">
        <is>
          <t>96860</t>
        </is>
      </c>
      <c r="F58" s="6" t="inlineStr">
        <is>
          <t>Air Force</t>
        </is>
      </c>
      <c r="G58" s="6" t="n">
        <v>5</v>
      </c>
      <c r="H58" s="6" t="n">
        <v>2</v>
      </c>
      <c r="I58" s="6" t="n">
        <v>1</v>
      </c>
      <c r="J58" s="6" t="n">
        <v>1</v>
      </c>
      <c r="K58" s="6" t="n">
        <v>0</v>
      </c>
      <c r="L58" s="6" t="n">
        <v>0</v>
      </c>
      <c r="M58" s="17" t="n">
        <v>5561</v>
      </c>
      <c r="N58" s="17" t="n">
        <v>7473</v>
      </c>
      <c r="O58" s="6" t="inlineStr"/>
      <c r="P58" s="6" t="n">
        <v>0</v>
      </c>
    </row>
    <row r="59">
      <c r="A59" s="6" t="inlineStr">
        <is>
          <t>MCB Hawaii</t>
        </is>
      </c>
      <c r="B59" s="6" t="inlineStr">
        <is>
          <t>Kaneohe Bay</t>
        </is>
      </c>
      <c r="C59" s="6" t="inlineStr">
        <is>
          <t>HI</t>
        </is>
      </c>
      <c r="D59" s="6" t="inlineStr">
        <is>
          <t>Honolulu</t>
        </is>
      </c>
      <c r="E59" s="6" t="inlineStr">
        <is>
          <t>96861</t>
        </is>
      </c>
      <c r="F59" s="6" t="inlineStr">
        <is>
          <t>Marine Corps</t>
        </is>
      </c>
      <c r="G59" s="6" t="n">
        <v>9</v>
      </c>
      <c r="H59" s="6" t="n">
        <v>4</v>
      </c>
      <c r="I59" s="6" t="n">
        <v>3</v>
      </c>
      <c r="J59" s="6" t="n">
        <v>1</v>
      </c>
      <c r="K59" s="6" t="n">
        <v>0</v>
      </c>
      <c r="L59" s="6" t="n">
        <v>1</v>
      </c>
      <c r="M59" s="17" t="n">
        <v>9157</v>
      </c>
      <c r="N59" s="17" t="n">
        <v>7201</v>
      </c>
      <c r="O59" s="6" t="inlineStr"/>
      <c r="P59" s="6" t="n">
        <v>3</v>
      </c>
    </row>
    <row r="60">
      <c r="A60" s="6" t="inlineStr">
        <is>
          <t>Pacific Missile Range Facilty (Barking Sands)</t>
        </is>
      </c>
      <c r="B60" s="6" t="inlineStr"/>
      <c r="C60" s="6" t="inlineStr">
        <is>
          <t>HI</t>
        </is>
      </c>
      <c r="D60" s="6" t="inlineStr">
        <is>
          <t>Honolulu</t>
        </is>
      </c>
      <c r="E60" s="6" t="inlineStr">
        <is>
          <t>96725</t>
        </is>
      </c>
      <c r="F60" s="6" t="inlineStr">
        <is>
          <t>Navy</t>
        </is>
      </c>
      <c r="G60" s="6" t="n">
        <v>1</v>
      </c>
      <c r="H60" s="6" t="n">
        <v>1</v>
      </c>
      <c r="I60" s="6" t="n">
        <v>0</v>
      </c>
      <c r="J60" s="6" t="n">
        <v>0</v>
      </c>
      <c r="K60" s="6" t="n">
        <v>0</v>
      </c>
      <c r="L60" s="6" t="n">
        <v>0</v>
      </c>
      <c r="M60" s="17" t="n"/>
      <c r="N60" s="17" t="n"/>
      <c r="O60" s="6" t="inlineStr"/>
      <c r="P60" s="6" t="n">
        <v>0</v>
      </c>
    </row>
    <row r="61">
      <c r="A61" s="6" t="inlineStr">
        <is>
          <t>Pearl Harbor NS</t>
        </is>
      </c>
      <c r="B61" s="6" t="inlineStr">
        <is>
          <t>JB Pearl Harbor-Hickam</t>
        </is>
      </c>
      <c r="C61" s="6" t="inlineStr">
        <is>
          <t>HI</t>
        </is>
      </c>
      <c r="D61" s="6" t="inlineStr">
        <is>
          <t>Honolulu</t>
        </is>
      </c>
      <c r="E61" s="6" t="inlineStr">
        <is>
          <t>96860</t>
        </is>
      </c>
      <c r="F61" s="6" t="inlineStr">
        <is>
          <t>Navy</t>
        </is>
      </c>
      <c r="G61" s="6" t="n">
        <v>7</v>
      </c>
      <c r="H61" s="6" t="n">
        <v>3</v>
      </c>
      <c r="I61" s="6" t="n">
        <v>1</v>
      </c>
      <c r="J61" s="6" t="n">
        <v>1</v>
      </c>
      <c r="K61" s="6" t="n">
        <v>0</v>
      </c>
      <c r="L61" s="6" t="n">
        <v>1</v>
      </c>
      <c r="M61" s="17" t="n">
        <v>5561</v>
      </c>
      <c r="N61" s="17" t="n">
        <v>7473</v>
      </c>
      <c r="O61" s="6" t="inlineStr">
        <is>
          <t>2026</t>
        </is>
      </c>
      <c r="P61" s="6" t="n">
        <v>0</v>
      </c>
    </row>
    <row r="62">
      <c r="A62" s="6" t="inlineStr">
        <is>
          <t>USAG Hawaii</t>
        </is>
      </c>
      <c r="B62" s="6" t="inlineStr">
        <is>
          <t>Schofield Barracks / Fort Shafter / Wheeler AAF</t>
        </is>
      </c>
      <c r="C62" s="6" t="inlineStr">
        <is>
          <t>HI</t>
        </is>
      </c>
      <c r="D62" s="6" t="inlineStr">
        <is>
          <t>Honolulu</t>
        </is>
      </c>
      <c r="E62" s="6" t="inlineStr">
        <is>
          <t>96815</t>
        </is>
      </c>
      <c r="F62" s="6" t="inlineStr">
        <is>
          <t>Army</t>
        </is>
      </c>
      <c r="G62" s="6" t="n">
        <v>26</v>
      </c>
      <c r="H62" s="6" t="n">
        <v>7</v>
      </c>
      <c r="I62" s="6" t="n">
        <v>12</v>
      </c>
      <c r="J62" s="6" t="n">
        <v>0</v>
      </c>
      <c r="K62" s="6" t="n">
        <v>5</v>
      </c>
      <c r="L62" s="6" t="n">
        <v>2</v>
      </c>
      <c r="M62" s="17" t="n">
        <v>15057</v>
      </c>
      <c r="N62" s="17" t="n">
        <v>18965</v>
      </c>
      <c r="O62" s="6" t="inlineStr">
        <is>
          <t>2026</t>
        </is>
      </c>
      <c r="P62" s="6" t="n">
        <v>0</v>
      </c>
    </row>
    <row r="63">
      <c r="A63" s="6" t="inlineStr">
        <is>
          <t>Wheeler Army Airfield</t>
        </is>
      </c>
      <c r="B63" s="6" t="inlineStr"/>
      <c r="C63" s="6" t="inlineStr">
        <is>
          <t>HI</t>
        </is>
      </c>
      <c r="D63" s="6" t="inlineStr">
        <is>
          <t>Honolulu, HI</t>
        </is>
      </c>
      <c r="E63" s="6" t="inlineStr"/>
      <c r="F63" s="6" t="inlineStr">
        <is>
          <t>Army</t>
        </is>
      </c>
      <c r="G63" s="6" t="n">
        <v>1</v>
      </c>
      <c r="H63" s="6" t="n">
        <v>0</v>
      </c>
      <c r="I63" s="6" t="n">
        <v>0</v>
      </c>
      <c r="J63" s="6" t="n">
        <v>0</v>
      </c>
      <c r="K63" s="6" t="n">
        <v>1</v>
      </c>
      <c r="L63" s="6" t="n">
        <v>0</v>
      </c>
      <c r="M63" s="17" t="n"/>
      <c r="N63" s="17" t="n"/>
      <c r="O63" s="6" t="inlineStr">
        <is>
          <t>2026</t>
        </is>
      </c>
      <c r="P63" s="6" t="n">
        <v>0</v>
      </c>
    </row>
    <row r="64">
      <c r="A64" s="6" t="inlineStr">
        <is>
          <t>Mountain Home AFB</t>
        </is>
      </c>
      <c r="B64" s="6" t="inlineStr"/>
      <c r="C64" s="6" t="inlineStr">
        <is>
          <t>ID</t>
        </is>
      </c>
      <c r="D64" s="6" t="inlineStr">
        <is>
          <t>Boise</t>
        </is>
      </c>
      <c r="E64" s="6" t="inlineStr">
        <is>
          <t>83648</t>
        </is>
      </c>
      <c r="F64" s="6" t="inlineStr">
        <is>
          <t>Air Force</t>
        </is>
      </c>
      <c r="G64" s="6" t="n">
        <v>29</v>
      </c>
      <c r="H64" s="6" t="n">
        <v>7</v>
      </c>
      <c r="I64" s="6" t="n">
        <v>5</v>
      </c>
      <c r="J64" s="6" t="n">
        <v>0</v>
      </c>
      <c r="K64" s="6" t="n">
        <v>8</v>
      </c>
      <c r="L64" s="6" t="n">
        <v>1</v>
      </c>
      <c r="M64" s="17" t="n">
        <v>3387</v>
      </c>
      <c r="N64" s="17" t="n">
        <v>3784</v>
      </c>
      <c r="O64" s="6" t="inlineStr">
        <is>
          <t>2026</t>
        </is>
      </c>
      <c r="P64" s="6" t="n">
        <v>4</v>
      </c>
    </row>
    <row r="65">
      <c r="A65" s="6" t="inlineStr">
        <is>
          <t>Naval Station Great Lakes</t>
        </is>
      </c>
      <c r="B65" s="6" t="inlineStr"/>
      <c r="C65" s="6" t="inlineStr">
        <is>
          <t>IL</t>
        </is>
      </c>
      <c r="D65" s="6" t="inlineStr">
        <is>
          <t>Chicago</t>
        </is>
      </c>
      <c r="E65" s="6" t="inlineStr"/>
      <c r="F65" s="6" t="inlineStr">
        <is>
          <t>Navy</t>
        </is>
      </c>
      <c r="G65" s="6" t="n">
        <v>3</v>
      </c>
      <c r="H65" s="6" t="n">
        <v>0</v>
      </c>
      <c r="I65" s="6" t="n">
        <v>0</v>
      </c>
      <c r="J65" s="6" t="n">
        <v>0</v>
      </c>
      <c r="K65" s="6" t="n">
        <v>1</v>
      </c>
      <c r="L65" s="6" t="n">
        <v>2</v>
      </c>
      <c r="M65" s="17" t="n">
        <v>15726</v>
      </c>
      <c r="N65" s="17" t="n">
        <v>6149</v>
      </c>
      <c r="O65" s="6" t="inlineStr">
        <is>
          <t>2026</t>
        </is>
      </c>
      <c r="P65" s="6" t="n">
        <v>0</v>
      </c>
    </row>
    <row r="66">
      <c r="A66" s="6" t="inlineStr">
        <is>
          <t>Scott AFB</t>
        </is>
      </c>
      <c r="B66" s="6" t="inlineStr"/>
      <c r="C66" s="6" t="inlineStr">
        <is>
          <t>IL</t>
        </is>
      </c>
      <c r="D66" s="6" t="inlineStr">
        <is>
          <t>St. Louis</t>
        </is>
      </c>
      <c r="E66" s="6" t="inlineStr">
        <is>
          <t>62225</t>
        </is>
      </c>
      <c r="F66" s="6" t="inlineStr">
        <is>
          <t>Air Force</t>
        </is>
      </c>
      <c r="G66" s="6" t="n">
        <v>13</v>
      </c>
      <c r="H66" s="6" t="n">
        <v>3</v>
      </c>
      <c r="I66" s="6" t="n">
        <v>3</v>
      </c>
      <c r="J66" s="6" t="n">
        <v>1</v>
      </c>
      <c r="K66" s="6" t="n">
        <v>4</v>
      </c>
      <c r="L66" s="6" t="n">
        <v>1</v>
      </c>
      <c r="M66" s="17" t="n">
        <v>4610</v>
      </c>
      <c r="N66" s="17" t="n">
        <v>7686</v>
      </c>
      <c r="O66" s="6" t="inlineStr">
        <is>
          <t>2026</t>
        </is>
      </c>
      <c r="P66" s="6" t="n">
        <v>0</v>
      </c>
    </row>
    <row r="67">
      <c r="A67" s="6" t="inlineStr">
        <is>
          <t>Crane Naval Support Activity</t>
        </is>
      </c>
      <c r="B67" s="6" t="inlineStr"/>
      <c r="C67" s="6" t="inlineStr">
        <is>
          <t>IN</t>
        </is>
      </c>
      <c r="D67" s="6" t="inlineStr">
        <is>
          <t>Terre Haute</t>
        </is>
      </c>
      <c r="E67" s="6" t="inlineStr">
        <is>
          <t>47522</t>
        </is>
      </c>
      <c r="F67" s="6" t="inlineStr">
        <is>
          <t>Navy</t>
        </is>
      </c>
      <c r="G67" s="6" t="n">
        <v>8</v>
      </c>
      <c r="H67" s="6" t="n">
        <v>1</v>
      </c>
      <c r="I67" s="6" t="n">
        <v>5</v>
      </c>
      <c r="J67" s="6" t="n">
        <v>1</v>
      </c>
      <c r="K67" s="6" t="n">
        <v>0</v>
      </c>
      <c r="L67" s="6" t="n">
        <v>1</v>
      </c>
      <c r="M67" s="17" t="n">
        <v>3600</v>
      </c>
      <c r="N67" s="17" t="n"/>
      <c r="O67" s="6" t="inlineStr">
        <is>
          <t>2026</t>
        </is>
      </c>
      <c r="P67" s="6" t="n">
        <v>0</v>
      </c>
    </row>
    <row r="68">
      <c r="A68" s="6" t="inlineStr">
        <is>
          <t>Fort Leavenworth</t>
        </is>
      </c>
      <c r="B68" s="6" t="inlineStr"/>
      <c r="C68" s="6" t="inlineStr">
        <is>
          <t>KS</t>
        </is>
      </c>
      <c r="D68" s="6" t="inlineStr">
        <is>
          <t>Kansas City</t>
        </is>
      </c>
      <c r="E68" s="6" t="inlineStr">
        <is>
          <t>66027</t>
        </is>
      </c>
      <c r="F68" s="6" t="inlineStr">
        <is>
          <t>Army</t>
        </is>
      </c>
      <c r="G68" s="6" t="n">
        <v>26</v>
      </c>
      <c r="H68" s="6" t="n">
        <v>5</v>
      </c>
      <c r="I68" s="6" t="n">
        <v>3</v>
      </c>
      <c r="J68" s="6" t="n">
        <v>2</v>
      </c>
      <c r="K68" s="6" t="n">
        <v>6</v>
      </c>
      <c r="L68" s="6" t="n">
        <v>3</v>
      </c>
      <c r="M68" s="17" t="n">
        <v>3438</v>
      </c>
      <c r="N68" s="17" t="n">
        <v>7470</v>
      </c>
      <c r="O68" s="6" t="inlineStr">
        <is>
          <t>2026</t>
        </is>
      </c>
      <c r="P68" s="6" t="n">
        <v>4</v>
      </c>
    </row>
    <row r="69">
      <c r="A69" s="6" t="inlineStr">
        <is>
          <t>Fort Riley</t>
        </is>
      </c>
      <c r="B69" s="6" t="inlineStr"/>
      <c r="C69" s="6" t="inlineStr">
        <is>
          <t>KS</t>
        </is>
      </c>
      <c r="D69" s="6" t="inlineStr">
        <is>
          <t>Topeka</t>
        </is>
      </c>
      <c r="E69" s="6" t="inlineStr"/>
      <c r="F69" s="6" t="inlineStr">
        <is>
          <t>Army</t>
        </is>
      </c>
      <c r="G69" s="6" t="n">
        <v>67</v>
      </c>
      <c r="H69" s="6" t="n">
        <v>8</v>
      </c>
      <c r="I69" s="6" t="n">
        <v>17</v>
      </c>
      <c r="J69" s="6" t="n">
        <v>36</v>
      </c>
      <c r="K69" s="6" t="n">
        <v>3</v>
      </c>
      <c r="L69" s="6" t="n">
        <v>2</v>
      </c>
      <c r="M69" s="17" t="n">
        <v>15214</v>
      </c>
      <c r="N69" s="17" t="n">
        <v>18081</v>
      </c>
      <c r="O69" s="6" t="inlineStr">
        <is>
          <t>2026</t>
        </is>
      </c>
      <c r="P69" s="6" t="n">
        <v>1</v>
      </c>
    </row>
    <row r="70">
      <c r="A70" s="6" t="inlineStr">
        <is>
          <t>McConnell AFB</t>
        </is>
      </c>
      <c r="B70" s="6" t="inlineStr"/>
      <c r="C70" s="6" t="inlineStr">
        <is>
          <t>KS</t>
        </is>
      </c>
      <c r="D70" s="6" t="inlineStr">
        <is>
          <t>Wichita-Hutchinson Plus</t>
        </is>
      </c>
      <c r="E70" s="6" t="inlineStr">
        <is>
          <t>67221</t>
        </is>
      </c>
      <c r="F70" s="6" t="inlineStr">
        <is>
          <t>Air Force</t>
        </is>
      </c>
      <c r="G70" s="6" t="n">
        <v>7</v>
      </c>
      <c r="H70" s="6" t="n">
        <v>2</v>
      </c>
      <c r="I70" s="6" t="n">
        <v>2</v>
      </c>
      <c r="J70" s="6" t="n">
        <v>0</v>
      </c>
      <c r="K70" s="6" t="n">
        <v>1</v>
      </c>
      <c r="L70" s="6" t="n">
        <v>2</v>
      </c>
      <c r="M70" s="17" t="n">
        <v>2899</v>
      </c>
      <c r="N70" s="17" t="n">
        <v>3577</v>
      </c>
      <c r="O70" s="6" t="inlineStr">
        <is>
          <t>2026</t>
        </is>
      </c>
      <c r="P70" s="6" t="n">
        <v>0</v>
      </c>
    </row>
    <row r="71">
      <c r="A71" s="6" t="inlineStr">
        <is>
          <t>Fort Knox</t>
        </is>
      </c>
      <c r="B71" s="6" t="inlineStr"/>
      <c r="C71" s="6" t="inlineStr">
        <is>
          <t>KY</t>
        </is>
      </c>
      <c r="D71" s="6" t="inlineStr">
        <is>
          <t>Louisville</t>
        </is>
      </c>
      <c r="E71" s="6" t="inlineStr">
        <is>
          <t>40121</t>
        </is>
      </c>
      <c r="F71" s="6" t="inlineStr">
        <is>
          <t>Army</t>
        </is>
      </c>
      <c r="G71" s="6" t="n">
        <v>33</v>
      </c>
      <c r="H71" s="6" t="n">
        <v>9</v>
      </c>
      <c r="I71" s="6" t="n">
        <v>12</v>
      </c>
      <c r="J71" s="6" t="n">
        <v>8</v>
      </c>
      <c r="K71" s="6" t="n">
        <v>0</v>
      </c>
      <c r="L71" s="6" t="n">
        <v>2</v>
      </c>
      <c r="M71" s="17" t="n">
        <v>4842</v>
      </c>
      <c r="N71" s="17" t="n">
        <v>7088</v>
      </c>
      <c r="O71" s="6" t="inlineStr">
        <is>
          <t>2026</t>
        </is>
      </c>
      <c r="P71" s="6" t="n">
        <v>8</v>
      </c>
    </row>
    <row r="72">
      <c r="A72" s="6" t="inlineStr">
        <is>
          <t>Fort Campbell</t>
        </is>
      </c>
      <c r="B72" s="6" t="inlineStr"/>
      <c r="C72" s="6" t="inlineStr">
        <is>
          <t>KY/TN</t>
        </is>
      </c>
      <c r="D72" s="6" t="inlineStr">
        <is>
          <t>Nashville</t>
        </is>
      </c>
      <c r="E72" s="6" t="inlineStr">
        <is>
          <t>42223</t>
        </is>
      </c>
      <c r="F72" s="6" t="inlineStr">
        <is>
          <t>Army</t>
        </is>
      </c>
      <c r="G72" s="6" t="n">
        <v>26</v>
      </c>
      <c r="H72" s="6" t="n">
        <v>5</v>
      </c>
      <c r="I72" s="6" t="n">
        <v>10</v>
      </c>
      <c r="J72" s="6" t="n">
        <v>6</v>
      </c>
      <c r="K72" s="6" t="n">
        <v>2</v>
      </c>
      <c r="L72" s="6" t="n">
        <v>2</v>
      </c>
      <c r="M72" s="17" t="n">
        <v>26824</v>
      </c>
      <c r="N72" s="17" t="n">
        <v>36153</v>
      </c>
      <c r="O72" s="6" t="inlineStr">
        <is>
          <t>2026</t>
        </is>
      </c>
      <c r="P72" s="6" t="n">
        <v>9</v>
      </c>
    </row>
    <row r="73">
      <c r="A73" s="6" t="inlineStr">
        <is>
          <t>Barksdale AFB</t>
        </is>
      </c>
      <c r="B73" s="6" t="inlineStr"/>
      <c r="C73" s="6" t="inlineStr">
        <is>
          <t>LA</t>
        </is>
      </c>
      <c r="D73" s="6" t="inlineStr">
        <is>
          <t>Shreveport, LA</t>
        </is>
      </c>
      <c r="E73" s="6" t="inlineStr"/>
      <c r="F73" s="6" t="inlineStr">
        <is>
          <t>Air Force</t>
        </is>
      </c>
      <c r="G73" s="6" t="n">
        <v>2</v>
      </c>
      <c r="H73" s="6" t="n">
        <v>1</v>
      </c>
      <c r="I73" s="6" t="n">
        <v>0</v>
      </c>
      <c r="J73" s="6" t="n">
        <v>0</v>
      </c>
      <c r="K73" s="6" t="n">
        <v>0</v>
      </c>
      <c r="L73" s="6" t="n">
        <v>1</v>
      </c>
      <c r="M73" s="17" t="n">
        <v>5175</v>
      </c>
      <c r="N73" s="17" t="n">
        <v>6715</v>
      </c>
      <c r="O73" s="6" t="inlineStr">
        <is>
          <t>2026</t>
        </is>
      </c>
      <c r="P73" s="6" t="n">
        <v>0</v>
      </c>
    </row>
    <row r="74">
      <c r="A74" s="6" t="inlineStr">
        <is>
          <t>Fort Johnson</t>
        </is>
      </c>
      <c r="B74" s="6" t="inlineStr">
        <is>
          <t>Fort Polk</t>
        </is>
      </c>
      <c r="C74" s="6" t="inlineStr">
        <is>
          <t>LA</t>
        </is>
      </c>
      <c r="D74" s="6" t="inlineStr">
        <is>
          <t>Alexandria, La</t>
        </is>
      </c>
      <c r="E74" s="6" t="inlineStr">
        <is>
          <t>71459</t>
        </is>
      </c>
      <c r="F74" s="6" t="inlineStr">
        <is>
          <t>Army</t>
        </is>
      </c>
      <c r="G74" s="6" t="n">
        <v>10</v>
      </c>
      <c r="H74" s="6" t="n">
        <v>2</v>
      </c>
      <c r="I74" s="6" t="n">
        <v>4</v>
      </c>
      <c r="J74" s="6" t="n">
        <v>2</v>
      </c>
      <c r="K74" s="6" t="n">
        <v>1</v>
      </c>
      <c r="L74" s="6" t="n">
        <v>1</v>
      </c>
      <c r="M74" s="17" t="n">
        <v>7783</v>
      </c>
      <c r="N74" s="17" t="n">
        <v>9601</v>
      </c>
      <c r="O74" s="6" t="inlineStr">
        <is>
          <t>2026</t>
        </is>
      </c>
      <c r="P74" s="6" t="n">
        <v>0</v>
      </c>
    </row>
    <row r="75">
      <c r="A75" s="6" t="inlineStr">
        <is>
          <t>New Orleans NAS JRB</t>
        </is>
      </c>
      <c r="B75" s="6" t="inlineStr"/>
      <c r="C75" s="6" t="inlineStr">
        <is>
          <t>LA</t>
        </is>
      </c>
      <c r="D75" s="6" t="inlineStr">
        <is>
          <t>New Orleans</t>
        </is>
      </c>
      <c r="E75" s="6" t="inlineStr">
        <is>
          <t>70143</t>
        </is>
      </c>
      <c r="F75" s="6" t="inlineStr">
        <is>
          <t>Navy</t>
        </is>
      </c>
      <c r="G75" s="6" t="n">
        <v>9</v>
      </c>
      <c r="H75" s="6" t="n">
        <v>3</v>
      </c>
      <c r="I75" s="6" t="n">
        <v>3</v>
      </c>
      <c r="J75" s="6" t="n">
        <v>1</v>
      </c>
      <c r="K75" s="6" t="n">
        <v>1</v>
      </c>
      <c r="L75" s="6" t="n">
        <v>1</v>
      </c>
      <c r="M75" s="17" t="n">
        <v>463</v>
      </c>
      <c r="N75" s="17" t="n">
        <v>1132</v>
      </c>
      <c r="O75" s="6" t="inlineStr">
        <is>
          <t>2026</t>
        </is>
      </c>
      <c r="P75" s="6" t="n">
        <v>0</v>
      </c>
    </row>
    <row r="76">
      <c r="A76" s="6" t="inlineStr">
        <is>
          <t>Hanscom AFB</t>
        </is>
      </c>
      <c r="B76" s="6" t="inlineStr"/>
      <c r="C76" s="6" t="inlineStr">
        <is>
          <t>MA</t>
        </is>
      </c>
      <c r="D76" s="6" t="inlineStr">
        <is>
          <t>Boston (Manchester)</t>
        </is>
      </c>
      <c r="E76" s="6" t="inlineStr">
        <is>
          <t>1731</t>
        </is>
      </c>
      <c r="F76" s="6" t="inlineStr">
        <is>
          <t>Air Force</t>
        </is>
      </c>
      <c r="G76" s="6" t="n">
        <v>8</v>
      </c>
      <c r="H76" s="6" t="n">
        <v>3</v>
      </c>
      <c r="I76" s="6" t="n">
        <v>3</v>
      </c>
      <c r="J76" s="6" t="n">
        <v>0</v>
      </c>
      <c r="K76" s="6" t="n">
        <v>1</v>
      </c>
      <c r="L76" s="6" t="n">
        <v>1</v>
      </c>
      <c r="M76" s="17" t="n">
        <v>833</v>
      </c>
      <c r="N76" s="17" t="n">
        <v>1124</v>
      </c>
      <c r="O76" s="6" t="inlineStr">
        <is>
          <t>2026</t>
        </is>
      </c>
      <c r="P76" s="6" t="n">
        <v>3</v>
      </c>
    </row>
    <row r="77">
      <c r="A77" s="6" t="inlineStr">
        <is>
          <t>Westover ARB</t>
        </is>
      </c>
      <c r="B77" s="6" t="inlineStr"/>
      <c r="C77" s="6" t="inlineStr">
        <is>
          <t>MA</t>
        </is>
      </c>
      <c r="D77" s="6" t="inlineStr">
        <is>
          <t>Springfield-Holyoke, MA</t>
        </is>
      </c>
      <c r="E77" s="6" t="inlineStr"/>
      <c r="F77" s="6" t="inlineStr">
        <is>
          <t>Air Force</t>
        </is>
      </c>
      <c r="G77" s="6" t="n">
        <v>3</v>
      </c>
      <c r="H77" s="6" t="n">
        <v>2</v>
      </c>
      <c r="I77" s="6" t="n">
        <v>0</v>
      </c>
      <c r="J77" s="6" t="n">
        <v>0</v>
      </c>
      <c r="K77" s="6" t="n">
        <v>0</v>
      </c>
      <c r="L77" s="6" t="n">
        <v>1</v>
      </c>
      <c r="M77" s="17" t="n">
        <v>168</v>
      </c>
      <c r="N77" s="17" t="n">
        <v>247</v>
      </c>
      <c r="O77" s="6" t="inlineStr">
        <is>
          <t>2026</t>
        </is>
      </c>
      <c r="P77" s="6" t="n">
        <v>0</v>
      </c>
    </row>
    <row r="78">
      <c r="A78" s="6" t="inlineStr">
        <is>
          <t>Aberdeen Proving Ground/ Edgewood Area</t>
        </is>
      </c>
      <c r="B78" s="6" t="inlineStr">
        <is>
          <t>APG</t>
        </is>
      </c>
      <c r="C78" s="6" t="inlineStr">
        <is>
          <t>MD</t>
        </is>
      </c>
      <c r="D78" s="6" t="inlineStr">
        <is>
          <t>Baltimore</t>
        </is>
      </c>
      <c r="E78" s="6" t="inlineStr">
        <is>
          <t>21005</t>
        </is>
      </c>
      <c r="F78" s="6" t="inlineStr">
        <is>
          <t>Army</t>
        </is>
      </c>
      <c r="G78" s="6" t="n">
        <v>28</v>
      </c>
      <c r="H78" s="6" t="n">
        <v>2</v>
      </c>
      <c r="I78" s="6" t="n">
        <v>5</v>
      </c>
      <c r="J78" s="6" t="n">
        <v>3</v>
      </c>
      <c r="K78" s="6" t="n">
        <v>17</v>
      </c>
      <c r="L78" s="6" t="n">
        <v>0</v>
      </c>
      <c r="M78" s="17" t="n">
        <v>831</v>
      </c>
      <c r="N78" s="17" t="n">
        <v>1841</v>
      </c>
      <c r="O78" s="6" t="inlineStr">
        <is>
          <t>2024, 2026</t>
        </is>
      </c>
      <c r="P78" s="6" t="n">
        <v>27</v>
      </c>
    </row>
    <row r="79">
      <c r="A79" s="6" t="inlineStr">
        <is>
          <t>Andrews Air Force Base</t>
        </is>
      </c>
      <c r="B79" s="6" t="inlineStr"/>
      <c r="C79" s="6" t="inlineStr">
        <is>
          <t>MD</t>
        </is>
      </c>
      <c r="D79" s="6" t="inlineStr">
        <is>
          <t>Washington, DC</t>
        </is>
      </c>
      <c r="E79" s="6" t="inlineStr"/>
      <c r="F79" s="6" t="inlineStr">
        <is>
          <t>Air Force</t>
        </is>
      </c>
      <c r="G79" s="6" t="n">
        <v>4</v>
      </c>
      <c r="H79" s="6" t="n">
        <v>1</v>
      </c>
      <c r="I79" s="6" t="n">
        <v>0</v>
      </c>
      <c r="J79" s="6" t="n">
        <v>0</v>
      </c>
      <c r="K79" s="6" t="n">
        <v>1</v>
      </c>
      <c r="L79" s="6" t="n">
        <v>2</v>
      </c>
      <c r="M79" s="17" t="n">
        <v>4312</v>
      </c>
      <c r="N79" s="17" t="n">
        <v>5760</v>
      </c>
      <c r="O79" s="6" t="inlineStr">
        <is>
          <t>2026</t>
        </is>
      </c>
      <c r="P79" s="6" t="n">
        <v>0</v>
      </c>
    </row>
    <row r="80">
      <c r="A80" s="6" t="inlineStr">
        <is>
          <t>Annapolis NS (Incl. USNA)</t>
        </is>
      </c>
      <c r="B80" s="6" t="inlineStr"/>
      <c r="C80" s="6" t="inlineStr">
        <is>
          <t>MD</t>
        </is>
      </c>
      <c r="D80" s="6" t="inlineStr">
        <is>
          <t>Baltimore, MD</t>
        </is>
      </c>
      <c r="E80" s="6" t="inlineStr"/>
      <c r="F80" s="6" t="inlineStr">
        <is>
          <t>Navy</t>
        </is>
      </c>
      <c r="G80" s="6" t="n">
        <v>4</v>
      </c>
      <c r="H80" s="6" t="n">
        <v>2</v>
      </c>
      <c r="I80" s="6" t="n">
        <v>0</v>
      </c>
      <c r="J80" s="6" t="n">
        <v>0</v>
      </c>
      <c r="K80" s="6" t="n">
        <v>0</v>
      </c>
      <c r="L80" s="6" t="n">
        <v>2</v>
      </c>
      <c r="M80" s="17" t="n">
        <v>1447</v>
      </c>
      <c r="N80" s="17" t="n">
        <v>1918</v>
      </c>
      <c r="O80" s="6" t="inlineStr">
        <is>
          <t>2026</t>
        </is>
      </c>
      <c r="P80" s="6" t="n">
        <v>0</v>
      </c>
    </row>
    <row r="81">
      <c r="A81" s="6" t="inlineStr">
        <is>
          <t>Detroit Arsenal</t>
        </is>
      </c>
      <c r="B81" s="6" t="inlineStr"/>
      <c r="C81" s="6" t="inlineStr">
        <is>
          <t>MD</t>
        </is>
      </c>
      <c r="D81" s="6" t="inlineStr">
        <is>
          <t>Detroit</t>
        </is>
      </c>
      <c r="E81" s="6" t="inlineStr">
        <is>
          <t>48092</t>
        </is>
      </c>
      <c r="F81" s="6" t="inlineStr">
        <is>
          <t>Army</t>
        </is>
      </c>
      <c r="G81" s="6" t="n">
        <v>3</v>
      </c>
      <c r="H81" s="6" t="n">
        <v>0</v>
      </c>
      <c r="I81" s="6" t="n">
        <v>2</v>
      </c>
      <c r="J81" s="6" t="n">
        <v>0</v>
      </c>
      <c r="K81" s="6" t="n">
        <v>1</v>
      </c>
      <c r="L81" s="6" t="n">
        <v>0</v>
      </c>
      <c r="M81" s="17" t="n"/>
      <c r="N81" s="17" t="n"/>
      <c r="O81" s="6" t="inlineStr"/>
      <c r="P81" s="6" t="n">
        <v>0</v>
      </c>
    </row>
    <row r="82">
      <c r="A82" s="6" t="inlineStr">
        <is>
          <t>Fort Detrick</t>
        </is>
      </c>
      <c r="B82" s="6" t="inlineStr"/>
      <c r="C82" s="6" t="inlineStr">
        <is>
          <t>MD</t>
        </is>
      </c>
      <c r="D82" s="6" t="inlineStr">
        <is>
          <t>Washington, DC (Hagrstwn)</t>
        </is>
      </c>
      <c r="E82" s="6" t="inlineStr"/>
      <c r="F82" s="6" t="inlineStr">
        <is>
          <t>Army</t>
        </is>
      </c>
      <c r="G82" s="6" t="n">
        <v>2</v>
      </c>
      <c r="H82" s="6" t="n">
        <v>0</v>
      </c>
      <c r="I82" s="6" t="n">
        <v>0</v>
      </c>
      <c r="J82" s="6" t="n">
        <v>0</v>
      </c>
      <c r="K82" s="6" t="n">
        <v>1</v>
      </c>
      <c r="L82" s="6" t="n">
        <v>1</v>
      </c>
      <c r="M82" s="17" t="n">
        <v>991</v>
      </c>
      <c r="N82" s="17" t="n">
        <v>1873</v>
      </c>
      <c r="O82" s="6" t="inlineStr">
        <is>
          <t>2026</t>
        </is>
      </c>
      <c r="P82" s="6" t="n">
        <v>0</v>
      </c>
    </row>
    <row r="83">
      <c r="A83" s="6" t="inlineStr">
        <is>
          <t>Fort George G. Meade</t>
        </is>
      </c>
      <c r="B83" s="6" t="inlineStr"/>
      <c r="C83" s="6" t="inlineStr">
        <is>
          <t>MD</t>
        </is>
      </c>
      <c r="D83" s="6" t="inlineStr">
        <is>
          <t>Baltimore</t>
        </is>
      </c>
      <c r="E83" s="6" t="inlineStr"/>
      <c r="F83" s="6" t="inlineStr">
        <is>
          <t>Army</t>
        </is>
      </c>
      <c r="G83" s="6" t="n">
        <v>12</v>
      </c>
      <c r="H83" s="6" t="n">
        <v>3</v>
      </c>
      <c r="I83" s="6" t="n">
        <v>4</v>
      </c>
      <c r="J83" s="6" t="n">
        <v>4</v>
      </c>
      <c r="K83" s="6" t="n">
        <v>0</v>
      </c>
      <c r="L83" s="6" t="n">
        <v>1</v>
      </c>
      <c r="M83" s="17" t="n">
        <v>11140</v>
      </c>
      <c r="N83" s="17" t="n">
        <v>14901</v>
      </c>
      <c r="O83" s="6" t="inlineStr">
        <is>
          <t>2026</t>
        </is>
      </c>
      <c r="P83" s="6" t="n">
        <v>0</v>
      </c>
    </row>
    <row r="84">
      <c r="A84" s="6" t="inlineStr">
        <is>
          <t>Indian Head NAV ORD STA</t>
        </is>
      </c>
      <c r="B84" s="6" t="inlineStr"/>
      <c r="C84" s="6" t="inlineStr">
        <is>
          <t>MD</t>
        </is>
      </c>
      <c r="D84" s="6" t="inlineStr">
        <is>
          <t>Washington, DC (Hagrstwn)</t>
        </is>
      </c>
      <c r="E84" s="6" t="inlineStr"/>
      <c r="F84" s="6" t="inlineStr">
        <is>
          <t>Navy</t>
        </is>
      </c>
      <c r="G84" s="6" t="n">
        <v>2</v>
      </c>
      <c r="H84" s="6" t="n">
        <v>0</v>
      </c>
      <c r="I84" s="6" t="n">
        <v>0</v>
      </c>
      <c r="J84" s="6" t="n">
        <v>0</v>
      </c>
      <c r="K84" s="6" t="n">
        <v>0</v>
      </c>
      <c r="L84" s="6" t="n">
        <v>2</v>
      </c>
      <c r="M84" s="17" t="n">
        <v>584</v>
      </c>
      <c r="N84" s="17" t="n">
        <v>620</v>
      </c>
      <c r="O84" s="6" t="inlineStr">
        <is>
          <t>2026</t>
        </is>
      </c>
      <c r="P84" s="6" t="n">
        <v>0</v>
      </c>
    </row>
    <row r="85">
      <c r="A85" s="6" t="inlineStr">
        <is>
          <t>Patuxent River NAS</t>
        </is>
      </c>
      <c r="B85" s="6" t="inlineStr"/>
      <c r="C85" s="6" t="inlineStr">
        <is>
          <t>MD</t>
        </is>
      </c>
      <c r="D85" s="6" t="inlineStr">
        <is>
          <t>Washington, DC (Hagrstwn)</t>
        </is>
      </c>
      <c r="E85" s="6" t="inlineStr">
        <is>
          <t>20670</t>
        </is>
      </c>
      <c r="F85" s="6" t="inlineStr">
        <is>
          <t>Navy</t>
        </is>
      </c>
      <c r="G85" s="6" t="n">
        <v>10</v>
      </c>
      <c r="H85" s="6" t="n">
        <v>3</v>
      </c>
      <c r="I85" s="6" t="n">
        <v>3</v>
      </c>
      <c r="J85" s="6" t="n">
        <v>2</v>
      </c>
      <c r="K85" s="6" t="n">
        <v>0</v>
      </c>
      <c r="L85" s="6" t="n">
        <v>2</v>
      </c>
      <c r="M85" s="17" t="n">
        <v>2267</v>
      </c>
      <c r="N85" s="17" t="n">
        <v>4150</v>
      </c>
      <c r="O85" s="6" t="inlineStr">
        <is>
          <t>2026</t>
        </is>
      </c>
      <c r="P85" s="6" t="n">
        <v>0</v>
      </c>
    </row>
    <row r="86">
      <c r="A86" s="6" t="inlineStr">
        <is>
          <t>Walter Reed NNMC Bethesda</t>
        </is>
      </c>
      <c r="B86" s="6" t="inlineStr"/>
      <c r="C86" s="6" t="inlineStr">
        <is>
          <t>MD</t>
        </is>
      </c>
      <c r="D86" s="6" t="inlineStr">
        <is>
          <t>Washington, DC (Hagrstwn)</t>
        </is>
      </c>
      <c r="E86" s="6" t="inlineStr"/>
      <c r="F86" s="6" t="inlineStr">
        <is>
          <t>Navy</t>
        </is>
      </c>
      <c r="G86" s="6" t="n">
        <v>2</v>
      </c>
      <c r="H86" s="6" t="n">
        <v>0</v>
      </c>
      <c r="I86" s="6" t="n">
        <v>0</v>
      </c>
      <c r="J86" s="6" t="n">
        <v>0</v>
      </c>
      <c r="K86" s="6" t="n">
        <v>0</v>
      </c>
      <c r="L86" s="6" t="n">
        <v>2</v>
      </c>
      <c r="M86" s="17" t="n">
        <v>4322</v>
      </c>
      <c r="N86" s="17" t="n">
        <v>5945</v>
      </c>
      <c r="O86" s="6" t="inlineStr">
        <is>
          <t>2026</t>
        </is>
      </c>
      <c r="P86" s="6" t="n">
        <v>0</v>
      </c>
    </row>
    <row r="87">
      <c r="A87" s="6" t="inlineStr">
        <is>
          <t>Portsmouth Naval Shipyard</t>
        </is>
      </c>
      <c r="B87" s="6" t="inlineStr"/>
      <c r="C87" s="6" t="inlineStr">
        <is>
          <t>ME/NH</t>
        </is>
      </c>
      <c r="D87" s="6" t="inlineStr">
        <is>
          <t>Boston, MA</t>
        </is>
      </c>
      <c r="E87" s="6" t="inlineStr"/>
      <c r="F87" s="6" t="inlineStr">
        <is>
          <t>Navy</t>
        </is>
      </c>
      <c r="G87" s="6" t="n">
        <v>2</v>
      </c>
      <c r="H87" s="6" t="n">
        <v>1</v>
      </c>
      <c r="I87" s="6" t="n">
        <v>0</v>
      </c>
      <c r="J87" s="6" t="n">
        <v>0</v>
      </c>
      <c r="K87" s="6" t="n">
        <v>0</v>
      </c>
      <c r="L87" s="6" t="n">
        <v>1</v>
      </c>
      <c r="M87" s="17" t="n">
        <v>959</v>
      </c>
      <c r="N87" s="17" t="n">
        <v>1105</v>
      </c>
      <c r="O87" s="6" t="inlineStr">
        <is>
          <t>2026</t>
        </is>
      </c>
      <c r="P87" s="6" t="n">
        <v>0</v>
      </c>
    </row>
    <row r="88">
      <c r="A88" s="6" t="inlineStr">
        <is>
          <t>Fort Leonard Wood</t>
        </is>
      </c>
      <c r="B88" s="6" t="inlineStr"/>
      <c r="C88" s="6" t="inlineStr">
        <is>
          <t>MO</t>
        </is>
      </c>
      <c r="D88" s="6" t="inlineStr">
        <is>
          <t>Springfield, Mo</t>
        </is>
      </c>
      <c r="E88" s="6" t="inlineStr">
        <is>
          <t>65473</t>
        </is>
      </c>
      <c r="F88" s="6" t="inlineStr">
        <is>
          <t>Army</t>
        </is>
      </c>
      <c r="G88" s="6" t="n">
        <v>37</v>
      </c>
      <c r="H88" s="6" t="n">
        <v>3</v>
      </c>
      <c r="I88" s="6" t="n">
        <v>21</v>
      </c>
      <c r="J88" s="6" t="n">
        <v>3</v>
      </c>
      <c r="K88" s="6" t="n">
        <v>5</v>
      </c>
      <c r="L88" s="6" t="n">
        <v>5</v>
      </c>
      <c r="M88" s="17" t="n">
        <v>12218</v>
      </c>
      <c r="N88" s="17" t="n">
        <v>11261</v>
      </c>
      <c r="O88" s="6" t="inlineStr">
        <is>
          <t>2026</t>
        </is>
      </c>
      <c r="P88" s="6" t="n">
        <v>4</v>
      </c>
    </row>
    <row r="89">
      <c r="A89" s="6" t="inlineStr">
        <is>
          <t>Whiteman AFB</t>
        </is>
      </c>
      <c r="B89" s="6" t="inlineStr"/>
      <c r="C89" s="6" t="inlineStr">
        <is>
          <t>MO</t>
        </is>
      </c>
      <c r="D89" s="6" t="inlineStr">
        <is>
          <t>Kansas City</t>
        </is>
      </c>
      <c r="E89" s="6" t="inlineStr">
        <is>
          <t>65305</t>
        </is>
      </c>
      <c r="F89" s="6" t="inlineStr">
        <is>
          <t>Air Force</t>
        </is>
      </c>
      <c r="G89" s="6" t="n">
        <v>19</v>
      </c>
      <c r="H89" s="6" t="n">
        <v>7</v>
      </c>
      <c r="I89" s="6" t="n">
        <v>7</v>
      </c>
      <c r="J89" s="6" t="n">
        <v>2</v>
      </c>
      <c r="K89" s="6" t="n">
        <v>2</v>
      </c>
      <c r="L89" s="6" t="n">
        <v>1</v>
      </c>
      <c r="M89" s="17" t="n">
        <v>3831</v>
      </c>
      <c r="N89" s="17" t="n">
        <v>4381</v>
      </c>
      <c r="O89" s="6" t="inlineStr">
        <is>
          <t>2026</t>
        </is>
      </c>
      <c r="P89" s="6" t="n">
        <v>2</v>
      </c>
    </row>
    <row r="90">
      <c r="A90" s="6" t="inlineStr">
        <is>
          <t>Gulfport NCBC</t>
        </is>
      </c>
      <c r="B90" s="6" t="inlineStr"/>
      <c r="C90" s="6" t="inlineStr">
        <is>
          <t>MS</t>
        </is>
      </c>
      <c r="D90" s="6" t="inlineStr">
        <is>
          <t>Biloxi-Gulfport</t>
        </is>
      </c>
      <c r="E90" s="6" t="inlineStr">
        <is>
          <t>39501</t>
        </is>
      </c>
      <c r="F90" s="6" t="inlineStr">
        <is>
          <t>Navy</t>
        </is>
      </c>
      <c r="G90" s="6" t="n">
        <v>11</v>
      </c>
      <c r="H90" s="6" t="n">
        <v>3</v>
      </c>
      <c r="I90" s="6" t="n">
        <v>2</v>
      </c>
      <c r="J90" s="6" t="n">
        <v>3</v>
      </c>
      <c r="K90" s="6" t="n">
        <v>1</v>
      </c>
      <c r="L90" s="6" t="n">
        <v>2</v>
      </c>
      <c r="M90" s="17" t="n">
        <v>2906</v>
      </c>
      <c r="N90" s="17" t="n">
        <v>3970</v>
      </c>
      <c r="O90" s="6" t="inlineStr">
        <is>
          <t>2026</t>
        </is>
      </c>
      <c r="P90" s="6" t="n">
        <v>0</v>
      </c>
    </row>
    <row r="91">
      <c r="A91" s="6" t="inlineStr">
        <is>
          <t>Keesler AFB</t>
        </is>
      </c>
      <c r="B91" s="6" t="inlineStr"/>
      <c r="C91" s="6" t="inlineStr">
        <is>
          <t>MS</t>
        </is>
      </c>
      <c r="D91" s="6" t="inlineStr">
        <is>
          <t>Biloxi-Gulfport</t>
        </is>
      </c>
      <c r="E91" s="6" t="inlineStr">
        <is>
          <t>39534</t>
        </is>
      </c>
      <c r="F91" s="6" t="inlineStr">
        <is>
          <t>Air Force</t>
        </is>
      </c>
      <c r="G91" s="6" t="n">
        <v>21</v>
      </c>
      <c r="H91" s="6" t="n">
        <v>3</v>
      </c>
      <c r="I91" s="6" t="n">
        <v>2</v>
      </c>
      <c r="J91" s="6" t="n">
        <v>4</v>
      </c>
      <c r="K91" s="6" t="n">
        <v>8</v>
      </c>
      <c r="L91" s="6" t="n">
        <v>3</v>
      </c>
      <c r="M91" s="17" t="n">
        <v>5162</v>
      </c>
      <c r="N91" s="17" t="n">
        <v>4425</v>
      </c>
      <c r="O91" s="6" t="inlineStr">
        <is>
          <t>2026</t>
        </is>
      </c>
      <c r="P91" s="6" t="n">
        <v>0</v>
      </c>
    </row>
    <row r="92">
      <c r="A92" s="6" t="inlineStr">
        <is>
          <t>Meridian NAS</t>
        </is>
      </c>
      <c r="B92" s="6" t="inlineStr"/>
      <c r="C92" s="6" t="inlineStr">
        <is>
          <t>MS</t>
        </is>
      </c>
      <c r="D92" s="6" t="inlineStr">
        <is>
          <t>Meridian</t>
        </is>
      </c>
      <c r="E92" s="6" t="inlineStr">
        <is>
          <t>39309</t>
        </is>
      </c>
      <c r="F92" s="6" t="inlineStr">
        <is>
          <t>Navy</t>
        </is>
      </c>
      <c r="G92" s="6" t="n">
        <v>11</v>
      </c>
      <c r="H92" s="6" t="n">
        <v>2</v>
      </c>
      <c r="I92" s="6" t="n">
        <v>2</v>
      </c>
      <c r="J92" s="6" t="n">
        <v>3</v>
      </c>
      <c r="K92" s="6" t="n">
        <v>2</v>
      </c>
      <c r="L92" s="6" t="n">
        <v>1</v>
      </c>
      <c r="M92" s="17" t="n">
        <v>1126</v>
      </c>
      <c r="N92" s="17" t="n">
        <v>680</v>
      </c>
      <c r="O92" s="6" t="inlineStr">
        <is>
          <t>2026</t>
        </is>
      </c>
      <c r="P92" s="6" t="n">
        <v>0</v>
      </c>
    </row>
    <row r="93">
      <c r="A93" s="6" t="inlineStr">
        <is>
          <t>Malmstrom AFB</t>
        </is>
      </c>
      <c r="B93" s="6" t="inlineStr"/>
      <c r="C93" s="6" t="inlineStr">
        <is>
          <t>MT</t>
        </is>
      </c>
      <c r="D93" s="6" t="inlineStr">
        <is>
          <t>Great Falls</t>
        </is>
      </c>
      <c r="E93" s="6" t="inlineStr">
        <is>
          <t>59402</t>
        </is>
      </c>
      <c r="F93" s="6" t="inlineStr">
        <is>
          <t>Air Force</t>
        </is>
      </c>
      <c r="G93" s="6" t="n">
        <v>8</v>
      </c>
      <c r="H93" s="6" t="n">
        <v>1</v>
      </c>
      <c r="I93" s="6" t="n">
        <v>3</v>
      </c>
      <c r="J93" s="6" t="n">
        <v>2</v>
      </c>
      <c r="K93" s="6" t="n">
        <v>2</v>
      </c>
      <c r="L93" s="6" t="n">
        <v>0</v>
      </c>
      <c r="M93" s="17" t="n"/>
      <c r="N93" s="17" t="n"/>
      <c r="O93" s="6" t="inlineStr"/>
      <c r="P93" s="6" t="n">
        <v>1</v>
      </c>
    </row>
    <row r="94">
      <c r="A94" s="6" t="inlineStr">
        <is>
          <t>Cherry Point MCAS</t>
        </is>
      </c>
      <c r="B94" s="6" t="inlineStr"/>
      <c r="C94" s="6" t="inlineStr">
        <is>
          <t>NC</t>
        </is>
      </c>
      <c r="D94" s="6" t="inlineStr">
        <is>
          <t>Greenville-N.Bern-Washngtn</t>
        </is>
      </c>
      <c r="E94" s="6" t="inlineStr">
        <is>
          <t>28533</t>
        </is>
      </c>
      <c r="F94" s="6" t="inlineStr">
        <is>
          <t>Marine Corps</t>
        </is>
      </c>
      <c r="G94" s="6" t="n">
        <v>6</v>
      </c>
      <c r="H94" s="6" t="n">
        <v>1</v>
      </c>
      <c r="I94" s="6" t="n">
        <v>4</v>
      </c>
      <c r="J94" s="6" t="n">
        <v>0</v>
      </c>
      <c r="K94" s="6" t="n">
        <v>0</v>
      </c>
      <c r="L94" s="6" t="n">
        <v>1</v>
      </c>
      <c r="M94" s="17" t="n">
        <v>5973</v>
      </c>
      <c r="N94" s="17" t="n">
        <v>6547</v>
      </c>
      <c r="O94" s="6" t="inlineStr">
        <is>
          <t>2026</t>
        </is>
      </c>
      <c r="P94" s="6" t="n">
        <v>1</v>
      </c>
    </row>
    <row r="95">
      <c r="A95" s="6" t="inlineStr">
        <is>
          <t>Fort Liberty</t>
        </is>
      </c>
      <c r="B95" s="6" t="inlineStr">
        <is>
          <t>Fort Bragg</t>
        </is>
      </c>
      <c r="C95" s="6" t="inlineStr">
        <is>
          <t>NC</t>
        </is>
      </c>
      <c r="D95" s="6" t="inlineStr">
        <is>
          <t>Raleigh-Durham (Fayetvlle)</t>
        </is>
      </c>
      <c r="E95" s="6" t="inlineStr">
        <is>
          <t>28307</t>
        </is>
      </c>
      <c r="F95" s="6" t="inlineStr">
        <is>
          <t>Army</t>
        </is>
      </c>
      <c r="G95" s="6" t="n">
        <v>35</v>
      </c>
      <c r="H95" s="6" t="n">
        <v>3</v>
      </c>
      <c r="I95" s="6" t="n">
        <v>6</v>
      </c>
      <c r="J95" s="6" t="n">
        <v>21</v>
      </c>
      <c r="K95" s="6" t="n">
        <v>2</v>
      </c>
      <c r="L95" s="6" t="n">
        <v>2</v>
      </c>
      <c r="M95" s="17" t="n">
        <v>45055</v>
      </c>
      <c r="N95" s="17" t="n">
        <v>64046</v>
      </c>
      <c r="O95" s="6" t="inlineStr">
        <is>
          <t>2026</t>
        </is>
      </c>
      <c r="P95" s="6" t="n">
        <v>0</v>
      </c>
    </row>
    <row r="96">
      <c r="A96" s="6" t="inlineStr">
        <is>
          <t>New River MCAS</t>
        </is>
      </c>
      <c r="B96" s="6" t="inlineStr"/>
      <c r="C96" s="6" t="inlineStr">
        <is>
          <t>NC</t>
        </is>
      </c>
      <c r="D96" s="6" t="inlineStr">
        <is>
          <t>Greenville-N.Bern-Washngtn</t>
        </is>
      </c>
      <c r="E96" s="6" t="inlineStr">
        <is>
          <t>28545</t>
        </is>
      </c>
      <c r="F96" s="6" t="inlineStr">
        <is>
          <t>Marine Corps</t>
        </is>
      </c>
      <c r="G96" s="6" t="n">
        <v>27</v>
      </c>
      <c r="H96" s="6" t="n">
        <v>9</v>
      </c>
      <c r="I96" s="6" t="n">
        <v>10</v>
      </c>
      <c r="J96" s="6" t="n">
        <v>3</v>
      </c>
      <c r="K96" s="6" t="n">
        <v>0</v>
      </c>
      <c r="L96" s="6" t="n">
        <v>3</v>
      </c>
      <c r="M96" s="17" t="n"/>
      <c r="N96" s="17" t="n"/>
      <c r="O96" s="6" t="inlineStr">
        <is>
          <t>2026</t>
        </is>
      </c>
      <c r="P96" s="6" t="n">
        <v>21</v>
      </c>
    </row>
    <row r="97">
      <c r="A97" s="6" t="inlineStr">
        <is>
          <t>Grand Forks AFB</t>
        </is>
      </c>
      <c r="B97" s="6" t="inlineStr"/>
      <c r="C97" s="6" t="inlineStr">
        <is>
          <t>ND</t>
        </is>
      </c>
      <c r="D97" s="6" t="inlineStr">
        <is>
          <t>Fargo-Valley City, ND</t>
        </is>
      </c>
      <c r="E97" s="6" t="inlineStr"/>
      <c r="F97" s="6" t="inlineStr">
        <is>
          <t>Air Force</t>
        </is>
      </c>
      <c r="G97" s="6" t="n">
        <v>2</v>
      </c>
      <c r="H97" s="6" t="n">
        <v>1</v>
      </c>
      <c r="I97" s="6" t="n">
        <v>0</v>
      </c>
      <c r="J97" s="6" t="n">
        <v>0</v>
      </c>
      <c r="K97" s="6" t="n">
        <v>0</v>
      </c>
      <c r="L97" s="6" t="n">
        <v>1</v>
      </c>
      <c r="M97" s="17" t="n">
        <v>1659</v>
      </c>
      <c r="N97" s="17" t="n">
        <v>1901</v>
      </c>
      <c r="O97" s="6" t="inlineStr">
        <is>
          <t>2026</t>
        </is>
      </c>
      <c r="P97" s="6" t="n">
        <v>0</v>
      </c>
    </row>
    <row r="98">
      <c r="A98" s="6" t="inlineStr">
        <is>
          <t>Minot AFB</t>
        </is>
      </c>
      <c r="B98" s="6" t="inlineStr"/>
      <c r="C98" s="6" t="inlineStr">
        <is>
          <t>ND</t>
        </is>
      </c>
      <c r="D98" s="6" t="inlineStr">
        <is>
          <t>Minot-Bismarck-Dickinson, ND</t>
        </is>
      </c>
      <c r="E98" s="6" t="inlineStr"/>
      <c r="F98" s="6" t="inlineStr">
        <is>
          <t>Air Force</t>
        </is>
      </c>
      <c r="G98" s="6" t="n">
        <v>3</v>
      </c>
      <c r="H98" s="6" t="n">
        <v>2</v>
      </c>
      <c r="I98" s="6" t="n">
        <v>0</v>
      </c>
      <c r="J98" s="6" t="n">
        <v>0</v>
      </c>
      <c r="K98" s="6" t="n">
        <v>0</v>
      </c>
      <c r="L98" s="6" t="n">
        <v>1</v>
      </c>
      <c r="M98" s="17" t="n">
        <v>5625</v>
      </c>
      <c r="N98" s="17" t="n">
        <v>5406</v>
      </c>
      <c r="O98" s="6" t="inlineStr">
        <is>
          <t>2026</t>
        </is>
      </c>
      <c r="P98" s="6" t="n">
        <v>0</v>
      </c>
    </row>
    <row r="99">
      <c r="A99" s="6" t="inlineStr">
        <is>
          <t>Earle NWS</t>
        </is>
      </c>
      <c r="B99" s="6" t="inlineStr"/>
      <c r="C99" s="6" t="inlineStr">
        <is>
          <t>NJ</t>
        </is>
      </c>
      <c r="D99" s="6" t="inlineStr">
        <is>
          <t>New York, NY</t>
        </is>
      </c>
      <c r="E99" s="6" t="inlineStr"/>
      <c r="F99" s="6" t="inlineStr">
        <is>
          <t>Navy</t>
        </is>
      </c>
      <c r="G99" s="6" t="n">
        <v>2</v>
      </c>
      <c r="H99" s="6" t="n">
        <v>0</v>
      </c>
      <c r="I99" s="6" t="n">
        <v>0</v>
      </c>
      <c r="J99" s="6" t="n">
        <v>0</v>
      </c>
      <c r="K99" s="6" t="n">
        <v>0</v>
      </c>
      <c r="L99" s="6" t="n">
        <v>2</v>
      </c>
      <c r="M99" s="17" t="n">
        <v>2000</v>
      </c>
      <c r="N99" s="17" t="n"/>
      <c r="O99" s="6" t="inlineStr">
        <is>
          <t>2026</t>
        </is>
      </c>
      <c r="P99" s="6" t="n">
        <v>0</v>
      </c>
    </row>
    <row r="100">
      <c r="A100" s="6" t="inlineStr">
        <is>
          <t>Joint Base Lakehurst - McGuire - Dix</t>
        </is>
      </c>
      <c r="B100" s="6" t="inlineStr"/>
      <c r="C100" s="6" t="inlineStr">
        <is>
          <t>NJ</t>
        </is>
      </c>
      <c r="D100" s="6" t="inlineStr">
        <is>
          <t>Trenton, NJ</t>
        </is>
      </c>
      <c r="E100" s="6" t="inlineStr"/>
      <c r="F100" s="6" t="inlineStr">
        <is>
          <t>Joint Base</t>
        </is>
      </c>
      <c r="G100" s="6" t="n">
        <v>4</v>
      </c>
      <c r="H100" s="6" t="n">
        <v>1</v>
      </c>
      <c r="I100" s="6" t="n">
        <v>0</v>
      </c>
      <c r="J100" s="6" t="n">
        <v>0</v>
      </c>
      <c r="K100" s="6" t="n">
        <v>2</v>
      </c>
      <c r="L100" s="6" t="n">
        <v>1</v>
      </c>
      <c r="M100" s="17" t="n">
        <v>5701</v>
      </c>
      <c r="N100" s="17" t="n">
        <v>7607</v>
      </c>
      <c r="O100" s="6" t="inlineStr">
        <is>
          <t>2026</t>
        </is>
      </c>
      <c r="P100" s="6" t="n">
        <v>0</v>
      </c>
    </row>
    <row r="101">
      <c r="A101" s="6" t="inlineStr">
        <is>
          <t>Picatinny Arsenal</t>
        </is>
      </c>
      <c r="B101" s="6" t="inlineStr"/>
      <c r="C101" s="6" t="inlineStr">
        <is>
          <t>NJ</t>
        </is>
      </c>
      <c r="D101" s="6" t="inlineStr">
        <is>
          <t>New York, NY</t>
        </is>
      </c>
      <c r="E101" s="6" t="inlineStr"/>
      <c r="F101" s="6" t="inlineStr">
        <is>
          <t>Army</t>
        </is>
      </c>
      <c r="G101" s="6" t="n">
        <v>2</v>
      </c>
      <c r="H101" s="6" t="n">
        <v>0</v>
      </c>
      <c r="I101" s="6" t="n">
        <v>0</v>
      </c>
      <c r="J101" s="6" t="n">
        <v>0</v>
      </c>
      <c r="K101" s="6" t="n">
        <v>1</v>
      </c>
      <c r="L101" s="6" t="n">
        <v>1</v>
      </c>
      <c r="M101" s="17" t="n">
        <v>100</v>
      </c>
      <c r="N101" s="17" t="n">
        <v>350</v>
      </c>
      <c r="O101" s="6" t="inlineStr">
        <is>
          <t>2024</t>
        </is>
      </c>
      <c r="P101" s="6" t="n">
        <v>0</v>
      </c>
    </row>
    <row r="102">
      <c r="A102" s="6" t="inlineStr">
        <is>
          <t>Cannon AFB</t>
        </is>
      </c>
      <c r="B102" s="6" t="inlineStr"/>
      <c r="C102" s="6" t="inlineStr">
        <is>
          <t>NM</t>
        </is>
      </c>
      <c r="D102" s="6" t="inlineStr">
        <is>
          <t>Roswell, NM</t>
        </is>
      </c>
      <c r="E102" s="6" t="inlineStr"/>
      <c r="F102" s="6" t="inlineStr">
        <is>
          <t>Air Force</t>
        </is>
      </c>
      <c r="G102" s="6" t="n">
        <v>4</v>
      </c>
      <c r="H102" s="6" t="n">
        <v>2</v>
      </c>
      <c r="I102" s="6" t="n">
        <v>0</v>
      </c>
      <c r="J102" s="6" t="n">
        <v>0</v>
      </c>
      <c r="K102" s="6" t="n">
        <v>1</v>
      </c>
      <c r="L102" s="6" t="n">
        <v>1</v>
      </c>
      <c r="M102" s="17" t="n">
        <v>4633</v>
      </c>
      <c r="N102" s="17" t="n">
        <v>4353</v>
      </c>
      <c r="O102" s="6" t="inlineStr">
        <is>
          <t>2026</t>
        </is>
      </c>
      <c r="P102" s="6" t="n">
        <v>0</v>
      </c>
    </row>
    <row r="103">
      <c r="A103" s="6" t="inlineStr">
        <is>
          <t>Holloman AFB</t>
        </is>
      </c>
      <c r="B103" s="6" t="inlineStr"/>
      <c r="C103" s="6" t="inlineStr">
        <is>
          <t>NM</t>
        </is>
      </c>
      <c r="D103" s="6" t="inlineStr">
        <is>
          <t>Albuquerque-Santa Fe, NM</t>
        </is>
      </c>
      <c r="E103" s="6" t="inlineStr"/>
      <c r="F103" s="6" t="inlineStr">
        <is>
          <t>Air Force</t>
        </is>
      </c>
      <c r="G103" s="6" t="n">
        <v>5</v>
      </c>
      <c r="H103" s="6" t="n">
        <v>3</v>
      </c>
      <c r="I103" s="6" t="n">
        <v>0</v>
      </c>
      <c r="J103" s="6" t="n">
        <v>0</v>
      </c>
      <c r="K103" s="6" t="n">
        <v>1</v>
      </c>
      <c r="L103" s="6" t="n">
        <v>1</v>
      </c>
      <c r="M103" s="17" t="n">
        <v>4076</v>
      </c>
      <c r="N103" s="17" t="n">
        <v>4386</v>
      </c>
      <c r="O103" s="6" t="inlineStr">
        <is>
          <t>2026</t>
        </is>
      </c>
      <c r="P103" s="6" t="n">
        <v>0</v>
      </c>
    </row>
    <row r="104">
      <c r="A104" s="6" t="inlineStr">
        <is>
          <t>Kirtland AFB</t>
        </is>
      </c>
      <c r="B104" s="6" t="inlineStr"/>
      <c r="C104" s="6" t="inlineStr">
        <is>
          <t>NM</t>
        </is>
      </c>
      <c r="D104" s="6" t="inlineStr">
        <is>
          <t>Albuquerque-Santa Fe, NM</t>
        </is>
      </c>
      <c r="E104" s="6" t="inlineStr"/>
      <c r="F104" s="6" t="inlineStr">
        <is>
          <t>Air Force</t>
        </is>
      </c>
      <c r="G104" s="6" t="n">
        <v>5</v>
      </c>
      <c r="H104" s="6" t="n">
        <v>1</v>
      </c>
      <c r="I104" s="6" t="n">
        <v>0</v>
      </c>
      <c r="J104" s="6" t="n">
        <v>0</v>
      </c>
      <c r="K104" s="6" t="n">
        <v>3</v>
      </c>
      <c r="L104" s="6" t="n">
        <v>1</v>
      </c>
      <c r="M104" s="17" t="n">
        <v>3386</v>
      </c>
      <c r="N104" s="17" t="n">
        <v>4316</v>
      </c>
      <c r="O104" s="6" t="inlineStr">
        <is>
          <t>2026</t>
        </is>
      </c>
      <c r="P104" s="6" t="n">
        <v>0</v>
      </c>
    </row>
    <row r="105">
      <c r="A105" s="6" t="inlineStr">
        <is>
          <t>Nellis Air Force Base</t>
        </is>
      </c>
      <c r="B105" s="6" t="inlineStr"/>
      <c r="C105" s="6" t="inlineStr">
        <is>
          <t>NV</t>
        </is>
      </c>
      <c r="D105" s="6" t="inlineStr">
        <is>
          <t>Las Vegas, NV</t>
        </is>
      </c>
      <c r="E105" s="6" t="inlineStr"/>
      <c r="F105" s="6" t="inlineStr">
        <is>
          <t>Air Force</t>
        </is>
      </c>
      <c r="G105" s="6" t="n">
        <v>4</v>
      </c>
      <c r="H105" s="6" t="n">
        <v>1</v>
      </c>
      <c r="I105" s="6" t="n">
        <v>0</v>
      </c>
      <c r="J105" s="6" t="n">
        <v>0</v>
      </c>
      <c r="K105" s="6" t="n">
        <v>2</v>
      </c>
      <c r="L105" s="6" t="n">
        <v>1</v>
      </c>
      <c r="M105" s="17" t="n">
        <v>10168</v>
      </c>
      <c r="N105" s="17" t="n">
        <v>11769</v>
      </c>
      <c r="O105" s="6" t="inlineStr">
        <is>
          <t>2026</t>
        </is>
      </c>
      <c r="P105" s="6" t="n">
        <v>0</v>
      </c>
    </row>
    <row r="106">
      <c r="A106" s="6" t="inlineStr">
        <is>
          <t>Fort Drum</t>
        </is>
      </c>
      <c r="B106" s="6" t="inlineStr"/>
      <c r="C106" s="6" t="inlineStr">
        <is>
          <t>NY</t>
        </is>
      </c>
      <c r="D106" s="6" t="inlineStr">
        <is>
          <t>Watertown, NY</t>
        </is>
      </c>
      <c r="E106" s="6" t="inlineStr"/>
      <c r="F106" s="6" t="inlineStr">
        <is>
          <t>Army</t>
        </is>
      </c>
      <c r="G106" s="6" t="n">
        <v>5</v>
      </c>
      <c r="H106" s="6" t="n">
        <v>3</v>
      </c>
      <c r="I106" s="6" t="n">
        <v>0</v>
      </c>
      <c r="J106" s="6" t="n">
        <v>0</v>
      </c>
      <c r="K106" s="6" t="n">
        <v>0</v>
      </c>
      <c r="L106" s="6" t="n">
        <v>2</v>
      </c>
      <c r="M106" s="17" t="n">
        <v>15195</v>
      </c>
      <c r="N106" s="17" t="n">
        <v>16816</v>
      </c>
      <c r="O106" s="6" t="inlineStr">
        <is>
          <t>2026</t>
        </is>
      </c>
      <c r="P106" s="6" t="n">
        <v>0</v>
      </c>
    </row>
    <row r="107">
      <c r="A107" s="6" t="inlineStr">
        <is>
          <t>Fort Hamilton</t>
        </is>
      </c>
      <c r="B107" s="6" t="inlineStr"/>
      <c r="C107" s="6" t="inlineStr">
        <is>
          <t>NY</t>
        </is>
      </c>
      <c r="D107" s="6" t="inlineStr">
        <is>
          <t>New York, NY</t>
        </is>
      </c>
      <c r="E107" s="6" t="inlineStr"/>
      <c r="F107" s="6" t="inlineStr">
        <is>
          <t>Army</t>
        </is>
      </c>
      <c r="G107" s="6" t="n">
        <v>3</v>
      </c>
      <c r="H107" s="6" t="n">
        <v>2</v>
      </c>
      <c r="I107" s="6" t="n">
        <v>0</v>
      </c>
      <c r="J107" s="6" t="n">
        <v>0</v>
      </c>
      <c r="K107" s="6" t="n">
        <v>0</v>
      </c>
      <c r="L107" s="6" t="n">
        <v>1</v>
      </c>
      <c r="M107" s="17" t="n">
        <v>211</v>
      </c>
      <c r="N107" s="17" t="n">
        <v>434</v>
      </c>
      <c r="O107" s="6" t="inlineStr">
        <is>
          <t>2026</t>
        </is>
      </c>
      <c r="P107" s="6" t="n">
        <v>0</v>
      </c>
    </row>
    <row r="108">
      <c r="A108" s="6" t="inlineStr">
        <is>
          <t>Saratoga Springs Naval Support Unit</t>
        </is>
      </c>
      <c r="B108" s="6" t="inlineStr"/>
      <c r="C108" s="6" t="inlineStr">
        <is>
          <t>NY</t>
        </is>
      </c>
      <c r="D108" s="6" t="inlineStr">
        <is>
          <t>Albany-Schenectady-Troy</t>
        </is>
      </c>
      <c r="E108" s="6" t="inlineStr"/>
      <c r="F108" s="6" t="inlineStr">
        <is>
          <t>Navy</t>
        </is>
      </c>
      <c r="G108" s="6" t="n">
        <v>4</v>
      </c>
      <c r="H108" s="6" t="n">
        <v>2</v>
      </c>
      <c r="I108" s="6" t="n">
        <v>0</v>
      </c>
      <c r="J108" s="6" t="n">
        <v>0</v>
      </c>
      <c r="K108" s="6" t="n">
        <v>0</v>
      </c>
      <c r="L108" s="6" t="n">
        <v>2</v>
      </c>
      <c r="M108" s="17" t="n">
        <v>3196</v>
      </c>
      <c r="N108" s="17" t="n">
        <v>3752</v>
      </c>
      <c r="O108" s="6" t="inlineStr">
        <is>
          <t>2026</t>
        </is>
      </c>
      <c r="P108" s="6" t="n">
        <v>0</v>
      </c>
    </row>
    <row r="109">
      <c r="A109" s="6" t="inlineStr">
        <is>
          <t>West Point U.S. Military Academy</t>
        </is>
      </c>
      <c r="B109" s="6" t="inlineStr"/>
      <c r="C109" s="6" t="inlineStr">
        <is>
          <t>NY</t>
        </is>
      </c>
      <c r="D109" s="6" t="inlineStr">
        <is>
          <t>New York, NY</t>
        </is>
      </c>
      <c r="E109" s="6" t="inlineStr"/>
      <c r="F109" s="6" t="inlineStr">
        <is>
          <t>Army</t>
        </is>
      </c>
      <c r="G109" s="6" t="n">
        <v>4</v>
      </c>
      <c r="H109" s="6" t="n">
        <v>1</v>
      </c>
      <c r="I109" s="6" t="n">
        <v>0</v>
      </c>
      <c r="J109" s="6" t="n">
        <v>0</v>
      </c>
      <c r="K109" s="6" t="n">
        <v>1</v>
      </c>
      <c r="L109" s="6" t="n">
        <v>2</v>
      </c>
      <c r="M109" s="17" t="n">
        <v>1527</v>
      </c>
      <c r="N109" s="17" t="n">
        <v>2890</v>
      </c>
      <c r="O109" s="6" t="inlineStr">
        <is>
          <t>2026</t>
        </is>
      </c>
      <c r="P109" s="6" t="n">
        <v>0</v>
      </c>
    </row>
    <row r="110">
      <c r="A110" s="6" t="inlineStr">
        <is>
          <t>Columbus Def Depot</t>
        </is>
      </c>
      <c r="B110" s="6" t="inlineStr"/>
      <c r="C110" s="6" t="inlineStr">
        <is>
          <t>OH</t>
        </is>
      </c>
      <c r="D110" s="6" t="inlineStr">
        <is>
          <t>Columbus, OH</t>
        </is>
      </c>
      <c r="E110" s="6" t="inlineStr"/>
      <c r="F110" s="6" t="inlineStr">
        <is>
          <t>Army</t>
        </is>
      </c>
      <c r="G110" s="6" t="n">
        <v>5</v>
      </c>
      <c r="H110" s="6" t="n">
        <v>1</v>
      </c>
      <c r="I110" s="6" t="n">
        <v>0</v>
      </c>
      <c r="J110" s="6" t="n">
        <v>0</v>
      </c>
      <c r="K110" s="6" t="n">
        <v>2</v>
      </c>
      <c r="L110" s="6" t="n">
        <v>2</v>
      </c>
      <c r="M110" s="17" t="n"/>
      <c r="N110" s="17" t="n"/>
      <c r="O110" s="6" t="inlineStr">
        <is>
          <t>2026</t>
        </is>
      </c>
      <c r="P110" s="6" t="n">
        <v>0</v>
      </c>
    </row>
    <row r="111">
      <c r="A111" s="6" t="inlineStr">
        <is>
          <t>Wright Patterson Air Force Base</t>
        </is>
      </c>
      <c r="B111" s="6" t="inlineStr"/>
      <c r="C111" s="6" t="inlineStr">
        <is>
          <t>OH</t>
        </is>
      </c>
      <c r="D111" s="6" t="inlineStr">
        <is>
          <t>Dayton, OH</t>
        </is>
      </c>
      <c r="E111" s="6" t="inlineStr"/>
      <c r="F111" s="6" t="inlineStr">
        <is>
          <t>Air Force</t>
        </is>
      </c>
      <c r="G111" s="6" t="n">
        <v>3</v>
      </c>
      <c r="H111" s="6" t="n">
        <v>1</v>
      </c>
      <c r="I111" s="6" t="n">
        <v>0</v>
      </c>
      <c r="J111" s="6" t="n">
        <v>0</v>
      </c>
      <c r="K111" s="6" t="n">
        <v>0</v>
      </c>
      <c r="L111" s="6" t="n">
        <v>2</v>
      </c>
      <c r="M111" s="17" t="n"/>
      <c r="N111" s="17" t="n"/>
      <c r="O111" s="6" t="inlineStr">
        <is>
          <t>2026</t>
        </is>
      </c>
      <c r="P111" s="6" t="n">
        <v>0</v>
      </c>
    </row>
    <row r="112">
      <c r="A112" s="6" t="inlineStr">
        <is>
          <t>Altus AFB</t>
        </is>
      </c>
      <c r="B112" s="6" t="inlineStr"/>
      <c r="C112" s="6" t="inlineStr">
        <is>
          <t>OK</t>
        </is>
      </c>
      <c r="D112" s="6" t="inlineStr">
        <is>
          <t>Wichita Falls &amp; Lawton</t>
        </is>
      </c>
      <c r="E112" s="6" t="inlineStr">
        <is>
          <t>73523</t>
        </is>
      </c>
      <c r="F112" s="6" t="inlineStr">
        <is>
          <t>Air Force</t>
        </is>
      </c>
      <c r="G112" s="6" t="n">
        <v>2</v>
      </c>
      <c r="H112" s="6" t="n">
        <v>1</v>
      </c>
      <c r="I112" s="6" t="n">
        <v>1</v>
      </c>
      <c r="J112" s="6" t="n">
        <v>0</v>
      </c>
      <c r="K112" s="6" t="n">
        <v>0</v>
      </c>
      <c r="L112" s="6" t="n">
        <v>0</v>
      </c>
      <c r="M112" s="17" t="n"/>
      <c r="N112" s="17" t="n"/>
      <c r="O112" s="6" t="inlineStr">
        <is>
          <t>2024</t>
        </is>
      </c>
      <c r="P112" s="6" t="n">
        <v>2</v>
      </c>
    </row>
    <row r="113">
      <c r="A113" s="6" t="inlineStr">
        <is>
          <t>Fort Sill</t>
        </is>
      </c>
      <c r="B113" s="6" t="inlineStr"/>
      <c r="C113" s="6" t="inlineStr">
        <is>
          <t>OK</t>
        </is>
      </c>
      <c r="D113" s="6" t="inlineStr">
        <is>
          <t>Wichita Falls, TX</t>
        </is>
      </c>
      <c r="E113" s="6" t="inlineStr"/>
      <c r="F113" s="6" t="inlineStr">
        <is>
          <t>Army</t>
        </is>
      </c>
      <c r="G113" s="6" t="n">
        <v>3</v>
      </c>
      <c r="H113" s="6" t="n">
        <v>1</v>
      </c>
      <c r="I113" s="6" t="n">
        <v>0</v>
      </c>
      <c r="J113" s="6" t="n">
        <v>0</v>
      </c>
      <c r="K113" s="6" t="n">
        <v>1</v>
      </c>
      <c r="L113" s="6" t="n">
        <v>1</v>
      </c>
      <c r="M113" s="17" t="n"/>
      <c r="N113" s="17" t="n"/>
      <c r="O113" s="6" t="inlineStr">
        <is>
          <t>2026</t>
        </is>
      </c>
      <c r="P113" s="6" t="n">
        <v>0</v>
      </c>
    </row>
    <row r="114">
      <c r="A114" s="6" t="inlineStr">
        <is>
          <t>Tinker AFB</t>
        </is>
      </c>
      <c r="B114" s="6" t="inlineStr"/>
      <c r="C114" s="6" t="inlineStr">
        <is>
          <t>OK</t>
        </is>
      </c>
      <c r="D114" s="6" t="inlineStr">
        <is>
          <t>Oklahoma City</t>
        </is>
      </c>
      <c r="E114" s="6" t="inlineStr">
        <is>
          <t>73145</t>
        </is>
      </c>
      <c r="F114" s="6" t="inlineStr">
        <is>
          <t>Air Force</t>
        </is>
      </c>
      <c r="G114" s="6" t="n">
        <v>13</v>
      </c>
      <c r="H114" s="6" t="n">
        <v>2</v>
      </c>
      <c r="I114" s="6" t="n">
        <v>5</v>
      </c>
      <c r="J114" s="6" t="n">
        <v>0</v>
      </c>
      <c r="K114" s="6" t="n">
        <v>3</v>
      </c>
      <c r="L114" s="6" t="n">
        <v>1</v>
      </c>
      <c r="M114" s="17" t="n">
        <v>30000</v>
      </c>
      <c r="N114" s="17" t="n"/>
      <c r="O114" s="6" t="inlineStr">
        <is>
          <t>2026</t>
        </is>
      </c>
      <c r="P114" s="6" t="n">
        <v>6</v>
      </c>
    </row>
    <row r="115">
      <c r="A115" s="6" t="inlineStr">
        <is>
          <t>Carlisle Barracks</t>
        </is>
      </c>
      <c r="B115" s="6" t="inlineStr"/>
      <c r="C115" s="6" t="inlineStr">
        <is>
          <t>PA</t>
        </is>
      </c>
      <c r="D115" s="6" t="inlineStr">
        <is>
          <t>Harrisburg-Lancaster-Lebanon-York, PA</t>
        </is>
      </c>
      <c r="E115" s="6" t="inlineStr"/>
      <c r="F115" s="6" t="inlineStr">
        <is>
          <t>Army</t>
        </is>
      </c>
      <c r="G115" s="6" t="n">
        <v>4</v>
      </c>
      <c r="H115" s="6" t="n">
        <v>1</v>
      </c>
      <c r="I115" s="6" t="n">
        <v>0</v>
      </c>
      <c r="J115" s="6" t="n">
        <v>0</v>
      </c>
      <c r="K115" s="6" t="n">
        <v>1</v>
      </c>
      <c r="L115" s="6" t="n">
        <v>2</v>
      </c>
      <c r="M115" s="17" t="n"/>
      <c r="N115" s="17" t="n"/>
      <c r="O115" s="6" t="inlineStr">
        <is>
          <t>2026</t>
        </is>
      </c>
      <c r="P115" s="6" t="n">
        <v>0</v>
      </c>
    </row>
    <row r="116">
      <c r="A116" s="6" t="inlineStr">
        <is>
          <t>Defense Distribution Depot Susquehanna</t>
        </is>
      </c>
      <c r="B116" s="6" t="inlineStr"/>
      <c r="C116" s="6" t="inlineStr">
        <is>
          <t>PA</t>
        </is>
      </c>
      <c r="D116" s="6" t="inlineStr">
        <is>
          <t>Harrisburg-Lancaster-Lebanon-York, PA</t>
        </is>
      </c>
      <c r="E116" s="6" t="inlineStr"/>
      <c r="F116" s="6" t="inlineStr">
        <is>
          <t>Army</t>
        </is>
      </c>
      <c r="G116" s="6" t="n">
        <v>3</v>
      </c>
      <c r="H116" s="6" t="n">
        <v>1</v>
      </c>
      <c r="I116" s="6" t="n">
        <v>0</v>
      </c>
      <c r="J116" s="6" t="n">
        <v>0</v>
      </c>
      <c r="K116" s="6" t="n">
        <v>1</v>
      </c>
      <c r="L116" s="6" t="n">
        <v>1</v>
      </c>
      <c r="M116" s="17" t="n"/>
      <c r="N116" s="17" t="n"/>
      <c r="O116" s="6" t="inlineStr">
        <is>
          <t>2026</t>
        </is>
      </c>
      <c r="P116" s="6" t="n">
        <v>0</v>
      </c>
    </row>
    <row r="117">
      <c r="A117" s="6" t="inlineStr">
        <is>
          <t>NSA Mechanicsburg</t>
        </is>
      </c>
      <c r="B117" s="6" t="inlineStr"/>
      <c r="C117" s="6" t="inlineStr">
        <is>
          <t>PA</t>
        </is>
      </c>
      <c r="D117" s="6" t="inlineStr">
        <is>
          <t>Harrisburg-Lancaster-Lebanon-York, PA</t>
        </is>
      </c>
      <c r="E117" s="6" t="inlineStr"/>
      <c r="F117" s="6" t="inlineStr">
        <is>
          <t>Navy</t>
        </is>
      </c>
      <c r="G117" s="6" t="n">
        <v>1</v>
      </c>
      <c r="H117" s="6" t="n">
        <v>0</v>
      </c>
      <c r="I117" s="6" t="n">
        <v>0</v>
      </c>
      <c r="J117" s="6" t="n">
        <v>0</v>
      </c>
      <c r="K117" s="6" t="n">
        <v>0</v>
      </c>
      <c r="L117" s="6" t="n">
        <v>1</v>
      </c>
      <c r="M117" s="17" t="n">
        <v>4300</v>
      </c>
      <c r="N117" s="17" t="n"/>
      <c r="O117" s="6" t="inlineStr">
        <is>
          <t>2026</t>
        </is>
      </c>
      <c r="P117" s="6" t="n">
        <v>0</v>
      </c>
    </row>
    <row r="118">
      <c r="A118" s="6" t="inlineStr">
        <is>
          <t>Fort Buchanan</t>
        </is>
      </c>
      <c r="B118" s="6" t="inlineStr"/>
      <c r="C118" s="6" t="inlineStr">
        <is>
          <t>PR</t>
        </is>
      </c>
      <c r="D118" s="6" t="inlineStr">
        <is>
          <t>Puerto Rico</t>
        </is>
      </c>
      <c r="E118" s="6" t="inlineStr"/>
      <c r="F118" s="6" t="inlineStr">
        <is>
          <t>Army</t>
        </is>
      </c>
      <c r="G118" s="6" t="n">
        <v>5</v>
      </c>
      <c r="H118" s="6" t="n">
        <v>3</v>
      </c>
      <c r="I118" s="6" t="n">
        <v>0</v>
      </c>
      <c r="J118" s="6" t="n">
        <v>0</v>
      </c>
      <c r="K118" s="6" t="n">
        <v>1</v>
      </c>
      <c r="L118" s="6" t="n">
        <v>1</v>
      </c>
      <c r="M118" s="17" t="n"/>
      <c r="N118" s="17" t="n"/>
      <c r="O118" s="6" t="inlineStr">
        <is>
          <t>2026</t>
        </is>
      </c>
      <c r="P118" s="6" t="n">
        <v>0</v>
      </c>
    </row>
    <row r="119">
      <c r="A119" s="6" t="inlineStr">
        <is>
          <t>Naval Station Newport</t>
        </is>
      </c>
      <c r="B119" s="6" t="inlineStr"/>
      <c r="C119" s="6" t="inlineStr">
        <is>
          <t>RI</t>
        </is>
      </c>
      <c r="D119" s="6" t="inlineStr">
        <is>
          <t>Providence-New Bedford, RI</t>
        </is>
      </c>
      <c r="E119" s="6" t="inlineStr"/>
      <c r="F119" s="6" t="inlineStr">
        <is>
          <t>Navy</t>
        </is>
      </c>
      <c r="G119" s="6" t="n">
        <v>3</v>
      </c>
      <c r="H119" s="6" t="n">
        <v>2</v>
      </c>
      <c r="I119" s="6" t="n">
        <v>0</v>
      </c>
      <c r="J119" s="6" t="n">
        <v>0</v>
      </c>
      <c r="K119" s="6" t="n">
        <v>0</v>
      </c>
      <c r="L119" s="6" t="n">
        <v>1</v>
      </c>
      <c r="M119" s="17" t="n">
        <v>3269</v>
      </c>
      <c r="N119" s="17" t="n">
        <v>3922</v>
      </c>
      <c r="O119" s="6" t="inlineStr">
        <is>
          <t>2026</t>
        </is>
      </c>
      <c r="P119" s="6" t="n">
        <v>0</v>
      </c>
    </row>
    <row r="120">
      <c r="A120" s="6" t="inlineStr">
        <is>
          <t>Beaufort MCAS</t>
        </is>
      </c>
      <c r="B120" s="6" t="inlineStr"/>
      <c r="C120" s="6" t="inlineStr">
        <is>
          <t>SC</t>
        </is>
      </c>
      <c r="D120" s="6" t="inlineStr">
        <is>
          <t>Savannah, GA</t>
        </is>
      </c>
      <c r="E120" s="6" t="inlineStr"/>
      <c r="F120" s="6" t="inlineStr">
        <is>
          <t>Marine Corps</t>
        </is>
      </c>
      <c r="G120" s="6" t="n">
        <v>4</v>
      </c>
      <c r="H120" s="6" t="n">
        <v>3</v>
      </c>
      <c r="I120" s="6" t="n">
        <v>0</v>
      </c>
      <c r="J120" s="6" t="n">
        <v>0</v>
      </c>
      <c r="K120" s="6" t="n">
        <v>0</v>
      </c>
      <c r="L120" s="6" t="n">
        <v>1</v>
      </c>
      <c r="M120" s="17" t="n"/>
      <c r="N120" s="17" t="n"/>
      <c r="O120" s="6" t="inlineStr">
        <is>
          <t>2026</t>
        </is>
      </c>
      <c r="P120" s="6" t="n">
        <v>0</v>
      </c>
    </row>
    <row r="121">
      <c r="A121" s="6" t="inlineStr">
        <is>
          <t>Fort Jackson</t>
        </is>
      </c>
      <c r="B121" s="6" t="inlineStr"/>
      <c r="C121" s="6" t="inlineStr">
        <is>
          <t>SC</t>
        </is>
      </c>
      <c r="D121" s="6" t="inlineStr">
        <is>
          <t>Columbia, Sc</t>
        </is>
      </c>
      <c r="E121" s="6" t="inlineStr">
        <is>
          <t>29207</t>
        </is>
      </c>
      <c r="F121" s="6" t="inlineStr">
        <is>
          <t>Army</t>
        </is>
      </c>
      <c r="G121" s="6" t="n">
        <v>14</v>
      </c>
      <c r="H121" s="6" t="n">
        <v>3</v>
      </c>
      <c r="I121" s="6" t="n">
        <v>5</v>
      </c>
      <c r="J121" s="6" t="n">
        <v>3</v>
      </c>
      <c r="K121" s="6" t="n">
        <v>2</v>
      </c>
      <c r="L121" s="6" t="n">
        <v>1</v>
      </c>
      <c r="M121" s="17" t="n">
        <v>3500</v>
      </c>
      <c r="N121" s="17" t="n">
        <v>12000</v>
      </c>
      <c r="O121" s="6" t="inlineStr">
        <is>
          <t>2026</t>
        </is>
      </c>
      <c r="P121" s="6" t="n">
        <v>6</v>
      </c>
    </row>
    <row r="122">
      <c r="A122" s="6" t="inlineStr">
        <is>
          <t>Joint Base Charleston</t>
        </is>
      </c>
      <c r="B122" s="6" t="inlineStr"/>
      <c r="C122" s="6" t="inlineStr">
        <is>
          <t>SC</t>
        </is>
      </c>
      <c r="D122" s="6" t="inlineStr">
        <is>
          <t>Charleston, Sc</t>
        </is>
      </c>
      <c r="E122" s="6" t="inlineStr"/>
      <c r="F122" s="6" t="inlineStr">
        <is>
          <t>Air Force/Navy</t>
        </is>
      </c>
      <c r="G122" s="6" t="n">
        <v>5</v>
      </c>
      <c r="H122" s="6" t="n">
        <v>2</v>
      </c>
      <c r="I122" s="6" t="n">
        <v>2</v>
      </c>
      <c r="J122" s="6" t="n">
        <v>0</v>
      </c>
      <c r="K122" s="6" t="n">
        <v>0</v>
      </c>
      <c r="L122" s="6" t="n">
        <v>1</v>
      </c>
      <c r="M122" s="17" t="n"/>
      <c r="N122" s="17" t="n"/>
      <c r="O122" s="6" t="inlineStr">
        <is>
          <t>2024, 2026</t>
        </is>
      </c>
      <c r="P122" s="6" t="n">
        <v>4</v>
      </c>
    </row>
    <row r="123">
      <c r="A123" s="6" t="inlineStr">
        <is>
          <t>Parris Island MCRD</t>
        </is>
      </c>
      <c r="B123" s="6" t="inlineStr"/>
      <c r="C123" s="6" t="inlineStr">
        <is>
          <t>SC</t>
        </is>
      </c>
      <c r="D123" s="6" t="inlineStr">
        <is>
          <t>Savannah, GA</t>
        </is>
      </c>
      <c r="E123" s="6" t="inlineStr"/>
      <c r="F123" s="6" t="inlineStr">
        <is>
          <t>Marine Corps</t>
        </is>
      </c>
      <c r="G123" s="6" t="n">
        <v>4</v>
      </c>
      <c r="H123" s="6" t="n">
        <v>3</v>
      </c>
      <c r="I123" s="6" t="n">
        <v>0</v>
      </c>
      <c r="J123" s="6" t="n">
        <v>0</v>
      </c>
      <c r="K123" s="6" t="n">
        <v>0</v>
      </c>
      <c r="L123" s="6" t="n">
        <v>1</v>
      </c>
      <c r="M123" s="17" t="n"/>
      <c r="N123" s="17" t="n"/>
      <c r="O123" s="6" t="inlineStr">
        <is>
          <t>2026</t>
        </is>
      </c>
      <c r="P123" s="6" t="n">
        <v>0</v>
      </c>
    </row>
    <row r="124">
      <c r="A124" s="6" t="inlineStr">
        <is>
          <t>Arnold AFB</t>
        </is>
      </c>
      <c r="B124" s="6" t="inlineStr"/>
      <c r="C124" s="6" t="inlineStr">
        <is>
          <t>TN</t>
        </is>
      </c>
      <c r="D124" s="6" t="inlineStr">
        <is>
          <t>Nashville</t>
        </is>
      </c>
      <c r="E124" s="6" t="inlineStr">
        <is>
          <t>37389</t>
        </is>
      </c>
      <c r="F124" s="6" t="inlineStr">
        <is>
          <t>Air Force</t>
        </is>
      </c>
      <c r="G124" s="6" t="n">
        <v>8</v>
      </c>
      <c r="H124" s="6" t="n">
        <v>1</v>
      </c>
      <c r="I124" s="6" t="n">
        <v>2</v>
      </c>
      <c r="J124" s="6" t="n">
        <v>0</v>
      </c>
      <c r="K124" s="6" t="n">
        <v>5</v>
      </c>
      <c r="L124" s="6" t="n">
        <v>0</v>
      </c>
      <c r="M124" s="17" t="n"/>
      <c r="N124" s="17" t="n"/>
      <c r="O124" s="6" t="inlineStr">
        <is>
          <t>2025</t>
        </is>
      </c>
      <c r="P124" s="6" t="n">
        <v>0</v>
      </c>
    </row>
    <row r="125">
      <c r="A125" s="6" t="inlineStr">
        <is>
          <t>NSA Mid South</t>
        </is>
      </c>
      <c r="B125" s="6" t="inlineStr">
        <is>
          <t>NAS Mid-South (Millington)</t>
        </is>
      </c>
      <c r="C125" s="6" t="inlineStr">
        <is>
          <t>TN</t>
        </is>
      </c>
      <c r="D125" s="6" t="inlineStr">
        <is>
          <t>Nashville</t>
        </is>
      </c>
      <c r="E125" s="6" t="inlineStr"/>
      <c r="F125" s="6" t="inlineStr">
        <is>
          <t>Navy</t>
        </is>
      </c>
      <c r="G125" s="6" t="n">
        <v>13</v>
      </c>
      <c r="H125" s="6" t="n">
        <v>1</v>
      </c>
      <c r="I125" s="6" t="n">
        <v>4</v>
      </c>
      <c r="J125" s="6" t="n">
        <v>4</v>
      </c>
      <c r="K125" s="6" t="n">
        <v>3</v>
      </c>
      <c r="L125" s="6" t="n">
        <v>1</v>
      </c>
      <c r="M125" s="17" t="n">
        <v>6500</v>
      </c>
      <c r="N125" s="17" t="n"/>
      <c r="O125" s="6" t="inlineStr">
        <is>
          <t>2026</t>
        </is>
      </c>
      <c r="P125" s="6" t="n">
        <v>0</v>
      </c>
    </row>
    <row r="126">
      <c r="A126" s="6" t="inlineStr">
        <is>
          <t>Corpus Christi NAS</t>
        </is>
      </c>
      <c r="B126" s="6" t="inlineStr"/>
      <c r="C126" s="6" t="inlineStr">
        <is>
          <t>TX</t>
        </is>
      </c>
      <c r="D126" s="6" t="inlineStr">
        <is>
          <t>Corpus Christi</t>
        </is>
      </c>
      <c r="E126" s="6" t="inlineStr">
        <is>
          <t>78419</t>
        </is>
      </c>
      <c r="F126" s="6" t="inlineStr">
        <is>
          <t>Navy</t>
        </is>
      </c>
      <c r="G126" s="6" t="n">
        <v>17</v>
      </c>
      <c r="H126" s="6" t="n">
        <v>4</v>
      </c>
      <c r="I126" s="6" t="n">
        <v>5</v>
      </c>
      <c r="J126" s="6" t="n">
        <v>4</v>
      </c>
      <c r="K126" s="6" t="n">
        <v>1</v>
      </c>
      <c r="L126" s="6" t="n">
        <v>2</v>
      </c>
      <c r="M126" s="17" t="n">
        <v>2836</v>
      </c>
      <c r="N126" s="17" t="n">
        <v>7090</v>
      </c>
      <c r="O126" s="6" t="inlineStr">
        <is>
          <t>2026</t>
        </is>
      </c>
      <c r="P126" s="6" t="n">
        <v>0</v>
      </c>
    </row>
    <row r="127">
      <c r="A127" s="6" t="inlineStr">
        <is>
          <t>Fort Bliss</t>
        </is>
      </c>
      <c r="B127" s="6" t="inlineStr"/>
      <c r="C127" s="6" t="inlineStr">
        <is>
          <t>TX</t>
        </is>
      </c>
      <c r="D127" s="6" t="inlineStr">
        <is>
          <t>El Paso, TX</t>
        </is>
      </c>
      <c r="E127" s="6" t="inlineStr"/>
      <c r="F127" s="6" t="inlineStr">
        <is>
          <t>Army</t>
        </is>
      </c>
      <c r="G127" s="6" t="n">
        <v>5</v>
      </c>
      <c r="H127" s="6" t="n">
        <v>3</v>
      </c>
      <c r="I127" s="6" t="n">
        <v>0</v>
      </c>
      <c r="J127" s="6" t="n">
        <v>0</v>
      </c>
      <c r="K127" s="6" t="n">
        <v>1</v>
      </c>
      <c r="L127" s="6" t="n">
        <v>1</v>
      </c>
      <c r="M127" s="17" t="n"/>
      <c r="N127" s="17" t="n"/>
      <c r="O127" s="6" t="inlineStr">
        <is>
          <t>2026</t>
        </is>
      </c>
      <c r="P127" s="6" t="n">
        <v>0</v>
      </c>
    </row>
    <row r="128">
      <c r="A128" s="6" t="inlineStr">
        <is>
          <t>Fort Hood</t>
        </is>
      </c>
      <c r="B128" s="6" t="inlineStr"/>
      <c r="C128" s="6" t="inlineStr">
        <is>
          <t>TX</t>
        </is>
      </c>
      <c r="D128" s="6" t="inlineStr">
        <is>
          <t>Waco-Temple-Bryan, TX</t>
        </is>
      </c>
      <c r="E128" s="6" t="inlineStr"/>
      <c r="F128" s="6" t="inlineStr">
        <is>
          <t>Army</t>
        </is>
      </c>
      <c r="G128" s="6" t="n">
        <v>5</v>
      </c>
      <c r="H128" s="6" t="n">
        <v>3</v>
      </c>
      <c r="I128" s="6" t="n">
        <v>0</v>
      </c>
      <c r="J128" s="6" t="n">
        <v>0</v>
      </c>
      <c r="K128" s="6" t="n">
        <v>1</v>
      </c>
      <c r="L128" s="6" t="n">
        <v>1</v>
      </c>
      <c r="M128" s="17" t="n">
        <v>36697</v>
      </c>
      <c r="N128" s="17" t="n">
        <v>47118</v>
      </c>
      <c r="O128" s="6" t="inlineStr">
        <is>
          <t>2026</t>
        </is>
      </c>
      <c r="P128" s="6" t="n">
        <v>0</v>
      </c>
    </row>
    <row r="129">
      <c r="A129" s="6" t="inlineStr">
        <is>
          <t>Fort Sam Houston</t>
        </is>
      </c>
      <c r="B129" s="6" t="inlineStr">
        <is>
          <t>JB San Antonio</t>
        </is>
      </c>
      <c r="C129" s="6" t="inlineStr">
        <is>
          <t>TX</t>
        </is>
      </c>
      <c r="D129" s="6" t="inlineStr">
        <is>
          <t>San Antonio</t>
        </is>
      </c>
      <c r="E129" s="6" t="inlineStr">
        <is>
          <t>78234</t>
        </is>
      </c>
      <c r="F129" s="6" t="inlineStr">
        <is>
          <t>Army</t>
        </is>
      </c>
      <c r="G129" s="6" t="n">
        <v>14</v>
      </c>
      <c r="H129" s="6" t="n">
        <v>4</v>
      </c>
      <c r="I129" s="6" t="n">
        <v>5</v>
      </c>
      <c r="J129" s="6" t="n">
        <v>3</v>
      </c>
      <c r="K129" s="6" t="n">
        <v>1</v>
      </c>
      <c r="L129" s="6" t="n">
        <v>1</v>
      </c>
      <c r="M129" s="17" t="n">
        <v>10721</v>
      </c>
      <c r="N129" s="17" t="n">
        <v>14934</v>
      </c>
      <c r="O129" s="6" t="inlineStr">
        <is>
          <t>2026</t>
        </is>
      </c>
      <c r="P129" s="6" t="n">
        <v>2</v>
      </c>
    </row>
    <row r="130">
      <c r="A130" s="6" t="inlineStr">
        <is>
          <t>Kingsville NAS</t>
        </is>
      </c>
      <c r="B130" s="6" t="inlineStr"/>
      <c r="C130" s="6" t="inlineStr">
        <is>
          <t>TX</t>
        </is>
      </c>
      <c r="D130" s="6" t="inlineStr">
        <is>
          <t>Corpus Christi</t>
        </is>
      </c>
      <c r="E130" s="6" t="inlineStr">
        <is>
          <t>78363</t>
        </is>
      </c>
      <c r="F130" s="6" t="inlineStr">
        <is>
          <t>Navy</t>
        </is>
      </c>
      <c r="G130" s="6" t="n">
        <v>11</v>
      </c>
      <c r="H130" s="6" t="n">
        <v>3</v>
      </c>
      <c r="I130" s="6" t="n">
        <v>3</v>
      </c>
      <c r="J130" s="6" t="n">
        <v>2</v>
      </c>
      <c r="K130" s="6" t="n">
        <v>1</v>
      </c>
      <c r="L130" s="6" t="n">
        <v>2</v>
      </c>
      <c r="M130" s="17" t="n">
        <v>4500</v>
      </c>
      <c r="N130" s="17" t="n"/>
      <c r="O130" s="6" t="inlineStr">
        <is>
          <t>2026</t>
        </is>
      </c>
      <c r="P130" s="6" t="n">
        <v>0</v>
      </c>
    </row>
    <row r="131">
      <c r="A131" s="6" t="inlineStr">
        <is>
          <t>Lackland AFB</t>
        </is>
      </c>
      <c r="B131" s="6" t="inlineStr">
        <is>
          <t>JB San Antonio</t>
        </is>
      </c>
      <c r="C131" s="6" t="inlineStr">
        <is>
          <t>TX</t>
        </is>
      </c>
      <c r="D131" s="6" t="inlineStr">
        <is>
          <t>San Antonio</t>
        </is>
      </c>
      <c r="E131" s="6" t="inlineStr">
        <is>
          <t>78236</t>
        </is>
      </c>
      <c r="F131" s="6" t="inlineStr">
        <is>
          <t>Air Force</t>
        </is>
      </c>
      <c r="G131" s="6" t="n">
        <v>17</v>
      </c>
      <c r="H131" s="6" t="n">
        <v>6</v>
      </c>
      <c r="I131" s="6" t="n">
        <v>6</v>
      </c>
      <c r="J131" s="6" t="n">
        <v>3</v>
      </c>
      <c r="K131" s="6" t="n">
        <v>2</v>
      </c>
      <c r="L131" s="6" t="n">
        <v>0</v>
      </c>
      <c r="M131" s="17" t="n">
        <v>22220</v>
      </c>
      <c r="N131" s="17" t="n">
        <v>20301</v>
      </c>
      <c r="O131" s="6" t="inlineStr"/>
      <c r="P131" s="6" t="n">
        <v>2</v>
      </c>
    </row>
    <row r="132">
      <c r="A132" s="6" t="inlineStr">
        <is>
          <t>Laughlin AFB</t>
        </is>
      </c>
      <c r="B132" s="6" t="inlineStr"/>
      <c r="C132" s="6" t="inlineStr">
        <is>
          <t>TX</t>
        </is>
      </c>
      <c r="D132" s="6" t="inlineStr">
        <is>
          <t>San Antonio</t>
        </is>
      </c>
      <c r="E132" s="6" t="inlineStr">
        <is>
          <t>78843</t>
        </is>
      </c>
      <c r="F132" s="6" t="inlineStr">
        <is>
          <t>Air Force</t>
        </is>
      </c>
      <c r="G132" s="6" t="n">
        <v>7</v>
      </c>
      <c r="H132" s="6" t="n">
        <v>2</v>
      </c>
      <c r="I132" s="6" t="n">
        <v>2</v>
      </c>
      <c r="J132" s="6" t="n">
        <v>0</v>
      </c>
      <c r="K132" s="6" t="n">
        <v>3</v>
      </c>
      <c r="L132" s="6" t="n">
        <v>0</v>
      </c>
      <c r="M132" s="17" t="n"/>
      <c r="N132" s="17" t="n"/>
      <c r="O132" s="6" t="inlineStr"/>
      <c r="P132" s="6" t="n">
        <v>0</v>
      </c>
    </row>
    <row r="133">
      <c r="A133" s="6" t="inlineStr">
        <is>
          <t>NAS JRB Fort Worth</t>
        </is>
      </c>
      <c r="B133" s="6" t="inlineStr"/>
      <c r="C133" s="6" t="inlineStr">
        <is>
          <t>TX</t>
        </is>
      </c>
      <c r="D133" s="6" t="inlineStr">
        <is>
          <t>Dallas-Ft. Worth</t>
        </is>
      </c>
      <c r="E133" s="6" t="inlineStr">
        <is>
          <t>76127</t>
        </is>
      </c>
      <c r="F133" s="6" t="inlineStr">
        <is>
          <t>Navy</t>
        </is>
      </c>
      <c r="G133" s="6" t="n">
        <v>17</v>
      </c>
      <c r="H133" s="6" t="n">
        <v>6</v>
      </c>
      <c r="I133" s="6" t="n">
        <v>3</v>
      </c>
      <c r="J133" s="6" t="n">
        <v>5</v>
      </c>
      <c r="K133" s="6" t="n">
        <v>2</v>
      </c>
      <c r="L133" s="6" t="n">
        <v>1</v>
      </c>
      <c r="M133" s="17" t="n">
        <v>4725</v>
      </c>
      <c r="N133" s="17" t="n">
        <v>10500</v>
      </c>
      <c r="O133" s="6" t="inlineStr">
        <is>
          <t>2026</t>
        </is>
      </c>
      <c r="P133" s="6" t="n">
        <v>1</v>
      </c>
    </row>
    <row r="134">
      <c r="A134" s="6" t="inlineStr">
        <is>
          <t>Randolph AFB</t>
        </is>
      </c>
      <c r="B134" s="6" t="inlineStr">
        <is>
          <t>JB San Antonio</t>
        </is>
      </c>
      <c r="C134" s="6" t="inlineStr">
        <is>
          <t>TX</t>
        </is>
      </c>
      <c r="D134" s="6" t="inlineStr">
        <is>
          <t>San Antonio</t>
        </is>
      </c>
      <c r="E134" s="6" t="inlineStr">
        <is>
          <t>78150</t>
        </is>
      </c>
      <c r="F134" s="6" t="inlineStr">
        <is>
          <t>Air Force</t>
        </is>
      </c>
      <c r="G134" s="6" t="n">
        <v>14</v>
      </c>
      <c r="H134" s="6" t="n">
        <v>5</v>
      </c>
      <c r="I134" s="6" t="n">
        <v>5</v>
      </c>
      <c r="J134" s="6" t="n">
        <v>3</v>
      </c>
      <c r="K134" s="6" t="n">
        <v>1</v>
      </c>
      <c r="L134" s="6" t="n">
        <v>0</v>
      </c>
      <c r="M134" s="17" t="n">
        <v>2813</v>
      </c>
      <c r="N134" s="17" t="n">
        <v>4802</v>
      </c>
      <c r="O134" s="6" t="inlineStr"/>
      <c r="P134" s="6" t="n">
        <v>2</v>
      </c>
    </row>
    <row r="135">
      <c r="A135" s="6" t="inlineStr">
        <is>
          <t>Sheppard AFB</t>
        </is>
      </c>
      <c r="B135" s="6" t="inlineStr"/>
      <c r="C135" s="6" t="inlineStr">
        <is>
          <t>TX</t>
        </is>
      </c>
      <c r="D135" s="6" t="inlineStr">
        <is>
          <t>Wichita Falls &amp; Lawton</t>
        </is>
      </c>
      <c r="E135" s="6" t="inlineStr">
        <is>
          <t>76311</t>
        </is>
      </c>
      <c r="F135" s="6" t="inlineStr">
        <is>
          <t>Air Force</t>
        </is>
      </c>
      <c r="G135" s="6" t="n">
        <v>4</v>
      </c>
      <c r="H135" s="6" t="n">
        <v>2</v>
      </c>
      <c r="I135" s="6" t="n">
        <v>2</v>
      </c>
      <c r="J135" s="6" t="n">
        <v>0</v>
      </c>
      <c r="K135" s="6" t="n">
        <v>0</v>
      </c>
      <c r="L135" s="6" t="n">
        <v>0</v>
      </c>
      <c r="M135" s="17" t="n"/>
      <c r="N135" s="17" t="n"/>
      <c r="O135" s="6" t="inlineStr"/>
      <c r="P135" s="6" t="n">
        <v>1</v>
      </c>
    </row>
    <row r="136">
      <c r="A136" s="6" t="inlineStr">
        <is>
          <t>Camp Williams</t>
        </is>
      </c>
      <c r="B136" s="6" t="inlineStr">
        <is>
          <t>Utah National Guard</t>
        </is>
      </c>
      <c r="C136" s="6" t="inlineStr">
        <is>
          <t>UT</t>
        </is>
      </c>
      <c r="D136" s="6" t="inlineStr">
        <is>
          <t>Salt Lake City</t>
        </is>
      </c>
      <c r="E136" s="6" t="inlineStr">
        <is>
          <t>84045</t>
        </is>
      </c>
      <c r="F136" s="6" t="inlineStr">
        <is>
          <t>National Guard</t>
        </is>
      </c>
      <c r="G136" s="6" t="n">
        <v>2</v>
      </c>
      <c r="H136" s="6" t="n">
        <v>1</v>
      </c>
      <c r="I136" s="6" t="n">
        <v>0</v>
      </c>
      <c r="J136" s="6" t="n">
        <v>0</v>
      </c>
      <c r="K136" s="6" t="n">
        <v>1</v>
      </c>
      <c r="L136" s="6" t="n">
        <v>0</v>
      </c>
      <c r="M136" s="17" t="n"/>
      <c r="N136" s="17" t="n"/>
      <c r="O136" s="6" t="inlineStr"/>
      <c r="P136" s="6" t="n">
        <v>0</v>
      </c>
    </row>
    <row r="137">
      <c r="A137" s="6" t="inlineStr">
        <is>
          <t>Hill AFB</t>
        </is>
      </c>
      <c r="B137" s="6" t="inlineStr"/>
      <c r="C137" s="6" t="inlineStr">
        <is>
          <t>UT</t>
        </is>
      </c>
      <c r="D137" s="6" t="inlineStr">
        <is>
          <t>Salt Lake City</t>
        </is>
      </c>
      <c r="E137" s="6" t="inlineStr">
        <is>
          <t>84056</t>
        </is>
      </c>
      <c r="F137" s="6" t="inlineStr">
        <is>
          <t>Air Force</t>
        </is>
      </c>
      <c r="G137" s="6" t="n">
        <v>11</v>
      </c>
      <c r="H137" s="6" t="n">
        <v>3</v>
      </c>
      <c r="I137" s="6" t="n">
        <v>4</v>
      </c>
      <c r="J137" s="6" t="n">
        <v>1</v>
      </c>
      <c r="K137" s="6" t="n">
        <v>2</v>
      </c>
      <c r="L137" s="6" t="n">
        <v>1</v>
      </c>
      <c r="M137" s="17" t="n">
        <v>26000</v>
      </c>
      <c r="N137" s="17" t="n"/>
      <c r="O137" s="6" t="inlineStr">
        <is>
          <t>2026</t>
        </is>
      </c>
      <c r="P137" s="6" t="n">
        <v>9</v>
      </c>
    </row>
    <row r="138">
      <c r="A138" s="6" t="inlineStr">
        <is>
          <t>Camp Elmore</t>
        </is>
      </c>
      <c r="B138" s="6" t="inlineStr"/>
      <c r="C138" s="6" t="inlineStr">
        <is>
          <t>VA</t>
        </is>
      </c>
      <c r="D138" s="6" t="inlineStr">
        <is>
          <t>Norfolk-Portsmth-Newpt Nws</t>
        </is>
      </c>
      <c r="E138" s="6" t="inlineStr">
        <is>
          <t>23515</t>
        </is>
      </c>
      <c r="F138" s="6" t="inlineStr">
        <is>
          <t>Marine Corps</t>
        </is>
      </c>
      <c r="G138" s="6" t="n">
        <v>2</v>
      </c>
      <c r="H138" s="6" t="n">
        <v>1</v>
      </c>
      <c r="I138" s="6" t="n">
        <v>0</v>
      </c>
      <c r="J138" s="6" t="n">
        <v>0</v>
      </c>
      <c r="K138" s="6" t="n">
        <v>0</v>
      </c>
      <c r="L138" s="6" t="n">
        <v>1</v>
      </c>
      <c r="M138" s="17" t="n"/>
      <c r="N138" s="17" t="n"/>
      <c r="O138" s="6" t="inlineStr">
        <is>
          <t>2025, 2026</t>
        </is>
      </c>
      <c r="P138" s="6" t="n">
        <v>0</v>
      </c>
    </row>
    <row r="139">
      <c r="A139" s="6" t="inlineStr">
        <is>
          <t>Cheatham Annex</t>
        </is>
      </c>
      <c r="B139" s="6" t="inlineStr"/>
      <c r="C139" s="6" t="inlineStr">
        <is>
          <t>VA</t>
        </is>
      </c>
      <c r="D139" s="6" t="inlineStr">
        <is>
          <t>Norfolk-Portsmouth-Newport News, VA</t>
        </is>
      </c>
      <c r="E139" s="6" t="inlineStr"/>
      <c r="F139" s="6" t="inlineStr">
        <is>
          <t>Navy</t>
        </is>
      </c>
      <c r="G139" s="6" t="n">
        <v>1</v>
      </c>
      <c r="H139" s="6" t="n">
        <v>0</v>
      </c>
      <c r="I139" s="6" t="n">
        <v>0</v>
      </c>
      <c r="J139" s="6" t="n">
        <v>0</v>
      </c>
      <c r="K139" s="6" t="n">
        <v>1</v>
      </c>
      <c r="L139" s="6" t="n">
        <v>0</v>
      </c>
      <c r="M139" s="17" t="n">
        <v>323</v>
      </c>
      <c r="N139" s="17" t="n">
        <v>485</v>
      </c>
      <c r="O139" s="6" t="inlineStr">
        <is>
          <t>2026</t>
        </is>
      </c>
      <c r="P139" s="6" t="n">
        <v>0</v>
      </c>
    </row>
    <row r="140">
      <c r="A140" s="6" t="inlineStr">
        <is>
          <t>Dam Neck Annex</t>
        </is>
      </c>
      <c r="B140" s="6" t="inlineStr"/>
      <c r="C140" s="6" t="inlineStr">
        <is>
          <t>VA</t>
        </is>
      </c>
      <c r="D140" s="6" t="inlineStr">
        <is>
          <t>Norfolk-Portsmouth-Newport News, VA</t>
        </is>
      </c>
      <c r="E140" s="6" t="inlineStr"/>
      <c r="F140" s="6" t="inlineStr">
        <is>
          <t>Navy</t>
        </is>
      </c>
      <c r="G140" s="6" t="n">
        <v>1</v>
      </c>
      <c r="H140" s="6" t="n">
        <v>1</v>
      </c>
      <c r="I140" s="6" t="n">
        <v>0</v>
      </c>
      <c r="J140" s="6" t="n">
        <v>0</v>
      </c>
      <c r="K140" s="6" t="n">
        <v>0</v>
      </c>
      <c r="L140" s="6" t="n">
        <v>0</v>
      </c>
      <c r="M140" s="17" t="n">
        <v>3838</v>
      </c>
      <c r="N140" s="17" t="n">
        <v>5859</v>
      </c>
      <c r="O140" s="6" t="inlineStr">
        <is>
          <t>2026</t>
        </is>
      </c>
      <c r="P140" s="6" t="n">
        <v>0</v>
      </c>
    </row>
    <row r="141">
      <c r="A141" s="6" t="inlineStr">
        <is>
          <t>Fort AP Hill</t>
        </is>
      </c>
      <c r="B141" s="6" t="inlineStr"/>
      <c r="C141" s="6" t="inlineStr">
        <is>
          <t>VA</t>
        </is>
      </c>
      <c r="D141" s="6" t="inlineStr">
        <is>
          <t>Washington, DC</t>
        </is>
      </c>
      <c r="E141" s="6" t="inlineStr"/>
      <c r="F141" s="6" t="inlineStr">
        <is>
          <t>Army</t>
        </is>
      </c>
      <c r="G141" s="6" t="n">
        <v>2</v>
      </c>
      <c r="H141" s="6" t="n">
        <v>1</v>
      </c>
      <c r="I141" s="6" t="n">
        <v>0</v>
      </c>
      <c r="J141" s="6" t="n">
        <v>0</v>
      </c>
      <c r="K141" s="6" t="n">
        <v>0</v>
      </c>
      <c r="L141" s="6" t="n">
        <v>1</v>
      </c>
      <c r="M141" s="17" t="n"/>
      <c r="N141" s="17" t="n"/>
      <c r="O141" s="6" t="inlineStr">
        <is>
          <t>2026</t>
        </is>
      </c>
      <c r="P141" s="6" t="n">
        <v>0</v>
      </c>
    </row>
    <row r="142">
      <c r="A142" s="6" t="inlineStr">
        <is>
          <t>Fort Belvoir</t>
        </is>
      </c>
      <c r="B142" s="6" t="inlineStr"/>
      <c r="C142" s="6" t="inlineStr">
        <is>
          <t>VA</t>
        </is>
      </c>
      <c r="D142" s="6" t="inlineStr">
        <is>
          <t>Washington, DC (Hagrstwn)</t>
        </is>
      </c>
      <c r="E142" s="6" t="inlineStr">
        <is>
          <t>22060</t>
        </is>
      </c>
      <c r="F142" s="6" t="inlineStr">
        <is>
          <t>Army</t>
        </is>
      </c>
      <c r="G142" s="6" t="n">
        <v>8</v>
      </c>
      <c r="H142" s="6" t="n">
        <v>2</v>
      </c>
      <c r="I142" s="6" t="n">
        <v>3</v>
      </c>
      <c r="J142" s="6" t="n">
        <v>1</v>
      </c>
      <c r="K142" s="6" t="n">
        <v>1</v>
      </c>
      <c r="L142" s="6" t="n">
        <v>1</v>
      </c>
      <c r="M142" s="17" t="n">
        <v>4614</v>
      </c>
      <c r="N142" s="17" t="n">
        <v>8875</v>
      </c>
      <c r="O142" s="6" t="inlineStr">
        <is>
          <t>2026</t>
        </is>
      </c>
      <c r="P142" s="6" t="n">
        <v>1</v>
      </c>
    </row>
    <row r="143">
      <c r="A143" s="6" t="inlineStr">
        <is>
          <t>Fort Eustis</t>
        </is>
      </c>
      <c r="B143" s="6" t="inlineStr"/>
      <c r="C143" s="6" t="inlineStr">
        <is>
          <t>VA</t>
        </is>
      </c>
      <c r="D143" s="6" t="inlineStr">
        <is>
          <t>Norfolk-Portsmth-Newpt Nws</t>
        </is>
      </c>
      <c r="E143" s="6" t="inlineStr">
        <is>
          <t>23604</t>
        </is>
      </c>
      <c r="F143" s="6" t="inlineStr">
        <is>
          <t>Army</t>
        </is>
      </c>
      <c r="G143" s="6" t="n">
        <v>17</v>
      </c>
      <c r="H143" s="6" t="n">
        <v>1</v>
      </c>
      <c r="I143" s="6" t="n">
        <v>5</v>
      </c>
      <c r="J143" s="6" t="n">
        <v>7</v>
      </c>
      <c r="K143" s="6" t="n">
        <v>3</v>
      </c>
      <c r="L143" s="6" t="n">
        <v>1</v>
      </c>
      <c r="M143" s="17" t="n">
        <v>5645</v>
      </c>
      <c r="N143" s="17" t="n">
        <v>8490</v>
      </c>
      <c r="O143" s="6" t="inlineStr">
        <is>
          <t>2026</t>
        </is>
      </c>
      <c r="P143" s="6" t="n">
        <v>7</v>
      </c>
    </row>
    <row r="144">
      <c r="A144" s="6" t="inlineStr">
        <is>
          <t>Fort Gregg-Adams</t>
        </is>
      </c>
      <c r="B144" s="6" t="inlineStr">
        <is>
          <t>Fort Lee</t>
        </is>
      </c>
      <c r="C144" s="6" t="inlineStr">
        <is>
          <t>VA</t>
        </is>
      </c>
      <c r="D144" s="6" t="inlineStr">
        <is>
          <t>Richmond-Petersburg</t>
        </is>
      </c>
      <c r="E144" s="6" t="inlineStr">
        <is>
          <t>23801</t>
        </is>
      </c>
      <c r="F144" s="6" t="inlineStr">
        <is>
          <t>Army</t>
        </is>
      </c>
      <c r="G144" s="6" t="n">
        <v>6</v>
      </c>
      <c r="H144" s="6" t="n">
        <v>2</v>
      </c>
      <c r="I144" s="6" t="n">
        <v>2</v>
      </c>
      <c r="J144" s="6" t="n">
        <v>0</v>
      </c>
      <c r="K144" s="6" t="n">
        <v>1</v>
      </c>
      <c r="L144" s="6" t="n">
        <v>1</v>
      </c>
      <c r="M144" s="17" t="n">
        <v>8469</v>
      </c>
      <c r="N144" s="17" t="n">
        <v>9316</v>
      </c>
      <c r="O144" s="6" t="inlineStr">
        <is>
          <t>2026</t>
        </is>
      </c>
      <c r="P144" s="6" t="n">
        <v>2</v>
      </c>
    </row>
    <row r="145">
      <c r="A145" s="6" t="inlineStr">
        <is>
          <t>JBMHH - Fort Myer</t>
        </is>
      </c>
      <c r="B145" s="6" t="inlineStr"/>
      <c r="C145" s="6" t="inlineStr">
        <is>
          <t>VA</t>
        </is>
      </c>
      <c r="D145" s="6" t="inlineStr">
        <is>
          <t>Washington, DC</t>
        </is>
      </c>
      <c r="E145" s="6" t="inlineStr"/>
      <c r="F145" s="6" t="inlineStr">
        <is>
          <t>Army / Marine Corps</t>
        </is>
      </c>
      <c r="G145" s="6" t="n">
        <v>3</v>
      </c>
      <c r="H145" s="6" t="n">
        <v>1</v>
      </c>
      <c r="I145" s="6" t="n">
        <v>0</v>
      </c>
      <c r="J145" s="6" t="n">
        <v>0</v>
      </c>
      <c r="K145" s="6" t="n">
        <v>1</v>
      </c>
      <c r="L145" s="6" t="n">
        <v>1</v>
      </c>
      <c r="M145" s="17" t="n">
        <v>2133</v>
      </c>
      <c r="N145" s="17" t="n">
        <v>2650</v>
      </c>
      <c r="O145" s="6" t="inlineStr">
        <is>
          <t>2026</t>
        </is>
      </c>
      <c r="P145" s="6" t="n">
        <v>0</v>
      </c>
    </row>
    <row r="146">
      <c r="A146" s="6" t="inlineStr">
        <is>
          <t>JBMHH - Henderson Hall</t>
        </is>
      </c>
      <c r="B146" s="6" t="inlineStr"/>
      <c r="C146" s="6" t="inlineStr">
        <is>
          <t>VA</t>
        </is>
      </c>
      <c r="D146" s="6" t="inlineStr">
        <is>
          <t>Washington, DC</t>
        </is>
      </c>
      <c r="E146" s="6" t="inlineStr"/>
      <c r="F146" s="6" t="inlineStr">
        <is>
          <t>Army / Marine Corps</t>
        </is>
      </c>
      <c r="G146" s="6" t="n">
        <v>3</v>
      </c>
      <c r="H146" s="6" t="n">
        <v>2</v>
      </c>
      <c r="I146" s="6" t="n">
        <v>0</v>
      </c>
      <c r="J146" s="6" t="n">
        <v>0</v>
      </c>
      <c r="K146" s="6" t="n">
        <v>0</v>
      </c>
      <c r="L146" s="6" t="n">
        <v>1</v>
      </c>
      <c r="M146" s="17" t="n">
        <v>1424</v>
      </c>
      <c r="N146" s="17" t="n">
        <v>1774</v>
      </c>
      <c r="O146" s="6" t="inlineStr">
        <is>
          <t>2026</t>
        </is>
      </c>
      <c r="P146" s="6" t="n">
        <v>0</v>
      </c>
    </row>
    <row r="147">
      <c r="A147" s="6" t="inlineStr">
        <is>
          <t>JEB - Little Creek</t>
        </is>
      </c>
      <c r="B147" s="6" t="inlineStr"/>
      <c r="C147" s="6" t="inlineStr">
        <is>
          <t>VA</t>
        </is>
      </c>
      <c r="D147" s="6" t="inlineStr">
        <is>
          <t>Norfolk-Portsmouth-Newport News, VA</t>
        </is>
      </c>
      <c r="E147" s="6" t="inlineStr"/>
      <c r="F147" s="6" t="inlineStr">
        <is>
          <t>Navy</t>
        </is>
      </c>
      <c r="G147" s="6" t="n">
        <v>3</v>
      </c>
      <c r="H147" s="6" t="n">
        <v>2</v>
      </c>
      <c r="I147" s="6" t="n">
        <v>0</v>
      </c>
      <c r="J147" s="6" t="n">
        <v>0</v>
      </c>
      <c r="K147" s="6" t="n">
        <v>1</v>
      </c>
      <c r="L147" s="6" t="n">
        <v>0</v>
      </c>
      <c r="M147" s="17" t="n">
        <v>1045</v>
      </c>
      <c r="N147" s="17" t="n">
        <v>887</v>
      </c>
      <c r="O147" s="6" t="inlineStr">
        <is>
          <t>2026</t>
        </is>
      </c>
      <c r="P147" s="6" t="n">
        <v>0</v>
      </c>
    </row>
    <row r="148">
      <c r="A148" s="6" t="inlineStr">
        <is>
          <t>Langley Air Force Base</t>
        </is>
      </c>
      <c r="B148" s="6" t="inlineStr"/>
      <c r="C148" s="6" t="inlineStr">
        <is>
          <t>VA</t>
        </is>
      </c>
      <c r="D148" s="6" t="inlineStr">
        <is>
          <t>Norfolk-Portsmouth-Newport News, VA</t>
        </is>
      </c>
      <c r="E148" s="6" t="inlineStr"/>
      <c r="F148" s="6" t="inlineStr">
        <is>
          <t>Air Force</t>
        </is>
      </c>
      <c r="G148" s="6" t="n">
        <v>5</v>
      </c>
      <c r="H148" s="6" t="n">
        <v>1</v>
      </c>
      <c r="I148" s="6" t="n">
        <v>0</v>
      </c>
      <c r="J148" s="6" t="n">
        <v>0</v>
      </c>
      <c r="K148" s="6" t="n">
        <v>2</v>
      </c>
      <c r="L148" s="6" t="n">
        <v>2</v>
      </c>
      <c r="M148" s="17" t="n">
        <v>7243</v>
      </c>
      <c r="N148" s="17" t="n">
        <v>9549</v>
      </c>
      <c r="O148" s="6" t="inlineStr">
        <is>
          <t>2026</t>
        </is>
      </c>
      <c r="P148" s="6" t="n">
        <v>0</v>
      </c>
    </row>
    <row r="149">
      <c r="A149" s="6" t="inlineStr">
        <is>
          <t>NAS Oceana</t>
        </is>
      </c>
      <c r="B149" s="6" t="inlineStr"/>
      <c r="C149" s="6" t="inlineStr">
        <is>
          <t>VA</t>
        </is>
      </c>
      <c r="D149" s="6" t="inlineStr">
        <is>
          <t>Norfolk-Portsmouth-Newport News, VA</t>
        </is>
      </c>
      <c r="E149" s="6" t="inlineStr"/>
      <c r="F149" s="6" t="inlineStr">
        <is>
          <t>Navy</t>
        </is>
      </c>
      <c r="G149" s="6" t="n">
        <v>3</v>
      </c>
      <c r="H149" s="6" t="n">
        <v>2</v>
      </c>
      <c r="I149" s="6" t="n">
        <v>0</v>
      </c>
      <c r="J149" s="6" t="n">
        <v>0</v>
      </c>
      <c r="K149" s="6" t="n">
        <v>1</v>
      </c>
      <c r="L149" s="6" t="n">
        <v>0</v>
      </c>
      <c r="M149" s="17" t="n">
        <v>5711</v>
      </c>
      <c r="N149" s="17" t="n">
        <v>6755</v>
      </c>
      <c r="O149" s="6" t="inlineStr">
        <is>
          <t>2026</t>
        </is>
      </c>
      <c r="P149" s="6" t="n">
        <v>0</v>
      </c>
    </row>
    <row r="150">
      <c r="A150" s="6" t="inlineStr">
        <is>
          <t>NSW Dahlgren</t>
        </is>
      </c>
      <c r="B150" s="6" t="inlineStr"/>
      <c r="C150" s="6" t="inlineStr">
        <is>
          <t>VA</t>
        </is>
      </c>
      <c r="D150" s="6" t="inlineStr">
        <is>
          <t>Washington, DC</t>
        </is>
      </c>
      <c r="E150" s="6" t="inlineStr"/>
      <c r="F150" s="6" t="inlineStr">
        <is>
          <t>Navy</t>
        </is>
      </c>
      <c r="G150" s="6" t="n">
        <v>2</v>
      </c>
      <c r="H150" s="6" t="n">
        <v>0</v>
      </c>
      <c r="I150" s="6" t="n">
        <v>0</v>
      </c>
      <c r="J150" s="6" t="n">
        <v>0</v>
      </c>
      <c r="K150" s="6" t="n">
        <v>0</v>
      </c>
      <c r="L150" s="6" t="n">
        <v>2</v>
      </c>
      <c r="M150" s="17" t="n">
        <v>9500</v>
      </c>
      <c r="N150" s="17" t="n">
        <v>3350</v>
      </c>
      <c r="O150" s="6" t="inlineStr">
        <is>
          <t>2026</t>
        </is>
      </c>
      <c r="P150" s="6" t="n">
        <v>0</v>
      </c>
    </row>
    <row r="151">
      <c r="A151" s="6" t="inlineStr">
        <is>
          <t>Naval Station Norfolk</t>
        </is>
      </c>
      <c r="B151" s="6" t="inlineStr"/>
      <c r="C151" s="6" t="inlineStr">
        <is>
          <t>VA</t>
        </is>
      </c>
      <c r="D151" s="6" t="inlineStr">
        <is>
          <t>Norfolk-Portsmouth-Newport News, VA</t>
        </is>
      </c>
      <c r="E151" s="6" t="inlineStr"/>
      <c r="F151" s="6" t="inlineStr">
        <is>
          <t>Navy</t>
        </is>
      </c>
      <c r="G151" s="6" t="n">
        <v>1</v>
      </c>
      <c r="H151" s="6" t="n">
        <v>1</v>
      </c>
      <c r="I151" s="6" t="n">
        <v>0</v>
      </c>
      <c r="J151" s="6" t="n">
        <v>0</v>
      </c>
      <c r="K151" s="6" t="n">
        <v>0</v>
      </c>
      <c r="L151" s="6" t="n">
        <v>0</v>
      </c>
      <c r="M151" s="17" t="n">
        <v>47368</v>
      </c>
      <c r="N151" s="17" t="n">
        <v>53525</v>
      </c>
      <c r="O151" s="6" t="inlineStr">
        <is>
          <t>2026</t>
        </is>
      </c>
      <c r="P151" s="6" t="n">
        <v>0</v>
      </c>
    </row>
    <row r="152">
      <c r="A152" s="6" t="inlineStr">
        <is>
          <t>Portsmouth Coast Guard Integrated Support Command</t>
        </is>
      </c>
      <c r="B152" s="6" t="inlineStr"/>
      <c r="C152" s="6" t="inlineStr">
        <is>
          <t>VA</t>
        </is>
      </c>
      <c r="D152" s="6" t="inlineStr">
        <is>
          <t>Norfolk-Portsmouth-Newport News, VA</t>
        </is>
      </c>
      <c r="E152" s="6" t="inlineStr"/>
      <c r="F152" s="6" t="inlineStr">
        <is>
          <t>Coast Guard</t>
        </is>
      </c>
      <c r="G152" s="6" t="n">
        <v>2</v>
      </c>
      <c r="H152" s="6" t="n">
        <v>2</v>
      </c>
      <c r="I152" s="6" t="n">
        <v>0</v>
      </c>
      <c r="J152" s="6" t="n">
        <v>0</v>
      </c>
      <c r="K152" s="6" t="n">
        <v>0</v>
      </c>
      <c r="L152" s="6" t="n">
        <v>0</v>
      </c>
      <c r="M152" s="17" t="n"/>
      <c r="N152" s="17" t="n"/>
      <c r="O152" s="6" t="inlineStr">
        <is>
          <t>2026</t>
        </is>
      </c>
      <c r="P152" s="6" t="n">
        <v>0</v>
      </c>
    </row>
    <row r="153">
      <c r="A153" s="6" t="inlineStr">
        <is>
          <t>Quantico</t>
        </is>
      </c>
      <c r="B153" s="6" t="inlineStr"/>
      <c r="C153" s="6" t="inlineStr">
        <is>
          <t>VA</t>
        </is>
      </c>
      <c r="D153" s="6" t="inlineStr">
        <is>
          <t>Washington, DC</t>
        </is>
      </c>
      <c r="E153" s="6" t="inlineStr"/>
      <c r="F153" s="6" t="inlineStr">
        <is>
          <t>Marines</t>
        </is>
      </c>
      <c r="G153" s="6" t="n">
        <v>4</v>
      </c>
      <c r="H153" s="6" t="n">
        <v>2</v>
      </c>
      <c r="I153" s="6" t="n">
        <v>0</v>
      </c>
      <c r="J153" s="6" t="n">
        <v>0</v>
      </c>
      <c r="K153" s="6" t="n">
        <v>0</v>
      </c>
      <c r="L153" s="6" t="n">
        <v>2</v>
      </c>
      <c r="M153" s="17" t="n">
        <v>8409</v>
      </c>
      <c r="N153" s="17" t="n">
        <v>10876</v>
      </c>
      <c r="O153" s="6" t="inlineStr">
        <is>
          <t>2026</t>
        </is>
      </c>
      <c r="P153" s="6" t="n">
        <v>0</v>
      </c>
    </row>
    <row r="154">
      <c r="A154" s="6" t="inlineStr">
        <is>
          <t>WPNSTA Yorktown</t>
        </is>
      </c>
      <c r="B154" s="6" t="inlineStr"/>
      <c r="C154" s="6" t="inlineStr">
        <is>
          <t>VA</t>
        </is>
      </c>
      <c r="D154" s="6" t="inlineStr">
        <is>
          <t>Norfolk-Portsmouth-Newport News, VA</t>
        </is>
      </c>
      <c r="E154" s="6" t="inlineStr"/>
      <c r="F154" s="6" t="inlineStr">
        <is>
          <t>Navy</t>
        </is>
      </c>
      <c r="G154" s="6" t="n">
        <v>1</v>
      </c>
      <c r="H154" s="6" t="n">
        <v>1</v>
      </c>
      <c r="I154" s="6" t="n">
        <v>0</v>
      </c>
      <c r="J154" s="6" t="n">
        <v>0</v>
      </c>
      <c r="K154" s="6" t="n">
        <v>0</v>
      </c>
      <c r="L154" s="6" t="n">
        <v>0</v>
      </c>
      <c r="M154" s="17" t="n">
        <v>1311</v>
      </c>
      <c r="N154" s="17" t="n">
        <v>1405</v>
      </c>
      <c r="O154" s="6" t="inlineStr">
        <is>
          <t>2026</t>
        </is>
      </c>
      <c r="P154" s="6" t="n">
        <v>0</v>
      </c>
    </row>
    <row r="155">
      <c r="A155" s="6" t="inlineStr">
        <is>
          <t>Yorktown Navy Weapon Station</t>
        </is>
      </c>
      <c r="B155" s="6" t="inlineStr"/>
      <c r="C155" s="6" t="inlineStr">
        <is>
          <t>VA</t>
        </is>
      </c>
      <c r="D155" s="6" t="inlineStr">
        <is>
          <t>Norfolk-Portsmth-Newpt Nws</t>
        </is>
      </c>
      <c r="E155" s="6" t="inlineStr"/>
      <c r="F155" s="6" t="inlineStr">
        <is>
          <t>Navy</t>
        </is>
      </c>
      <c r="G155" s="6" t="n">
        <v>3</v>
      </c>
      <c r="H155" s="6" t="n">
        <v>2</v>
      </c>
      <c r="I155" s="6" t="n">
        <v>1</v>
      </c>
      <c r="J155" s="6" t="n">
        <v>0</v>
      </c>
      <c r="K155" s="6" t="n">
        <v>0</v>
      </c>
      <c r="L155" s="6" t="n">
        <v>0</v>
      </c>
      <c r="M155" s="17" t="n"/>
      <c r="N155" s="17" t="n"/>
      <c r="O155" s="6" t="inlineStr">
        <is>
          <t>2026</t>
        </is>
      </c>
      <c r="P155" s="6" t="n">
        <v>1</v>
      </c>
    </row>
    <row r="156">
      <c r="A156" s="6" t="inlineStr">
        <is>
          <t>JBLM</t>
        </is>
      </c>
      <c r="B156" s="6" t="inlineStr"/>
      <c r="C156" s="6" t="inlineStr">
        <is>
          <t>WA</t>
        </is>
      </c>
      <c r="D156" s="6" t="inlineStr">
        <is>
          <t>Seattle-Tacoma</t>
        </is>
      </c>
      <c r="E156" s="6" t="inlineStr"/>
      <c r="F156" s="6" t="inlineStr">
        <is>
          <t>Air Force / Army</t>
        </is>
      </c>
      <c r="G156" s="6" t="n">
        <v>5</v>
      </c>
      <c r="H156" s="6" t="n">
        <v>2</v>
      </c>
      <c r="I156" s="6" t="n">
        <v>0</v>
      </c>
      <c r="J156" s="6" t="n">
        <v>0</v>
      </c>
      <c r="K156" s="6" t="n">
        <v>1</v>
      </c>
      <c r="L156" s="6" t="n">
        <v>2</v>
      </c>
      <c r="M156" s="17" t="n">
        <v>29453</v>
      </c>
      <c r="N156" s="17" t="n">
        <v>39953</v>
      </c>
      <c r="O156" s="6" t="inlineStr">
        <is>
          <t>2026</t>
        </is>
      </c>
      <c r="P156" s="6" t="n">
        <v>1</v>
      </c>
    </row>
    <row r="157">
      <c r="A157" s="6" t="inlineStr">
        <is>
          <t>JBLM - McChord AFB</t>
        </is>
      </c>
      <c r="B157" s="6" t="inlineStr">
        <is>
          <t>Joint Base Lewis-McChord</t>
        </is>
      </c>
      <c r="C157" s="6" t="inlineStr">
        <is>
          <t>WA</t>
        </is>
      </c>
      <c r="D157" s="6" t="inlineStr">
        <is>
          <t>Seattle-Tacoma</t>
        </is>
      </c>
      <c r="E157" s="6" t="inlineStr">
        <is>
          <t>98438</t>
        </is>
      </c>
      <c r="F157" s="6" t="inlineStr">
        <is>
          <t>Air Force</t>
        </is>
      </c>
      <c r="G157" s="6" t="n">
        <v>11</v>
      </c>
      <c r="H157" s="6" t="n">
        <v>3</v>
      </c>
      <c r="I157" s="6" t="n">
        <v>3</v>
      </c>
      <c r="J157" s="6" t="n">
        <v>3</v>
      </c>
      <c r="K157" s="6" t="n">
        <v>1</v>
      </c>
      <c r="L157" s="6" t="n">
        <v>0</v>
      </c>
      <c r="M157" s="17" t="n">
        <v>29453</v>
      </c>
      <c r="N157" s="17" t="n">
        <v>39953</v>
      </c>
      <c r="O157" s="6" t="inlineStr"/>
      <c r="P157" s="6" t="n">
        <v>3</v>
      </c>
    </row>
    <row r="158">
      <c r="A158" s="6" t="inlineStr">
        <is>
          <t>Naval AIr Station Whidbey Island</t>
        </is>
      </c>
      <c r="B158" s="6" t="inlineStr"/>
      <c r="C158" s="6" t="inlineStr">
        <is>
          <t>WA</t>
        </is>
      </c>
      <c r="D158" s="6" t="inlineStr">
        <is>
          <t>Seattle-Tacoma, WA</t>
        </is>
      </c>
      <c r="E158" s="6" t="inlineStr"/>
      <c r="F158" s="6" t="inlineStr">
        <is>
          <t>Navy</t>
        </is>
      </c>
      <c r="G158" s="6" t="n">
        <v>1</v>
      </c>
      <c r="H158" s="6" t="n">
        <v>1</v>
      </c>
      <c r="I158" s="6" t="n">
        <v>0</v>
      </c>
      <c r="J158" s="6" t="n">
        <v>0</v>
      </c>
      <c r="K158" s="6" t="n">
        <v>0</v>
      </c>
      <c r="L158" s="6" t="n">
        <v>0</v>
      </c>
      <c r="M158" s="17" t="n">
        <v>7304</v>
      </c>
      <c r="N158" s="17" t="n">
        <v>8306</v>
      </c>
      <c r="O158" s="6" t="inlineStr">
        <is>
          <t>2026</t>
        </is>
      </c>
      <c r="P158" s="6" t="n">
        <v>0</v>
      </c>
    </row>
    <row r="159">
      <c r="A159" s="6" t="inlineStr">
        <is>
          <t>Naval Base Kitsap-Bangor</t>
        </is>
      </c>
      <c r="B159" s="6" t="inlineStr"/>
      <c r="C159" s="6" t="inlineStr">
        <is>
          <t>WA</t>
        </is>
      </c>
      <c r="D159" s="6" t="inlineStr">
        <is>
          <t>Seattle-Tacoma, WA</t>
        </is>
      </c>
      <c r="E159" s="6" t="inlineStr"/>
      <c r="F159" s="6" t="inlineStr">
        <is>
          <t>Navy</t>
        </is>
      </c>
      <c r="G159" s="6" t="n">
        <v>1</v>
      </c>
      <c r="H159" s="6" t="n">
        <v>1</v>
      </c>
      <c r="I159" s="6" t="n">
        <v>0</v>
      </c>
      <c r="J159" s="6" t="n">
        <v>0</v>
      </c>
      <c r="K159" s="6" t="n">
        <v>0</v>
      </c>
      <c r="L159" s="6" t="n">
        <v>0</v>
      </c>
      <c r="M159" s="17" t="n">
        <v>5845</v>
      </c>
      <c r="N159" s="17" t="n">
        <v>7325</v>
      </c>
      <c r="O159" s="6" t="inlineStr">
        <is>
          <t>2026</t>
        </is>
      </c>
      <c r="P159" s="6" t="n">
        <v>0</v>
      </c>
    </row>
    <row r="160">
      <c r="A160" s="6" t="inlineStr">
        <is>
          <t>Naval Base Kitsap-Bremerton</t>
        </is>
      </c>
      <c r="B160" s="6" t="inlineStr"/>
      <c r="C160" s="6" t="inlineStr">
        <is>
          <t>WA</t>
        </is>
      </c>
      <c r="D160" s="6" t="inlineStr">
        <is>
          <t>Seattle-Tacoma, WA</t>
        </is>
      </c>
      <c r="E160" s="6" t="inlineStr"/>
      <c r="F160" s="6" t="inlineStr">
        <is>
          <t>Navy</t>
        </is>
      </c>
      <c r="G160" s="6" t="n">
        <v>1</v>
      </c>
      <c r="H160" s="6" t="n">
        <v>1</v>
      </c>
      <c r="I160" s="6" t="n">
        <v>0</v>
      </c>
      <c r="J160" s="6" t="n">
        <v>0</v>
      </c>
      <c r="K160" s="6" t="n">
        <v>0</v>
      </c>
      <c r="L160" s="6" t="n">
        <v>0</v>
      </c>
      <c r="M160" s="17" t="n">
        <v>6892</v>
      </c>
      <c r="N160" s="17" t="n">
        <v>6386</v>
      </c>
      <c r="O160" s="6" t="inlineStr">
        <is>
          <t>2026</t>
        </is>
      </c>
      <c r="P160" s="6" t="n">
        <v>0</v>
      </c>
    </row>
    <row r="161">
      <c r="A161" s="6" t="inlineStr">
        <is>
          <t>Naval Station Everett</t>
        </is>
      </c>
      <c r="B161" s="6" t="inlineStr"/>
      <c r="C161" s="6" t="inlineStr">
        <is>
          <t>WA</t>
        </is>
      </c>
      <c r="D161" s="6" t="inlineStr">
        <is>
          <t>Seattle-Tacoma</t>
        </is>
      </c>
      <c r="E161" s="6" t="inlineStr">
        <is>
          <t>98207</t>
        </is>
      </c>
      <c r="F161" s="6" t="inlineStr">
        <is>
          <t>Navy</t>
        </is>
      </c>
      <c r="G161" s="6" t="n">
        <v>5</v>
      </c>
      <c r="H161" s="6" t="n">
        <v>1</v>
      </c>
      <c r="I161" s="6" t="n">
        <v>2</v>
      </c>
      <c r="J161" s="6" t="n">
        <v>0</v>
      </c>
      <c r="K161" s="6" t="n">
        <v>1</v>
      </c>
      <c r="L161" s="6" t="n">
        <v>1</v>
      </c>
      <c r="M161" s="17" t="n">
        <v>2576</v>
      </c>
      <c r="N161" s="17" t="n">
        <v>2846</v>
      </c>
      <c r="O161" s="6" t="inlineStr">
        <is>
          <t>2026</t>
        </is>
      </c>
      <c r="P161" s="6" t="n">
        <v>0</v>
      </c>
    </row>
    <row r="162">
      <c r="A162" s="6" t="inlineStr">
        <is>
          <t>Fort McCoy</t>
        </is>
      </c>
      <c r="B162" s="6" t="inlineStr"/>
      <c r="C162" s="6" t="inlineStr">
        <is>
          <t>WI</t>
        </is>
      </c>
      <c r="D162" s="6" t="inlineStr">
        <is>
          <t>La Crosse-Eau Claire</t>
        </is>
      </c>
      <c r="E162" s="6" t="inlineStr">
        <is>
          <t>54656</t>
        </is>
      </c>
      <c r="F162" s="6" t="inlineStr">
        <is>
          <t>Army</t>
        </is>
      </c>
      <c r="G162" s="6" t="n">
        <v>6</v>
      </c>
      <c r="H162" s="6" t="n">
        <v>3</v>
      </c>
      <c r="I162" s="6" t="n">
        <v>1</v>
      </c>
      <c r="J162" s="6" t="n">
        <v>0</v>
      </c>
      <c r="K162" s="6" t="n">
        <v>2</v>
      </c>
      <c r="L162" s="6" t="n">
        <v>0</v>
      </c>
      <c r="M162" s="17" t="n"/>
      <c r="N162" s="17" t="n"/>
      <c r="O162" s="6" t="inlineStr"/>
      <c r="P162" s="6" t="n">
        <v>5</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2" customWidth="1" min="1" max="1"/>
    <col width="18" customWidth="1" min="2" max="2"/>
    <col width="30" customWidth="1" min="3" max="3"/>
    <col width="80" customWidth="1" min="4" max="4"/>
    <col width="40" customWidth="1" min="5" max="5"/>
  </cols>
  <sheetData>
    <row r="1" ht="22" customHeight="1">
      <c r="A1" s="5" t="inlineStr">
        <is>
          <t>Date</t>
        </is>
      </c>
      <c r="B1" s="5" t="inlineStr">
        <is>
          <t>Who</t>
        </is>
      </c>
      <c r="C1" s="5" t="inlineStr">
        <is>
          <t>Base</t>
        </is>
      </c>
      <c r="D1" s="5" t="inlineStr">
        <is>
          <t>What changed</t>
        </is>
      </c>
      <c r="E1" s="5" t="inlineStr">
        <is>
          <t>Rate card / source used</t>
        </is>
      </c>
    </row>
    <row r="2">
      <c r="A2" t="inlineStr">
        <is>
          <t>2026-09-29</t>
        </is>
      </c>
      <c r="B2" t="inlineStr">
        <is>
          <t>Claude (for Jon)</t>
        </is>
      </c>
      <c r="C2" t="inlineStr">
        <is>
          <t>All</t>
        </is>
      </c>
      <c r="D2" t="inlineStr">
        <is>
          <t>Initial standardized master built from MasterMilitaryOnBaseList 12.2.25 NS.xlsx; client prices converted to margin-driven formulas; categories assigned; review flags added.</t>
        </is>
      </c>
      <c r="E2" t="inlineStr">
        <is>
          <t>Box &gt; Military &gt; Master Grid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2026-09-29T01:11:39Z</dcterms:created>
  <dcterms:modified xsi:type="dcterms:W3CDTF">2026-09-29T01:11:41Z</dcterms:modified>
</cp:coreProperties>
</file>